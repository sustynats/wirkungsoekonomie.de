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drawings/charts/chart1.xml" ContentType="application/vnd.openxmlformats-officedocument.drawingml.chart+xml"/>
  <ns0:Override PartName="/xl/worksheets/sheet2.xml" ContentType="application/vnd.openxmlformats-officedocument.spreadsheetml.worksheet+xml"/>
  <ns0:Override PartName="/xl/tables/table1.xml" ContentType="application/vnd.openxmlformats-officedocument.spreadsheetml.table+xml"/>
  <ns0:Override PartName="/xl/worksheets/sheet3.xml" ContentType="application/vnd.openxmlformats-officedocument.spreadsheetml.worksheet+xml"/>
  <ns0:Override PartName="/xl/tables/table2.xml" ContentType="application/vnd.openxmlformats-officedocument.spreadsheetml.table+xml"/>
  <ns0:Override PartName="/xl/worksheets/sheet4.xml" ContentType="application/vnd.openxmlformats-officedocument.spreadsheetml.worksheet+xml"/>
  <ns0:Override PartName="/xl/tables/table3.xml" ContentType="application/vnd.openxmlformats-officedocument.spreadsheetml.table+xml"/>
  <ns0:Override PartName="/xl/worksheets/sheet5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6.xml" ContentType="application/vnd.openxmlformats-officedocument.spreadsheetml.worksheet+xml"/>
  <ns0:Override PartName="/xl/tables/table6.xml" ContentType="application/vnd.openxmlformats-officedocument.spreadsheetml.table+xml"/>
  <ns0:Override PartName="/xl/worksheets/sheet7.xml" ContentType="application/vnd.openxmlformats-officedocument.spreadsheetml.worksheet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tables/table8.xml" ContentType="application/vnd.openxmlformats-officedocument.spreadsheetml.table+xml"/>
  <ns0:Override PartName="/xl/worksheets/sheet9.xml" ContentType="application/vnd.openxmlformats-officedocument.spreadsheetml.worksheet+xml"/>
  <ns0:Override PartName="/xl/tables/table9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3f9eb394d0a94baf" /><ns0:Relationship Id="rIdPublicCore" Type="http://schemas.openxmlformats.org/officeDocument/2006/relationships/metadata/core-properties" Target="docProps/core.xml" /><ns0:Relationship Id="rIdPublicApp" Type="http://schemas.openxmlformats.org/officeDocument/2006/relationships/extended-properties" Target="docProps/app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Übersicht" sheetId="1" r:id="R2e7842a66ff24f53"/>
    <x:sheet xmlns:r="http://schemas.openxmlformats.org/officeDocument/2006/relationships" name="01_Item_Register" sheetId="2" r:id="R362e186509324745"/>
    <x:sheet xmlns:r="http://schemas.openxmlformats.org/officeDocument/2006/relationships" name="02_Benchmarks" sheetId="3" r:id="Re8a62a3e18f84db1"/>
    <x:sheet xmlns:r="http://schemas.openxmlformats.org/officeDocument/2006/relationships" name="03_Scoring_Rules" sheetId="4" r:id="R8380c896a8dd441a"/>
    <x:sheet xmlns:r="http://schemas.openxmlformats.org/officeDocument/2006/relationships" name="04_Tarifmodell" sheetId="5" r:id="R365db6d334444e44"/>
    <x:sheet xmlns:r="http://schemas.openxmlformats.org/officeDocument/2006/relationships" name="05_Changelog" sheetId="6" r:id="Rfc080c9966c5468d"/>
    <x:sheet xmlns:r="http://schemas.openxmlformats.org/officeDocument/2006/relationships" name="06_Scorecards" sheetId="7" r:id="Rf17decebe2f14802"/>
    <x:sheet xmlns:r="http://schemas.openxmlformats.org/officeDocument/2006/relationships" name="07_Quellenkatalog" sheetId="8" r:id="R321b52829829410a"/>
    <x:sheet xmlns:r="http://schemas.openxmlformats.org/officeDocument/2006/relationships" name="08_Prüfprotokoll" sheetId="9" r:id="Rdab98a9d2a0647f2"/>
    <x:sheet xmlns:r="http://schemas.openxmlformats.org/officeDocument/2006/relationships" name="09_Methodik_Transparenz" sheetId="10" r:id="Re4b18c57826343a3"/>
    <x:sheet xmlns:r="http://schemas.openxmlformats.org/officeDocument/2006/relationships" name="10_Public_Export_Schema" sheetId="11" r:id="R46d81b3ca3b8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###############"/>
    <x:numFmt numFmtId="202" formatCode="0&quot; %&quot;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16324F"/>
      <x:name val="Carlito"/>
    </x:font>
    <x:font>
      <x:b/>
      <x:sz val="15"/>
      <x:color rgb="FF0B5E58"/>
      <x:name val="Carlito"/>
    </x:font>
    <x:font>
      <x:b/>
      <x:sz val="11"/>
      <x:color rgb="FF16324F"/>
      <x:name val="Carlito"/>
    </x:font>
    <x:font>
      <x:sz val="9"/>
      <x:color rgb="FF4A3A12"/>
      <x:name val="Carlito"/>
    </x:font>
    <x:font>
      <x:sz val="9"/>
      <x:color rgb="FF16324F"/>
      <x:name val="Carlito"/>
    </x:font>
    <x:font>
      <x:b/>
      <x:sz val="11"/>
      <x:color rgb="FF0B5E58"/>
      <x:name val="Carlito"/>
    </x:font>
    <x:font>
      <x:b/>
      <x:sz val="11"/>
      <x:color rgb="FFB42318"/>
      <x:name val="Carlito"/>
    </x:font>
    <x:font>
      <x:b/>
      <x:sz val="11"/>
      <x:color rgb="FF9A6700"/>
      <x:name val="Carlito"/>
    </x:font>
    <x:font>
      <x:sz val="9"/>
      <x:color rgb="FF5F4400"/>
      <x:name val="Carlito"/>
    </x:font>
    <x:font>
      <x:b/>
      <x:sz val="10"/>
      <x:color rgb="FFFFFFFF"/>
      <x:name val="Carlito"/>
    </x:font>
    <x:font>
      <x:sz val="9"/>
      <x:color rgb="FF506273"/>
      <x:name val="Carlito"/>
    </x:font>
    <x:font>
      <x:sz val="9"/>
      <x:color rgb="FF1155CC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color rgb="FF1F2937"/>
      <x:name val="Carlito"/>
    </x:font>
    <x:font>
      <x:b/>
      <x:sz val="11"/>
      <x:color rgb="FF0F6B63"/>
      <x:name val="Carlito"/>
    </x:font>
    <x:font>
      <x:i/>
      <x:sz val="10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FF4F1"/>
      </x:patternFill>
    </x:fill>
    <x:fill>
      <x:patternFill patternType="solid">
        <x:fgColor rgb="FFF3F5F7"/>
      </x:patternFill>
    </x:fill>
    <x:fill>
      <x:patternFill patternType="solid">
        <x:fgColor rgb="FFD4A72C"/>
      </x:patternFill>
    </x:fill>
    <x:fill>
      <x:patternFill patternType="solid">
        <x:fgColor rgb="FFFFF9E8"/>
      </x:patternFill>
    </x:fill>
    <x:fill>
      <x:patternFill patternType="solid">
        <x:fgColor rgb="FFFDE2E2"/>
      </x:patternFill>
    </x:fill>
    <x:fill>
      <x:patternFill patternType="solid">
        <x:fgColor rgb="FFFFF4CC"/>
      </x:patternFill>
    </x:fill>
    <x:fill>
      <x:patternFill patternType="solid">
        <x:fgColor rgb="FFEAF3FF"/>
      </x:patternFill>
    </x:fill>
    <x:fill>
      <x:patternFill patternType="solid">
        <x:fgColor rgb="FF0F766E"/>
      </x:patternFill>
    </x:fill>
    <x:fill>
      <x:patternFill patternType="solid">
        <x:fgColor rgb="FFE8F0FA"/>
      </x:patternFill>
    </x:fill>
    <x:fill>
      <x:patternFill patternType="solid">
        <x:fgColor rgb="FF17365D"/>
      </x:patternFill>
    </x:fill>
    <x:fill>
      <x:patternFill patternType="solid">
        <x:fgColor rgb="FFFFF8E7"/>
      </x:patternFill>
    </x:fill>
    <x:fill>
      <x:patternFill patternType="solid">
        <x:fgColor rgb="FFDDEFEA"/>
      </x:patternFill>
    </x:fill>
    <x:fill>
      <x:patternFill patternType="solid">
        <x:fgColor rgb="FFE6EE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200" fontId="9" fillId="9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201" fontId="5" fillId="11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202" fontId="15" fillId="4" borderId="0" xfId="0" applyNumberFormat="1" applyFont="1" applyFill="1" applyBorder="1" applyAlignment="1">
      <x:alignment vertical="top" wrapText="1"/>
    </x:xf>
    <x:xf numFmtId="202" fontId="5" fillId="11" borderId="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1" fillId="14" borderId="0" xfId="0" applyNumberFormat="1" applyFont="1" applyFill="1" applyBorder="1"/>
    <x:xf numFmtId="0" fontId="21" fillId="1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7" fillId="12" borderId="0" xfId="0" applyNumberFormat="1" applyFont="1" applyFill="1" applyBorder="1" applyAlignment="1">
      <x:alignment horizontal="left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2" fillId="1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color rgb="FF16324F"/>
      </x:font>
      <x:fill>
        <x:patternFill>
          <x:bgColor rgb="FFEAF3FF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2E2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9A6700"/>
      </x:font>
      <x:fill>
        <x:patternFill>
          <x:bgColor rgb="FFFFF4CC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1925692a94aa440d" /><Relationship Type="http://schemas.openxmlformats.org/officeDocument/2006/relationships/theme" Target="/xl/theme/theme1.xml" Id="Rcff14fddcf304f7f" /><Relationship Type="http://schemas.openxmlformats.org/officeDocument/2006/relationships/sharedStrings" Target="/xl/sharedStrings.xml" Id="R71ce080fe5df4ab9" /><Relationship Type="http://schemas.openxmlformats.org/officeDocument/2006/relationships/worksheet" Target="/xl/worksheets/sheet1.xml" Id="R2e7842a66ff24f53" /><Relationship Type="http://schemas.openxmlformats.org/officeDocument/2006/relationships/worksheet" Target="/xl/worksheets/sheet2.xml" Id="R362e186509324745" /><Relationship Type="http://schemas.openxmlformats.org/officeDocument/2006/relationships/worksheet" Target="/xl/worksheets/sheet3.xml" Id="Re8a62a3e18f84db1" /><Relationship Type="http://schemas.openxmlformats.org/officeDocument/2006/relationships/worksheet" Target="/xl/worksheets/sheet4.xml" Id="R8380c896a8dd441a" /><Relationship Type="http://schemas.openxmlformats.org/officeDocument/2006/relationships/worksheet" Target="/xl/worksheets/sheet5.xml" Id="R365db6d334444e44" /><Relationship Type="http://schemas.openxmlformats.org/officeDocument/2006/relationships/worksheet" Target="/xl/worksheets/sheet6.xml" Id="Rfc080c9966c5468d" /><Relationship Type="http://schemas.openxmlformats.org/officeDocument/2006/relationships/worksheet" Target="/xl/worksheets/sheet7.xml" Id="Rf17decebe2f14802" /><Relationship Type="http://schemas.openxmlformats.org/officeDocument/2006/relationships/worksheet" Target="/xl/worksheets/sheet8.xml" Id="R321b52829829410a" /><Relationship Type="http://schemas.openxmlformats.org/officeDocument/2006/relationships/worksheet" Target="/xl/worksheets/sheet9.xml" Id="Rdab98a9d2a0647f2" /><Relationship Type="http://schemas.openxmlformats.org/officeDocument/2006/relationships/worksheet" Target="/xl/worksheets/sheet10.xml" Id="Re4b18c57826343a3" /><Relationship Type="http://schemas.openxmlformats.org/officeDocument/2006/relationships/worksheet" Target="/xl/worksheets/sheet11.xml" Id="R46d81b3ca3b84075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drawings/charts/chart1.xml" Id="R3465a8fb0a7248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Items nach Schwellenkategorie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'00_Übersicht'!$A$14:$A$20</c:f>
              <c:strCache>
                <c:ptCount val="0"/>
              </c:strCache>
            </c:strRef>
          </c:cat>
          <c:val>
            <c:numRef>
              <c:f>'00_Übersicht'!$B$14:$B$20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65a8fb0a7248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emRegisterTable" displayName="ItemRegisterTable" ref="A4:AG625" headerRowCount="1" totalsRowCount="0" totalsRowShown="0">
  <x:tableColumns count="33">
    <x:tableColumn id="1" name="WOK_ID"/>
    <x:tableColumn id="2" name="SDG_or_SDGplus"/>
    <x:tableColumn id="3" name="Target/Unterziel"/>
    <x:tableColumn id="4" name="Indikatorfamilie"/>
    <x:tableColumn id="5" name="Item"/>
    <x:tableColumn id="6" name="Definition/Messgröße"/>
    <x:tableColumn id="7" name="Einheit"/>
    <x:tableColumn id="8" name="Polarity"/>
    <x:tableColumn id="9" name="Rule_ID"/>
    <x:tableColumn id="10" name="Schwellen (WÖk-Klassen)"/>
    <x:tableColumn id="11" name="Schwellenkategorie"/>
    <x:tableColumn id="12" name="Schwellenstatus"/>
    <x:tableColumn id="13" name="Grenzwertbasis"/>
    <x:tableColumn id="14" name="Benchmarkbedarf"/>
    <x:tableColumn id="15" name="Quelle_kurz"/>
    <x:tableColumn id="16" name="Quelle_detail"/>
    <x:tableColumn id="17" name="Quellenfunktion"/>
    <x:tableColumn id="18" name="Quellenstatus"/>
    <x:tableColumn id="19" name="Source_IDs"/>
    <x:tableColumn id="20" name="NACE_Beispiele_Legacy"/>
    <x:tableColumn id="21" name="NACE_Version"/>
    <x:tableColumn id="22" name="NACE_Rev2.1_Beispiele"/>
    <x:tableColumn id="23" name="NACE_Status"/>
    <x:tableColumn id="24" name="Systemgrenze"/>
    <x:tableColumn id="25" name="Berechnungslogik"/>
    <x:tableColumn id="26" name="Datenqualitätsanforderung"/>
    <x:tableColumn id="27" name="Assurance_Anforderung"/>
    <x:tableColumn id="28" name="Fachlogik_Status"/>
    <x:tableColumn id="29" name="Prüfpriorität"/>
    <x:tableColumn id="30" name="Prüfhinweis"/>
    <x:tableColumn id="31" name="Version"/>
    <x:tableColumn id="32" name="Gültig_ab"/>
    <x:tableColumn id="33" name="Gültig_b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sTable" displayName="BenchmarksTable" ref="A4:U625" headerRowCount="1" totalsRowCount="0" totalsRowShown="0">
  <x:tableColumns count="21">
    <x:tableColumn id="1" name="WOK_ID"/>
    <x:tableColumn id="2" name="NACE_Legacy"/>
    <x:tableColumn id="3" name="NACE_Version"/>
    <x:tableColumn id="4" name="Region"/>
    <x:tableColumn id="5" name="Tech/Klasse"/>
    <x:tableColumn id="6" name="Einheit"/>
    <x:tableColumn id="7" name="Polarity"/>
    <x:tableColumn id="8" name="Rule_ID"/>
    <x:tableColumn id="9" name="Benchmarkbedarf"/>
    <x:tableColumn id="10" name="Active_BM_Best"/>
    <x:tableColumn id="11" name="Active_BM_Neutral"/>
    <x:tableColumn id="12" name="Active_BM_Warn"/>
    <x:tableColumn id="13" name="Active_BM_Critical"/>
    <x:tableColumn id="14" name="Active_Source_ID"/>
    <x:tableColumn id="15" name="Gültig_ab"/>
    <x:tableColumn id="16" name="Active_Status"/>
    <x:tableColumn id="17" name="Legacy_BM_Neutral"/>
    <x:tableColumn id="18" name="Legacy_BM_150pct"/>
    <x:tableColumn id="19" name="Legacy_BM_250pct"/>
    <x:tableColumn id="20" name="Legacy_Source"/>
    <x:tableColumn id="21" name="Prüf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ingRulesTable" displayName="ScoringRulesTable" ref="A4:S32" headerRowCount="1" totalsRowCount="0" totalsRowShown="0">
  <x:tableColumns count="19">
    <x:tableColumn id="1" name="Rule_ID"/>
    <x:tableColumn id="2" name="Schwelle_original"/>
    <x:tableColumn id="3" name="Regeltyp"/>
    <x:tableColumn id="4" name="Richtung"/>
    <x:tableColumn id="5" name="Eingabemodus"/>
    <x:tableColumn id="6" name="B1"/>
    <x:tableColumn id="7" name="B2"/>
    <x:tableColumn id="8" name="B3"/>
    <x:tableColumn id="9" name="B4"/>
    <x:tableColumn id="10" name="S1"/>
    <x:tableColumn id="11" name="S2"/>
    <x:tableColumn id="12" name="S3"/>
    <x:tableColumn id="13" name="S4"/>
    <x:tableColumn id="14" name="S5"/>
    <x:tableColumn id="15" name="Schwellenkategorie"/>
    <x:tableColumn id="16" name="Status"/>
    <x:tableColumn id="17" name="Grenzwertbasis"/>
    <x:tableColumn id="18" name="Hinweis"/>
    <x:tableColumn id="19" name="Anzahl_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eTariffTable" displayName="ActiveTariffTable" ref="A5:E12" headerRowCount="1" totalsRowCount="0" totalsRowShown="0">
  <x:tableColumns count="5">
    <x:tableColumn id="1" name="FinalScore"/>
    <x:tableColumn id="2" name="Steuerklasse"/>
    <x:tableColumn id="3" name="Steuersatz_pct"/>
    <x:tableColumn id="4" name="Status"/>
    <x:tableColumn id="5" name="Komment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icalTariffTable" displayName="HistoricalTariffTable" ref="A15:D20" headerRowCount="1" totalsRowCount="0" totalsRowShown="0">
  <x:tableColumns count="4">
    <x:tableColumn id="1" name="Historisches Modell"/>
    <x:tableColumn id="2" name="Bedingung"/>
    <x:tableColumn id="3" name="Satz_pct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4:G18" headerRowCount="1" totalsRowCount="0" totalsRowShown="0">
  <x:tableColumns count="7">
    <x:tableColumn id="1" name="Change_ID"/>
    <x:tableColumn id="2" name="Bereich"/>
    <x:tableColumn id="3" name="Änderungstyp"/>
    <x:tableColumn id="4" name="Vorher"/>
    <x:tableColumn id="5" name="Nachher"/>
    <x:tableColumn id="6" name="Begründung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ecardsTable" displayName="ScorecardsTable" ref="A4:AC625" headerRowCount="1" totalsRowCount="0" totalsRowShown="0">
  <x:tableColumns count="29">
    <x:tableColumn id="1" name="WOK_ID"/>
    <x:tableColumn id="2" name="SDG_or_SDGplus"/>
    <x:tableColumn id="3" name="Target/Unterziel"/>
    <x:tableColumn id="4" name="Indikatorfamilie"/>
    <x:tableColumn id="5" name="Item"/>
    <x:tableColumn id="6" name="Einheit"/>
    <x:tableColumn id="7" name="Polarity"/>
    <x:tableColumn id="8" name="Rule_ID"/>
    <x:tableColumn id="9" name="Regeltyp"/>
    <x:tableColumn id="10" name="Messwert"/>
    <x:tableColumn id="11" name="Assurance_Score"/>
    <x:tableColumn id="12" name="Nachweis/Quelle"/>
    <x:tableColumn id="13" name="Datenstand"/>
    <x:tableColumn id="14" name="AutoScore"/>
    <x:tableColumn id="15" name="BenchmarkScore"/>
    <x:tableColumn id="16" name="FinalScore"/>
    <x:tableColumn id="17" name="Steuerklasse"/>
    <x:tableColumn id="18" name="Steuersatz_pct"/>
    <x:tableColumn id="19" name="Datenstatus"/>
    <x:tableColumn id="20" name="Prüfhinweis"/>
    <x:tableColumn id="21" name="Schwellen"/>
    <x:tableColumn id="22" name="Quelle_detail"/>
    <x:tableColumn id="23" name="Benchmarkstatus"/>
    <x:tableColumn id="24" name="Quellenstatus"/>
    <x:tableColumn id="25" name="Prüfpriorität"/>
    <x:tableColumn id="26" name="Regelstatus"/>
    <x:tableColumn id="27" name="Systemgrenze"/>
    <x:tableColumn id="28" name="Datenqualitätsanforderung"/>
    <x:tableColumn id="29" name="Assurance_Anforderu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4:G51" headerRowCount="1" totalsRowCount="0" totalsRowShown="0">
  <x:tableColumns count="7">
    <x:tableColumn id="1" name="Source_ID"/>
    <x:tableColumn id="2" name="Organisation"/>
    <x:tableColumn id="3" name="Titel/Standard"/>
    <x:tableColumn id="4" name="Funktion"/>
    <x:tableColumn id="5" name="Version/Stand"/>
    <x:tableColumn id="6" name="URL"/>
    <x:tableColumn id="7" name="Hinwei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Table" displayName="AuditTable" ref="A4:H20" headerRowCount="1" totalsRowCount="0" totalsRowShown="0">
  <x:tableColumns count="8">
    <x:tableColumn id="1" name="Audit_ID"/>
    <x:tableColumn id="2" name="Schweregrad"/>
    <x:tableColumn id="3" name="Bereich"/>
    <x:tableColumn id="4" name="Befund"/>
    <x:tableColumn id="5" name="Betroffene_Zeilen"/>
    <x:tableColumn id="6" name="Korrektur_v1.3"/>
    <x:tableColumn id="7" name="Restrisiko/Nächster_Schrit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Institut für Wirkungsökonomie">
  <a:themeElements>
    <a:clrScheme name="Institut für Wirkungsökonomi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Institut für Wirkungsökonomi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6ccb3b99095f4d68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table" Target="/xl/tables/table1.xml" Id="R4407d0ae0a1b4339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/xl/tables/table2.xml" Id="Rd36e825bc7254c7e" /></Relationships>
</file>

<file path=xl/worksheets/_rels/sheet4.xml.rels><?xml version="1.0" encoding="utf-8"?><Relationships xmlns="http://schemas.openxmlformats.org/package/2006/relationships"><Relationship Type="http://schemas.openxmlformats.org/officeDocument/2006/relationships/table" Target="/xl/tables/table3.xml" Id="Rb5b22723fdcc46fe" /></Relationships>
</file>

<file path=xl/worksheets/_rels/sheet5.xml.rels><?xml version="1.0" encoding="utf-8"?><Relationships xmlns="http://schemas.openxmlformats.org/package/2006/relationships"><Relationship Type="http://schemas.openxmlformats.org/officeDocument/2006/relationships/table" Target="/xl/tables/table4.xml" Id="R15f7f479b5694e12" /><Relationship Type="http://schemas.openxmlformats.org/officeDocument/2006/relationships/table" Target="/xl/tables/table5.xml" Id="R7ac55ffef39a4afa" /></Relationships>
</file>

<file path=xl/worksheets/_rels/sheet6.xml.rels><?xml version="1.0" encoding="utf-8"?><Relationships xmlns="http://schemas.openxmlformats.org/package/2006/relationships"><Relationship Type="http://schemas.openxmlformats.org/officeDocument/2006/relationships/table" Target="/xl/tables/table6.xml" Id="Rffc68057bd6d4470" /></Relationships>
</file>

<file path=xl/worksheets/_rels/sheet7.xml.rels><?xml version="1.0" encoding="utf-8"?><Relationships xmlns="http://schemas.openxmlformats.org/package/2006/relationships"><Relationship Type="http://schemas.openxmlformats.org/officeDocument/2006/relationships/table" Target="/xl/tables/table7.xml" Id="R29e9c29566d94fcb" /></Relationships>
</file>

<file path=xl/worksheets/_rels/sheet8.xml.rels><?xml version="1.0" encoding="utf-8"?><Relationships xmlns="http://schemas.openxmlformats.org/package/2006/relationships"><Relationship Type="http://schemas.openxmlformats.org/officeDocument/2006/relationships/table" Target="/xl/tables/table8.xml" Id="R91a60ffdbcd44166" /></Relationships>
</file>

<file path=xl/worksheets/_rels/sheet9.xml.rels><?xml version="1.0" encoding="utf-8"?><Relationships xmlns="http://schemas.openxmlformats.org/package/2006/relationships"><Relationship Type="http://schemas.openxmlformats.org/officeDocument/2006/relationships/table" Target="/xl/tables/table9.xml" Id="Rb1ebdee7469547c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91" t="str">
        <x:v>WÖk Master Items v1.4 FINAL – führende Register- und Governance-Fassung</x:v>
      </x:c>
      <x:c r="B1" s="91"/>
      <x:c r="C1" s="91"/>
      <x:c r="D1" s="91"/>
      <x:c r="E1" s="91"/>
      <x:c r="F1" s="91"/>
      <x:c r="G1" s="91"/>
      <x:c r="H1" s="5"/>
      <x:c r="I1" s="5"/>
      <x:c r="J1" s="5"/>
    </x:row>
    <x:row r="2" ht="34" customHeight="1">
      <x:c r="A2" s="93" t="str">
        <x:v>Stand 16.08.2026 · 621 WÖk-IDs · Begriffsleitfaden v1.5 · SDG+ explizit gekennzeichnet · leere Eingaben bleiben unbewertet · aktive Benchmarks strikt von Legacy-Werten getrennt</x:v>
      </x:c>
      <x:c r="B2" s="93"/>
      <x:c r="C2" s="93"/>
      <x:c r="D2" s="93"/>
      <x:c r="E2" s="93"/>
      <x:c r="F2" s="93"/>
      <x:c r="G2" s="93"/>
      <x:c r="H2" s="9"/>
      <x:c r="I2" s="9"/>
      <x:c r="J2" s="9"/>
    </x:row>
    <x:row r="4">
      <x:c r="A4" s="11" t="str">
        <x:v>Qualitätskennzahlen</x:v>
      </x:c>
      <x:c r="B4" s="11"/>
      <x:c r="C4" s="11"/>
      <x:c r="D4" s="11"/>
      <x:c r="F4" s="11" t="str">
        <x:v>Nutzung und Freigabelogik</x:v>
      </x:c>
      <x:c r="G4" s="11"/>
      <x:c r="H4" s="11"/>
      <x:c r="I4" s="11"/>
      <x:c r="J4" s="11"/>
    </x:row>
    <x:row r="6" ht="34" customHeight="1">
      <x:c r="A6" s="16" t="str">
        <x:v>WÖk-IDs</x:v>
      </x:c>
      <x:c r="B6" s="20" t="n">
        <x:f>COUNTA('01_Item_Register'!A5:A625)</x:f>
        <x:v>621</x:v>
      </x:c>
      <x:c r="C6" s="16" t="str">
        <x:v>Eindeutige Regeln</x:v>
      </x:c>
      <x:c r="D6" s="20" t="n">
        <x:f>COUNTA('03_Scoring_Rules'!A5:A32)</x:f>
        <x:v>28</x:v>
      </x:c>
      <x:c r="F6" s="24" t="str">
        <x:v>1</x:v>
      </x:c>
      <x:c r="G6" s="28" t="str">
        <x:v>Messwerte werden ausschließlich in 06_Scorecards (Spalte J) eingetragen.</x:v>
      </x:c>
      <x:c r="H6" s="28"/>
      <x:c r="I6" s="28"/>
      <x:c r="J6" s="28"/>
    </x:row>
    <x:row r="7" ht="34" customHeight="1">
      <x:c r="A7" s="16" t="str">
        <x:v>Indikatorfamilien</x:v>
      </x:c>
      <x:c r="B7" s="20" t="n">
        <x:v>204</x:v>
      </x:c>
      <x:c r="C7" s="16" t="str">
        <x:v>Korrigierte #N/A-Zeilen</x:v>
      </x:c>
      <x:c r="D7" s="20" t="n">
        <x:v>320</x:v>
      </x:c>
      <x:c r="F7" s="24" t="str">
        <x:v>2</x:v>
      </x:c>
      <x:c r="G7" s="28" t="str">
        <x:v>Qualitative oder hybride Regeln benötigen einen nachweisgebundenen Assurance-Score in Spalte K.</x:v>
      </x:c>
      <x:c r="H7" s="28"/>
      <x:c r="I7" s="28"/>
      <x:c r="J7" s="28"/>
    </x:row>
    <x:row r="8" ht="34" customHeight="1">
      <x:c r="A8" s="16" t="str">
        <x:v>Benchmarkabhängig</x:v>
      </x:c>
      <x:c r="B8" s="20" t="n">
        <x:f>COUNTIF('01_Item_Register'!K5:K625,"Benchmarkabhängig")</x:f>
        <x:v>72</x:v>
      </x:c>
      <x:c r="C8" s="16" t="str">
        <x:v>Qualitative Regeln</x:v>
      </x:c>
      <x:c r="D8" s="20" t="n">
        <x:f>COUNTIF('01_Item_Register'!K5:K625,"Qualitativ")</x:f>
        <x:v>54</x:v>
      </x:c>
      <x:c r="F8" s="24" t="str">
        <x:v>3</x:v>
      </x:c>
      <x:c r="G8" s="28" t="str">
        <x:v>Ein Benchmark wirkt erst, wenn er in 02_Benchmarks vollständig befüllt und auf „Aktiv“ gesetzt ist.</x:v>
      </x:c>
      <x:c r="H8" s="28"/>
      <x:c r="I8" s="28"/>
      <x:c r="J8" s="28"/>
    </x:row>
    <x:row r="9" ht="34" customHeight="1">
      <x:c r="A9" s="16" t="str">
        <x:v>Rechtsgrenzen</x:v>
      </x:c>
      <x:c r="B9" s="20" t="n">
        <x:f>COUNTIF('01_Item_Register'!K5:K625,"Rechts-/Genehmigungsgrenze")</x:f>
        <x:v>10</x:v>
      </x:c>
      <x:c r="C9" s="16" t="str">
        <x:v>Offene −2/−3-Grenzen</x:v>
      </x:c>
      <x:c r="D9" s="20" t="n">
        <x:f>COUNTIF('01_Item_Register'!K5:K625,"Unvollständige Grenzauflösung")</x:f>
        <x:v>10</x:v>
      </x:c>
      <x:c r="F9" s="24" t="str">
        <x:v>4</x:v>
      </x:c>
      <x:c r="G9" s="28" t="str">
        <x:v>Der FinalScore ist das strengste vorhandene Ergebnis; positive Werte kompensieren keine schlechteren Werte.</x:v>
      </x:c>
      <x:c r="H9" s="28"/>
      <x:c r="I9" s="28"/>
      <x:c r="J9" s="28"/>
    </x:row>
    <x:row r="10" ht="34" customHeight="1">
      <x:c r="F10" s="24" t="str">
        <x:v>5</x:v>
      </x:c>
      <x:c r="G10" s="28" t="str">
        <x:v>Kritische oder offene Fachlogik ist im Register und Prüfprotokoll gekennzeichnet und nicht automatisch freigegeben.</x:v>
      </x:c>
      <x:c r="H10" s="28"/>
      <x:c r="I10" s="28"/>
      <x:c r="J10" s="28"/>
    </x:row>
    <x:row r="12">
      <x:c r="A12" s="11" t="str">
        <x:v>Schwellenkategorien</x:v>
      </x:c>
      <x:c r="B12" s="11"/>
      <x:c r="C12" s="11"/>
      <x:c r="D12" s="11"/>
      <x:c r="F12" s="11" t="str">
        <x:v>Prüfprioritäten</x:v>
      </x:c>
      <x:c r="G12" s="11"/>
      <x:c r="H12" s="11"/>
      <x:c r="I12" s="11"/>
      <x:c r="J12" s="11"/>
    </x:row>
    <x:row r="14">
      <x:c r="A14" s="31" t="str">
        <x:v>Feste WÖk-Kalibrierung</x:v>
      </x:c>
      <x:c r="B14" s="33" t="n">
        <x:f>COUNTIF('01_Item_Register'!K5:K625,A14)</x:f>
        <x:v>415</x:v>
      </x:c>
      <x:c r="F14" s="35" t="str">
        <x:v>Kritisch</x:v>
      </x:c>
      <x:c r="G14" s="41" t="n">
        <x:f>COUNTIF('01_Item_Register'!AC5:AC625,F14)</x:f>
        <x:v>126</x:v>
      </x:c>
    </x:row>
    <x:row r="15">
      <x:c r="A15" s="31" t="str">
        <x:v>Feste WÖk-Grobkalibrierung</x:v>
      </x:c>
      <x:c r="B15" s="33" t="n">
        <x:f>COUNTIF('01_Item_Register'!K5:K625,A15)</x:f>
        <x:v>48</x:v>
      </x:c>
      <x:c r="F15" s="37" t="str">
        <x:v>Hoch</x:v>
      </x:c>
      <x:c r="G15" s="41" t="n">
        <x:f>COUNTIF('01_Item_Register'!AC5:AC625,F15)</x:f>
        <x:v>168</x:v>
      </x:c>
    </x:row>
    <x:row r="16">
      <x:c r="A16" s="31" t="str">
        <x:v>Benchmarkabhängig</x:v>
      </x:c>
      <x:c r="B16" s="33" t="n">
        <x:f>COUNTIF('01_Item_Register'!K5:K625,A16)</x:f>
        <x:v>72</x:v>
      </x:c>
      <x:c r="F16" s="39" t="str">
        <x:v>Mittel</x:v>
      </x:c>
      <x:c r="G16" s="41" t="n">
        <x:f>COUNTIF('01_Item_Register'!AC5:AC625,F16)</x:f>
        <x:v>327</x:v>
      </x:c>
    </x:row>
    <x:row r="17">
      <x:c r="A17" s="31" t="str">
        <x:v>Qualitativ</x:v>
      </x:c>
      <x:c r="B17" s="33" t="n">
        <x:f>COUNTIF('01_Item_Register'!K5:K625,A17)</x:f>
        <x:v>54</x:v>
      </x:c>
    </x:row>
    <x:row r="18">
      <x:c r="A18" s="31" t="str">
        <x:v>Rechts-/Genehmigungsgrenze</x:v>
      </x:c>
      <x:c r="B18" s="33" t="n">
        <x:f>COUNTIF('01_Item_Register'!K5:K625,A18)</x:f>
        <x:v>10</x:v>
      </x:c>
      <x:c r="F18" s="83" t="str">
        <x:v>Release-Status</x:v>
      </x:c>
      <x:c r="G18" s="83"/>
      <x:c r="H18" s="11"/>
      <x:c r="I18" s="11"/>
      <x:c r="J18" s="11"/>
    </x:row>
    <x:row r="19">
      <x:c r="A19" s="31" t="str">
        <x:v>Produktspezifische Indexkalibrierung</x:v>
      </x:c>
      <x:c r="B19" s="33" t="n">
        <x:f>COUNTIF('01_Item_Register'!K5:K625,A19)</x:f>
        <x:v>12</x:v>
      </x:c>
      <x:c r="F19" s="85" t="str">
        <x:v>v1.4 FINAL = führende technische Registerfassung</x:v>
      </x:c>
      <x:c r="G19" s="85"/>
      <x:c r="H19" s="44"/>
      <x:c r="I19" s="44"/>
      <x:c r="J19" s="44"/>
    </x:row>
    <x:row r="20">
      <x:c r="A20" s="31" t="str">
        <x:v>Unvollständige Grenzauflösung</x:v>
      </x:c>
      <x:c r="B20" s="33" t="n">
        <x:f>COUNTIF('01_Item_Register'!K5:K625,A20)</x:f>
        <x:v>10</x:v>
      </x:c>
      <x:c r="F20" s="85" t="str">
        <x:v>Offene Kalibrierungen bleiben ausdrücklich offen</x:v>
      </x:c>
      <x:c r="G20" s="85"/>
      <x:c r="H20" s="44"/>
      <x:c r="I20" s="44"/>
      <x:c r="J20" s="44"/>
    </x:row>
    <x:row r="21">
      <x:c r="F21" s="85" t="str">
        <x:v>FINAL bedeutet nicht: alle Schwellen extern validiert</x:v>
      </x:c>
      <x:c r="G21" s="85"/>
      <x:c r="H21" s="44"/>
      <x:c r="I21" s="44"/>
      <x:c r="J21" s="44"/>
    </x:row>
    <x:row r="22">
      <x:c r="F22" s="44"/>
      <x:c r="G22" s="44"/>
      <x:c r="H22" s="44"/>
      <x:c r="I22" s="44"/>
      <x:c r="J22" s="44"/>
    </x:row>
    <x:row r="23">
      <x:c r="A23" s="11" t="str">
        <x:v>Navigation</x:v>
      </x:c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5" ht="24" customHeight="1">
      <x:c r="A25" s="94" t="str">
        <x:v>01_Item_Register</x:v>
      </x:c>
      <x:c r="B25" s="66" t="str">
        <x:v>Vollständiges Register, Quellen-, NACE-, Qualitäts- und Prüfstatus</x:v>
      </x:c>
      <x:c r="C25" s="66"/>
      <x:c r="D25" s="66"/>
      <x:c r="E25" s="66"/>
      <x:c r="F25" s="66"/>
      <x:c r="G25" s="66"/>
      <x:c r="H25" s="66"/>
      <x:c r="I25" s="66"/>
      <x:c r="J25" s="66"/>
    </x:row>
    <x:row r="26" ht="24" customHeight="1">
      <x:c r="A26" s="94" t="str">
        <x:v>02_Benchmarks</x:v>
      </x:c>
      <x:c r="B26" s="66" t="str">
        <x:v>Aktive validierte Benchmarks getrennt von Legacy-Werten</x:v>
      </x:c>
      <x:c r="C26" s="66"/>
      <x:c r="D26" s="66"/>
      <x:c r="E26" s="66"/>
      <x:c r="F26" s="66"/>
      <x:c r="G26" s="66"/>
      <x:c r="H26" s="66"/>
      <x:c r="I26" s="66"/>
      <x:c r="J26" s="66"/>
    </x:row>
    <x:row r="27" ht="24" customHeight="1">
      <x:c r="A27" s="94" t="str">
        <x:v>03_Scoring_Rules</x:v>
      </x:c>
      <x:c r="B27" s="66" t="str">
        <x:v>28 normalisierte Regelmuster und offene Kalibrierungen</x:v>
      </x:c>
      <x:c r="C27" s="66"/>
      <x:c r="D27" s="66"/>
      <x:c r="E27" s="66"/>
      <x:c r="F27" s="66"/>
      <x:c r="G27" s="66"/>
      <x:c r="H27" s="66"/>
      <x:c r="I27" s="66"/>
      <x:c r="J27" s="66"/>
    </x:row>
    <x:row r="28" ht="24" customHeight="1">
      <x:c r="A28" s="94" t="str">
        <x:v>04_Tarifmodell</x:v>
      </x:c>
      <x:c r="B28" s="66" t="str">
        <x:v>Aktives WÖk-Arbeitsmodell und historische Referenz</x:v>
      </x:c>
      <x:c r="C28" s="66"/>
      <x:c r="D28" s="66"/>
      <x:c r="E28" s="66"/>
      <x:c r="F28" s="66"/>
      <x:c r="G28" s="66"/>
      <x:c r="H28" s="66"/>
      <x:c r="I28" s="66"/>
      <x:c r="J28" s="66"/>
    </x:row>
    <x:row r="29" ht="24" customHeight="1">
      <x:c r="A29" s="94" t="str">
        <x:v>06_Scorecards</x:v>
      </x:c>
      <x:c r="B29" s="66" t="str">
        <x:v>Eingabe, automatische Bewertung, FinalScore und Steuersatz</x:v>
      </x:c>
      <x:c r="C29" s="66"/>
      <x:c r="D29" s="66"/>
      <x:c r="E29" s="66"/>
      <x:c r="F29" s="66"/>
      <x:c r="G29" s="66"/>
      <x:c r="H29" s="66"/>
      <x:c r="I29" s="66"/>
      <x:c r="J29" s="66"/>
    </x:row>
    <x:row r="30" ht="24" customHeight="1">
      <x:c r="A30" s="94" t="str">
        <x:v>07_Quellenkatalog</x:v>
      </x:c>
      <x:c r="B30" s="66" t="str">
        <x:v>Offizielle und interne Referenzquellen mit Funktion</x:v>
      </x:c>
      <x:c r="C30" s="66"/>
      <x:c r="D30" s="66"/>
      <x:c r="E30" s="66"/>
      <x:c r="F30" s="66"/>
      <x:c r="G30" s="66"/>
      <x:c r="H30" s="66"/>
      <x:c r="I30" s="66"/>
      <x:c r="J30" s="66"/>
    </x:row>
    <x:row r="31" ht="24" customHeight="1">
      <x:c r="A31" s="94" t="str">
        <x:v>08_Prüfprotokoll</x:v>
      </x:c>
      <x:c r="B31" s="66" t="str">
        <x:v>Befunde, Korrekturen und verbleibende Fachaufgaben</x:v>
      </x:c>
      <x:c r="C31" s="66"/>
      <x:c r="D31" s="66"/>
      <x:c r="E31" s="66"/>
      <x:c r="F31" s="66"/>
      <x:c r="G31" s="66"/>
      <x:c r="H31" s="66"/>
      <x:c r="I31" s="66"/>
      <x:c r="J31" s="66"/>
    </x:row>
    <x:row r="32" ht="24" customHeight="1">
      <x:c r="A32" s="88" t="str">
        <x:v>09_Methodik_Transparenz</x:v>
      </x:c>
      <x:c r="B32" s="88" t="str">
        <x:v>Trennung politischer Richtungsbewertung, Scorecard, Evidenz und Rechenlogik</x:v>
      </x:c>
      <x:c r="C32" s="75"/>
      <x:c r="D32" s="75"/>
      <x:c r="E32" s="75"/>
      <x:c r="F32" s="75"/>
      <x:c r="G32" s="75"/>
    </x:row>
    <x:row r="33" ht="24" customHeight="1">
      <x:c r="A33" s="88" t="str">
        <x:v>10_Public_Export_Schema</x:v>
      </x:c>
      <x:c r="B33" s="88" t="str">
        <x:v>Verbindliches Schema für öffentlichen Register-Viewer und Downloads</x:v>
      </x:c>
      <x:c r="C33" s="75"/>
      <x:c r="D33" s="75"/>
      <x:c r="E33" s="75"/>
      <x:c r="F33" s="75"/>
      <x:c r="G33" s="75"/>
    </x:row>
  </x:sheetData>
  <x:mergeCells>
    <x:mergeCell ref="A1:J1"/>
    <x:mergeCell ref="A2:J2"/>
    <x:mergeCell ref="A4:D4"/>
    <x:mergeCell ref="F4:J4"/>
    <x:mergeCell ref="G6:J6"/>
    <x:mergeCell ref="G7:J7"/>
    <x:mergeCell ref="G8:J8"/>
    <x:mergeCell ref="G9:J9"/>
    <x:mergeCell ref="G10:J10"/>
    <x:mergeCell ref="A12:D12"/>
    <x:mergeCell ref="F12:J12"/>
    <x:mergeCell ref="F18:J18"/>
    <x:mergeCell ref="F19:J22"/>
    <x:mergeCell ref="A23:J23"/>
    <x:mergeCell ref="B25:J25"/>
    <x:mergeCell ref="B26:J26"/>
    <x:mergeCell ref="B27:J27"/>
    <x:mergeCell ref="B28:J28"/>
    <x:mergeCell ref="B29:J29"/>
    <x:mergeCell ref="B30:J30"/>
    <x:mergeCell ref="B31:J31"/>
    <x:mergeCell ref="A1:G1"/>
    <x:mergeCell ref="A2:G2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</x:mergeCells>
  <x:pageMargins left="0.7" right="0.7" top="0.75" bottom="0.75" header="0.3" footer="0.3"/>
  <x:drawing xmlns:r="http://schemas.openxmlformats.org/officeDocument/2006/relationships" r:id="R6ccb3b99095f4d68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42" hidden="0" customWidth="1"/>
    <x:col min="7" max="7" width="18" hidden="0" customWidth="1"/>
    <x:col min="8" max="8" width="18" hidden="0" customWidth="1"/>
    <x:col min="9" max="9" width="10" hidden="0" customWidth="1"/>
    <x:col min="10" max="10" width="42" hidden="0" customWidth="1"/>
    <x:col min="11" max="11" width="26" hidden="0" customWidth="1"/>
    <x:col min="12" max="12" width="30" hidden="0" customWidth="1"/>
    <x:col min="13" max="13" width="30" hidden="0" customWidth="1"/>
    <x:col min="14" max="14" width="16" hidden="0" customWidth="1"/>
    <x:col min="15" max="15" width="28" hidden="0" customWidth="1"/>
    <x:col min="16" max="16" width="38" hidden="0" customWidth="1"/>
    <x:col min="17" max="17" width="38" hidden="0" customWidth="1"/>
    <x:col min="18" max="18" width="34" hidden="0" customWidth="1"/>
    <x:col min="19" max="19" width="32" hidden="0" customWidth="1"/>
    <x:col min="20" max="20" width="24" hidden="0" customWidth="1"/>
    <x:col min="21" max="21" width="24" hidden="0" customWidth="1"/>
    <x:col min="22" max="22" width="24" hidden="0" customWidth="1"/>
    <x:col min="23" max="23" width="28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34" hidden="0" customWidth="1"/>
    <x:col min="29" max="29" width="14" hidden="0" customWidth="1"/>
    <x:col min="30" max="30" width="48" hidden="0" customWidth="1"/>
    <x:col min="31" max="31" width="10" hidden="0" customWidth="1"/>
    <x:col min="32" max="32" width="14" hidden="0" customWidth="1"/>
    <x:col min="33" max="33" width="14" hidden="0" customWidth="1"/>
  </x:cols>
  <x:sheetData>
    <x:row r="1" ht="32" customHeight="1">
      <x:c r="A1" s="5" t="str">
        <x:v>01 · WÖk-ID-Register v1.4 FINAL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36" customHeight="1">
      <x:c r="A2" s="9" t="str">
        <x:v>621 eindeutige WÖk-IDs · 162 explizite SDG+-Zuordnungen · Quellenfunktion, Schwellenstatus, NACE-Migration, Systemgrenze, Datenqualität, Assurance und Prüfpriorität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4" ht="34" customHeight="1">
      <x:c r="A4" s="49" t="str">
        <x:v>WOK_ID</x:v>
      </x:c>
      <x:c r="B4" s="49" t="str">
        <x:v>SDG_or_SDGplus</x:v>
      </x:c>
      <x:c r="C4" s="49" t="str">
        <x:v>Target/Unterziel</x:v>
      </x:c>
      <x:c r="D4" s="49" t="str">
        <x:v>Indikatorfamilie</x:v>
      </x:c>
      <x:c r="E4" s="49" t="str">
        <x:v>Item</x:v>
      </x:c>
      <x:c r="F4" s="49" t="str">
        <x:v>Definition/Messgröße</x:v>
      </x:c>
      <x:c r="G4" s="49" t="str">
        <x:v>Einheit</x:v>
      </x:c>
      <x:c r="H4" s="49" t="str">
        <x:v>Polarity</x:v>
      </x:c>
      <x:c r="I4" s="49" t="str">
        <x:v>Rule_ID</x:v>
      </x:c>
      <x:c r="J4" s="49" t="str">
        <x:v>Schwellen (WÖk-Klassen)</x:v>
      </x:c>
      <x:c r="K4" s="49" t="str">
        <x:v>Schwellenkategorie</x:v>
      </x:c>
      <x:c r="L4" s="49" t="str">
        <x:v>Schwellenstatus</x:v>
      </x:c>
      <x:c r="M4" s="49" t="str">
        <x:v>Grenzwertbasis</x:v>
      </x:c>
      <x:c r="N4" s="49" t="str">
        <x:v>Benchmarkbedarf</x:v>
      </x:c>
      <x:c r="O4" s="49" t="str">
        <x:v>Quelle_kurz</x:v>
      </x:c>
      <x:c r="P4" s="49" t="str">
        <x:v>Quelle_detail</x:v>
      </x:c>
      <x:c r="Q4" s="49" t="str">
        <x:v>Quellenfunktion</x:v>
      </x:c>
      <x:c r="R4" s="49" t="str">
        <x:v>Quellenstatus</x:v>
      </x:c>
      <x:c r="S4" s="49" t="str">
        <x:v>Source_IDs</x:v>
      </x:c>
      <x:c r="T4" s="49" t="str">
        <x:v>NACE_Beispiele_Legacy</x:v>
      </x:c>
      <x:c r="U4" s="49" t="str">
        <x:v>NACE_Version</x:v>
      </x:c>
      <x:c r="V4" s="49" t="str">
        <x:v>NACE_Rev2.1_Beispiele</x:v>
      </x:c>
      <x:c r="W4" s="49" t="str">
        <x:v>NACE_Status</x:v>
      </x:c>
      <x:c r="X4" s="49" t="str">
        <x:v>Systemgrenze</x:v>
      </x:c>
      <x:c r="Y4" s="49" t="str">
        <x:v>Berechnungslogik</x:v>
      </x:c>
      <x:c r="Z4" s="49" t="str">
        <x:v>Datenqualitätsanforderung</x:v>
      </x:c>
      <x:c r="AA4" s="49" t="str">
        <x:v>Assurance_Anforderung</x:v>
      </x:c>
      <x:c r="AB4" s="49" t="str">
        <x:v>Fachlogik_Status</x:v>
      </x:c>
      <x:c r="AC4" s="49" t="str">
        <x:v>Prüfpriorität</x:v>
      </x:c>
      <x:c r="AD4" s="49" t="str">
        <x:v>Prüfhinweis</x:v>
      </x:c>
      <x:c r="AE4" s="49" t="str">
        <x:v>Version</x:v>
      </x:c>
      <x:c r="AF4" s="49" t="str">
        <x:v>Gültig_ab</x:v>
      </x:c>
      <x:c r="AG4" s="49" t="str">
        <x:v>Gültig_bis</x:v>
      </x:c>
    </x:row>
    <x:row r="5" ht="42" customHeight="1">
      <x:c r="A5" s="14" t="str">
        <x:v>WOK-S-101</x:v>
      </x:c>
      <x:c r="B5" s="14" t="str">
        <x:v>SDG 1 – Keine Armut</x:v>
      </x:c>
      <x:c r="C5" s="14" t="str">
        <x:v>1.2</x:v>
      </x:c>
      <x:c r="D5" s="14" t="str">
        <x:v>Faire Arbeit &amp; Einkommen</x:v>
      </x:c>
      <x:c r="E5" s="14" t="str">
        <x:v>Faire Arbeit &amp; Einkommen – Living Wage</x:v>
      </x:c>
      <x:c r="F5" s="14" t="str">
        <x:v>Abdeckung Lebenslohn</x:v>
      </x:c>
      <x:c r="G5" s="14" t="str">
        <x:v>% Beschäftigte</x:v>
      </x:c>
      <x:c r="H5" s="14" t="str">
        <x:v>higher_is_better</x:v>
      </x:c>
      <x:c r="I5" s="14" t="str">
        <x:v>R27</x:v>
      </x:c>
      <x:c r="J5" s="14" t="str">
        <x:v>≥95:+3; 80–94:+2; 60–79:0; 40–59:‑2; &lt;40:‑3</x:v>
      </x:c>
      <x:c r="K5" s="14" t="str">
        <x:v>Feste WÖk-Kalibrierung</x:v>
      </x:c>
      <x:c r="L5" s="14" t="str">
        <x:v>Arbeitskalibrierung – fachlich zu validieren</x:v>
      </x:c>
      <x:c r="M5" s="14" t="str">
        <x:v>WÖk-interne Klassenlogik</x:v>
      </x:c>
      <x:c r="N5" s="14" t="str">
        <x:v>Optional/Nein</x:v>
      </x:c>
      <x:c r="O5" s="14" t="str">
        <x:v>ESRS S1; GRI 401/403/405/406</x:v>
      </x:c>
      <x:c r="P5" s="14" t="str">
        <x:v>ESRS S1, GRI 401/403/405/406, ILO</x:v>
      </x:c>
      <x:c r="Q5" s="14" t="str">
        <x:v>Mess-, Berichts- oder Managementrahmen; Schwellen sind grundsätzlich WÖk-Kalibrierungen</x:v>
      </x:c>
      <x:c r="R5" s="14" t="str">
        <x:v>Messgrundlage belegt; Schwellenkalibrierung offen</x:v>
      </x:c>
      <x:c r="S5" s="14" t="str">
        <x:v>EU-ESRS; GRI; ISO-45001; ILO-LW; ILO-CORE</x:v>
      </x:c>
      <x:c r="T5" s="14" t="str">
        <x:v>G47 Handel; K Versicherungen; M72 F&amp;E</x:v>
      </x:c>
      <x:c r="U5" s="14" t="str">
        <x:v>Legacy / nicht explizit versioniert</x:v>
      </x:c>
      <x:c r="V5" s="51" t="str"/>
      <x:c r="W5" s="14" t="str">
        <x:v>Migration auf NACE Rev. 2.1 erforderlich</x:v>
      </x:c>
      <x:c r="X5" s="14" t="str">
        <x:v>Eigene Belegschaft/Organisation; FTE, Beschäftigtengruppe und Zeitraum</x:v>
      </x:c>
      <x:c r="Y5" s="14" t="str">
        <x:v>Anteil Beschäftigte ≥ Living Wage (zertifizierte Methodik).</x:v>
      </x:c>
      <x:c r="Z5" s="14" t="str">
        <x:v>Primärdaten bevorzugt; Sekundärdaten nur transparent und versioniert; Methode und Systemgrenze dokumentieren</x:v>
      </x:c>
      <x:c r="AA5" s="14" t="str">
        <x:v>Limited Assurance; risikobasiert höhere Prüftiefe</x:v>
      </x:c>
      <x:c r="AB5" s="14" t="str">
        <x:v>Strukturell nutzbar; Schwellen fachlich zu validieren</x:v>
      </x:c>
      <x:c r="AC5" s="14" t="str">
        <x:v>Mittel</x:v>
      </x:c>
      <x:c r="AD5" s="14" t="str">
        <x:v>Vollständige fünfstufige numerische Regel.</x:v>
      </x:c>
      <x:c r="AE5" s="14" t="str">
        <x:v>v1.4</x:v>
      </x:c>
      <x:c r="AF5" s="52" t="str">
        <x:v>2026-08-16</x:v>
      </x:c>
      <x:c r="AG5" s="52"/>
    </x:row>
    <x:row r="6" ht="42" customHeight="1">
      <x:c r="A6" s="14" t="str">
        <x:v>WOK-S-102</x:v>
      </x:c>
      <x:c r="B6" s="14" t="str">
        <x:v>SDG 1 – Keine Armut</x:v>
      </x:c>
      <x:c r="C6" s="14" t="str">
        <x:v>1.2</x:v>
      </x:c>
      <x:c r="D6" s="14" t="str">
        <x:v>Faire Arbeit &amp; Einkommen</x:v>
      </x:c>
      <x:c r="E6" s="14" t="str">
        <x:v>Faire Arbeit &amp; Einkommen – Tarifbindung</x:v>
      </x:c>
      <x:c r="F6" s="14" t="str">
        <x:v>Beschäftigte unter Kollektivvertrag</x:v>
      </x:c>
      <x:c r="G6" s="14" t="str">
        <x:v>%</x:v>
      </x:c>
      <x:c r="H6" s="14" t="str">
        <x:v>higher_is_better</x:v>
      </x:c>
      <x:c r="I6" s="14" t="str">
        <x:v>R26</x:v>
      </x:c>
      <x:c r="J6" s="14" t="str">
        <x:v>≥90:+3; 70–89:+2; 50–69:0; 30–49:‑2; &lt;30:‑3</x:v>
      </x:c>
      <x:c r="K6" s="14" t="str">
        <x:v>Feste WÖk-Kalibrierung</x:v>
      </x:c>
      <x:c r="L6" s="14" t="str">
        <x:v>Arbeitskalibrierung – fachlich zu validieren</x:v>
      </x:c>
      <x:c r="M6" s="14" t="str">
        <x:v>WÖk-interne Klassenlogik</x:v>
      </x:c>
      <x:c r="N6" s="14" t="str">
        <x:v>Optional/Nein</x:v>
      </x:c>
      <x:c r="O6" s="14" t="str">
        <x:v>ESRS S1; GRI 401/403/405/406</x:v>
      </x:c>
      <x:c r="P6" s="14" t="str">
        <x:v>ESRS S1, GRI 401/403/405/406, ILO</x:v>
      </x:c>
      <x:c r="Q6" s="14" t="str">
        <x:v>Mess-, Berichts- oder Managementrahmen; Schwellen sind grundsätzlich WÖk-Kalibrierungen</x:v>
      </x:c>
      <x:c r="R6" s="14" t="str">
        <x:v>Messgrundlage belegt; Schwellenkalibrierung offen</x:v>
      </x:c>
      <x:c r="S6" s="14" t="str">
        <x:v>EU-ESRS; GRI; ISO-45001; ILO-LW; ILO-CORE</x:v>
      </x:c>
      <x:c r="T6" s="14" t="str">
        <x:v>G47 Handel; K Versicherungen; M72 F&amp;E</x:v>
      </x:c>
      <x:c r="U6" s="14" t="str">
        <x:v>Legacy / nicht explizit versioniert</x:v>
      </x:c>
      <x:c r="V6" s="51" t="str"/>
      <x:c r="W6" s="14" t="str">
        <x:v>Migration auf NACE Rev. 2.1 erforderlich</x:v>
      </x:c>
      <x:c r="X6" s="14" t="str">
        <x:v>Eigene Belegschaft/Organisation; FTE, Beschäftigtengruppe und Zeitraum</x:v>
      </x:c>
      <x:c r="Y6" s="14" t="str">
        <x:v>Quote = Zähler / Nenner gemäß Quelle; in %.</x:v>
      </x:c>
      <x:c r="Z6" s="14" t="str">
        <x:v>Primärdaten bevorzugt; Sekundärdaten nur transparent und versioniert; Methode und Systemgrenze dokumentieren</x:v>
      </x:c>
      <x:c r="AA6" s="14" t="str">
        <x:v>Limited Assurance; risikobasiert höhere Prüftiefe</x:v>
      </x:c>
      <x:c r="AB6" s="14" t="str">
        <x:v>Strukturell nutzbar; Schwellen fachlich zu validieren</x:v>
      </x:c>
      <x:c r="AC6" s="14" t="str">
        <x:v>Mittel</x:v>
      </x:c>
      <x:c r="AD6" s="14" t="str">
        <x:v>Vollständige fünfstufige numerische Regel.</x:v>
      </x:c>
      <x:c r="AE6" s="14" t="str">
        <x:v>v1.4</x:v>
      </x:c>
      <x:c r="AF6" s="52" t="str">
        <x:v>2026-08-16</x:v>
      </x:c>
      <x:c r="AG6" s="52"/>
    </x:row>
    <x:row r="7" ht="42" customHeight="1">
      <x:c r="A7" s="14" t="str">
        <x:v>WOK-S-103</x:v>
      </x:c>
      <x:c r="B7" s="14" t="str">
        <x:v>SDG 1 – Keine Armut</x:v>
      </x:c>
      <x:c r="C7" s="14" t="str">
        <x:v>1.2</x:v>
      </x:c>
      <x:c r="D7" s="14" t="str">
        <x:v>Faire Arbeit &amp; Einkommen</x:v>
      </x:c>
      <x:c r="E7" s="14" t="str">
        <x:v>Faire Arbeit &amp; Einkommen – LTIFR</x:v>
      </x:c>
      <x:c r="F7" s="14" t="str">
        <x:v>Arbeitsunfälle pro Mio Stunden</x:v>
      </x:c>
      <x:c r="G7" s="14" t="str">
        <x:v>Unfälle/Mio Std.</x:v>
      </x:c>
      <x:c r="H7" s="14" t="str">
        <x:v>lower_is_better</x:v>
      </x:c>
      <x:c r="I7" s="14" t="str">
        <x:v>R02</x:v>
      </x:c>
      <x:c r="J7" s="14" t="str">
        <x:v>0:+3; ≤1:+2; ≤3:0; ≤5:‑2; &gt;5:‑3</x:v>
      </x:c>
      <x:c r="K7" s="14" t="str">
        <x:v>Feste WÖk-Kalibrierung</x:v>
      </x:c>
      <x:c r="L7" s="14" t="str">
        <x:v>Arbeitskalibrierung – fachlich zu validieren</x:v>
      </x:c>
      <x:c r="M7" s="14" t="str">
        <x:v>WÖk-interne Klassenlogik</x:v>
      </x:c>
      <x:c r="N7" s="14" t="str">
        <x:v>Optional/Nein</x:v>
      </x:c>
      <x:c r="O7" s="14" t="str">
        <x:v>ESRS S1; GRI 401/403/405/406</x:v>
      </x:c>
      <x:c r="P7" s="14" t="str">
        <x:v>ESRS S1, GRI 401/403/405/406, ILO</x:v>
      </x:c>
      <x:c r="Q7" s="14" t="str">
        <x:v>Mess-, Berichts- oder Managementrahmen; Schwellen sind grundsätzlich WÖk-Kalibrierungen</x:v>
      </x:c>
      <x:c r="R7" s="14" t="str">
        <x:v>Messgrundlage belegt; Schwellenkalibrierung offen</x:v>
      </x:c>
      <x:c r="S7" s="14" t="str">
        <x:v>EU-ESRS; GRI; ISO-45001; ILO-LW; ILO-CORE</x:v>
      </x:c>
      <x:c r="T7" s="14" t="str">
        <x:v>G47 Handel; K Versicherungen; M72 F&amp;E</x:v>
      </x:c>
      <x:c r="U7" s="14" t="str">
        <x:v>Legacy / nicht explizit versioniert</x:v>
      </x:c>
      <x:c r="V7" s="51" t="str"/>
      <x:c r="W7" s="14" t="str">
        <x:v>Migration auf NACE Rev. 2.1 erforderlich</x:v>
      </x:c>
      <x:c r="X7" s="14" t="str">
        <x:v>Eigene Belegschaft/Organisation; FTE, Beschäftigtengruppe und Zeitraum</x:v>
      </x:c>
      <x:c r="Y7" s="14" t="str">
        <x:v>LTIFR = Unfälle mit Ausfallzeit / 1 Mio. Std. (ILO/GRI 403).</x:v>
      </x:c>
      <x:c r="Z7" s="14" t="str">
        <x:v>Primärdaten bevorzugt; Sekundärdaten nur transparent und versioniert; Methode und Systemgrenze dokumentieren</x:v>
      </x:c>
      <x:c r="AA7" s="14" t="str">
        <x:v>Limited Assurance; risikobasiert höhere Prüftiefe</x:v>
      </x:c>
      <x:c r="AB7" s="14" t="str">
        <x:v>Strukturell nutzbar; Schwellen fachlich zu validieren</x:v>
      </x:c>
      <x:c r="AC7" s="14" t="str">
        <x:v>Mittel</x:v>
      </x:c>
      <x:c r="AD7" s="14" t="str">
        <x:v>Vollständige fünfstufige numerische Regel.</x:v>
      </x:c>
      <x:c r="AE7" s="14" t="str">
        <x:v>v1.4</x:v>
      </x:c>
      <x:c r="AF7" s="52" t="str">
        <x:v>2026-08-16</x:v>
      </x:c>
      <x:c r="AG7" s="52"/>
    </x:row>
    <x:row r="8" ht="42" customHeight="1">
      <x:c r="A8" s="14" t="str">
        <x:v>WOK-S-104</x:v>
      </x:c>
      <x:c r="B8" s="14" t="str">
        <x:v>SDG 1 – Keine Armut</x:v>
      </x:c>
      <x:c r="C8" s="14" t="str">
        <x:v>1.3</x:v>
      </x:c>
      <x:c r="D8" s="14" t="str">
        <x:v>Sozialschutz &amp; Benefits</x:v>
      </x:c>
      <x:c r="E8" s="14" t="str">
        <x:v>Sozialschutz &amp; Benefits – Living Wage</x:v>
      </x:c>
      <x:c r="F8" s="14" t="str">
        <x:v>Abdeckung Lebenslohn</x:v>
      </x:c>
      <x:c r="G8" s="14" t="str">
        <x:v>% Beschäftigte</x:v>
      </x:c>
      <x:c r="H8" s="14" t="str">
        <x:v>higher_is_better</x:v>
      </x:c>
      <x:c r="I8" s="14" t="str">
        <x:v>R27</x:v>
      </x:c>
      <x:c r="J8" s="14" t="str">
        <x:v>≥95:+3; 80–94:+2; 60–79:0; 40–59:‑2; &lt;40:‑3</x:v>
      </x:c>
      <x:c r="K8" s="14" t="str">
        <x:v>Feste WÖk-Kalibrierung</x:v>
      </x:c>
      <x:c r="L8" s="14" t="str">
        <x:v>Arbeitskalibrierung – fachlich zu validieren</x:v>
      </x:c>
      <x:c r="M8" s="14" t="str">
        <x:v>WÖk-interne Klassenlogik</x:v>
      </x:c>
      <x:c r="N8" s="14" t="str">
        <x:v>Optional/Nein</x:v>
      </x:c>
      <x:c r="O8" s="14" t="str">
        <x:v>ESRS S1; GRI 401/403/405/406</x:v>
      </x:c>
      <x:c r="P8" s="14" t="str">
        <x:v>ESRS S1, GRI 401/403/405/406, ILO</x:v>
      </x:c>
      <x:c r="Q8" s="14" t="str">
        <x:v>Mess-, Berichts- oder Managementrahmen; Schwellen sind grundsätzlich WÖk-Kalibrierungen</x:v>
      </x:c>
      <x:c r="R8" s="14" t="str">
        <x:v>Messgrundlage belegt; Schwellenkalibrierung offen</x:v>
      </x:c>
      <x:c r="S8" s="14" t="str">
        <x:v>EU-ESRS; GRI; ISO-45001; ILO-LW; ILO-CORE</x:v>
      </x:c>
      <x:c r="T8" s="14" t="str">
        <x:v>G47 Handel; K Versicherungen; M72 F&amp;E</x:v>
      </x:c>
      <x:c r="U8" s="14" t="str">
        <x:v>Legacy / nicht explizit versioniert</x:v>
      </x:c>
      <x:c r="V8" s="51" t="str"/>
      <x:c r="W8" s="14" t="str">
        <x:v>Migration auf NACE Rev. 2.1 erforderlich</x:v>
      </x:c>
      <x:c r="X8" s="14" t="str">
        <x:v>Eigene Belegschaft/Organisation; FTE, Beschäftigtengruppe und Zeitraum</x:v>
      </x:c>
      <x:c r="Y8" s="14" t="str">
        <x:v>Anteil Beschäftigte ≥ Living Wage (zertifizierte Methodik).</x:v>
      </x:c>
      <x:c r="Z8" s="14" t="str">
        <x:v>Primärdaten bevorzugt; Sekundärdaten nur transparent und versioniert; Methode und Systemgrenze dokumentieren</x:v>
      </x:c>
      <x:c r="AA8" s="14" t="str">
        <x:v>Limited Assurance; risikobasiert höhere Prüftiefe</x:v>
      </x:c>
      <x:c r="AB8" s="14" t="str">
        <x:v>Strukturell nutzbar; Schwellen fachlich zu validieren</x:v>
      </x:c>
      <x:c r="AC8" s="14" t="str">
        <x:v>Mittel</x:v>
      </x:c>
      <x:c r="AD8" s="14" t="str">
        <x:v>Vollständige fünfstufige numerische Regel.</x:v>
      </x:c>
      <x:c r="AE8" s="14" t="str">
        <x:v>v1.4</x:v>
      </x:c>
      <x:c r="AF8" s="52" t="str">
        <x:v>2026-08-16</x:v>
      </x:c>
      <x:c r="AG8" s="52"/>
    </x:row>
    <x:row r="9" ht="42" customHeight="1">
      <x:c r="A9" s="14" t="str">
        <x:v>WOK-S-105</x:v>
      </x:c>
      <x:c r="B9" s="14" t="str">
        <x:v>SDG 1 – Keine Armut</x:v>
      </x:c>
      <x:c r="C9" s="14" t="str">
        <x:v>1.3</x:v>
      </x:c>
      <x:c r="D9" s="14" t="str">
        <x:v>Sozialschutz &amp; Benefits</x:v>
      </x:c>
      <x:c r="E9" s="14" t="str">
        <x:v>Sozialschutz &amp; Benefits – Tarifbindung</x:v>
      </x:c>
      <x:c r="F9" s="14" t="str">
        <x:v>Beschäftigte unter Kollektivvertrag</x:v>
      </x:c>
      <x:c r="G9" s="14" t="str">
        <x:v>%</x:v>
      </x:c>
      <x:c r="H9" s="14" t="str">
        <x:v>higher_is_better</x:v>
      </x:c>
      <x:c r="I9" s="14" t="str">
        <x:v>R26</x:v>
      </x:c>
      <x:c r="J9" s="14" t="str">
        <x:v>≥90:+3; 70–89:+2; 50–69:0; 30–49:‑2; &lt;30:‑3</x:v>
      </x:c>
      <x:c r="K9" s="14" t="str">
        <x:v>Feste WÖk-Kalibrierung</x:v>
      </x:c>
      <x:c r="L9" s="14" t="str">
        <x:v>Arbeitskalibrierung – fachlich zu validieren</x:v>
      </x:c>
      <x:c r="M9" s="14" t="str">
        <x:v>WÖk-interne Klassenlogik</x:v>
      </x:c>
      <x:c r="N9" s="14" t="str">
        <x:v>Optional/Nein</x:v>
      </x:c>
      <x:c r="O9" s="14" t="str">
        <x:v>ESRS S1; GRI 401/403/405/406</x:v>
      </x:c>
      <x:c r="P9" s="14" t="str">
        <x:v>ESRS S1, GRI 401/403/405/406, ILO</x:v>
      </x:c>
      <x:c r="Q9" s="14" t="str">
        <x:v>Mess-, Berichts- oder Managementrahmen; Schwellen sind grundsätzlich WÖk-Kalibrierungen</x:v>
      </x:c>
      <x:c r="R9" s="14" t="str">
        <x:v>Messgrundlage belegt; Schwellenkalibrierung offen</x:v>
      </x:c>
      <x:c r="S9" s="14" t="str">
        <x:v>EU-ESRS; GRI; ISO-45001; ILO-LW; ILO-CORE</x:v>
      </x:c>
      <x:c r="T9" s="14" t="str">
        <x:v>G47 Handel; K Versicherungen; M72 F&amp;E</x:v>
      </x:c>
      <x:c r="U9" s="14" t="str">
        <x:v>Legacy / nicht explizit versioniert</x:v>
      </x:c>
      <x:c r="V9" s="51" t="str"/>
      <x:c r="W9" s="14" t="str">
        <x:v>Migration auf NACE Rev. 2.1 erforderlich</x:v>
      </x:c>
      <x:c r="X9" s="14" t="str">
        <x:v>Eigene Belegschaft/Organisation; FTE, Beschäftigtengruppe und Zeitraum</x:v>
      </x:c>
      <x:c r="Y9" s="14" t="str">
        <x:v>Quote = Zähler / Nenner gemäß Quelle; in %.</x:v>
      </x:c>
      <x:c r="Z9" s="14" t="str">
        <x:v>Primärdaten bevorzugt; Sekundärdaten nur transparent und versioniert; Methode und Systemgrenze dokumentieren</x:v>
      </x:c>
      <x:c r="AA9" s="14" t="str">
        <x:v>Limited Assurance; risikobasiert höhere Prüftiefe</x:v>
      </x:c>
      <x:c r="AB9" s="14" t="str">
        <x:v>Strukturell nutzbar; Schwellen fachlich zu validieren</x:v>
      </x:c>
      <x:c r="AC9" s="14" t="str">
        <x:v>Mittel</x:v>
      </x:c>
      <x:c r="AD9" s="14" t="str">
        <x:v>Vollständige fünfstufige numerische Regel.</x:v>
      </x:c>
      <x:c r="AE9" s="14" t="str">
        <x:v>v1.4</x:v>
      </x:c>
      <x:c r="AF9" s="52" t="str">
        <x:v>2026-08-16</x:v>
      </x:c>
      <x:c r="AG9" s="52"/>
    </x:row>
    <x:row r="10" ht="42" customHeight="1">
      <x:c r="A10" s="14" t="str">
        <x:v>WOK-S-106</x:v>
      </x:c>
      <x:c r="B10" s="14" t="str">
        <x:v>SDG 1 – Keine Armut</x:v>
      </x:c>
      <x:c r="C10" s="14" t="str">
        <x:v>1.3</x:v>
      </x:c>
      <x:c r="D10" s="14" t="str">
        <x:v>Sozialschutz &amp; Benefits</x:v>
      </x:c>
      <x:c r="E10" s="14" t="str">
        <x:v>Sozialschutz &amp; Benefits – LTIFR</x:v>
      </x:c>
      <x:c r="F10" s="14" t="str">
        <x:v>Arbeitsunfälle pro Mio Stunden</x:v>
      </x:c>
      <x:c r="G10" s="14" t="str">
        <x:v>Unfälle/Mio Std.</x:v>
      </x:c>
      <x:c r="H10" s="14" t="str">
        <x:v>lower_is_better</x:v>
      </x:c>
      <x:c r="I10" s="14" t="str">
        <x:v>R02</x:v>
      </x:c>
      <x:c r="J10" s="14" t="str">
        <x:v>0:+3; ≤1:+2; ≤3:0; ≤5:‑2; &gt;5:‑3</x:v>
      </x:c>
      <x:c r="K10" s="14" t="str">
        <x:v>Feste WÖk-Kalibrierung</x:v>
      </x:c>
      <x:c r="L10" s="14" t="str">
        <x:v>Arbeitskalibrierung – fachlich zu validieren</x:v>
      </x:c>
      <x:c r="M10" s="14" t="str">
        <x:v>WÖk-interne Klassenlogik</x:v>
      </x:c>
      <x:c r="N10" s="14" t="str">
        <x:v>Optional/Nein</x:v>
      </x:c>
      <x:c r="O10" s="14" t="str">
        <x:v>ESRS S1; GRI 401/403/405/406</x:v>
      </x:c>
      <x:c r="P10" s="14" t="str">
        <x:v>ESRS S1, GRI 401/403/405/406, ILO</x:v>
      </x:c>
      <x:c r="Q10" s="14" t="str">
        <x:v>Mess-, Berichts- oder Managementrahmen; Schwellen sind grundsätzlich WÖk-Kalibrierungen</x:v>
      </x:c>
      <x:c r="R10" s="14" t="str">
        <x:v>Messgrundlage belegt; Schwellenkalibrierung offen</x:v>
      </x:c>
      <x:c r="S10" s="14" t="str">
        <x:v>EU-ESRS; GRI; ISO-45001; ILO-LW; ILO-CORE</x:v>
      </x:c>
      <x:c r="T10" s="14" t="str">
        <x:v>G47 Handel; K Versicherungen; M72 F&amp;E</x:v>
      </x:c>
      <x:c r="U10" s="14" t="str">
        <x:v>Legacy / nicht explizit versioniert</x:v>
      </x:c>
      <x:c r="V10" s="51" t="str"/>
      <x:c r="W10" s="14" t="str">
        <x:v>Migration auf NACE Rev. 2.1 erforderlich</x:v>
      </x:c>
      <x:c r="X10" s="14" t="str">
        <x:v>Eigene Belegschaft/Organisation; FTE, Beschäftigtengruppe und Zeitraum</x:v>
      </x:c>
      <x:c r="Y10" s="14" t="str">
        <x:v>LTIFR = Unfälle mit Ausfallzeit / 1 Mio. Std. (ILO/GRI 403).</x:v>
      </x:c>
      <x:c r="Z10" s="14" t="str">
        <x:v>Primärdaten bevorzugt; Sekundärdaten nur transparent und versioniert; Methode und Systemgrenze dokumentieren</x:v>
      </x:c>
      <x:c r="AA10" s="14" t="str">
        <x:v>Limited Assurance; risikobasiert höhere Prüftiefe</x:v>
      </x:c>
      <x:c r="AB10" s="14" t="str">
        <x:v>Strukturell nutzbar; Schwellen fachlich zu validieren</x:v>
      </x:c>
      <x:c r="AC10" s="14" t="str">
        <x:v>Mittel</x:v>
      </x:c>
      <x:c r="AD10" s="14" t="str">
        <x:v>Vollständige fünfstufige numerische Regel.</x:v>
      </x:c>
      <x:c r="AE10" s="14" t="str">
        <x:v>v1.4</x:v>
      </x:c>
      <x:c r="AF10" s="52" t="str">
        <x:v>2026-08-16</x:v>
      </x:c>
      <x:c r="AG10" s="52"/>
    </x:row>
    <x:row r="11" ht="42" customHeight="1">
      <x:c r="A11" s="14" t="str">
        <x:v>WOK-SC-101</x:v>
      </x:c>
      <x:c r="B11" s="14" t="str">
        <x:v>SDG 1 – Keine Armut</x:v>
      </x:c>
      <x:c r="C11" s="14" t="str">
        <x:v>1.2</x:v>
      </x:c>
      <x:c r="D11" s="14" t="str">
        <x:v>Living‑Wage in Lieferkette</x:v>
      </x:c>
      <x:c r="E11" s="14" t="str">
        <x:v>Living‑Wage in Lieferkette – ESG‑Spend‑Coverage</x:v>
      </x:c>
      <x:c r="F11" s="14" t="str">
        <x:v>Anteil verifizierter ESG‑Daten am Spend</x:v>
      </x:c>
      <x:c r="G11" s="14" t="str">
        <x:v>%</x:v>
      </x:c>
      <x:c r="H11" s="14" t="str">
        <x:v>higher_is_better</x:v>
      </x:c>
      <x:c r="I11" s="14" t="str">
        <x:v>R26</x:v>
      </x:c>
      <x:c r="J11" s="14" t="str">
        <x:v>≥90:+3; 70–89:+2; 50–69:0; 30–49:‑2; &lt;30:‑3</x:v>
      </x:c>
      <x:c r="K11" s="14" t="str">
        <x:v>Feste WÖk-Kalibrierung</x:v>
      </x:c>
      <x:c r="L11" s="14" t="str">
        <x:v>Arbeitskalibrierung – fachlich zu validieren</x:v>
      </x:c>
      <x:c r="M11" s="14" t="str">
        <x:v>WÖk-interne Klassenlogik</x:v>
      </x:c>
      <x:c r="N11" s="14" t="str">
        <x:v>Optional/Nein</x:v>
      </x:c>
      <x:c r="O11" s="14" t="str">
        <x:v>ESRS S2; GRI 308/414/408/409</x:v>
      </x:c>
      <x:c r="P11" s="14" t="str">
        <x:v>ESRS S2, GRI 308/414, OECD Due Diligence</x:v>
      </x:c>
      <x:c r="Q11" s="14" t="str">
        <x:v>Mess-, Berichts- oder Managementrahmen; Schwellen sind grundsätzlich WÖk-Kalibrierungen</x:v>
      </x:c>
      <x:c r="R11" s="14" t="str">
        <x:v>Messgrundlage belegt; Schwellenkalibrierung offen</x:v>
      </x:c>
      <x:c r="S11" s="14" t="str">
        <x:v>EU-ESRS; GRI; OECD-DD; ILO-CORE</x:v>
      </x:c>
      <x:c r="T11" s="14" t="str">
        <x:v>C20 Chemie; C24 Stahl; C29 Fahrzeuge</x:v>
      </x:c>
      <x:c r="U11" s="14" t="str">
        <x:v>Legacy / nicht explizit versioniert</x:v>
      </x:c>
      <x:c r="V11" s="51" t="str"/>
      <x:c r="W11" s="14" t="str">
        <x:v>Migration auf NACE Rev. 2.1 erforderlich</x:v>
      </x:c>
      <x:c r="X11" s="14" t="str">
        <x:v>Vorgelagerte Lieferkette; relevante Tier-Stufen und Beschaffungsvolumen</x:v>
      </x:c>
      <x:c r="Y11" s="14" t="str">
        <x:v>Quote = Zähler / Nenner gemäß Quelle; in %.</x:v>
      </x:c>
      <x:c r="Z11" s="14" t="str">
        <x:v>Primärdaten bevorzugt; Sekundärdaten nur transparent und versioniert; Methode und Systemgrenze dokumentieren</x:v>
      </x:c>
      <x:c r="AA11" s="14" t="str">
        <x:v>Limited Assurance; risikobasiert höhere Prüftiefe</x:v>
      </x:c>
      <x:c r="AB11" s="14" t="str">
        <x:v>Strukturell nutzbar; Schwellen fachlich zu validieren</x:v>
      </x:c>
      <x:c r="AC11" s="14" t="str">
        <x:v>Mittel</x:v>
      </x:c>
      <x:c r="AD11" s="14" t="str">
        <x:v>Vollständige fünfstufige numerische Regel.</x:v>
      </x:c>
      <x:c r="AE11" s="14" t="str">
        <x:v>v1.4</x:v>
      </x:c>
      <x:c r="AF11" s="52" t="str">
        <x:v>2026-08-16</x:v>
      </x:c>
      <x:c r="AG11" s="52"/>
    </x:row>
    <x:row r="12" ht="42" customHeight="1">
      <x:c r="A12" s="14" t="str">
        <x:v>WOK-SC-102</x:v>
      </x:c>
      <x:c r="B12" s="14" t="str">
        <x:v>SDG 1 – Keine Armut</x:v>
      </x:c>
      <x:c r="C12" s="14" t="str">
        <x:v>1.2</x:v>
      </x:c>
      <x:c r="D12" s="14" t="str">
        <x:v>Living‑Wage in Lieferkette</x:v>
      </x:c>
      <x:c r="E12" s="14" t="str">
        <x:v>Living‑Wage in Lieferkette – Kinder/Zwangsarbeit</x:v>
      </x:c>
      <x:c r="F12" s="14" t="str">
        <x:v>Audits ohne Verstöße</x:v>
      </x:c>
      <x:c r="G12" s="14" t="str">
        <x:v>% Lieferanten</x:v>
      </x:c>
      <x:c r="H12" s="14" t="str">
        <x:v>higher_is_better</x:v>
      </x:c>
      <x:c r="I12" s="14" t="str">
        <x:v>R28</x:v>
      </x:c>
      <x:c r="J12" s="14" t="str">
        <x:v>≥98:+3; 90–97:+2; 75–89:0; 50–74:‑2; &lt;50:‑3</x:v>
      </x:c>
      <x:c r="K12" s="14" t="str">
        <x:v>Feste WÖk-Kalibrierung</x:v>
      </x:c>
      <x:c r="L12" s="14" t="str">
        <x:v>Arbeitskalibrierung – fachlich zu validieren</x:v>
      </x:c>
      <x:c r="M12" s="14" t="str">
        <x:v>WÖk-interne Klassenlogik</x:v>
      </x:c>
      <x:c r="N12" s="14" t="str">
        <x:v>Optional/Nein</x:v>
      </x:c>
      <x:c r="O12" s="14" t="str">
        <x:v>ESRS S2; GRI 308/414/408/409</x:v>
      </x:c>
      <x:c r="P12" s="14" t="str">
        <x:v>ESRS S2, GRI 308/414, OECD Due Diligence</x:v>
      </x:c>
      <x:c r="Q12" s="14" t="str">
        <x:v>Mess-, Berichts- oder Managementrahmen; Schwellen sind grundsätzlich WÖk-Kalibrierungen</x:v>
      </x:c>
      <x:c r="R12" s="14" t="str">
        <x:v>Messgrundlage belegt; Schwellenkalibrierung offen</x:v>
      </x:c>
      <x:c r="S12" s="14" t="str">
        <x:v>EU-ESRS; GRI; OECD-DD; ILO-CORE</x:v>
      </x:c>
      <x:c r="T12" s="14" t="str">
        <x:v>C20 Chemie; C24 Stahl; C29 Fahrzeuge</x:v>
      </x:c>
      <x:c r="U12" s="14" t="str">
        <x:v>Legacy / nicht explizit versioniert</x:v>
      </x:c>
      <x:c r="V12" s="51" t="str"/>
      <x:c r="W12" s="14" t="str">
        <x:v>Migration auf NACE Rev. 2.1 erforderlich</x:v>
      </x:c>
      <x:c r="X12" s="14" t="str">
        <x:v>Vorgelagerte Lieferkette; relevante Tier-Stufen und Beschaffungsvolumen</x:v>
      </x:c>
      <x:c r="Y12" s="14" t="str">
        <x:v>Quote = Zähler / Nenner gemäß Quelle; in %.</x:v>
      </x:c>
      <x:c r="Z12" s="14" t="str">
        <x:v>Primärdaten bevorzugt; Sekundärdaten nur transparent und versioniert; Methode und Systemgrenze dokumentieren</x:v>
      </x:c>
      <x:c r="AA12" s="14" t="str">
        <x:v>Limited Assurance; risikobasiert höhere Prüftiefe</x:v>
      </x:c>
      <x:c r="AB12" s="14" t="str">
        <x:v>Strukturell nutzbar; Schwellen fachlich zu validieren</x:v>
      </x:c>
      <x:c r="AC12" s="14" t="str">
        <x:v>Mittel</x:v>
      </x:c>
      <x:c r="AD12" s="14" t="str">
        <x:v>Vollständige fünfstufige numerische Regel.</x:v>
      </x:c>
      <x:c r="AE12" s="14" t="str">
        <x:v>v1.4</x:v>
      </x:c>
      <x:c r="AF12" s="52" t="str">
        <x:v>2026-08-16</x:v>
      </x:c>
      <x:c r="AG12" s="52"/>
    </x:row>
    <x:row r="13" ht="42" customHeight="1">
      <x:c r="A13" s="14" t="str">
        <x:v>WOK-SC-103</x:v>
      </x:c>
      <x:c r="B13" s="14" t="str">
        <x:v>SDG 1 – Keine Armut</x:v>
      </x:c>
      <x:c r="C13" s="14" t="str">
        <x:v>1.2</x:v>
      </x:c>
      <x:c r="D13" s="14" t="str">
        <x:v>Living‑Wage in Lieferkette</x:v>
      </x:c>
      <x:c r="E13" s="14" t="str">
        <x:v>Living‑Wage in Lieferkette – Scope‑3 Daten</x:v>
      </x:c>
      <x:c r="F13" s="14" t="str">
        <x:v>Primärdaten‑Abdeckung</x:v>
      </x:c>
      <x:c r="G13" s="14" t="str">
        <x:v>% Kategorien</x:v>
      </x:c>
      <x:c r="H13" s="14" t="str">
        <x:v>higher_is_better</x:v>
      </x:c>
      <x:c r="I13" s="14" t="str">
        <x:v>R23</x:v>
      </x:c>
      <x:c r="J13" s="14" t="str">
        <x:v>≥80:+3; 60–79:+2; 40–59:0; 20–39:‑2; &lt;20:‑3</x:v>
      </x:c>
      <x:c r="K13" s="14" t="str">
        <x:v>Feste WÖk-Kalibrierung</x:v>
      </x:c>
      <x:c r="L13" s="14" t="str">
        <x:v>Arbeitskalibrierung – fachlich zu validieren</x:v>
      </x:c>
      <x:c r="M13" s="14" t="str">
        <x:v>WÖk-interne Klassenlogik</x:v>
      </x:c>
      <x:c r="N13" s="14" t="str">
        <x:v>Optional/Nein</x:v>
      </x:c>
      <x:c r="O13" s="14" t="str">
        <x:v>ESRS E1; GHG Protocol</x:v>
      </x:c>
      <x:c r="P13" s="14" t="str">
        <x:v>ESRS E1, GHG Protocol (Corporate/Scope 1–3), ISO 14064/14067</x:v>
      </x:c>
      <x:c r="Q13" s="14" t="str">
        <x:v>Mess-, Berichts- oder Managementrahmen; Schwellen sind grundsätzlich WÖk-Kalibrierungen</x:v>
      </x:c>
      <x:c r="R13" s="14" t="str">
        <x:v>Messgrundlage belegt; Schwellenkalibrierung offen</x:v>
      </x:c>
      <x:c r="S13" s="14" t="str">
        <x:v>EU-ESRS; GHG-CORP; GHG-S3; GHG-PROD</x:v>
      </x:c>
      <x:c r="T13" s="14" t="str">
        <x:v>C20 Chemie; C24 Stahl; C29 Fahrzeuge</x:v>
      </x:c>
      <x:c r="U13" s="14" t="str">
        <x:v>Legacy / nicht explizit versioniert</x:v>
      </x:c>
      <x:c r="V13" s="51" t="str"/>
      <x:c r="W13" s="14" t="str">
        <x:v>Migration auf NACE Rev. 2.1 erforderlich</x:v>
      </x:c>
      <x:c r="X13" s="14" t="str">
        <x:v>Vorgelagerte Lieferkette; relevante Tier-Stufen und Beschaffungsvolumen</x:v>
      </x:c>
      <x:c r="Y13" s="14" t="str">
        <x:v>Quote = Zähler / Nenner gemäß Quelle; in %.</x:v>
      </x:c>
      <x:c r="Z13" s="14" t="str">
        <x:v>Primärdaten bevorzugt; Sekundärdaten nur transparent und versioniert; Methode und Systemgrenze dokumentieren</x:v>
      </x:c>
      <x:c r="AA13" s="14" t="str">
        <x:v>Limited Assurance; risikobasiert höhere Prüftiefe</x:v>
      </x:c>
      <x:c r="AB13" s="14" t="str">
        <x:v>Strukturell nutzbar; Schwellen fachlich zu validieren</x:v>
      </x:c>
      <x:c r="AC13" s="14" t="str">
        <x:v>Mittel</x:v>
      </x:c>
      <x:c r="AD13" s="14" t="str">
        <x:v>Vollständige fünfstufige numerische Regel.</x:v>
      </x:c>
      <x:c r="AE13" s="14" t="str">
        <x:v>v1.4</x:v>
      </x:c>
      <x:c r="AF13" s="52" t="str">
        <x:v>2026-08-16</x:v>
      </x:c>
      <x:c r="AG13" s="52"/>
    </x:row>
    <x:row r="14" ht="42" customHeight="1">
      <x:c r="A14" s="14" t="str">
        <x:v>WOK-G-101</x:v>
      </x:c>
      <x:c r="B14" s="14" t="str">
        <x:v>SDG 1 – Keine Armut</x:v>
      </x:c>
      <x:c r="C14" s="14" t="str">
        <x:v>1.b</x:v>
      </x:c>
      <x:c r="D14" s="14" t="str">
        <x:v>Pay Ratio &amp; Fairness</x:v>
      </x:c>
      <x:c r="E14" s="14" t="str">
        <x:v>Pay Ratio &amp; Fairness – Antikorruption</x:v>
      </x:c>
      <x:c r="F14" s="14" t="str">
        <x:v>Bestätigte Fälle/1.000 FTE</x:v>
      </x:c>
      <x:c r="G14" s="14" t="str">
        <x:v>Fälle/1.000 FTE</x:v>
      </x:c>
      <x:c r="H14" s="14" t="str">
        <x:v>lower_is_better</x:v>
      </x:c>
      <x:c r="I14" s="14" t="str">
        <x:v>R01</x:v>
      </x:c>
      <x:c r="J14" s="14" t="str">
        <x:v>0:+3; ≤0,2:+2; ≤0,5:0; ≤1:‑2; &gt;1:‑3</x:v>
      </x:c>
      <x:c r="K14" s="14" t="str">
        <x:v>Feste WÖk-Kalibrierung</x:v>
      </x:c>
      <x:c r="L14" s="14" t="str">
        <x:v>Arbeitskalibrierung – fachlich zu validieren</x:v>
      </x:c>
      <x:c r="M14" s="14" t="str">
        <x:v>WÖk-interne Klassenlogik</x:v>
      </x:c>
      <x:c r="N14" s="14" t="str">
        <x:v>Optional/Nein</x:v>
      </x:c>
      <x:c r="O14" s="14" t="str">
        <x:v>ESRS G1; GRI 205/207</x:v>
      </x:c>
      <x:c r="P14" s="14" t="str">
        <x:v>ESRS G1, GRI 205/207, OECD Anti‑Bribery</x:v>
      </x:c>
      <x:c r="Q14" s="14" t="str">
        <x:v>Mess-, Berichts- oder Managementrahmen; Schwellen sind grundsätzlich WÖk-Kalibrierungen</x:v>
      </x:c>
      <x:c r="R14" s="14" t="str">
        <x:v>Messgrundlage belegt; Schwellenkalibrierung offen</x:v>
      </x:c>
      <x:c r="S14" s="14" t="str">
        <x:v>EU-ESRS; GRI; OECD-AB</x:v>
      </x:c>
      <x:c r="T14" s="14" t="str">
        <x:v>G47 Handel; K Versicherungen; M72 F&amp;E</x:v>
      </x:c>
      <x:c r="U14" s="14" t="str">
        <x:v>Legacy / nicht explizit versioniert</x:v>
      </x:c>
      <x:c r="V14" s="51" t="str"/>
      <x:c r="W14" s="14" t="str">
        <x:v>Migration auf NACE Rev. 2.1 erforderlich</x:v>
      </x:c>
      <x:c r="X14" s="14" t="str">
        <x:v>Organisation/Governance; konsolidierter Kreis und relevante Rechtseinheiten</x:v>
      </x:c>
      <x:c r="Y14" s="14" t="str">
        <x:v>Siehe Quelle: Definition gemäß Standard (ESRS/GRI/Taxonomie/ISO).</x:v>
      </x:c>
      <x:c r="Z14" s="14" t="str">
        <x:v>Primärdaten bevorzugt; Sekundärdaten nur transparent und versioniert; Methode und Systemgrenze dokumentieren</x:v>
      </x:c>
      <x:c r="AA14" s="14" t="str">
        <x:v>Limited Assurance; risikobasiert höhere Prüftiefe</x:v>
      </x:c>
      <x:c r="AB14" s="14" t="str">
        <x:v>Strukturell nutzbar; Schwellen fachlich zu validieren</x:v>
      </x:c>
      <x:c r="AC14" s="14" t="str">
        <x:v>Mittel</x:v>
      </x:c>
      <x:c r="AD14" s="14" t="str">
        <x:v>Vollständige fünfstufige numerische Regel.</x:v>
      </x:c>
      <x:c r="AE14" s="14" t="str">
        <x:v>v1.4</x:v>
      </x:c>
      <x:c r="AF14" s="52" t="str">
        <x:v>2026-08-16</x:v>
      </x:c>
      <x:c r="AG14" s="52"/>
    </x:row>
    <x:row r="15" ht="42" customHeight="1">
      <x:c r="A15" s="14" t="str">
        <x:v>WOK-G-102</x:v>
      </x:c>
      <x:c r="B15" s="14" t="str">
        <x:v>SDG 1 – Keine Armut</x:v>
      </x:c>
      <x:c r="C15" s="14" t="str">
        <x:v>1.b</x:v>
      </x:c>
      <x:c r="D15" s="14" t="str">
        <x:v>Pay Ratio &amp; Fairness</x:v>
      </x:c>
      <x:c r="E15" s="14" t="str">
        <x:v>Pay Ratio &amp; Fairness – Whistleblowing</x:v>
      </x:c>
      <x:c r="F15" s="14" t="str">
        <x:v>Wirksamkeits‑Score</x:v>
      </x:c>
      <x:c r="G15" s="14" t="str">
        <x:v>0–1</x:v>
      </x:c>
      <x:c r="H15" s="14" t="str">
        <x:v>higher_is_better</x:v>
      </x:c>
      <x:c r="I15" s="14" t="str">
        <x:v>R16</x:v>
      </x:c>
      <x:c r="J15" s="14" t="str">
        <x:v>≥0,9:+3; 0,75–0,89:+2; 0,6–0,74:0; 0,4–0,59:‑2; &lt;0,4:‑3</x:v>
      </x:c>
      <x:c r="K15" s="14" t="str">
        <x:v>Feste WÖk-Kalibrierung</x:v>
      </x:c>
      <x:c r="L15" s="14" t="str">
        <x:v>Arbeitskalibrierung – fachlich zu validieren</x:v>
      </x:c>
      <x:c r="M15" s="14" t="str">
        <x:v>WÖk-interne Klassenlogik</x:v>
      </x:c>
      <x:c r="N15" s="14" t="str">
        <x:v>Optional/Nein</x:v>
      </x:c>
      <x:c r="O15" s="14" t="str">
        <x:v>ESRS G1; GRI 205/207</x:v>
      </x:c>
      <x:c r="P15" s="14" t="str">
        <x:v>ESRS G1, GRI 205/207, OECD Anti‑Bribery</x:v>
      </x:c>
      <x:c r="Q15" s="14" t="str">
        <x:v>Mess-, Berichts- oder Managementrahmen; Schwellen sind grundsätzlich WÖk-Kalibrierungen</x:v>
      </x:c>
      <x:c r="R15" s="14" t="str">
        <x:v>Messgrundlage belegt; Schwellenkalibrierung offen</x:v>
      </x:c>
      <x:c r="S15" s="14" t="str">
        <x:v>EU-ESRS; GRI; OECD-AB</x:v>
      </x:c>
      <x:c r="T15" s="14" t="str">
        <x:v>G47 Handel; K Versicherungen; M72 F&amp;E</x:v>
      </x:c>
      <x:c r="U15" s="14" t="str">
        <x:v>Legacy / nicht explizit versioniert</x:v>
      </x:c>
      <x:c r="V15" s="51" t="str"/>
      <x:c r="W15" s="14" t="str">
        <x:v>Migration auf NACE Rev. 2.1 erforderlich</x:v>
      </x:c>
      <x:c r="X15" s="14" t="str">
        <x:v>Organisation/Governance; konsolidierter Kreis und relevante Rechtseinheiten</x:v>
      </x:c>
      <x:c r="Y15" s="14" t="str">
        <x:v>Siehe Quelle: Definition gemäß Standard (ESRS/GRI/Taxonomie/ISO).</x:v>
      </x:c>
      <x:c r="Z15" s="14" t="str">
        <x:v>Primärdaten bevorzugt; Sekundärdaten nur transparent und versioniert; Methode und Systemgrenze dokumentieren</x:v>
      </x:c>
      <x:c r="AA15" s="14" t="str">
        <x:v>Limited Assurance; risikobasiert höhere Prüftiefe</x:v>
      </x:c>
      <x:c r="AB15" s="14" t="str">
        <x:v>Strukturell nutzbar; Schwellen fachlich zu validieren</x:v>
      </x:c>
      <x:c r="AC15" s="14" t="str">
        <x:v>Mittel</x:v>
      </x:c>
      <x:c r="AD15" s="14" t="str">
        <x:v>Vollständige fünfstufige numerische Regel.</x:v>
      </x:c>
      <x:c r="AE15" s="14" t="str">
        <x:v>v1.4</x:v>
      </x:c>
      <x:c r="AF15" s="52" t="str">
        <x:v>2026-08-16</x:v>
      </x:c>
      <x:c r="AG15" s="52"/>
    </x:row>
    <x:row r="16" ht="42" customHeight="1">
      <x:c r="A16" s="14" t="str">
        <x:v>WOK-G-103</x:v>
      </x:c>
      <x:c r="B16" s="14" t="str">
        <x:v>SDG 1 – Keine Armut</x:v>
      </x:c>
      <x:c r="C16" s="14" t="str">
        <x:v>1.b</x:v>
      </x:c>
      <x:c r="D16" s="14" t="str">
        <x:v>Pay Ratio &amp; Fairness</x:v>
      </x:c>
      <x:c r="E16" s="14" t="str">
        <x:v>Pay Ratio &amp; Fairness – Steuertransparenz</x:v>
      </x:c>
      <x:c r="F16" s="14" t="str">
        <x:v>CbCR‑Offenlegung</x:v>
      </x:c>
      <x:c r="G16" s="14" t="str">
        <x:v>0–1</x:v>
      </x:c>
      <x:c r="H16" s="14" t="str">
        <x:v>higher_is_better</x:v>
      </x:c>
      <x:c r="I16" s="14" t="str">
        <x:v>R08</x:v>
      </x:c>
      <x:c r="J16" s="14" t="str">
        <x:v>vollständig:+3; teilweise:+2; minimal:0; schlecht:‑2</x:v>
      </x:c>
      <x:c r="K16" s="14" t="str">
        <x:v>Qualitativ</x:v>
      </x:c>
      <x:c r="L16" s="14" t="str">
        <x:v>Assurance und Kriterienkatalog erforderlich</x:v>
      </x:c>
      <x:c r="M16" s="14" t="str">
        <x:v>WÖk-interne Kategorien</x:v>
      </x:c>
      <x:c r="N16" s="14" t="str">
        <x:v>Optional/Nein</x:v>
      </x:c>
      <x:c r="O16" s="14" t="str">
        <x:v>ESRS G1; GRI 205/207</x:v>
      </x:c>
      <x:c r="P16" s="14" t="str">
        <x:v>ESRS G1, GRI 205/207, OECD Anti‑Bribery</x:v>
      </x:c>
      <x:c r="Q16" s="14" t="str">
        <x:v>Mess-, Berichts- oder Managementrahmen; Schwellen sind grundsätzlich WÖk-Kalibrierungen</x:v>
      </x:c>
      <x:c r="R16" s="14" t="str">
        <x:v>Messgrundlage belegt; Schwellenkalibrierung offen</x:v>
      </x:c>
      <x:c r="S16" s="14" t="str">
        <x:v>EU-ESRS; GRI; OECD-AB</x:v>
      </x:c>
      <x:c r="T16" s="14" t="str">
        <x:v>G47 Handel; K Versicherungen; M72 F&amp;E</x:v>
      </x:c>
      <x:c r="U16" s="14" t="str">
        <x:v>Legacy / nicht explizit versioniert</x:v>
      </x:c>
      <x:c r="V16" s="51" t="str"/>
      <x:c r="W16" s="14" t="str">
        <x:v>Migration auf NACE Rev. 2.1 erforderlich</x:v>
      </x:c>
      <x:c r="X16" s="14" t="str">
        <x:v>Organisation/Governance; konsolidierter Kreis und relevante Rechtseinheiten</x:v>
      </x:c>
      <x:c r="Y16" s="14" t="str">
        <x:v>Siehe Quelle: Definition gemäß Standard (ESRS/GRI/Taxonomie/ISO).</x:v>
      </x:c>
      <x:c r="Z16" s="14" t="str">
        <x:v>Dokumentierter Kriterienkatalog; nachvollziehbare Evidenz; DQR A/B bevorzugt</x:v>
      </x:c>
      <x:c r="AA16" s="14" t="str">
        <x:v>Unabhängige Fachprüfung/Limited Assurance; bei roten Linien Reasonable Assurance</x:v>
      </x:c>
      <x:c r="AB16" s="14" t="str">
        <x:v>Prüfung/Parametrisierung erforderlich</x:v>
      </x:c>
      <x:c r="AC16" s="14" t="str">
        <x:v>Hoch</x:v>
      </x:c>
      <x:c r="AD16" s="14" t="str">
        <x:v>Die Kategorie −3 fehlt; Vollständigkeit und Wirksamkeit sind feldspezifisch zu definieren.</x:v>
      </x:c>
      <x:c r="AE16" s="14" t="str">
        <x:v>v1.4</x:v>
      </x:c>
      <x:c r="AF16" s="52" t="str">
        <x:v>2026-08-16</x:v>
      </x:c>
      <x:c r="AG16" s="52"/>
    </x:row>
    <x:row r="17" ht="42" customHeight="1">
      <x:c r="A17" s="14" t="str">
        <x:v>WOK-S-107</x:v>
      </x:c>
      <x:c r="B17" s="14" t="str">
        <x:v>SDG 1 – Keine Armut</x:v>
      </x:c>
      <x:c r="C17" s="14" t="str">
        <x:v>1.b</x:v>
      </x:c>
      <x:c r="D17" s="14" t="str">
        <x:v>Lokale Beschaffung benachteiligte Gruppen</x:v>
      </x:c>
      <x:c r="E17" s="14" t="str">
        <x:v>Lokale Beschaffung benachteiligte Gruppen – ESG‑Spend‑Coverage</x:v>
      </x:c>
      <x:c r="F17" s="14" t="str">
        <x:v>Anteil verifizierter ESG‑Daten am Spend</x:v>
      </x:c>
      <x:c r="G17" s="14" t="str">
        <x:v>%</x:v>
      </x:c>
      <x:c r="H17" s="14" t="str">
        <x:v>higher_is_better</x:v>
      </x:c>
      <x:c r="I17" s="14" t="str">
        <x:v>R26</x:v>
      </x:c>
      <x:c r="J17" s="14" t="str">
        <x:v>≥90:+3; 70–89:+2; 50–69:0; 30–49:‑2; &lt;30:‑3</x:v>
      </x:c>
      <x:c r="K17" s="14" t="str">
        <x:v>Feste WÖk-Kalibrierung</x:v>
      </x:c>
      <x:c r="L17" s="14" t="str">
        <x:v>Arbeitskalibrierung – fachlich zu validieren</x:v>
      </x:c>
      <x:c r="M17" s="14" t="str">
        <x:v>WÖk-interne Klassenlogik</x:v>
      </x:c>
      <x:c r="N17" s="14" t="str">
        <x:v>Optional/Nein</x:v>
      </x:c>
      <x:c r="O17" s="14" t="str">
        <x:v>ESRS S2; GRI 308/414/408/409</x:v>
      </x:c>
      <x:c r="P17" s="14" t="str">
        <x:v>ESRS S2; GRI 308/414/408/409</x:v>
      </x:c>
      <x:c r="Q17" s="14" t="str">
        <x:v>Mess-, Berichts- oder Managementrahmen; Schwellen sind grundsätzlich WÖk-Kalibrierungen</x:v>
      </x:c>
      <x:c r="R17" s="14" t="str">
        <x:v>Messgrundlage belegt; Schwellenkalibrierung offen</x:v>
      </x:c>
      <x:c r="S17" s="14" t="str">
        <x:v>EU-ESRS; GRI; OECD-DD; ILO-CORE</x:v>
      </x:c>
      <x:c r="T17" s="14" t="str">
        <x:v>G47 Handel; K Versicherungen; M72 F&amp;E</x:v>
      </x:c>
      <x:c r="U17" s="14" t="str">
        <x:v>Legacy / nicht explizit versioniert</x:v>
      </x:c>
      <x:c r="V17" s="51" t="str"/>
      <x:c r="W17" s="14" t="str">
        <x:v>Migration auf NACE Rev. 2.1 erforderlich</x:v>
      </x:c>
      <x:c r="X17" s="14" t="str">
        <x:v>Eigene Belegschaft/Organisation; FTE, Beschäftigtengruppe und Zeitraum</x:v>
      </x:c>
      <x:c r="Y17" s="14" t="str">
        <x:v>Quote = Zähler / Nenner gemäß Quelle; in %.</x:v>
      </x:c>
      <x:c r="Z17" s="14" t="str">
        <x:v>Primärdaten bevorzugt; Sekundärdaten nur transparent und versioniert; Methode und Systemgrenze dokumentieren</x:v>
      </x:c>
      <x:c r="AA17" s="14" t="str">
        <x:v>Limited Assurance; risikobasiert höhere Prüftiefe</x:v>
      </x:c>
      <x:c r="AB17" s="14" t="str">
        <x:v>Strukturell nutzbar; Schwellen fachlich zu validieren</x:v>
      </x:c>
      <x:c r="AC17" s="14" t="str">
        <x:v>Mittel</x:v>
      </x:c>
      <x:c r="AD17" s="14" t="str">
        <x:v>Vollständige fünfstufige numerische Regel.</x:v>
      </x:c>
      <x:c r="AE17" s="14" t="str">
        <x:v>v1.4</x:v>
      </x:c>
      <x:c r="AF17" s="52" t="str">
        <x:v>2026-08-16</x:v>
      </x:c>
      <x:c r="AG17" s="52"/>
    </x:row>
    <x:row r="18" ht="42" customHeight="1">
      <x:c r="A18" s="14" t="str">
        <x:v>WOK-S-108</x:v>
      </x:c>
      <x:c r="B18" s="14" t="str">
        <x:v>SDG 1 – Keine Armut</x:v>
      </x:c>
      <x:c r="C18" s="14" t="str">
        <x:v>1.b</x:v>
      </x:c>
      <x:c r="D18" s="14" t="str">
        <x:v>Lokale Beschaffung benachteiligte Gruppen</x:v>
      </x:c>
      <x:c r="E18" s="14" t="str">
        <x:v>Lokale Beschaffung benachteiligte Gruppen – Kinder/Zwangsarbeit</x:v>
      </x:c>
      <x:c r="F18" s="14" t="str">
        <x:v>Audits ohne Verstöße</x:v>
      </x:c>
      <x:c r="G18" s="14" t="str">
        <x:v>% Lieferanten</x:v>
      </x:c>
      <x:c r="H18" s="14" t="str">
        <x:v>higher_is_better</x:v>
      </x:c>
      <x:c r="I18" s="14" t="str">
        <x:v>R28</x:v>
      </x:c>
      <x:c r="J18" s="14" t="str">
        <x:v>≥98:+3; 90–97:+2; 75–89:0; 50–74:‑2; &lt;50:‑3</x:v>
      </x:c>
      <x:c r="K18" s="14" t="str">
        <x:v>Feste WÖk-Kalibrierung</x:v>
      </x:c>
      <x:c r="L18" s="14" t="str">
        <x:v>Arbeitskalibrierung – fachlich zu validieren</x:v>
      </x:c>
      <x:c r="M18" s="14" t="str">
        <x:v>WÖk-interne Klassenlogik</x:v>
      </x:c>
      <x:c r="N18" s="14" t="str">
        <x:v>Optional/Nein</x:v>
      </x:c>
      <x:c r="O18" s="14" t="str">
        <x:v>ESRS S2; GRI 308/414/408/409</x:v>
      </x:c>
      <x:c r="P18" s="14" t="str">
        <x:v>ESRS S2, GRI 308/414, OECD Due Diligence</x:v>
      </x:c>
      <x:c r="Q18" s="14" t="str">
        <x:v>Mess-, Berichts- oder Managementrahmen; Schwellen sind grundsätzlich WÖk-Kalibrierungen</x:v>
      </x:c>
      <x:c r="R18" s="14" t="str">
        <x:v>Messgrundlage belegt; Schwellenkalibrierung offen</x:v>
      </x:c>
      <x:c r="S18" s="14" t="str">
        <x:v>EU-ESRS; GRI; OECD-DD; ILO-CORE</x:v>
      </x:c>
      <x:c r="T18" s="14" t="str">
        <x:v>G47 Handel; K Versicherungen; M72 F&amp;E</x:v>
      </x:c>
      <x:c r="U18" s="14" t="str">
        <x:v>Legacy / nicht explizit versioniert</x:v>
      </x:c>
      <x:c r="V18" s="51" t="str"/>
      <x:c r="W18" s="14" t="str">
        <x:v>Migration auf NACE Rev. 2.1 erforderlich</x:v>
      </x:c>
      <x:c r="X18" s="14" t="str">
        <x:v>Eigene Belegschaft/Organisation; FTE, Beschäftigtengruppe und Zeitraum</x:v>
      </x:c>
      <x:c r="Y18" s="14" t="str">
        <x:v>Quote = Zähler / Nenner gemäß Quelle; in %.</x:v>
      </x:c>
      <x:c r="Z18" s="14" t="str">
        <x:v>Primärdaten bevorzugt; Sekundärdaten nur transparent und versioniert; Methode und Systemgrenze dokumentieren</x:v>
      </x:c>
      <x:c r="AA18" s="14" t="str">
        <x:v>Limited Assurance; risikobasiert höhere Prüftiefe</x:v>
      </x:c>
      <x:c r="AB18" s="14" t="str">
        <x:v>Strukturell nutzbar; Schwellen fachlich zu validieren</x:v>
      </x:c>
      <x:c r="AC18" s="14" t="str">
        <x:v>Mittel</x:v>
      </x:c>
      <x:c r="AD18" s="14" t="str">
        <x:v>Vollständige fünfstufige numerische Regel.</x:v>
      </x:c>
      <x:c r="AE18" s="14" t="str">
        <x:v>v1.4</x:v>
      </x:c>
      <x:c r="AF18" s="52" t="str">
        <x:v>2026-08-16</x:v>
      </x:c>
      <x:c r="AG18" s="52"/>
    </x:row>
    <x:row r="19" ht="42" customHeight="1">
      <x:c r="A19" s="14" t="str">
        <x:v>WOK-S-109</x:v>
      </x:c>
      <x:c r="B19" s="14" t="str">
        <x:v>SDG 1 – Keine Armut</x:v>
      </x:c>
      <x:c r="C19" s="14" t="str">
        <x:v>1.b</x:v>
      </x:c>
      <x:c r="D19" s="14" t="str">
        <x:v>Lokale Beschaffung benachteiligte Gruppen</x:v>
      </x:c>
      <x:c r="E19" s="14" t="str">
        <x:v>Lokale Beschaffung benachteiligte Gruppen – Scope‑3 Daten</x:v>
      </x:c>
      <x:c r="F19" s="14" t="str">
        <x:v>Primärdaten‑Abdeckung</x:v>
      </x:c>
      <x:c r="G19" s="14" t="str">
        <x:v>% Kategorien</x:v>
      </x:c>
      <x:c r="H19" s="14" t="str">
        <x:v>higher_is_better</x:v>
      </x:c>
      <x:c r="I19" s="14" t="str">
        <x:v>R23</x:v>
      </x:c>
      <x:c r="J19" s="14" t="str">
        <x:v>≥80:+3; 60–79:+2; 40–59:0; 20–39:‑2; &lt;20:‑3</x:v>
      </x:c>
      <x:c r="K19" s="14" t="str">
        <x:v>Feste WÖk-Kalibrierung</x:v>
      </x:c>
      <x:c r="L19" s="14" t="str">
        <x:v>Arbeitskalibrierung – fachlich zu validieren</x:v>
      </x:c>
      <x:c r="M19" s="14" t="str">
        <x:v>WÖk-interne Klassenlogik</x:v>
      </x:c>
      <x:c r="N19" s="14" t="str">
        <x:v>Optional/Nein</x:v>
      </x:c>
      <x:c r="O19" s="14" t="str">
        <x:v>ESRS E1; GHG Protocol</x:v>
      </x:c>
      <x:c r="P19" s="14" t="str">
        <x:v>ESRS E1, GHG Protocol (Corporate/Scope 1–3), ISO 14064/14067</x:v>
      </x:c>
      <x:c r="Q19" s="14" t="str">
        <x:v>Mess-, Berichts- oder Managementrahmen; Schwellen sind grundsätzlich WÖk-Kalibrierungen</x:v>
      </x:c>
      <x:c r="R19" s="14" t="str">
        <x:v>Messgrundlage belegt; Schwellenkalibrierung offen</x:v>
      </x:c>
      <x:c r="S19" s="14" t="str">
        <x:v>EU-ESRS; GHG-CORP; GHG-S3; GHG-PROD</x:v>
      </x:c>
      <x:c r="T19" s="14" t="str">
        <x:v>G47 Handel; K Versicherungen; M72 F&amp;E</x:v>
      </x:c>
      <x:c r="U19" s="14" t="str">
        <x:v>Legacy / nicht explizit versioniert</x:v>
      </x:c>
      <x:c r="V19" s="51" t="str"/>
      <x:c r="W19" s="14" t="str">
        <x:v>Migration auf NACE Rev. 2.1 erforderlich</x:v>
      </x:c>
      <x:c r="X19" s="14" t="str">
        <x:v>Eigene Belegschaft/Organisation; FTE, Beschäftigtengruppe und Zeitraum</x:v>
      </x:c>
      <x:c r="Y19" s="14" t="str">
        <x:v>Quote = Zähler / Nenner gemäß Quelle; in %.</x:v>
      </x:c>
      <x:c r="Z19" s="14" t="str">
        <x:v>Primärdaten bevorzugt; Sekundärdaten nur transparent und versioniert; Methode und Systemgrenze dokumentieren</x:v>
      </x:c>
      <x:c r="AA19" s="14" t="str">
        <x:v>Limited Assurance; risikobasiert höhere Prüftiefe</x:v>
      </x:c>
      <x:c r="AB19" s="14" t="str">
        <x:v>Strukturell nutzbar; Schwellen fachlich zu validieren</x:v>
      </x:c>
      <x:c r="AC19" s="14" t="str">
        <x:v>Mittel</x:v>
      </x:c>
      <x:c r="AD19" s="14" t="str">
        <x:v>Vollständige fünfstufige numerische Regel.</x:v>
      </x:c>
      <x:c r="AE19" s="14" t="str">
        <x:v>v1.4</x:v>
      </x:c>
      <x:c r="AF19" s="52" t="str">
        <x:v>2026-08-16</x:v>
      </x:c>
      <x:c r="AG19" s="52"/>
    </x:row>
    <x:row r="20" ht="42" customHeight="1">
      <x:c r="A20" s="14" t="str">
        <x:v>WOK-SYS-101</x:v>
      </x:c>
      <x:c r="B20" s="14" t="str">
        <x:v>SDG 1 – Keine Armut</x:v>
      </x:c>
      <x:c r="C20" s="14" t="str">
        <x:v>1.a</x:v>
      </x:c>
      <x:c r="D20" s="14" t="str">
        <x:v>Gemeinwohl‑Investitionen (Armut)</x:v>
      </x:c>
      <x:c r="E20" s="14" t="str">
        <x:v>Gemeinwohl‑Investitionen (Armut) – Index</x:v>
      </x:c>
      <x:c r="F20" s="14" t="str">
        <x:v>umsatzgewichteter Index (z. B. Demokratie/Rule of Law)</x:v>
      </x:c>
      <x:c r="G20" s="14" t="str">
        <x:v>0–1</x:v>
      </x:c>
      <x:c r="H20" s="14" t="str">
        <x:v>higher_is_better</x:v>
      </x:c>
      <x:c r="I20" s="14" t="str">
        <x:v>R15</x:v>
      </x:c>
      <x:c r="J20" s="14" t="str">
        <x:v>≥0,8:+3; 0,7–0,79:+2; 0,6–0,69:0; 0,5–0,59:‑2; &lt;0,5:‑3</x:v>
      </x:c>
      <x:c r="K20" s="14" t="str">
        <x:v>Feste WÖk-Kalibrierung</x:v>
      </x:c>
      <x:c r="L20" s="14" t="str">
        <x:v>Arbeitskalibrierung – fachlich zu validieren</x:v>
      </x:c>
      <x:c r="M20" s="14" t="str">
        <x:v>WÖk-interne Klassenlogik</x:v>
      </x:c>
      <x:c r="N20" s="14" t="str">
        <x:v>Optional/Nein</x:v>
      </x:c>
      <x:c r="O20" s="14" t="str">
        <x:v>SROI/SDG17</x:v>
      </x:c>
      <x:c r="P20" s="14" t="str">
        <x:v>SDG 16/17, WJP, V‑Dem</x:v>
      </x:c>
      <x:c r="Q20" s="14" t="str">
        <x:v>Methodischer Platzhalter; konkrete Fach- und Primärdatenquelle erforderlich</x:v>
      </x:c>
      <x:c r="R20" s="14" t="str">
        <x:v>Platzhalter – fachliche Operationalisierung offen</x:v>
      </x:c>
      <x:c r="S20" s="14" t="str">
        <x:v>INT-WOEK-TSROI; SVI-SROI; UN-SDG</x:v>
      </x:c>
      <x:c r="T20" s="14" t="str">
        <x:v>G47 Handel; K Versicherungen; M72 F&amp;E</x:v>
      </x:c>
      <x:c r="U20" s="14" t="str">
        <x:v>Legacy / nicht explizit versioniert</x:v>
      </x:c>
      <x:c r="V20" s="51" t="str"/>
      <x:c r="W20" s="14" t="str">
        <x:v>Migration auf NACE Rev. 2.1 erforderlich</x:v>
      </x:c>
      <x:c r="X20" s="14" t="str">
        <x:v>Programm/Portfolio/Systemraum; Empfängergruppe, Region und Zeitraum explizit definieren</x:v>
      </x:c>
      <x:c r="Y20" s="14" t="str">
        <x:v>Siehe Quelle: Definition gemäß Standard (ESRS/GRI/Taxonomie/ISO).</x:v>
      </x:c>
      <x:c r="Z20" s="14" t="str">
        <x:v>Primärdaten bevorzugt; Sekundärdaten nur transparent und versioniert; Methode und Systemgrenze dokumentieren</x:v>
      </x:c>
      <x:c r="AA20" s="14" t="str">
        <x:v>Limited Assurance; risikobasiert höhere Prüftiefe</x:v>
      </x:c>
      <x:c r="AB20" s="14" t="str">
        <x:v>Fachlogik nicht abschließend operationalisiert</x:v>
      </x:c>
      <x:c r="AC20" s="14" t="str">
        <x:v>Kritisch</x:v>
      </x:c>
      <x:c r="AD20" s="14" t="str">
        <x:v>SROI/SDG 17 ist keine hinreichend konkrete Mess- oder Schwellenquelle. Vollständige fünfstufige numerische Regel.</x:v>
      </x:c>
      <x:c r="AE20" s="14" t="str">
        <x:v>v1.4</x:v>
      </x:c>
      <x:c r="AF20" s="52" t="str">
        <x:v>2026-08-16</x:v>
      </x:c>
      <x:c r="AG20" s="52"/>
    </x:row>
    <x:row r="21" ht="42" customHeight="1">
      <x:c r="A21" s="14" t="str">
        <x:v>WOK-SYS-102</x:v>
      </x:c>
      <x:c r="B21" s="14" t="str">
        <x:v>SDG 1 – Keine Armut</x:v>
      </x:c>
      <x:c r="C21" s="14" t="str">
        <x:v>1.a</x:v>
      </x:c>
      <x:c r="D21" s="14" t="str">
        <x:v>Gemeinwohl‑Investitionen (Armut)</x:v>
      </x:c>
      <x:c r="E21" s="14" t="str">
        <x:v>Gemeinwohl‑Investitionen (Armut) – Exposure</x:v>
      </x:c>
      <x:c r="F21" s="14" t="str">
        <x:v>Umsatz in Hochrisikoländern</x:v>
      </x:c>
      <x:c r="G21" s="14" t="str">
        <x:v>%</x:v>
      </x:c>
      <x:c r="H21" s="14" t="str">
        <x:v>lower_is_better</x:v>
      </x:c>
      <x:c r="I21" s="14" t="str">
        <x:v>R13</x:v>
      </x:c>
      <x:c r="J21" s="14" t="str">
        <x:v>≤5:+3; 6–10:+2; 11–20:0; 21–30:‑2; &gt;30:‑3</x:v>
      </x:c>
      <x:c r="K21" s="14" t="str">
        <x:v>Feste WÖk-Kalibrierung</x:v>
      </x:c>
      <x:c r="L21" s="14" t="str">
        <x:v>Arbeitskalibrierung – fachlich zu validieren</x:v>
      </x:c>
      <x:c r="M21" s="14" t="str">
        <x:v>WÖk-interne Klassenlogik</x:v>
      </x:c>
      <x:c r="N21" s="14" t="str">
        <x:v>Optional/Nein</x:v>
      </x:c>
      <x:c r="O21" s="14" t="str">
        <x:v>SROI/SDG17</x:v>
      </x:c>
      <x:c r="P21" s="14" t="str">
        <x:v>SROI/SDG17</x:v>
      </x:c>
      <x:c r="Q21" s="14" t="str">
        <x:v>Methodischer Platzhalter; konkrete Fach- und Primärdatenquelle erforderlich</x:v>
      </x:c>
      <x:c r="R21" s="14" t="str">
        <x:v>Platzhalter – fachliche Operationalisierung offen</x:v>
      </x:c>
      <x:c r="S21" s="14" t="str">
        <x:v>INT-WOEK-TSROI; SVI-SROI; UN-SDG</x:v>
      </x:c>
      <x:c r="T21" s="14" t="str">
        <x:v>G47 Handel; K Versicherungen; M72 F&amp;E</x:v>
      </x:c>
      <x:c r="U21" s="14" t="str">
        <x:v>Legacy / nicht explizit versioniert</x:v>
      </x:c>
      <x:c r="V21" s="51" t="str"/>
      <x:c r="W21" s="14" t="str">
        <x:v>Migration auf NACE Rev. 2.1 erforderlich</x:v>
      </x:c>
      <x:c r="X21" s="14" t="str">
        <x:v>Programm/Portfolio/Systemraum; Empfängergruppe, Region und Zeitraum explizit definieren</x:v>
      </x:c>
      <x:c r="Y21" s="14" t="str">
        <x:v>Siehe Quelle: Definition gemäß Standard (ESRS/GRI/Taxonomie/ISO).</x:v>
      </x:c>
      <x:c r="Z21" s="14" t="str">
        <x:v>Primärdaten bevorzugt; Sekundärdaten nur transparent und versioniert; Methode und Systemgrenze dokumentieren</x:v>
      </x:c>
      <x:c r="AA21" s="14" t="str">
        <x:v>Limited Assurance; risikobasiert höhere Prüftiefe</x:v>
      </x:c>
      <x:c r="AB21" s="14" t="str">
        <x:v>Fachlogik nicht abschließend operationalisiert</x:v>
      </x:c>
      <x:c r="AC21" s="14" t="str">
        <x:v>Kritisch</x:v>
      </x:c>
      <x:c r="AD21" s="14" t="str">
        <x:v>SROI/SDG 17 ist keine hinreichend konkrete Mess- oder Schwellenquelle. Vollständige fünfstufige numerische Regel.</x:v>
      </x:c>
      <x:c r="AE21" s="14" t="str">
        <x:v>v1.4</x:v>
      </x:c>
      <x:c r="AF21" s="52" t="str">
        <x:v>2026-08-16</x:v>
      </x:c>
      <x:c r="AG21" s="52"/>
    </x:row>
    <x:row r="22" ht="42" customHeight="1">
      <x:c r="A22" s="14" t="str">
        <x:v>WOK-SYS-103</x:v>
      </x:c>
      <x:c r="B22" s="14" t="str">
        <x:v>SDG 1 – Keine Armut</x:v>
      </x:c>
      <x:c r="C22" s="14" t="str">
        <x:v>1.a</x:v>
      </x:c>
      <x:c r="D22" s="14" t="str">
        <x:v>Gemeinwohl‑Investitionen (Armut)</x:v>
      </x:c>
      <x:c r="E22" s="14" t="str">
        <x:v>Gemeinwohl‑Investitionen (Armut) – Kooperationen</x:v>
      </x:c>
      <x:c r="F22" s="14" t="str">
        <x:v>aktive, evaluierte Partnerschaften/Jahr</x:v>
      </x:c>
      <x:c r="G22" s="14" t="str">
        <x:v>#/Jahr</x:v>
      </x:c>
      <x:c r="H22" s="14" t="str">
        <x:v>higher_is_better</x:v>
      </x:c>
      <x:c r="I22" s="14" t="str">
        <x:v>R20</x:v>
      </x:c>
      <x:c r="J22" s="14" t="str">
        <x:v>≥5:+3; 3–4:+2; 1–2:0; 0:‑2</x:v>
      </x:c>
      <x:c r="K22" s="14" t="str">
        <x:v>Feste WÖk-Grobkalibrierung</x:v>
      </x:c>
      <x:c r="L22" s="14" t="str">
        <x:v>Klasse −3 nur für negative/unzulässige Werte ergänzt</x:v>
      </x:c>
      <x:c r="M22" s="14" t="str">
        <x:v>WÖk-interne Grobkalibrierung</x:v>
      </x:c>
      <x:c r="N22" s="14" t="str">
        <x:v>Optional/Nein</x:v>
      </x:c>
      <x:c r="O22" s="14" t="str">
        <x:v>SROI/SDG17</x:v>
      </x:c>
      <x:c r="P22" s="14" t="str">
        <x:v>SDG 16/17, WJP, V‑Dem</x:v>
      </x:c>
      <x:c r="Q22" s="14" t="str">
        <x:v>Methodischer Platzhalter; konkrete Fach- und Primärdatenquelle erforderlich</x:v>
      </x:c>
      <x:c r="R22" s="14" t="str">
        <x:v>Platzhalter – fachliche Operationalisierung offen</x:v>
      </x:c>
      <x:c r="S22" s="14" t="str">
        <x:v>INT-WOEK-TSROI; SVI-SROI; UN-SDG</x:v>
      </x:c>
      <x:c r="T22" s="14" t="str">
        <x:v>G47 Handel; K Versicherungen; M72 F&amp;E</x:v>
      </x:c>
      <x:c r="U22" s="14" t="str">
        <x:v>Legacy / nicht explizit versioniert</x:v>
      </x:c>
      <x:c r="V22" s="51" t="str"/>
      <x:c r="W22" s="14" t="str">
        <x:v>Migration auf NACE Rev. 2.1 erforderlich</x:v>
      </x:c>
      <x:c r="X22" s="14" t="str">
        <x:v>Programm/Portfolio/Systemraum; Empfängergruppe, Region und Zeitraum explizit definieren</x:v>
      </x:c>
      <x:c r="Y22" s="14" t="str">
        <x:v>Siehe Quelle: Definition gemäß Standard (ESRS/GRI/Taxonomie/ISO).</x:v>
      </x:c>
      <x:c r="Z22" s="14" t="str">
        <x:v>Primärdaten bevorzugt; Sekundärdaten nur transparent und versioniert; Methode und Systemgrenze dokumentieren</x:v>
      </x:c>
      <x:c r="AA22" s="14" t="str">
        <x:v>Limited Assurance; risikobasiert höhere Prüftiefe</x:v>
      </x:c>
      <x:c r="AB22" s="14" t="str">
        <x:v>Fachlogik nicht abschließend operationalisiert</x:v>
      </x:c>
      <x:c r="AC22" s="14" t="str">
        <x:v>Kritisch</x:v>
      </x:c>
      <x:c r="AD22" s="14" t="str">
        <x:v>SROI/SDG 17 ist keine hinreichend konkrete Mess- oder Schwellenquelle. Für sachlogisch nichtnegative Zählwerte ist 0 die schlechteste reguläre Klasse (−2).</x:v>
      </x:c>
      <x:c r="AE22" s="14" t="str">
        <x:v>v1.4</x:v>
      </x:c>
      <x:c r="AF22" s="52" t="str">
        <x:v>2026-08-16</x:v>
      </x:c>
      <x:c r="AG22" s="52"/>
    </x:row>
    <x:row r="23" ht="42" customHeight="1">
      <x:c r="A23" s="14" t="str">
        <x:v>WOK-S-110</x:v>
      </x:c>
      <x:c r="B23" s="14" t="str">
        <x:v>SDG 1 – Keine Armut</x:v>
      </x:c>
      <x:c r="C23" s="14" t="str">
        <x:v>1.2</x:v>
      </x:c>
      <x:c r="D23" s="14" t="str">
        <x:v>Unterbeschäftigung &amp; Prekarität</x:v>
      </x:c>
      <x:c r="E23" s="14" t="str">
        <x:v>Unterbeschäftigung &amp; Prekarität – Living Wage</x:v>
      </x:c>
      <x:c r="F23" s="14" t="str">
        <x:v>Abdeckung Lebenslohn</x:v>
      </x:c>
      <x:c r="G23" s="14" t="str">
        <x:v>% Beschäftigte</x:v>
      </x:c>
      <x:c r="H23" s="14" t="str">
        <x:v>higher_is_better</x:v>
      </x:c>
      <x:c r="I23" s="14" t="str">
        <x:v>R27</x:v>
      </x:c>
      <x:c r="J23" s="14" t="str">
        <x:v>≥95:+3; 80–94:+2; 60–79:0; 40–59:‑2; &lt;40:‑3</x:v>
      </x:c>
      <x:c r="K23" s="14" t="str">
        <x:v>Feste WÖk-Kalibrierung</x:v>
      </x:c>
      <x:c r="L23" s="14" t="str">
        <x:v>Arbeitskalibrierung – fachlich zu validieren</x:v>
      </x:c>
      <x:c r="M23" s="14" t="str">
        <x:v>WÖk-interne Klassenlogik</x:v>
      </x:c>
      <x:c r="N23" s="14" t="str">
        <x:v>Optional/Nein</x:v>
      </x:c>
      <x:c r="O23" s="14" t="str">
        <x:v>ESRS S1; GRI 401/403/405/406</x:v>
      </x:c>
      <x:c r="P23" s="14" t="str">
        <x:v>ESRS S1, GRI 401/403/405/406, ILO</x:v>
      </x:c>
      <x:c r="Q23" s="14" t="str">
        <x:v>Mess-, Berichts- oder Managementrahmen; Schwellen sind grundsätzlich WÖk-Kalibrierungen</x:v>
      </x:c>
      <x:c r="R23" s="14" t="str">
        <x:v>Messgrundlage belegt; Schwellenkalibrierung offen</x:v>
      </x:c>
      <x:c r="S23" s="14" t="str">
        <x:v>EU-ESRS; GRI; ISO-45001; ILO-LW; ILO-CORE</x:v>
      </x:c>
      <x:c r="T23" s="14" t="str">
        <x:v>G47 Handel; K Versicherungen; M72 F&amp;E</x:v>
      </x:c>
      <x:c r="U23" s="14" t="str">
        <x:v>Legacy / nicht explizit versioniert</x:v>
      </x:c>
      <x:c r="V23" s="51" t="str"/>
      <x:c r="W23" s="14" t="str">
        <x:v>Migration auf NACE Rev. 2.1 erforderlich</x:v>
      </x:c>
      <x:c r="X23" s="14" t="str">
        <x:v>Eigene Belegschaft/Organisation; FTE, Beschäftigtengruppe und Zeitraum</x:v>
      </x:c>
      <x:c r="Y23" s="14" t="str">
        <x:v>Anteil Beschäftigte ≥ Living Wage (zertifizierte Methodik).</x:v>
      </x:c>
      <x:c r="Z23" s="14" t="str">
        <x:v>Primärdaten bevorzugt; Sekundärdaten nur transparent und versioniert; Methode und Systemgrenze dokumentieren</x:v>
      </x:c>
      <x:c r="AA23" s="14" t="str">
        <x:v>Limited Assurance; risikobasiert höhere Prüftiefe</x:v>
      </x:c>
      <x:c r="AB23" s="14" t="str">
        <x:v>Strukturell nutzbar; Schwellen fachlich zu validieren</x:v>
      </x:c>
      <x:c r="AC23" s="14" t="str">
        <x:v>Mittel</x:v>
      </x:c>
      <x:c r="AD23" s="14" t="str">
        <x:v>Vollständige fünfstufige numerische Regel.</x:v>
      </x:c>
      <x:c r="AE23" s="14" t="str">
        <x:v>v1.4</x:v>
      </x:c>
      <x:c r="AF23" s="52" t="str">
        <x:v>2026-08-16</x:v>
      </x:c>
      <x:c r="AG23" s="52"/>
    </x:row>
    <x:row r="24" ht="42" customHeight="1">
      <x:c r="A24" s="14" t="str">
        <x:v>WOK-S-111</x:v>
      </x:c>
      <x:c r="B24" s="14" t="str">
        <x:v>SDG 1 – Keine Armut</x:v>
      </x:c>
      <x:c r="C24" s="14" t="str">
        <x:v>1.2</x:v>
      </x:c>
      <x:c r="D24" s="14" t="str">
        <x:v>Unterbeschäftigung &amp; Prekarität</x:v>
      </x:c>
      <x:c r="E24" s="14" t="str">
        <x:v>Unterbeschäftigung &amp; Prekarität – Tarifbindung</x:v>
      </x:c>
      <x:c r="F24" s="14" t="str">
        <x:v>Beschäftigte unter Kollektivvertrag</x:v>
      </x:c>
      <x:c r="G24" s="14" t="str">
        <x:v>%</x:v>
      </x:c>
      <x:c r="H24" s="14" t="str">
        <x:v>higher_is_better</x:v>
      </x:c>
      <x:c r="I24" s="14" t="str">
        <x:v>R26</x:v>
      </x:c>
      <x:c r="J24" s="14" t="str">
        <x:v>≥90:+3; 70–89:+2; 50–69:0; 30–49:‑2; &lt;30:‑3</x:v>
      </x:c>
      <x:c r="K24" s="14" t="str">
        <x:v>Feste WÖk-Kalibrierung</x:v>
      </x:c>
      <x:c r="L24" s="14" t="str">
        <x:v>Arbeitskalibrierung – fachlich zu validieren</x:v>
      </x:c>
      <x:c r="M24" s="14" t="str">
        <x:v>WÖk-interne Klassenlogik</x:v>
      </x:c>
      <x:c r="N24" s="14" t="str">
        <x:v>Optional/Nein</x:v>
      </x:c>
      <x:c r="O24" s="14" t="str">
        <x:v>ESRS S1; GRI 401/403/405/406</x:v>
      </x:c>
      <x:c r="P24" s="14" t="str">
        <x:v>ESRS S1, GRI 401/403/405/406, ILO</x:v>
      </x:c>
      <x:c r="Q24" s="14" t="str">
        <x:v>Mess-, Berichts- oder Managementrahmen; Schwellen sind grundsätzlich WÖk-Kalibrierungen</x:v>
      </x:c>
      <x:c r="R24" s="14" t="str">
        <x:v>Messgrundlage belegt; Schwellenkalibrierung offen</x:v>
      </x:c>
      <x:c r="S24" s="14" t="str">
        <x:v>EU-ESRS; GRI; ISO-45001; ILO-LW; ILO-CORE</x:v>
      </x:c>
      <x:c r="T24" s="14" t="str">
        <x:v>G47 Handel; K Versicherungen; M72 F&amp;E</x:v>
      </x:c>
      <x:c r="U24" s="14" t="str">
        <x:v>Legacy / nicht explizit versioniert</x:v>
      </x:c>
      <x:c r="V24" s="51" t="str"/>
      <x:c r="W24" s="14" t="str">
        <x:v>Migration auf NACE Rev. 2.1 erforderlich</x:v>
      </x:c>
      <x:c r="X24" s="14" t="str">
        <x:v>Eigene Belegschaft/Organisation; FTE, Beschäftigtengruppe und Zeitraum</x:v>
      </x:c>
      <x:c r="Y24" s="14" t="str">
        <x:v>Quote = Zähler / Nenner gemäß Quelle; in %.</x:v>
      </x:c>
      <x:c r="Z24" s="14" t="str">
        <x:v>Primärdaten bevorzugt; Sekundärdaten nur transparent und versioniert; Methode und Systemgrenze dokumentieren</x:v>
      </x:c>
      <x:c r="AA24" s="14" t="str">
        <x:v>Limited Assurance; risikobasiert höhere Prüftiefe</x:v>
      </x:c>
      <x:c r="AB24" s="14" t="str">
        <x:v>Strukturell nutzbar; Schwellen fachlich zu validieren</x:v>
      </x:c>
      <x:c r="AC24" s="14" t="str">
        <x:v>Mittel</x:v>
      </x:c>
      <x:c r="AD24" s="14" t="str">
        <x:v>Vollständige fünfstufige numerische Regel.</x:v>
      </x:c>
      <x:c r="AE24" s="14" t="str">
        <x:v>v1.4</x:v>
      </x:c>
      <x:c r="AF24" s="52" t="str">
        <x:v>2026-08-16</x:v>
      </x:c>
      <x:c r="AG24" s="52"/>
    </x:row>
    <x:row r="25" ht="42" customHeight="1">
      <x:c r="A25" s="14" t="str">
        <x:v>WOK-S-112</x:v>
      </x:c>
      <x:c r="B25" s="14" t="str">
        <x:v>SDG 1 – Keine Armut</x:v>
      </x:c>
      <x:c r="C25" s="14" t="str">
        <x:v>1.2</x:v>
      </x:c>
      <x:c r="D25" s="14" t="str">
        <x:v>Unterbeschäftigung &amp; Prekarität</x:v>
      </x:c>
      <x:c r="E25" s="14" t="str">
        <x:v>Unterbeschäftigung &amp; Prekarität – LTIFR</x:v>
      </x:c>
      <x:c r="F25" s="14" t="str">
        <x:v>Arbeitsunfälle pro Mio Stunden</x:v>
      </x:c>
      <x:c r="G25" s="14" t="str">
        <x:v>Unfälle/Mio Std.</x:v>
      </x:c>
      <x:c r="H25" s="14" t="str">
        <x:v>lower_is_better</x:v>
      </x:c>
      <x:c r="I25" s="14" t="str">
        <x:v>R02</x:v>
      </x:c>
      <x:c r="J25" s="14" t="str">
        <x:v>0:+3; ≤1:+2; ≤3:0; ≤5:‑2; &gt;5:‑3</x:v>
      </x:c>
      <x:c r="K25" s="14" t="str">
        <x:v>Feste WÖk-Kalibrierung</x:v>
      </x:c>
      <x:c r="L25" s="14" t="str">
        <x:v>Arbeitskalibrierung – fachlich zu validieren</x:v>
      </x:c>
      <x:c r="M25" s="14" t="str">
        <x:v>WÖk-interne Klassenlogik</x:v>
      </x:c>
      <x:c r="N25" s="14" t="str">
        <x:v>Optional/Nein</x:v>
      </x:c>
      <x:c r="O25" s="14" t="str">
        <x:v>ESRS S1; GRI 401/403/405/406</x:v>
      </x:c>
      <x:c r="P25" s="14" t="str">
        <x:v>ESRS S1, GRI 401/403/405/406, ILO</x:v>
      </x:c>
      <x:c r="Q25" s="14" t="str">
        <x:v>Mess-, Berichts- oder Managementrahmen; Schwellen sind grundsätzlich WÖk-Kalibrierungen</x:v>
      </x:c>
      <x:c r="R25" s="14" t="str">
        <x:v>Messgrundlage belegt; Schwellenkalibrierung offen</x:v>
      </x:c>
      <x:c r="S25" s="14" t="str">
        <x:v>EU-ESRS; GRI; ISO-45001; ILO-LW; ILO-CORE</x:v>
      </x:c>
      <x:c r="T25" s="14" t="str">
        <x:v>G47 Handel; K Versicherungen; M72 F&amp;E</x:v>
      </x:c>
      <x:c r="U25" s="14" t="str">
        <x:v>Legacy / nicht explizit versioniert</x:v>
      </x:c>
      <x:c r="V25" s="51" t="str"/>
      <x:c r="W25" s="14" t="str">
        <x:v>Migration auf NACE Rev. 2.1 erforderlich</x:v>
      </x:c>
      <x:c r="X25" s="14" t="str">
        <x:v>Eigene Belegschaft/Organisation; FTE, Beschäftigtengruppe und Zeitraum</x:v>
      </x:c>
      <x:c r="Y25" s="14" t="str">
        <x:v>LTIFR = Unfälle mit Ausfallzeit / 1 Mio. Std. (ILO/GRI 403).</x:v>
      </x:c>
      <x:c r="Z25" s="14" t="str">
        <x:v>Primärdaten bevorzugt; Sekundärdaten nur transparent und versioniert; Methode und Systemgrenze dokumentieren</x:v>
      </x:c>
      <x:c r="AA25" s="14" t="str">
        <x:v>Limited Assurance; risikobasiert höhere Prüftiefe</x:v>
      </x:c>
      <x:c r="AB25" s="14" t="str">
        <x:v>Strukturell nutzbar; Schwellen fachlich zu validieren</x:v>
      </x:c>
      <x:c r="AC25" s="14" t="str">
        <x:v>Mittel</x:v>
      </x:c>
      <x:c r="AD25" s="14" t="str">
        <x:v>Vollständige fünfstufige numerische Regel.</x:v>
      </x:c>
      <x:c r="AE25" s="14" t="str">
        <x:v>v1.4</x:v>
      </x:c>
      <x:c r="AF25" s="52" t="str">
        <x:v>2026-08-16</x:v>
      </x:c>
      <x:c r="AG25" s="52"/>
    </x:row>
    <x:row r="26" ht="42" customHeight="1">
      <x:c r="A26" s="14" t="str">
        <x:v>WOK-G-104</x:v>
      </x:c>
      <x:c r="B26" s="14" t="str">
        <x:v>SDG 1 – Keine Armut</x:v>
      </x:c>
      <x:c r="C26" s="14" t="str">
        <x:v>1.a</x:v>
      </x:c>
      <x:c r="D26" s="14" t="str">
        <x:v>Steuertransparenz für Sozialstaat</x:v>
      </x:c>
      <x:c r="E26" s="14" t="str">
        <x:v>Steuertransparenz für Sozialstaat – Antikorruption</x:v>
      </x:c>
      <x:c r="F26" s="14" t="str">
        <x:v>Bestätigte Fälle/1.000 FTE</x:v>
      </x:c>
      <x:c r="G26" s="14" t="str">
        <x:v>Fälle/1.000 FTE</x:v>
      </x:c>
      <x:c r="H26" s="14" t="str">
        <x:v>lower_is_better</x:v>
      </x:c>
      <x:c r="I26" s="14" t="str">
        <x:v>R01</x:v>
      </x:c>
      <x:c r="J26" s="14" t="str">
        <x:v>0:+3; ≤0,2:+2; ≤0,5:0; ≤1:‑2; &gt;1:‑3</x:v>
      </x:c>
      <x:c r="K26" s="14" t="str">
        <x:v>Feste WÖk-Kalibrierung</x:v>
      </x:c>
      <x:c r="L26" s="14" t="str">
        <x:v>Arbeitskalibrierung – fachlich zu validieren</x:v>
      </x:c>
      <x:c r="M26" s="14" t="str">
        <x:v>WÖk-interne Klassenlogik</x:v>
      </x:c>
      <x:c r="N26" s="14" t="str">
        <x:v>Optional/Nein</x:v>
      </x:c>
      <x:c r="O26" s="14" t="str">
        <x:v>ESRS G1; GRI 205/207</x:v>
      </x:c>
      <x:c r="P26" s="14" t="str">
        <x:v>ESRS G1, GRI 205/207, OECD Anti‑Bribery</x:v>
      </x:c>
      <x:c r="Q26" s="14" t="str">
        <x:v>Mess-, Berichts- oder Managementrahmen; Schwellen sind grundsätzlich WÖk-Kalibrierungen</x:v>
      </x:c>
      <x:c r="R26" s="14" t="str">
        <x:v>Messgrundlage belegt; Schwellenkalibrierung offen</x:v>
      </x:c>
      <x:c r="S26" s="14" t="str">
        <x:v>EU-ESRS; GRI; OECD-AB</x:v>
      </x:c>
      <x:c r="T26" s="14" t="str">
        <x:v>G47 Handel; K Versicherungen; M72 F&amp;E</x:v>
      </x:c>
      <x:c r="U26" s="14" t="str">
        <x:v>Legacy / nicht explizit versioniert</x:v>
      </x:c>
      <x:c r="V26" s="51" t="str"/>
      <x:c r="W26" s="14" t="str">
        <x:v>Migration auf NACE Rev. 2.1 erforderlich</x:v>
      </x:c>
      <x:c r="X26" s="14" t="str">
        <x:v>Organisation/Governance; konsolidierter Kreis und relevante Rechtseinheiten</x:v>
      </x:c>
      <x:c r="Y26" s="14" t="str">
        <x:v>Siehe Quelle: Definition gemäß Standard (ESRS/GRI/Taxonomie/ISO).</x:v>
      </x:c>
      <x:c r="Z26" s="14" t="str">
        <x:v>Primärdaten bevorzugt; Sekundärdaten nur transparent und versioniert; Methode und Systemgrenze dokumentieren</x:v>
      </x:c>
      <x:c r="AA26" s="14" t="str">
        <x:v>Limited Assurance; risikobasiert höhere Prüftiefe</x:v>
      </x:c>
      <x:c r="AB26" s="14" t="str">
        <x:v>Strukturell nutzbar; Schwellen fachlich zu validieren</x:v>
      </x:c>
      <x:c r="AC26" s="14" t="str">
        <x:v>Mittel</x:v>
      </x:c>
      <x:c r="AD26" s="14" t="str">
        <x:v>Vollständige fünfstufige numerische Regel.</x:v>
      </x:c>
      <x:c r="AE26" s="14" t="str">
        <x:v>v1.4</x:v>
      </x:c>
      <x:c r="AF26" s="52" t="str">
        <x:v>2026-08-16</x:v>
      </x:c>
      <x:c r="AG26" s="52"/>
    </x:row>
    <x:row r="27" ht="42" customHeight="1">
      <x:c r="A27" s="14" t="str">
        <x:v>WOK-G-105</x:v>
      </x:c>
      <x:c r="B27" s="14" t="str">
        <x:v>SDG 1 – Keine Armut</x:v>
      </x:c>
      <x:c r="C27" s="14" t="str">
        <x:v>1.a</x:v>
      </x:c>
      <x:c r="D27" s="14" t="str">
        <x:v>Steuertransparenz für Sozialstaat</x:v>
      </x:c>
      <x:c r="E27" s="14" t="str">
        <x:v>Steuertransparenz für Sozialstaat – Whistleblowing</x:v>
      </x:c>
      <x:c r="F27" s="14" t="str">
        <x:v>Wirksamkeits‑Score</x:v>
      </x:c>
      <x:c r="G27" s="14" t="str">
        <x:v>0–1</x:v>
      </x:c>
      <x:c r="H27" s="14" t="str">
        <x:v>higher_is_better</x:v>
      </x:c>
      <x:c r="I27" s="14" t="str">
        <x:v>R16</x:v>
      </x:c>
      <x:c r="J27" s="14" t="str">
        <x:v>≥0,9:+3; 0,75–0,89:+2; 0,6–0,74:0; 0,4–0,59:‑2; &lt;0,4:‑3</x:v>
      </x:c>
      <x:c r="K27" s="14" t="str">
        <x:v>Feste WÖk-Kalibrierung</x:v>
      </x:c>
      <x:c r="L27" s="14" t="str">
        <x:v>Arbeitskalibrierung – fachlich zu validieren</x:v>
      </x:c>
      <x:c r="M27" s="14" t="str">
        <x:v>WÖk-interne Klassenlogik</x:v>
      </x:c>
      <x:c r="N27" s="14" t="str">
        <x:v>Optional/Nein</x:v>
      </x:c>
      <x:c r="O27" s="14" t="str">
        <x:v>ESRS G1; GRI 205/207</x:v>
      </x:c>
      <x:c r="P27" s="14" t="str">
        <x:v>ESRS G1, GRI 205/207, OECD Anti‑Bribery</x:v>
      </x:c>
      <x:c r="Q27" s="14" t="str">
        <x:v>Mess-, Berichts- oder Managementrahmen; Schwellen sind grundsätzlich WÖk-Kalibrierungen</x:v>
      </x:c>
      <x:c r="R27" s="14" t="str">
        <x:v>Messgrundlage belegt; Schwellenkalibrierung offen</x:v>
      </x:c>
      <x:c r="S27" s="14" t="str">
        <x:v>EU-ESRS; GRI; OECD-AB</x:v>
      </x:c>
      <x:c r="T27" s="14" t="str">
        <x:v>G47 Handel; K Versicherungen; M72 F&amp;E</x:v>
      </x:c>
      <x:c r="U27" s="14" t="str">
        <x:v>Legacy / nicht explizit versioniert</x:v>
      </x:c>
      <x:c r="V27" s="51" t="str"/>
      <x:c r="W27" s="14" t="str">
        <x:v>Migration auf NACE Rev. 2.1 erforderlich</x:v>
      </x:c>
      <x:c r="X27" s="14" t="str">
        <x:v>Organisation/Governance; konsolidierter Kreis und relevante Rechtseinheiten</x:v>
      </x:c>
      <x:c r="Y27" s="14" t="str">
        <x:v>Siehe Quelle: Definition gemäß Standard (ESRS/GRI/Taxonomie/ISO).</x:v>
      </x:c>
      <x:c r="Z27" s="14" t="str">
        <x:v>Primärdaten bevorzugt; Sekundärdaten nur transparent und versioniert; Methode und Systemgrenze dokumentieren</x:v>
      </x:c>
      <x:c r="AA27" s="14" t="str">
        <x:v>Limited Assurance; risikobasiert höhere Prüftiefe</x:v>
      </x:c>
      <x:c r="AB27" s="14" t="str">
        <x:v>Strukturell nutzbar; Schwellen fachlich zu validieren</x:v>
      </x:c>
      <x:c r="AC27" s="14" t="str">
        <x:v>Mittel</x:v>
      </x:c>
      <x:c r="AD27" s="14" t="str">
        <x:v>Vollständige fünfstufige numerische Regel.</x:v>
      </x:c>
      <x:c r="AE27" s="14" t="str">
        <x:v>v1.4</x:v>
      </x:c>
      <x:c r="AF27" s="52" t="str">
        <x:v>2026-08-16</x:v>
      </x:c>
      <x:c r="AG27" s="52"/>
    </x:row>
    <x:row r="28" ht="42" customHeight="1">
      <x:c r="A28" s="14" t="str">
        <x:v>WOK-G-106</x:v>
      </x:c>
      <x:c r="B28" s="14" t="str">
        <x:v>SDG 1 – Keine Armut</x:v>
      </x:c>
      <x:c r="C28" s="14" t="str">
        <x:v>1.a</x:v>
      </x:c>
      <x:c r="D28" s="14" t="str">
        <x:v>Steuertransparenz für Sozialstaat</x:v>
      </x:c>
      <x:c r="E28" s="14" t="str">
        <x:v>Steuertransparenz für Sozialstaat – Steuertransparenz</x:v>
      </x:c>
      <x:c r="F28" s="14" t="str">
        <x:v>CbCR‑Offenlegung</x:v>
      </x:c>
      <x:c r="G28" s="14" t="str">
        <x:v>0–1</x:v>
      </x:c>
      <x:c r="H28" s="14" t="str">
        <x:v>higher_is_better</x:v>
      </x:c>
      <x:c r="I28" s="14" t="str">
        <x:v>R08</x:v>
      </x:c>
      <x:c r="J28" s="14" t="str">
        <x:v>vollständig:+3; teilweise:+2; minimal:0; schlecht:‑2</x:v>
      </x:c>
      <x:c r="K28" s="14" t="str">
        <x:v>Qualitativ</x:v>
      </x:c>
      <x:c r="L28" s="14" t="str">
        <x:v>Assurance und Kriterienkatalog erforderlich</x:v>
      </x:c>
      <x:c r="M28" s="14" t="str">
        <x:v>WÖk-interne Kategorien</x:v>
      </x:c>
      <x:c r="N28" s="14" t="str">
        <x:v>Optional/Nein</x:v>
      </x:c>
      <x:c r="O28" s="14" t="str">
        <x:v>ESRS G1; GRI 205/207</x:v>
      </x:c>
      <x:c r="P28" s="14" t="str">
        <x:v>ESRS G1, GRI 205/207, OECD Anti‑Bribery</x:v>
      </x:c>
      <x:c r="Q28" s="14" t="str">
        <x:v>Mess-, Berichts- oder Managementrahmen; Schwellen sind grundsätzlich WÖk-Kalibrierungen</x:v>
      </x:c>
      <x:c r="R28" s="14" t="str">
        <x:v>Messgrundlage belegt; Schwellenkalibrierung offen</x:v>
      </x:c>
      <x:c r="S28" s="14" t="str">
        <x:v>EU-ESRS; GRI; OECD-AB</x:v>
      </x:c>
      <x:c r="T28" s="14" t="str">
        <x:v>G47 Handel; K Versicherungen; M72 F&amp;E</x:v>
      </x:c>
      <x:c r="U28" s="14" t="str">
        <x:v>Legacy / nicht explizit versioniert</x:v>
      </x:c>
      <x:c r="V28" s="51" t="str"/>
      <x:c r="W28" s="14" t="str">
        <x:v>Migration auf NACE Rev. 2.1 erforderlich</x:v>
      </x:c>
      <x:c r="X28" s="14" t="str">
        <x:v>Organisation/Governance; konsolidierter Kreis und relevante Rechtseinheiten</x:v>
      </x:c>
      <x:c r="Y28" s="14" t="str">
        <x:v>Siehe Quelle: Definition gemäß Standard (ESRS/GRI/Taxonomie/ISO).</x:v>
      </x:c>
      <x:c r="Z28" s="14" t="str">
        <x:v>Dokumentierter Kriterienkatalog; nachvollziehbare Evidenz; DQR A/B bevorzugt</x:v>
      </x:c>
      <x:c r="AA28" s="14" t="str">
        <x:v>Unabhängige Fachprüfung/Limited Assurance; bei roten Linien Reasonable Assurance</x:v>
      </x:c>
      <x:c r="AB28" s="14" t="str">
        <x:v>Prüfung/Parametrisierung erforderlich</x:v>
      </x:c>
      <x:c r="AC28" s="14" t="str">
        <x:v>Hoch</x:v>
      </x:c>
      <x:c r="AD28" s="14" t="str">
        <x:v>Die Kategorie −3 fehlt; Vollständigkeit und Wirksamkeit sind feldspezifisch zu definieren.</x:v>
      </x:c>
      <x:c r="AE28" s="14" t="str">
        <x:v>v1.4</x:v>
      </x:c>
      <x:c r="AF28" s="52" t="str">
        <x:v>2026-08-16</x:v>
      </x:c>
      <x:c r="AG28" s="52"/>
    </x:row>
    <x:row r="29" ht="42" customHeight="1">
      <x:c r="A29" s="14" t="str">
        <x:v>WOK-S-113</x:v>
      </x:c>
      <x:c r="B29" s="14" t="str">
        <x:v>SDG 1 – Keine Armut</x:v>
      </x:c>
      <x:c r="C29" s="14" t="str">
        <x:v>1.2</x:v>
      </x:c>
      <x:c r="D29" s="14" t="str">
        <x:v>Existenzsichernde Teilzeit/Minijobs</x:v>
      </x:c>
      <x:c r="E29" s="14" t="str">
        <x:v>Existenzsichernde Teilzeit/Minijobs – Living Wage</x:v>
      </x:c>
      <x:c r="F29" s="14" t="str">
        <x:v>Abdeckung Lebenslohn</x:v>
      </x:c>
      <x:c r="G29" s="14" t="str">
        <x:v>% Beschäftigte</x:v>
      </x:c>
      <x:c r="H29" s="14" t="str">
        <x:v>higher_is_better</x:v>
      </x:c>
      <x:c r="I29" s="14" t="str">
        <x:v>R27</x:v>
      </x:c>
      <x:c r="J29" s="14" t="str">
        <x:v>≥95:+3; 80–94:+2; 60–79:0; 40–59:‑2; &lt;40:‑3</x:v>
      </x:c>
      <x:c r="K29" s="14" t="str">
        <x:v>Feste WÖk-Kalibrierung</x:v>
      </x:c>
      <x:c r="L29" s="14" t="str">
        <x:v>Arbeitskalibrierung – fachlich zu validieren</x:v>
      </x:c>
      <x:c r="M29" s="14" t="str">
        <x:v>WÖk-interne Klassenlogik</x:v>
      </x:c>
      <x:c r="N29" s="14" t="str">
        <x:v>Optional/Nein</x:v>
      </x:c>
      <x:c r="O29" s="14" t="str">
        <x:v>ESRS S1; GRI 401/403/405/406</x:v>
      </x:c>
      <x:c r="P29" s="14" t="str">
        <x:v>ESRS S1, GRI 401/403/405/406, ILO</x:v>
      </x:c>
      <x:c r="Q29" s="14" t="str">
        <x:v>Mess-, Berichts- oder Managementrahmen; Schwellen sind grundsätzlich WÖk-Kalibrierungen</x:v>
      </x:c>
      <x:c r="R29" s="14" t="str">
        <x:v>Messgrundlage belegt; Schwellenkalibrierung offen</x:v>
      </x:c>
      <x:c r="S29" s="14" t="str">
        <x:v>EU-ESRS; GRI; ISO-45001; ILO-LW; ILO-CORE</x:v>
      </x:c>
      <x:c r="T29" s="14" t="str">
        <x:v>G47 Handel; K Versicherungen; M72 F&amp;E</x:v>
      </x:c>
      <x:c r="U29" s="14" t="str">
        <x:v>Legacy / nicht explizit versioniert</x:v>
      </x:c>
      <x:c r="V29" s="51" t="str"/>
      <x:c r="W29" s="14" t="str">
        <x:v>Migration auf NACE Rev. 2.1 erforderlich</x:v>
      </x:c>
      <x:c r="X29" s="14" t="str">
        <x:v>Eigene Belegschaft/Organisation; FTE, Beschäftigtengruppe und Zeitraum</x:v>
      </x:c>
      <x:c r="Y29" s="14" t="str">
        <x:v>Anteil Beschäftigte ≥ Living Wage (zertifizierte Methodik).</x:v>
      </x:c>
      <x:c r="Z29" s="14" t="str">
        <x:v>Primärdaten bevorzugt; Sekundärdaten nur transparent und versioniert; Methode und Systemgrenze dokumentieren</x:v>
      </x:c>
      <x:c r="AA29" s="14" t="str">
        <x:v>Limited Assurance; risikobasiert höhere Prüftiefe</x:v>
      </x:c>
      <x:c r="AB29" s="14" t="str">
        <x:v>Strukturell nutzbar; Schwellen fachlich zu validieren</x:v>
      </x:c>
      <x:c r="AC29" s="14" t="str">
        <x:v>Mittel</x:v>
      </x:c>
      <x:c r="AD29" s="14" t="str">
        <x:v>Vollständige fünfstufige numerische Regel.</x:v>
      </x:c>
      <x:c r="AE29" s="14" t="str">
        <x:v>v1.4</x:v>
      </x:c>
      <x:c r="AF29" s="52" t="str">
        <x:v>2026-08-16</x:v>
      </x:c>
      <x:c r="AG29" s="52"/>
    </x:row>
    <x:row r="30" ht="42" customHeight="1">
      <x:c r="A30" s="14" t="str">
        <x:v>WOK-S-114</x:v>
      </x:c>
      <x:c r="B30" s="14" t="str">
        <x:v>SDG 1 – Keine Armut</x:v>
      </x:c>
      <x:c r="C30" s="14" t="str">
        <x:v>1.2</x:v>
      </x:c>
      <x:c r="D30" s="14" t="str">
        <x:v>Existenzsichernde Teilzeit/Minijobs</x:v>
      </x:c>
      <x:c r="E30" s="14" t="str">
        <x:v>Existenzsichernde Teilzeit/Minijobs – Tarifbindung</x:v>
      </x:c>
      <x:c r="F30" s="14" t="str">
        <x:v>Beschäftigte unter Kollektivvertrag</x:v>
      </x:c>
      <x:c r="G30" s="14" t="str">
        <x:v>%</x:v>
      </x:c>
      <x:c r="H30" s="14" t="str">
        <x:v>higher_is_better</x:v>
      </x:c>
      <x:c r="I30" s="14" t="str">
        <x:v>R26</x:v>
      </x:c>
      <x:c r="J30" s="14" t="str">
        <x:v>≥90:+3; 70–89:+2; 50–69:0; 30–49:‑2; &lt;30:‑3</x:v>
      </x:c>
      <x:c r="K30" s="14" t="str">
        <x:v>Feste WÖk-Kalibrierung</x:v>
      </x:c>
      <x:c r="L30" s="14" t="str">
        <x:v>Arbeitskalibrierung – fachlich zu validieren</x:v>
      </x:c>
      <x:c r="M30" s="14" t="str">
        <x:v>WÖk-interne Klassenlogik</x:v>
      </x:c>
      <x:c r="N30" s="14" t="str">
        <x:v>Optional/Nein</x:v>
      </x:c>
      <x:c r="O30" s="14" t="str">
        <x:v>ESRS S1; GRI 401/403/405/406</x:v>
      </x:c>
      <x:c r="P30" s="14" t="str">
        <x:v>ESRS S1, GRI 401/403/405/406, ILO</x:v>
      </x:c>
      <x:c r="Q30" s="14" t="str">
        <x:v>Mess-, Berichts- oder Managementrahmen; Schwellen sind grundsätzlich WÖk-Kalibrierungen</x:v>
      </x:c>
      <x:c r="R30" s="14" t="str">
        <x:v>Messgrundlage belegt; Schwellenkalibrierung offen</x:v>
      </x:c>
      <x:c r="S30" s="14" t="str">
        <x:v>EU-ESRS; GRI; ISO-45001; ILO-LW; ILO-CORE</x:v>
      </x:c>
      <x:c r="T30" s="14" t="str">
        <x:v>G47 Handel; K Versicherungen; M72 F&amp;E</x:v>
      </x:c>
      <x:c r="U30" s="14" t="str">
        <x:v>Legacy / nicht explizit versioniert</x:v>
      </x:c>
      <x:c r="V30" s="51" t="str"/>
      <x:c r="W30" s="14" t="str">
        <x:v>Migration auf NACE Rev. 2.1 erforderlich</x:v>
      </x:c>
      <x:c r="X30" s="14" t="str">
        <x:v>Eigene Belegschaft/Organisation; FTE, Beschäftigtengruppe und Zeitraum</x:v>
      </x:c>
      <x:c r="Y30" s="14" t="str">
        <x:v>Quote = Zähler / Nenner gemäß Quelle; in %.</x:v>
      </x:c>
      <x:c r="Z30" s="14" t="str">
        <x:v>Primärdaten bevorzugt; Sekundärdaten nur transparent und versioniert; Methode und Systemgrenze dokumentieren</x:v>
      </x:c>
      <x:c r="AA30" s="14" t="str">
        <x:v>Limited Assurance; risikobasiert höhere Prüftiefe</x:v>
      </x:c>
      <x:c r="AB30" s="14" t="str">
        <x:v>Strukturell nutzbar; Schwellen fachlich zu validieren</x:v>
      </x:c>
      <x:c r="AC30" s="14" t="str">
        <x:v>Mittel</x:v>
      </x:c>
      <x:c r="AD30" s="14" t="str">
        <x:v>Vollständige fünfstufige numerische Regel.</x:v>
      </x:c>
      <x:c r="AE30" s="14" t="str">
        <x:v>v1.4</x:v>
      </x:c>
      <x:c r="AF30" s="52" t="str">
        <x:v>2026-08-16</x:v>
      </x:c>
      <x:c r="AG30" s="52"/>
    </x:row>
    <x:row r="31" ht="42" customHeight="1">
      <x:c r="A31" s="14" t="str">
        <x:v>WOK-S-115</x:v>
      </x:c>
      <x:c r="B31" s="14" t="str">
        <x:v>SDG 1 – Keine Armut</x:v>
      </x:c>
      <x:c r="C31" s="14" t="str">
        <x:v>1.2</x:v>
      </x:c>
      <x:c r="D31" s="14" t="str">
        <x:v>Existenzsichernde Teilzeit/Minijobs</x:v>
      </x:c>
      <x:c r="E31" s="14" t="str">
        <x:v>Existenzsichernde Teilzeit/Minijobs – LTIFR</x:v>
      </x:c>
      <x:c r="F31" s="14" t="str">
        <x:v>Arbeitsunfälle pro Mio Stunden</x:v>
      </x:c>
      <x:c r="G31" s="14" t="str">
        <x:v>Unfälle/Mio Std.</x:v>
      </x:c>
      <x:c r="H31" s="14" t="str">
        <x:v>lower_is_better</x:v>
      </x:c>
      <x:c r="I31" s="14" t="str">
        <x:v>R02</x:v>
      </x:c>
      <x:c r="J31" s="14" t="str">
        <x:v>0:+3; ≤1:+2; ≤3:0; ≤5:‑2; &gt;5:‑3</x:v>
      </x:c>
      <x:c r="K31" s="14" t="str">
        <x:v>Feste WÖk-Kalibrierung</x:v>
      </x:c>
      <x:c r="L31" s="14" t="str">
        <x:v>Arbeitskalibrierung – fachlich zu validieren</x:v>
      </x:c>
      <x:c r="M31" s="14" t="str">
        <x:v>WÖk-interne Klassenlogik</x:v>
      </x:c>
      <x:c r="N31" s="14" t="str">
        <x:v>Optional/Nein</x:v>
      </x:c>
      <x:c r="O31" s="14" t="str">
        <x:v>ESRS S1; GRI 401/403/405/406</x:v>
      </x:c>
      <x:c r="P31" s="14" t="str">
        <x:v>ESRS S1, GRI 401/403/405/406, ILO</x:v>
      </x:c>
      <x:c r="Q31" s="14" t="str">
        <x:v>Mess-, Berichts- oder Managementrahmen; Schwellen sind grundsätzlich WÖk-Kalibrierungen</x:v>
      </x:c>
      <x:c r="R31" s="14" t="str">
        <x:v>Messgrundlage belegt; Schwellenkalibrierung offen</x:v>
      </x:c>
      <x:c r="S31" s="14" t="str">
        <x:v>EU-ESRS; GRI; ISO-45001; ILO-LW; ILO-CORE</x:v>
      </x:c>
      <x:c r="T31" s="14" t="str">
        <x:v>G47 Handel; K Versicherungen; M72 F&amp;E</x:v>
      </x:c>
      <x:c r="U31" s="14" t="str">
        <x:v>Legacy / nicht explizit versioniert</x:v>
      </x:c>
      <x:c r="V31" s="51" t="str"/>
      <x:c r="W31" s="14" t="str">
        <x:v>Migration auf NACE Rev. 2.1 erforderlich</x:v>
      </x:c>
      <x:c r="X31" s="14" t="str">
        <x:v>Eigene Belegschaft/Organisation; FTE, Beschäftigtengruppe und Zeitraum</x:v>
      </x:c>
      <x:c r="Y31" s="14" t="str">
        <x:v>LTIFR = Unfälle mit Ausfallzeit / 1 Mio. Std. (ILO/GRI 403).</x:v>
      </x:c>
      <x:c r="Z31" s="14" t="str">
        <x:v>Primärdaten bevorzugt; Sekundärdaten nur transparent und versioniert; Methode und Systemgrenze dokumentieren</x:v>
      </x:c>
      <x:c r="AA31" s="14" t="str">
        <x:v>Limited Assurance; risikobasiert höhere Prüftiefe</x:v>
      </x:c>
      <x:c r="AB31" s="14" t="str">
        <x:v>Strukturell nutzbar; Schwellen fachlich zu validieren</x:v>
      </x:c>
      <x:c r="AC31" s="14" t="str">
        <x:v>Mittel</x:v>
      </x:c>
      <x:c r="AD31" s="14" t="str">
        <x:v>Vollständige fünfstufige numerische Regel.</x:v>
      </x:c>
      <x:c r="AE31" s="14" t="str">
        <x:v>v1.4</x:v>
      </x:c>
      <x:c r="AF31" s="52" t="str">
        <x:v>2026-08-16</x:v>
      </x:c>
      <x:c r="AG31" s="52"/>
    </x:row>
    <x:row r="32" ht="42" customHeight="1">
      <x:c r="A32" s="14" t="str">
        <x:v>WOK-E-101</x:v>
      </x:c>
      <x:c r="B32" s="14" t="str">
        <x:v>SDG 2 – Kein Hunger</x:v>
      </x:c>
      <x:c r="C32" s="14" t="str">
        <x:v>2.4</x:v>
      </x:c>
      <x:c r="D32" s="14" t="str">
        <x:v>Nährstoffmanagement (N‑Überschuss)</x:v>
      </x:c>
      <x:c r="E32" s="14" t="str">
        <x:v>Nährstoffmanagement (N‑Überschuss) – Entnahme (WSI)</x:v>
      </x:c>
      <x:c r="F32" s="14" t="str">
        <x:v>Wasserentnahme × Wasserstressindex</x:v>
      </x:c>
      <x:c r="G32" s="14" t="str">
        <x:v>m³*WSI</x:v>
      </x:c>
      <x:c r="H32" s="14" t="str">
        <x:v>lower_is_better</x:v>
      </x:c>
      <x:c r="I32" s="14" t="str">
        <x:v>R06</x:v>
      </x:c>
      <x:c r="J32" s="14" t="str">
        <x:v>Top‑10%:+3; Mittel:0; &gt;150%:‑2; &gt;250%:‑3</x:v>
      </x:c>
      <x:c r="K32" s="14" t="str">
        <x:v>Benchmarkabhängig</x:v>
      </x:c>
      <x:c r="L32" s="14" t="str">
        <x:v>Validierter Benchmark fehlt</x:v>
      </x:c>
      <x:c r="M32" s="14" t="str">
        <x:v>Branche/Region/Technologie</x:v>
      </x:c>
      <x:c r="N32" s="14" t="str">
        <x:v>Ja</x:v>
      </x:c>
      <x:c r="O32" s="14" t="str">
        <x:v>ESRS E3; WRI Aqueduct</x:v>
      </x:c>
      <x:c r="P32" s="14" t="str">
        <x:v>ESRS E3, WRI Aqueduct, ISO 14046 (Water Footprint)</x:v>
      </x:c>
      <x:c r="Q32" s="14" t="str">
        <x:v>Mess-/Methodenrahmen; aktiver Branchen-/Regional-/Technologiebenchmark separat erforderlich</x:v>
      </x:c>
      <x:c r="R32" s="14" t="str">
        <x:v>Teilbelegt – Benchmarkquelle fehlt</x:v>
      </x:c>
      <x:c r="S32" s="14" t="str">
        <x:v>EU-ESRS; WRI-AQ; ISO-14046</x:v>
      </x:c>
      <x:c r="T32" s="14" t="str">
        <x:v>A01 Landwirtschaft</x:v>
      </x:c>
      <x:c r="U32" s="14" t="str">
        <x:v>Legacy / nicht explizit versioniert</x:v>
      </x:c>
      <x:c r="V32" s="51" t="str"/>
      <x:c r="W32" s="14" t="str">
        <x:v>Migration auf NACE Rev. 2.1 erforderlich</x:v>
      </x:c>
      <x:c r="X32" s="14" t="str">
        <x:v>Standort/Prozess/Aktivität; Bezugsgröße und relevante Umweltmedien</x:v>
      </x:c>
      <x:c r="Y32" s="14" t="str">
        <x:v>∑(m³ Standort × WRI‑Aqueduct‑Stressfaktor).</x:v>
      </x:c>
      <x:c r="Z32" s="14" t="str">
        <x:v>Primärdaten plus repräsentativer, versionierter Benchmarkdatensatz; Stichprobe und Population offenlegen</x:v>
      </x:c>
      <x:c r="AA32" s="14" t="str">
        <x:v>Messwert-Assurance und unabhängige Benchmark-Governance</x:v>
      </x:c>
      <x:c r="AB32" s="14" t="str">
        <x:v>Prüfung/Parametrisierung erforderlich</x:v>
      </x:c>
      <x:c r="AC32" s="14" t="str">
        <x:v>Hoch</x:v>
      </x:c>
      <x:c r="AD32" s="14" t="str">
        <x:v>Top-10-Prozent, Mittelwert, 150 % und 250 % müssen aus einer dokumentierten Grundgesamtheit stammen.</x:v>
      </x:c>
      <x:c r="AE32" s="14" t="str">
        <x:v>v1.4</x:v>
      </x:c>
      <x:c r="AF32" s="52" t="str">
        <x:v>2026-08-16</x:v>
      </x:c>
      <x:c r="AG32" s="52"/>
    </x:row>
    <x:row r="33" ht="42" customHeight="1">
      <x:c r="A33" s="14" t="str">
        <x:v>WOK-E-102</x:v>
      </x:c>
      <x:c r="B33" s="14" t="str">
        <x:v>SDG 2 – Kein Hunger</x:v>
      </x:c>
      <x:c r="C33" s="14" t="str">
        <x:v>2.4</x:v>
      </x:c>
      <x:c r="D33" s="14" t="str">
        <x:v>Nährstoffmanagement (N‑Überschuss)</x:v>
      </x:c>
      <x:c r="E33" s="14" t="str">
        <x:v>Nährstoffmanagement (N‑Überschuss) – Reuse</x:v>
      </x:c>
      <x:c r="F33" s="14" t="str">
        <x:v>Anteil wiederverwendetes Prozesswasser</x:v>
      </x:c>
      <x:c r="G33" s="14" t="str">
        <x:v>%</x:v>
      </x:c>
      <x:c r="H33" s="14" t="str">
        <x:v>higher_is_better</x:v>
      </x:c>
      <x:c r="I33" s="14" t="str">
        <x:v>R25</x:v>
      </x:c>
      <x:c r="J33" s="14" t="str">
        <x:v>≥90%:+3; 70–89%:+2; 50–69%:0; 30–49%:‑2; &lt;30%:‑3</x:v>
      </x:c>
      <x:c r="K33" s="14" t="str">
        <x:v>Feste WÖk-Kalibrierung</x:v>
      </x:c>
      <x:c r="L33" s="14" t="str">
        <x:v>Arbeitskalibrierung – fachlich zu validieren</x:v>
      </x:c>
      <x:c r="M33" s="14" t="str">
        <x:v>WÖk-interne Klassenlogik</x:v>
      </x:c>
      <x:c r="N33" s="14" t="str">
        <x:v>Optional/Nein</x:v>
      </x:c>
      <x:c r="O33" s="14" t="str">
        <x:v>ESRS E3; WRI Aqueduct</x:v>
      </x:c>
      <x:c r="P33" s="14" t="str">
        <x:v>ESRS E3, WRI Aqueduct, ISO 14046 (Water Footprint)</x:v>
      </x:c>
      <x:c r="Q33" s="14" t="str">
        <x:v>Mess-, Berichts- oder Managementrahmen; Schwellen sind grundsätzlich WÖk-Kalibrierungen</x:v>
      </x:c>
      <x:c r="R33" s="14" t="str">
        <x:v>Messgrundlage belegt; Schwellenkalibrierung offen</x:v>
      </x:c>
      <x:c r="S33" s="14" t="str">
        <x:v>EU-ESRS; WRI-AQ; ISO-14046</x:v>
      </x:c>
      <x:c r="T33" s="14" t="str">
        <x:v>A01 Landwirtschaft</x:v>
      </x:c>
      <x:c r="U33" s="14" t="str">
        <x:v>Legacy / nicht explizit versioniert</x:v>
      </x:c>
      <x:c r="V33" s="51" t="str"/>
      <x:c r="W33" s="14" t="str">
        <x:v>Migration auf NACE Rev. 2.1 erforderlich</x:v>
      </x:c>
      <x:c r="X33" s="14" t="str">
        <x:v>Standort/Prozess/Aktivität; Bezugsgröße und relevante Umweltmedien</x:v>
      </x:c>
      <x:c r="Y33" s="14" t="str">
        <x:v>Quote = Zähler / Nenner gemäß Quelle; in %.</x:v>
      </x:c>
      <x:c r="Z33" s="14" t="str">
        <x:v>Primärdaten bevorzugt; Sekundärdaten nur transparent und versioniert; Methode und Systemgrenze dokumentieren</x:v>
      </x:c>
      <x:c r="AA33" s="14" t="str">
        <x:v>Limited Assurance; risikobasiert höhere Prüftiefe</x:v>
      </x:c>
      <x:c r="AB33" s="14" t="str">
        <x:v>Strukturell nutzbar; Schwellen fachlich zu validieren</x:v>
      </x:c>
      <x:c r="AC33" s="14" t="str">
        <x:v>Mittel</x:v>
      </x:c>
      <x:c r="AD33" s="14" t="str">
        <x:v>Vollständige fünfstufige Prozentregel.</x:v>
      </x:c>
      <x:c r="AE33" s="14" t="str">
        <x:v>v1.4</x:v>
      </x:c>
      <x:c r="AF33" s="52" t="str">
        <x:v>2026-08-16</x:v>
      </x:c>
      <x:c r="AG33" s="52"/>
    </x:row>
    <x:row r="34" ht="42" customHeight="1">
      <x:c r="A34" s="14" t="str">
        <x:v>WOK-E-103</x:v>
      </x:c>
      <x:c r="B34" s="14" t="str">
        <x:v>SDG 2 – Kein Hunger</x:v>
      </x:c>
      <x:c r="C34" s="14" t="str">
        <x:v>2.4</x:v>
      </x:c>
      <x:c r="D34" s="14" t="str">
        <x:v>Nährstoffmanagement (N‑Überschuss)</x:v>
      </x:c>
      <x:c r="E34" s="14" t="str">
        <x:v>Nährstoffmanagement (N‑Überschuss) – Abwasserqualität</x:v>
      </x:c>
      <x:c r="F34" s="14" t="str">
        <x:v>Messwert in Prozent des jeweils anwendbaren Rechts- oder Genehmigungsgrenzwerts</x:v>
      </x:c>
      <x:c r="G34" s="14" t="str">
        <x:v>% des Grenzwerts</x:v>
      </x:c>
      <x:c r="H34" s="14" t="str">
        <x:v>lower_is_better</x:v>
      </x:c>
      <x:c r="I34" s="14" t="str">
        <x:v>R12</x:v>
      </x:c>
      <x:c r="J34" s="14" t="str">
        <x:v>≤50% Grenzwert:+3; ≤75%:+2; ≤100%:0; 101–120%:‑2; &gt;120%:‑3</x:v>
      </x:c>
      <x:c r="K34" s="14" t="str">
        <x:v>Rechts-/Genehmigungsgrenze</x:v>
      </x:c>
      <x:c r="L34" s="14" t="str">
        <x:v>Rechtsfundstelle je Fall erforderlich</x:v>
      </x:c>
      <x:c r="M34" s="14" t="str">
        <x:v>Jeweils anwendbare Rechtsnorm/Genehmigung</x:v>
      </x:c>
      <x:c r="N34" s="14" t="str">
        <x:v>Optional/Nein</x:v>
      </x:c>
      <x:c r="O34" s="14" t="str">
        <x:v>ESRS E3; WRI Aqueduct</x:v>
      </x:c>
      <x:c r="P34" s="14" t="str">
        <x:v>ESRS E3, WRI Aqueduct, ISO 14046 (Water Footprint)</x:v>
      </x:c>
      <x:c r="Q34" s="14" t="str">
        <x:v>Mess-/Berichtsrahmen; konkrete Rechts- oder Genehmigungsfundstelle je Fall erforderlich</x:v>
      </x:c>
      <x:c r="R34" s="14" t="str">
        <x:v>Teilbelegt – Rechtsfundstelle je Messung fehlt</x:v>
      </x:c>
      <x:c r="S34" s="14" t="str">
        <x:v>EU-ESRS; WRI-AQ; ISO-14046</x:v>
      </x:c>
      <x:c r="T34" s="14" t="str">
        <x:v>A01 Landwirtschaft</x:v>
      </x:c>
      <x:c r="U34" s="14" t="str">
        <x:v>Legacy / nicht explizit versioniert</x:v>
      </x:c>
      <x:c r="V34" s="51" t="str"/>
      <x:c r="W34" s="14" t="str">
        <x:v>Migration auf NACE Rev. 2.1 erforderlich</x:v>
      </x:c>
      <x:c r="X34" s="14" t="str">
        <x:v>Standort/Prozess/Aktivität; Bezugsgröße und relevante Umweltmedien</x:v>
      </x:c>
      <x:c r="Y34" s="14" t="str">
        <x:v>Grenzwertquote = Messwert / anwendbarer Grenzwert × 100; Fundstelle, Einheit, Messpunkt und Zeitraum nachweisen.</x:v>
      </x:c>
      <x:c r="Z34" s="14" t="str">
        <x:v>Kalibrierter Messwert; Rechtsfundstelle, Grenzwert, Einheit, Messpunkt und Zeitraum</x:v>
      </x:c>
      <x:c r="AA34" s="14" t="str">
        <x:v>Behördlicher/akkreditierter Nachweis oder unabhängige Prüfung</x:v>
      </x:c>
      <x:c r="AB34" s="14" t="str">
        <x:v>Prüfung/Parametrisierung erforderlich</x:v>
      </x:c>
      <x:c r="AC34" s="14" t="str">
        <x:v>Hoch</x:v>
      </x:c>
      <x:c r="AD34" s="14" t="str">
        <x:v>Nicht der absolute Messwert, sondern Messwert ÷ Grenzwert × 100 wird bewertet.</x:v>
      </x:c>
      <x:c r="AE34" s="14" t="str">
        <x:v>v1.4</x:v>
      </x:c>
      <x:c r="AF34" s="52" t="str">
        <x:v>2026-08-16</x:v>
      </x:c>
      <x:c r="AG34" s="52"/>
    </x:row>
    <x:row r="35" ht="42" customHeight="1">
      <x:c r="A35" s="14" t="str">
        <x:v>WOK-E-104</x:v>
      </x:c>
      <x:c r="B35" s="14" t="str">
        <x:v>SDG 2 – Kein Hunger</x:v>
      </x:c>
      <x:c r="C35" s="14" t="str">
        <x:v>2.4</x:v>
      </x:c>
      <x:c r="D35" s="14" t="str">
        <x:v>Pestizideinsatz</x:v>
      </x:c>
      <x:c r="E35" s="14" t="str">
        <x:v>Pestizideinsatz – Abfallintensität</x:v>
      </x:c>
      <x:c r="F35" s="14" t="str">
        <x:v>Abfallmenge je Output</x:v>
      </x:c>
      <x:c r="G35" s="14" t="str">
        <x:v>kg/t</x:v>
      </x:c>
      <x:c r="H35" s="14" t="str">
        <x:v>lower_is_better</x:v>
      </x:c>
      <x:c r="I35" s="14" t="str">
        <x:v>R06</x:v>
      </x:c>
      <x:c r="J35" s="14" t="str">
        <x:v>Top‑10%:+3; Mittel:0; &gt;150%:‑2; &gt;250%:‑3</x:v>
      </x:c>
      <x:c r="K35" s="14" t="str">
        <x:v>Benchmarkabhängig</x:v>
      </x:c>
      <x:c r="L35" s="14" t="str">
        <x:v>Validierter Benchmark fehlt</x:v>
      </x:c>
      <x:c r="M35" s="14" t="str">
        <x:v>Branche/Region/Technologie</x:v>
      </x:c>
      <x:c r="N35" s="14" t="str">
        <x:v>Ja</x:v>
      </x:c>
      <x:c r="O35" s="14" t="str">
        <x:v>ESRS E5; GRI 306/301</x:v>
      </x:c>
      <x:c r="P35" s="14" t="str">
        <x:v>ESRS E5, GRI 306, WEEE/VerpackG</x:v>
      </x:c>
      <x:c r="Q35" s="14" t="str">
        <x:v>Mess-/Methodenrahmen; aktiver Branchen-/Regional-/Technologiebenchmark separat erforderlich</x:v>
      </x:c>
      <x:c r="R35" s="14" t="str">
        <x:v>Teilbelegt – Benchmarkquelle fehlt</x:v>
      </x:c>
      <x:c r="S35" s="14" t="str">
        <x:v>EU-ESRS; GRI</x:v>
      </x:c>
      <x:c r="T35" s="14" t="str">
        <x:v>A01 Landwirtschaft</x:v>
      </x:c>
      <x:c r="U35" s="14" t="str">
        <x:v>Legacy / nicht explizit versioniert</x:v>
      </x:c>
      <x:c r="V35" s="51" t="str"/>
      <x:c r="W35" s="14" t="str">
        <x:v>Migration auf NACE Rev. 2.1 erforderlich</x:v>
      </x:c>
      <x:c r="X35" s="14" t="str">
        <x:v>Standort/Prozess/Aktivität; Bezugsgröße und relevante Umweltmedien</x:v>
      </x:c>
      <x:c r="Y35" s="14" t="str">
        <x:v>Siehe Quelle: Definition gemäß Standard (ESRS/GRI/Taxonomie/ISO).</x:v>
      </x:c>
      <x:c r="Z35" s="14" t="str">
        <x:v>Primärdaten plus repräsentativer, versionierter Benchmarkdatensatz; Stichprobe und Population offenlegen</x:v>
      </x:c>
      <x:c r="AA35" s="14" t="str">
        <x:v>Messwert-Assurance und unabhängige Benchmark-Governance</x:v>
      </x:c>
      <x:c r="AB35" s="14" t="str">
        <x:v>Kritische Schablonenabweichung – Indikator und Definition fachlich neu zu entwerfen</x:v>
      </x:c>
      <x:c r="AC35" s="14" t="str">
        <x:v>Kritisch</x:v>
      </x:c>
      <x:c r="AD35" s="14" t="str">
        <x:v>Item-Bezeichnung und Messdefinition passen nicht ausreichend zusammen. Top-10-Prozent, Mittelwert, 150 % und 250 % müssen aus einer dokumentierten Grundgesamtheit stammen.</x:v>
      </x:c>
      <x:c r="AE35" s="14" t="str">
        <x:v>v1.4</x:v>
      </x:c>
      <x:c r="AF35" s="52" t="str">
        <x:v>2026-08-16</x:v>
      </x:c>
      <x:c r="AG35" s="52"/>
    </x:row>
    <x:row r="36" ht="42" customHeight="1">
      <x:c r="A36" s="14" t="str">
        <x:v>WOK-E-105</x:v>
      </x:c>
      <x:c r="B36" s="14" t="str">
        <x:v>SDG 2 – Kein Hunger</x:v>
      </x:c>
      <x:c r="C36" s="14" t="str">
        <x:v>2.4</x:v>
      </x:c>
      <x:c r="D36" s="14" t="str">
        <x:v>Pestizideinsatz</x:v>
      </x:c>
      <x:c r="E36" s="14" t="str">
        <x:v>Pestizideinsatz – Recyclingquote</x:v>
      </x:c>
      <x:c r="F36" s="14" t="str">
        <x:v>Anteil verwerteter Abfälle</x:v>
      </x:c>
      <x:c r="G36" s="14" t="str">
        <x:v>%</x:v>
      </x:c>
      <x:c r="H36" s="14" t="str">
        <x:v>higher_is_better</x:v>
      </x:c>
      <x:c r="I36" s="14" t="str">
        <x:v>R25</x:v>
      </x:c>
      <x:c r="J36" s="14" t="str">
        <x:v>≥90%:+3; 70–89%:+2; 50–69%:0; 30–49%:‑2; &lt;30%:‑3</x:v>
      </x:c>
      <x:c r="K36" s="14" t="str">
        <x:v>Feste WÖk-Kalibrierung</x:v>
      </x:c>
      <x:c r="L36" s="14" t="str">
        <x:v>Arbeitskalibrierung – fachlich zu validieren</x:v>
      </x:c>
      <x:c r="M36" s="14" t="str">
        <x:v>WÖk-interne Klassenlogik</x:v>
      </x:c>
      <x:c r="N36" s="14" t="str">
        <x:v>Optional/Nein</x:v>
      </x:c>
      <x:c r="O36" s="14" t="str">
        <x:v>ESRS E5; GRI 306/301</x:v>
      </x:c>
      <x:c r="P36" s="14" t="str">
        <x:v>ESRS E5, GRI 306, WEEE/VerpackG</x:v>
      </x:c>
      <x:c r="Q36" s="14" t="str">
        <x:v>Mess-, Berichts- oder Managementrahmen; Schwellen sind grundsätzlich WÖk-Kalibrierungen</x:v>
      </x:c>
      <x:c r="R36" s="14" t="str">
        <x:v>Messgrundlage belegt; Schwellenkalibrierung offen</x:v>
      </x:c>
      <x:c r="S36" s="14" t="str">
        <x:v>EU-ESRS; GRI</x:v>
      </x:c>
      <x:c r="T36" s="14" t="str">
        <x:v>A01 Landwirtschaft</x:v>
      </x:c>
      <x:c r="U36" s="14" t="str">
        <x:v>Legacy / nicht explizit versioniert</x:v>
      </x:c>
      <x:c r="V36" s="51" t="str"/>
      <x:c r="W36" s="14" t="str">
        <x:v>Migration auf NACE Rev. 2.1 erforderlich</x:v>
      </x:c>
      <x:c r="X36" s="14" t="str">
        <x:v>Standort/Prozess/Aktivität; Bezugsgröße und relevante Umweltmedien</x:v>
      </x:c>
      <x:c r="Y36" s="14" t="str">
        <x:v>Recyclingquote = stofflich verwertete Menge / Gesamtabfall.</x:v>
      </x:c>
      <x:c r="Z36" s="14" t="str">
        <x:v>Primärdaten bevorzugt; Sekundärdaten nur transparent und versioniert; Methode und Systemgrenze dokumentieren</x:v>
      </x:c>
      <x:c r="AA36" s="14" t="str">
        <x:v>Limited Assurance; risikobasiert höhere Prüftiefe</x:v>
      </x:c>
      <x:c r="AB36" s="14" t="str">
        <x:v>Kritische Schablonenabweichung – Indikator und Definition fachlich neu zu entwerfen</x:v>
      </x:c>
      <x:c r="AC36" s="14" t="str">
        <x:v>Kritisch</x:v>
      </x:c>
      <x:c r="AD36" s="14" t="str">
        <x:v>Item-Bezeichnung und Messdefinition passen nicht ausreichend zusammen. Vollständige fünfstufige Prozentregel.</x:v>
      </x:c>
      <x:c r="AE36" s="14" t="str">
        <x:v>v1.4</x:v>
      </x:c>
      <x:c r="AF36" s="52" t="str">
        <x:v>2026-08-16</x:v>
      </x:c>
      <x:c r="AG36" s="52"/>
    </x:row>
    <x:row r="37" ht="42" customHeight="1">
      <x:c r="A37" s="14" t="str">
        <x:v>WOK-E-106</x:v>
      </x:c>
      <x:c r="B37" s="14" t="str">
        <x:v>SDG 2 – Kein Hunger</x:v>
      </x:c>
      <x:c r="C37" s="14" t="str">
        <x:v>2.4</x:v>
      </x:c>
      <x:c r="D37" s="14" t="str">
        <x:v>Pestizideinsatz</x:v>
      </x:c>
      <x:c r="E37" s="14" t="str">
        <x:v>Pestizideinsatz – Gefährlicher Abfall</x:v>
      </x:c>
      <x:c r="F37" s="14" t="str">
        <x:v>Gefährlicher Abfall je Output</x:v>
      </x:c>
      <x:c r="G37" s="14" t="str">
        <x:v>kg/t</x:v>
      </x:c>
      <x:c r="H37" s="14" t="str">
        <x:v>lower_is_better</x:v>
      </x:c>
      <x:c r="I37" s="14" t="str">
        <x:v>R06</x:v>
      </x:c>
      <x:c r="J37" s="14" t="str">
        <x:v>Top‑10%:+3; Mittel:0; &gt;150%:‑2; &gt;250%:‑3</x:v>
      </x:c>
      <x:c r="K37" s="14" t="str">
        <x:v>Benchmarkabhängig</x:v>
      </x:c>
      <x:c r="L37" s="14" t="str">
        <x:v>Validierter Benchmark fehlt</x:v>
      </x:c>
      <x:c r="M37" s="14" t="str">
        <x:v>Branche/Region/Technologie</x:v>
      </x:c>
      <x:c r="N37" s="14" t="str">
        <x:v>Ja</x:v>
      </x:c>
      <x:c r="O37" s="14" t="str">
        <x:v>ESRS E5; GRI 306/301</x:v>
      </x:c>
      <x:c r="P37" s="14" t="str">
        <x:v>ESRS E5, GRI 306, WEEE/VerpackG</x:v>
      </x:c>
      <x:c r="Q37" s="14" t="str">
        <x:v>Mess-/Methodenrahmen; aktiver Branchen-/Regional-/Technologiebenchmark separat erforderlich</x:v>
      </x:c>
      <x:c r="R37" s="14" t="str">
        <x:v>Teilbelegt – Benchmarkquelle fehlt</x:v>
      </x:c>
      <x:c r="S37" s="14" t="str">
        <x:v>EU-ESRS; GRI</x:v>
      </x:c>
      <x:c r="T37" s="14" t="str">
        <x:v>A01 Landwirtschaft</x:v>
      </x:c>
      <x:c r="U37" s="14" t="str">
        <x:v>Legacy / nicht explizit versioniert</x:v>
      </x:c>
      <x:c r="V37" s="51" t="str"/>
      <x:c r="W37" s="14" t="str">
        <x:v>Migration auf NACE Rev. 2.1 erforderlich</x:v>
      </x:c>
      <x:c r="X37" s="14" t="str">
        <x:v>Standort/Prozess/Aktivität; Bezugsgröße und relevante Umweltmedien</x:v>
      </x:c>
      <x:c r="Y37" s="14" t="str">
        <x:v>Gefährlicher Abfall‑Intensität = Gefährlicher Abfall / Output bzw. Umsatz.</x:v>
      </x:c>
      <x:c r="Z37" s="14" t="str">
        <x:v>Primärdaten plus repräsentativer, versionierter Benchmarkdatensatz; Stichprobe und Population offenlegen</x:v>
      </x:c>
      <x:c r="AA37" s="14" t="str">
        <x:v>Messwert-Assurance und unabhängige Benchmark-Governance</x:v>
      </x:c>
      <x:c r="AB37" s="14" t="str">
        <x:v>Kritische Schablonenabweichung – Indikator und Definition fachlich neu zu entwerfen</x:v>
      </x:c>
      <x:c r="AC37" s="14" t="str">
        <x:v>Kritisch</x:v>
      </x:c>
      <x:c r="AD37" s="14" t="str">
        <x:v>Item-Bezeichnung und Messdefinition passen nicht ausreichend zusammen. Top-10-Prozent, Mittelwert, 150 % und 250 % müssen aus einer dokumentierten Grundgesamtheit stammen.</x:v>
      </x:c>
      <x:c r="AE37" s="14" t="str">
        <x:v>v1.4</x:v>
      </x:c>
      <x:c r="AF37" s="52" t="str">
        <x:v>2026-08-16</x:v>
      </x:c>
      <x:c r="AG37" s="52"/>
    </x:row>
    <x:row r="38" ht="42" customHeight="1">
      <x:c r="A38" s="14" t="str">
        <x:v>WOK-E-107</x:v>
      </x:c>
      <x:c r="B38" s="14" t="str">
        <x:v>SDG 2 – Kein Hunger</x:v>
      </x:c>
      <x:c r="C38" s="14" t="str">
        <x:v>2.4</x:v>
      </x:c>
      <x:c r="D38" s="14" t="str">
        <x:v>Wasserentnahme (WSI)</x:v>
      </x:c>
      <x:c r="E38" s="14" t="str">
        <x:v>Wasserentnahme (WSI) – Entnahme (WSI)</x:v>
      </x:c>
      <x:c r="F38" s="14" t="str">
        <x:v>Wasserentnahme × Wasserstressindex</x:v>
      </x:c>
      <x:c r="G38" s="14" t="str">
        <x:v>m³*WSI</x:v>
      </x:c>
      <x:c r="H38" s="14" t="str">
        <x:v>lower_is_better</x:v>
      </x:c>
      <x:c r="I38" s="14" t="str">
        <x:v>R06</x:v>
      </x:c>
      <x:c r="J38" s="14" t="str">
        <x:v>Top‑10%:+3; Mittel:0; &gt;150%:‑2; &gt;250%:‑3</x:v>
      </x:c>
      <x:c r="K38" s="14" t="str">
        <x:v>Benchmarkabhängig</x:v>
      </x:c>
      <x:c r="L38" s="14" t="str">
        <x:v>Validierter Benchmark fehlt</x:v>
      </x:c>
      <x:c r="M38" s="14" t="str">
        <x:v>Branche/Region/Technologie</x:v>
      </x:c>
      <x:c r="N38" s="14" t="str">
        <x:v>Ja</x:v>
      </x:c>
      <x:c r="O38" s="14" t="str">
        <x:v>ESRS E3; WRI Aqueduct</x:v>
      </x:c>
      <x:c r="P38" s="14" t="str">
        <x:v>ESRS E3, WRI Aqueduct, ISO 14046 (Water Footprint)</x:v>
      </x:c>
      <x:c r="Q38" s="14" t="str">
        <x:v>Mess-/Methodenrahmen; aktiver Branchen-/Regional-/Technologiebenchmark separat erforderlich</x:v>
      </x:c>
      <x:c r="R38" s="14" t="str">
        <x:v>Teilbelegt – Benchmarkquelle fehlt</x:v>
      </x:c>
      <x:c r="S38" s="14" t="str">
        <x:v>EU-ESRS; WRI-AQ; ISO-14046</x:v>
      </x:c>
      <x:c r="T38" s="14" t="str">
        <x:v>A01 Landwirtschaft</x:v>
      </x:c>
      <x:c r="U38" s="14" t="str">
        <x:v>Legacy / nicht explizit versioniert</x:v>
      </x:c>
      <x:c r="V38" s="51" t="str"/>
      <x:c r="W38" s="14" t="str">
        <x:v>Migration auf NACE Rev. 2.1 erforderlich</x:v>
      </x:c>
      <x:c r="X38" s="14" t="str">
        <x:v>Standort/Prozess/Aktivität; Bezugsgröße und relevante Umweltmedien</x:v>
      </x:c>
      <x:c r="Y38" s="14" t="str">
        <x:v>∑(m³ Standort × WRI‑Aqueduct‑Stressfaktor).</x:v>
      </x:c>
      <x:c r="Z38" s="14" t="str">
        <x:v>Primärdaten plus repräsentativer, versionierter Benchmarkdatensatz; Stichprobe und Population offenlegen</x:v>
      </x:c>
      <x:c r="AA38" s="14" t="str">
        <x:v>Messwert-Assurance und unabhängige Benchmark-Governance</x:v>
      </x:c>
      <x:c r="AB38" s="14" t="str">
        <x:v>Prüfung/Parametrisierung erforderlich</x:v>
      </x:c>
      <x:c r="AC38" s="14" t="str">
        <x:v>Hoch</x:v>
      </x:c>
      <x:c r="AD38" s="14" t="str">
        <x:v>Top-10-Prozent, Mittelwert, 150 % und 250 % müssen aus einer dokumentierten Grundgesamtheit stammen.</x:v>
      </x:c>
      <x:c r="AE38" s="14" t="str">
        <x:v>v1.4</x:v>
      </x:c>
      <x:c r="AF38" s="52" t="str">
        <x:v>2026-08-16</x:v>
      </x:c>
      <x:c r="AG38" s="52"/>
    </x:row>
    <x:row r="39" ht="42" customHeight="1">
      <x:c r="A39" s="14" t="str">
        <x:v>WOK-E-108</x:v>
      </x:c>
      <x:c r="B39" s="14" t="str">
        <x:v>SDG 2 – Kein Hunger</x:v>
      </x:c>
      <x:c r="C39" s="14" t="str">
        <x:v>2.4</x:v>
      </x:c>
      <x:c r="D39" s="14" t="str">
        <x:v>Wasserentnahme (WSI)</x:v>
      </x:c>
      <x:c r="E39" s="14" t="str">
        <x:v>Wasserentnahme (WSI) – Reuse</x:v>
      </x:c>
      <x:c r="F39" s="14" t="str">
        <x:v>Anteil wiederverwendetes Prozesswasser</x:v>
      </x:c>
      <x:c r="G39" s="14" t="str">
        <x:v>%</x:v>
      </x:c>
      <x:c r="H39" s="14" t="str">
        <x:v>higher_is_better</x:v>
      </x:c>
      <x:c r="I39" s="14" t="str">
        <x:v>R25</x:v>
      </x:c>
      <x:c r="J39" s="14" t="str">
        <x:v>≥90%:+3; 70–89%:+2; 50–69%:0; 30–49%:‑2; &lt;30%:‑3</x:v>
      </x:c>
      <x:c r="K39" s="14" t="str">
        <x:v>Feste WÖk-Kalibrierung</x:v>
      </x:c>
      <x:c r="L39" s="14" t="str">
        <x:v>Arbeitskalibrierung – fachlich zu validieren</x:v>
      </x:c>
      <x:c r="M39" s="14" t="str">
        <x:v>WÖk-interne Klassenlogik</x:v>
      </x:c>
      <x:c r="N39" s="14" t="str">
        <x:v>Optional/Nein</x:v>
      </x:c>
      <x:c r="O39" s="14" t="str">
        <x:v>ESRS E3; WRI Aqueduct</x:v>
      </x:c>
      <x:c r="P39" s="14" t="str">
        <x:v>ESRS E3, WRI Aqueduct, ISO 14046 (Water Footprint)</x:v>
      </x:c>
      <x:c r="Q39" s="14" t="str">
        <x:v>Mess-, Berichts- oder Managementrahmen; Schwellen sind grundsätzlich WÖk-Kalibrierungen</x:v>
      </x:c>
      <x:c r="R39" s="14" t="str">
        <x:v>Messgrundlage belegt; Schwellenkalibrierung offen</x:v>
      </x:c>
      <x:c r="S39" s="14" t="str">
        <x:v>EU-ESRS; WRI-AQ; ISO-14046</x:v>
      </x:c>
      <x:c r="T39" s="14" t="str">
        <x:v>A01 Landwirtschaft</x:v>
      </x:c>
      <x:c r="U39" s="14" t="str">
        <x:v>Legacy / nicht explizit versioniert</x:v>
      </x:c>
      <x:c r="V39" s="51" t="str"/>
      <x:c r="W39" s="14" t="str">
        <x:v>Migration auf NACE Rev. 2.1 erforderlich</x:v>
      </x:c>
      <x:c r="X39" s="14" t="str">
        <x:v>Standort/Prozess/Aktivität; Bezugsgröße und relevante Umweltmedien</x:v>
      </x:c>
      <x:c r="Y39" s="14" t="str">
        <x:v>∑(m³ Standort × WRI‑Aqueduct‑Stressfaktor).</x:v>
      </x:c>
      <x:c r="Z39" s="14" t="str">
        <x:v>Primärdaten bevorzugt; Sekundärdaten nur transparent und versioniert; Methode und Systemgrenze dokumentieren</x:v>
      </x:c>
      <x:c r="AA39" s="14" t="str">
        <x:v>Limited Assurance; risikobasiert höhere Prüftiefe</x:v>
      </x:c>
      <x:c r="AB39" s="14" t="str">
        <x:v>Strukturell nutzbar; Schwellen fachlich zu validieren</x:v>
      </x:c>
      <x:c r="AC39" s="14" t="str">
        <x:v>Mittel</x:v>
      </x:c>
      <x:c r="AD39" s="14" t="str">
        <x:v>Vollständige fünfstufige Prozentregel.</x:v>
      </x:c>
      <x:c r="AE39" s="14" t="str">
        <x:v>v1.4</x:v>
      </x:c>
      <x:c r="AF39" s="52" t="str">
        <x:v>2026-08-16</x:v>
      </x:c>
      <x:c r="AG39" s="52"/>
    </x:row>
    <x:row r="40" ht="42" customHeight="1">
      <x:c r="A40" s="14" t="str">
        <x:v>WOK-E-109</x:v>
      </x:c>
      <x:c r="B40" s="14" t="str">
        <x:v>SDG 2 – Kein Hunger</x:v>
      </x:c>
      <x:c r="C40" s="14" t="str">
        <x:v>2.4</x:v>
      </x:c>
      <x:c r="D40" s="14" t="str">
        <x:v>Wasserentnahme (WSI)</x:v>
      </x:c>
      <x:c r="E40" s="14" t="str">
        <x:v>Wasserentnahme (WSI) – Abwasserqualität</x:v>
      </x:c>
      <x:c r="F40" s="14" t="str">
        <x:v>Messwert in Prozent des jeweils anwendbaren Rechts- oder Genehmigungsgrenzwerts</x:v>
      </x:c>
      <x:c r="G40" s="14" t="str">
        <x:v>% des Grenzwerts</x:v>
      </x:c>
      <x:c r="H40" s="14" t="str">
        <x:v>lower_is_better</x:v>
      </x:c>
      <x:c r="I40" s="14" t="str">
        <x:v>R12</x:v>
      </x:c>
      <x:c r="J40" s="14" t="str">
        <x:v>≤50% Grenzwert:+3; ≤75%:+2; ≤100%:0; 101–120%:‑2; &gt;120%:‑3</x:v>
      </x:c>
      <x:c r="K40" s="14" t="str">
        <x:v>Rechts-/Genehmigungsgrenze</x:v>
      </x:c>
      <x:c r="L40" s="14" t="str">
        <x:v>Rechtsfundstelle je Fall erforderlich</x:v>
      </x:c>
      <x:c r="M40" s="14" t="str">
        <x:v>Jeweils anwendbare Rechtsnorm/Genehmigung</x:v>
      </x:c>
      <x:c r="N40" s="14" t="str">
        <x:v>Optional/Nein</x:v>
      </x:c>
      <x:c r="O40" s="14" t="str">
        <x:v>ESRS E3; WRI Aqueduct</x:v>
      </x:c>
      <x:c r="P40" s="14" t="str">
        <x:v>ESRS E3, WRI Aqueduct, ISO 14046 (Water Footprint)</x:v>
      </x:c>
      <x:c r="Q40" s="14" t="str">
        <x:v>Mess-/Berichtsrahmen; konkrete Rechts- oder Genehmigungsfundstelle je Fall erforderlich</x:v>
      </x:c>
      <x:c r="R40" s="14" t="str">
        <x:v>Teilbelegt – Rechtsfundstelle je Messung fehlt</x:v>
      </x:c>
      <x:c r="S40" s="14" t="str">
        <x:v>EU-ESRS; WRI-AQ; ISO-14046</x:v>
      </x:c>
      <x:c r="T40" s="14" t="str">
        <x:v>A01 Landwirtschaft</x:v>
      </x:c>
      <x:c r="U40" s="14" t="str">
        <x:v>Legacy / nicht explizit versioniert</x:v>
      </x:c>
      <x:c r="V40" s="51" t="str"/>
      <x:c r="W40" s="14" t="str">
        <x:v>Migration auf NACE Rev. 2.1 erforderlich</x:v>
      </x:c>
      <x:c r="X40" s="14" t="str">
        <x:v>Standort/Prozess/Aktivität; Bezugsgröße und relevante Umweltmedien</x:v>
      </x:c>
      <x:c r="Y40" s="14" t="str">
        <x:v>Grenzwertquote = Messwert / anwendbarer Grenzwert × 100; Fundstelle, Einheit, Messpunkt und Zeitraum nachweisen.</x:v>
      </x:c>
      <x:c r="Z40" s="14" t="str">
        <x:v>Kalibrierter Messwert; Rechtsfundstelle, Grenzwert, Einheit, Messpunkt und Zeitraum</x:v>
      </x:c>
      <x:c r="AA40" s="14" t="str">
        <x:v>Behördlicher/akkreditierter Nachweis oder unabhängige Prüfung</x:v>
      </x:c>
      <x:c r="AB40" s="14" t="str">
        <x:v>Prüfung/Parametrisierung erforderlich</x:v>
      </x:c>
      <x:c r="AC40" s="14" t="str">
        <x:v>Hoch</x:v>
      </x:c>
      <x:c r="AD40" s="14" t="str">
        <x:v>Nicht der absolute Messwert, sondern Messwert ÷ Grenzwert × 100 wird bewertet.</x:v>
      </x:c>
      <x:c r="AE40" s="14" t="str">
        <x:v>v1.4</x:v>
      </x:c>
      <x:c r="AF40" s="52" t="str">
        <x:v>2026-08-16</x:v>
      </x:c>
      <x:c r="AG40" s="52"/>
    </x:row>
    <x:row r="41" ht="42" customHeight="1">
      <x:c r="A41" s="14" t="str">
        <x:v>WOK-SC-104</x:v>
      </x:c>
      <x:c r="B41" s="14" t="str">
        <x:v>SDG 2 – Kein Hunger</x:v>
      </x:c>
      <x:c r="C41" s="14" t="str">
        <x:v>2.3</x:v>
      </x:c>
      <x:c r="D41" s="14" t="str">
        <x:v>Kleinbauern‑Integration</x:v>
      </x:c>
      <x:c r="E41" s="14" t="str">
        <x:v>Kleinbauern‑Integration – ESG‑Spend‑Coverage</x:v>
      </x:c>
      <x:c r="F41" s="14" t="str">
        <x:v>Anteil verifizierter ESG‑Daten am Spend</x:v>
      </x:c>
      <x:c r="G41" s="14" t="str">
        <x:v>%</x:v>
      </x:c>
      <x:c r="H41" s="14" t="str">
        <x:v>higher_is_better</x:v>
      </x:c>
      <x:c r="I41" s="14" t="str">
        <x:v>R26</x:v>
      </x:c>
      <x:c r="J41" s="14" t="str">
        <x:v>≥90:+3; 70–89:+2; 50–69:0; 30–49:‑2; &lt;30:‑3</x:v>
      </x:c>
      <x:c r="K41" s="14" t="str">
        <x:v>Feste WÖk-Kalibrierung</x:v>
      </x:c>
      <x:c r="L41" s="14" t="str">
        <x:v>Arbeitskalibrierung – fachlich zu validieren</x:v>
      </x:c>
      <x:c r="M41" s="14" t="str">
        <x:v>WÖk-interne Klassenlogik</x:v>
      </x:c>
      <x:c r="N41" s="14" t="str">
        <x:v>Optional/Nein</x:v>
      </x:c>
      <x:c r="O41" s="14" t="str">
        <x:v>ESRS S2; GRI 308/414/408/409</x:v>
      </x:c>
      <x:c r="P41" s="14" t="str">
        <x:v>ESRS S2; GRI 308/414/408/409</x:v>
      </x:c>
      <x:c r="Q41" s="14" t="str">
        <x:v>Mess-, Berichts- oder Managementrahmen; Schwellen sind grundsätzlich WÖk-Kalibrierungen</x:v>
      </x:c>
      <x:c r="R41" s="14" t="str">
        <x:v>Messgrundlage belegt; Schwellenkalibrierung offen</x:v>
      </x:c>
      <x:c r="S41" s="14" t="str">
        <x:v>EU-ESRS; GRI; OECD-DD; ILO-CORE</x:v>
      </x:c>
      <x:c r="T41" s="14" t="str">
        <x:v>A01 Landwirtschaft</x:v>
      </x:c>
      <x:c r="U41" s="14" t="str">
        <x:v>Legacy / nicht explizit versioniert</x:v>
      </x:c>
      <x:c r="V41" s="51" t="str"/>
      <x:c r="W41" s="14" t="str">
        <x:v>Migration auf NACE Rev. 2.1 erforderlich</x:v>
      </x:c>
      <x:c r="X41" s="14" t="str">
        <x:v>Vorgelagerte Lieferkette; relevante Tier-Stufen und Beschaffungsvolumen</x:v>
      </x:c>
      <x:c r="Y41" s="14" t="str">
        <x:v>Quote = Zähler / Nenner gemäß Quelle; in %.</x:v>
      </x:c>
      <x:c r="Z41" s="14" t="str">
        <x:v>Primärdaten bevorzugt; Sekundärdaten nur transparent und versioniert; Methode und Systemgrenze dokumentieren</x:v>
      </x:c>
      <x:c r="AA41" s="14" t="str">
        <x:v>Limited Assurance; risikobasiert höhere Prüftiefe</x:v>
      </x:c>
      <x:c r="AB41" s="14" t="str">
        <x:v>Strukturell nutzbar; Schwellen fachlich zu validieren</x:v>
      </x:c>
      <x:c r="AC41" s="14" t="str">
        <x:v>Mittel</x:v>
      </x:c>
      <x:c r="AD41" s="14" t="str">
        <x:v>Vollständige fünfstufige numerische Regel.</x:v>
      </x:c>
      <x:c r="AE41" s="14" t="str">
        <x:v>v1.4</x:v>
      </x:c>
      <x:c r="AF41" s="52" t="str">
        <x:v>2026-08-16</x:v>
      </x:c>
      <x:c r="AG41" s="52"/>
    </x:row>
    <x:row r="42" ht="42" customHeight="1">
      <x:c r="A42" s="14" t="str">
        <x:v>WOK-SC-105</x:v>
      </x:c>
      <x:c r="B42" s="14" t="str">
        <x:v>SDG 2 – Kein Hunger</x:v>
      </x:c>
      <x:c r="C42" s="14" t="str">
        <x:v>2.3</x:v>
      </x:c>
      <x:c r="D42" s="14" t="str">
        <x:v>Kleinbauern‑Integration</x:v>
      </x:c>
      <x:c r="E42" s="14" t="str">
        <x:v>Kleinbauern‑Integration – Kinder/Zwangsarbeit</x:v>
      </x:c>
      <x:c r="F42" s="14" t="str">
        <x:v>Audits ohne Verstöße</x:v>
      </x:c>
      <x:c r="G42" s="14" t="str">
        <x:v>% Lieferanten</x:v>
      </x:c>
      <x:c r="H42" s="14" t="str">
        <x:v>higher_is_better</x:v>
      </x:c>
      <x:c r="I42" s="14" t="str">
        <x:v>R28</x:v>
      </x:c>
      <x:c r="J42" s="14" t="str">
        <x:v>≥98:+3; 90–97:+2; 75–89:0; 50–74:‑2; &lt;50:‑3</x:v>
      </x:c>
      <x:c r="K42" s="14" t="str">
        <x:v>Feste WÖk-Kalibrierung</x:v>
      </x:c>
      <x:c r="L42" s="14" t="str">
        <x:v>Arbeitskalibrierung – fachlich zu validieren</x:v>
      </x:c>
      <x:c r="M42" s="14" t="str">
        <x:v>WÖk-interne Klassenlogik</x:v>
      </x:c>
      <x:c r="N42" s="14" t="str">
        <x:v>Optional/Nein</x:v>
      </x:c>
      <x:c r="O42" s="14" t="str">
        <x:v>ESRS S2; GRI 308/414/408/409</x:v>
      </x:c>
      <x:c r="P42" s="14" t="str">
        <x:v>ESRS S2, GRI 308/414, OECD Due Diligence</x:v>
      </x:c>
      <x:c r="Q42" s="14" t="str">
        <x:v>Mess-, Berichts- oder Managementrahmen; Schwellen sind grundsätzlich WÖk-Kalibrierungen</x:v>
      </x:c>
      <x:c r="R42" s="14" t="str">
        <x:v>Messgrundlage belegt; Schwellenkalibrierung offen</x:v>
      </x:c>
      <x:c r="S42" s="14" t="str">
        <x:v>EU-ESRS; GRI; OECD-DD; ILO-CORE</x:v>
      </x:c>
      <x:c r="T42" s="14" t="str">
        <x:v>A01 Landwirtschaft</x:v>
      </x:c>
      <x:c r="U42" s="14" t="str">
        <x:v>Legacy / nicht explizit versioniert</x:v>
      </x:c>
      <x:c r="V42" s="51" t="str"/>
      <x:c r="W42" s="14" t="str">
        <x:v>Migration auf NACE Rev. 2.1 erforderlich</x:v>
      </x:c>
      <x:c r="X42" s="14" t="str">
        <x:v>Vorgelagerte Lieferkette; relevante Tier-Stufen und Beschaffungsvolumen</x:v>
      </x:c>
      <x:c r="Y42" s="14" t="str">
        <x:v>Quote = Zähler / Nenner gemäß Quelle; in %.</x:v>
      </x:c>
      <x:c r="Z42" s="14" t="str">
        <x:v>Primärdaten bevorzugt; Sekundärdaten nur transparent und versioniert; Methode und Systemgrenze dokumentieren</x:v>
      </x:c>
      <x:c r="AA42" s="14" t="str">
        <x:v>Limited Assurance; risikobasiert höhere Prüftiefe</x:v>
      </x:c>
      <x:c r="AB42" s="14" t="str">
        <x:v>Strukturell nutzbar; Schwellen fachlich zu validieren</x:v>
      </x:c>
      <x:c r="AC42" s="14" t="str">
        <x:v>Mittel</x:v>
      </x:c>
      <x:c r="AD42" s="14" t="str">
        <x:v>Vollständige fünfstufige numerische Regel.</x:v>
      </x:c>
      <x:c r="AE42" s="14" t="str">
        <x:v>v1.4</x:v>
      </x:c>
      <x:c r="AF42" s="52" t="str">
        <x:v>2026-08-16</x:v>
      </x:c>
      <x:c r="AG42" s="52"/>
    </x:row>
    <x:row r="43" ht="42" customHeight="1">
      <x:c r="A43" s="14" t="str">
        <x:v>WOK-SC-106</x:v>
      </x:c>
      <x:c r="B43" s="14" t="str">
        <x:v>SDG 2 – Kein Hunger</x:v>
      </x:c>
      <x:c r="C43" s="14" t="str">
        <x:v>2.3</x:v>
      </x:c>
      <x:c r="D43" s="14" t="str">
        <x:v>Kleinbauern‑Integration</x:v>
      </x:c>
      <x:c r="E43" s="14" t="str">
        <x:v>Kleinbauern‑Integration – Scope‑3 Daten</x:v>
      </x:c>
      <x:c r="F43" s="14" t="str">
        <x:v>Primärdaten‑Abdeckung</x:v>
      </x:c>
      <x:c r="G43" s="14" t="str">
        <x:v>% Kategorien</x:v>
      </x:c>
      <x:c r="H43" s="14" t="str">
        <x:v>higher_is_better</x:v>
      </x:c>
      <x:c r="I43" s="14" t="str">
        <x:v>R23</x:v>
      </x:c>
      <x:c r="J43" s="14" t="str">
        <x:v>≥80:+3; 60–79:+2; 40–59:0; 20–39:‑2; &lt;20:‑3</x:v>
      </x:c>
      <x:c r="K43" s="14" t="str">
        <x:v>Feste WÖk-Kalibrierung</x:v>
      </x:c>
      <x:c r="L43" s="14" t="str">
        <x:v>Arbeitskalibrierung – fachlich zu validieren</x:v>
      </x:c>
      <x:c r="M43" s="14" t="str">
        <x:v>WÖk-interne Klassenlogik</x:v>
      </x:c>
      <x:c r="N43" s="14" t="str">
        <x:v>Optional/Nein</x:v>
      </x:c>
      <x:c r="O43" s="14" t="str">
        <x:v>ESRS E1; GHG Protocol</x:v>
      </x:c>
      <x:c r="P43" s="14" t="str">
        <x:v>ESRS E1, GHG Protocol (Corporate/Scope 1–3), ISO 14064/14067</x:v>
      </x:c>
      <x:c r="Q43" s="14" t="str">
        <x:v>Mess-, Berichts- oder Managementrahmen; Schwellen sind grundsätzlich WÖk-Kalibrierungen</x:v>
      </x:c>
      <x:c r="R43" s="14" t="str">
        <x:v>Messgrundlage belegt; Schwellenkalibrierung offen</x:v>
      </x:c>
      <x:c r="S43" s="14" t="str">
        <x:v>EU-ESRS; GHG-CORP; GHG-S3; GHG-PROD</x:v>
      </x:c>
      <x:c r="T43" s="14" t="str">
        <x:v>A01 Landwirtschaft</x:v>
      </x:c>
      <x:c r="U43" s="14" t="str">
        <x:v>Legacy / nicht explizit versioniert</x:v>
      </x:c>
      <x:c r="V43" s="51" t="str"/>
      <x:c r="W43" s="14" t="str">
        <x:v>Migration auf NACE Rev. 2.1 erforderlich</x:v>
      </x:c>
      <x:c r="X43" s="14" t="str">
        <x:v>Vorgelagerte Lieferkette; relevante Tier-Stufen und Beschaffungsvolumen</x:v>
      </x:c>
      <x:c r="Y43" s="14" t="str">
        <x:v>Quote = Zähler / Nenner gemäß Quelle; in %.</x:v>
      </x:c>
      <x:c r="Z43" s="14" t="str">
        <x:v>Primärdaten bevorzugt; Sekundärdaten nur transparent und versioniert; Methode und Systemgrenze dokumentieren</x:v>
      </x:c>
      <x:c r="AA43" s="14" t="str">
        <x:v>Limited Assurance; risikobasiert höhere Prüftiefe</x:v>
      </x:c>
      <x:c r="AB43" s="14" t="str">
        <x:v>Strukturell nutzbar; Schwellen fachlich zu validieren</x:v>
      </x:c>
      <x:c r="AC43" s="14" t="str">
        <x:v>Mittel</x:v>
      </x:c>
      <x:c r="AD43" s="14" t="str">
        <x:v>Vollständige fünfstufige numerische Regel.</x:v>
      </x:c>
      <x:c r="AE43" s="14" t="str">
        <x:v>v1.4</x:v>
      </x:c>
      <x:c r="AF43" s="52" t="str">
        <x:v>2026-08-16</x:v>
      </x:c>
      <x:c r="AG43" s="52"/>
    </x:row>
    <x:row r="44" ht="42" customHeight="1">
      <x:c r="A44" s="14" t="str">
        <x:v>WOK-P-101</x:v>
      </x:c>
      <x:c r="B44" s="14" t="str">
        <x:v>SDG 2 – Kein Hunger</x:v>
      </x:c>
      <x:c r="C44" s="14" t="str">
        <x:v>2.4</x:v>
      </x:c>
      <x:c r="D44" s="14" t="str">
        <x:v>Produkt‑PCF Agrar</x:v>
      </x:c>
      <x:c r="E44" s="14" t="str">
        <x:v>Produkt‑PCF Agrar – PCF</x:v>
      </x:c>
      <x:c r="F44" s="14" t="str">
        <x:v>CO₂‑Fußabdruck pro Einheit</x:v>
      </x:c>
      <x:c r="G44" s="14" t="str">
        <x:v>kg CO₂e/Einheit</x:v>
      </x:c>
      <x:c r="H44" s="14" t="str">
        <x:v>lower_is_better</x:v>
      </x:c>
      <x:c r="I44" s="14" t="str">
        <x:v>R07</x:v>
      </x:c>
      <x:c r="J44" s="14" t="str">
        <x:v>Top‑10%:+3; ±Benchmark:0; &gt;150%:‑2; &gt;250%:‑3</x:v>
      </x:c>
      <x:c r="K44" s="14" t="str">
        <x:v>Benchmarkabhängig</x:v>
      </x:c>
      <x:c r="L44" s="14" t="str">
        <x:v>Validierter Benchmark fehlt</x:v>
      </x:c>
      <x:c r="M44" s="14" t="str">
        <x:v>Produktgruppe/Region/Technologie</x:v>
      </x:c>
      <x:c r="N44" s="14" t="str">
        <x:v>Ja</x:v>
      </x:c>
      <x:c r="O44" s="14" t="str">
        <x:v>ISO 14067; ESRS E5; GRI 306/301; WEEE/VerpackG</x:v>
      </x:c>
      <x:c r="P44" s="14" t="str">
        <x:v>ISO 14067/14040/44 (LCA/PCF), PEF/EF 3.1, EU Reparierbarkeitsindex</x:v>
      </x:c>
      <x:c r="Q44" s="14" t="str">
        <x:v>Mess-/Methodenrahmen; aktiver Branchen-/Regional-/Technologiebenchmark separat erforderlich</x:v>
      </x:c>
      <x:c r="R44" s="14" t="str">
        <x:v>Teilbelegt – Benchmarkquelle fehlt</x:v>
      </x:c>
      <x:c r="S44" s="14" t="str">
        <x:v>ISO-14067; EU-ESRS; GRI; EU-WEEE; DE-VERPACKG; EU-PPWR</x:v>
      </x:c>
      <x:c r="T44" s="14" t="str">
        <x:v>A01 Landwirtschaft</x:v>
      </x:c>
      <x:c r="U44" s="14" t="str">
        <x:v>Legacy / nicht explizit versioniert</x:v>
      </x:c>
      <x:c r="V44" s="51" t="str"/>
      <x:c r="W44" s="14" t="str">
        <x:v>Migration auf NACE Rev. 2.1 erforderlich</x:v>
      </x:c>
      <x:c r="X44" s="14" t="str">
        <x:v>Produkt/Funktionseinheit; Lebenszyklusgrenze mindestens cradle-to-gate, bei Nutzungs-/End-of-Life-Relevanz cradle-to-grave</x:v>
      </x:c>
      <x:c r="Y44" s="14" t="str">
        <x:v>PCF gemäß ISO 14067/PEF; Well‑to‑Gate + Nutzung falls zutreffend.</x:v>
      </x:c>
      <x:c r="Z44" s="14" t="str">
        <x:v>Primärdaten plus repräsentativer, versionierter Benchmarkdatensatz; Stichprobe und Population offenlegen</x:v>
      </x:c>
      <x:c r="AA44" s="14" t="str">
        <x:v>Messwert-Assurance und unabhängige Benchmark-Governance</x:v>
      </x:c>
      <x:c r="AB44" s="14" t="str">
        <x:v>Prüfung/Parametrisierung erforderlich</x:v>
      </x:c>
      <x:c r="AC44" s="14" t="str">
        <x:v>Hoch</x:v>
      </x:c>
      <x:c r="AD44" s="14" t="str">
        <x:v>Produktspezifische Referenzpopulation erforderlich.</x:v>
      </x:c>
      <x:c r="AE44" s="14" t="str">
        <x:v>v1.4</x:v>
      </x:c>
      <x:c r="AF44" s="52" t="str">
        <x:v>2026-08-16</x:v>
      </x:c>
      <x:c r="AG44" s="52"/>
    </x:row>
    <x:row r="45" ht="42" customHeight="1">
      <x:c r="A45" s="14" t="str">
        <x:v>WOK-P-102</x:v>
      </x:c>
      <x:c r="B45" s="14" t="str">
        <x:v>SDG 2 – Kein Hunger</x:v>
      </x:c>
      <x:c r="C45" s="14" t="str">
        <x:v>2.4</x:v>
      </x:c>
      <x:c r="D45" s="14" t="str">
        <x:v>Produkt‑PCF Agrar</x:v>
      </x:c>
      <x:c r="E45" s="14" t="str">
        <x:v>Produkt‑PCF Agrar – Reparierbarkeit</x:v>
      </x:c>
      <x:c r="F45" s="14" t="str">
        <x:v>Reparierbarkeitsindex</x:v>
      </x:c>
      <x:c r="G45" s="14" t="str">
        <x:v>Score 0–10</x:v>
      </x:c>
      <x:c r="H45" s="14" t="str">
        <x:v>higher_is_better</x:v>
      </x:c>
      <x:c r="I45" s="14" t="str">
        <x:v>R24</x:v>
      </x:c>
      <x:c r="J45" s="14" t="str">
        <x:v>≥8:+3; 6–7,9:+2; 4–5,9:0; 2–3,9:‑2; &lt;2:‑3</x:v>
      </x:c>
      <x:c r="K45" s="14" t="str">
        <x:v>Produktspezifische Indexkalibrierung</x:v>
      </x:c>
      <x:c r="L45" s="14" t="str">
        <x:v>Indexsystem und Produktgruppe müssen ausgewiesen werden</x:v>
      </x:c>
      <x:c r="M45" s="14" t="str">
        <x:v>FR-/EU-Reparierbarkeitssystem je Produktgruppe</x:v>
      </x:c>
      <x:c r="N45" s="14" t="str">
        <x:v>Optional/Nein</x:v>
      </x:c>
      <x:c r="O45" s="14" t="str">
        <x:v>EU/FR Index</x:v>
      </x:c>
      <x:c r="P45" s="14" t="str">
        <x:v>ISO 14067/14040/44 (LCA/PCF), PEF/EF 3.1, EU Reparierbarkeitsindex</x:v>
      </x:c>
      <x:c r="Q45" s="14" t="str">
        <x:v>Produktspezifischer Rechts-/Indexrahmen; System und Produktgruppe explizit auswählen</x:v>
      </x:c>
      <x:c r="R45" s="14" t="str">
        <x:v>Teilbelegt – produktspezifisch zu validieren</x:v>
      </x:c>
      <x:c r="S45" s="14" t="str">
        <x:v>FR-REPAIR; EU-REPAIR; EU-ESPR</x:v>
      </x:c>
      <x:c r="T45" s="14" t="str">
        <x:v>A01 Landwirtschaft</x:v>
      </x:c>
      <x:c r="U45" s="14" t="str">
        <x:v>Legacy / nicht explizit versioniert</x:v>
      </x:c>
      <x:c r="V45" s="51" t="str"/>
      <x:c r="W45" s="14" t="str">
        <x:v>Migration auf NACE Rev. 2.1 erforderlich</x:v>
      </x:c>
      <x:c r="X45" s="14" t="str">
        <x:v>Produkt/Funktionseinheit; Lebenszyklusgrenze mindestens cradle-to-gate, bei Nutzungs-/End-of-Life-Relevanz cradle-to-grave</x:v>
      </x:c>
      <x:c r="Y45" s="14" t="str">
        <x:v>PCF gemäß ISO 14067/PEF; Well‑to‑Gate + Nutzung falls zutreffend.</x:v>
      </x:c>
      <x:c r="Z45" s="14" t="str">
        <x:v>Primärdaten oder qualitätsgesicherte Sekundärdaten; Methode, Zeitraum und Systemgrenze dokumentieren</x:v>
      </x:c>
      <x:c r="AA45" s="14" t="str">
        <x:v>Limited Assurance; bei materieller Steuerwirkung risikobasiert vertiefen</x:v>
      </x:c>
      <x:c r="AB45" s="14" t="str">
        <x:v>Produktspezifische bzw. lokale Prüfung erforderlich</x:v>
      </x:c>
      <x:c r="AC45" s="14" t="str">
        <x:v>Hoch</x:v>
      </x:c>
      <x:c r="AD45" s="14" t="str">
        <x:v>Indexsystem, Produktgruppe und Rechtsstand festlegen. Französischer Index und EU-Score sind nicht pauschal austauschbar.</x:v>
      </x:c>
      <x:c r="AE45" s="14" t="str">
        <x:v>v1.4</x:v>
      </x:c>
      <x:c r="AF45" s="52" t="str">
        <x:v>2026-08-16</x:v>
      </x:c>
      <x:c r="AG45" s="52"/>
    </x:row>
    <x:row r="46" ht="42" customHeight="1">
      <x:c r="A46" s="14" t="str">
        <x:v>WOK-P-103</x:v>
      </x:c>
      <x:c r="B46" s="14" t="str">
        <x:v>SDG 2 – Kein Hunger</x:v>
      </x:c>
      <x:c r="C46" s="14" t="str">
        <x:v>2.4</x:v>
      </x:c>
      <x:c r="D46" s="14" t="str">
        <x:v>Produkt‑PCF Agrar</x:v>
      </x:c>
      <x:c r="E46" s="14" t="str">
        <x:v>Produkt‑PCF Agrar – Rücknahme/Recycling</x:v>
      </x:c>
      <x:c r="F46" s="14" t="str">
        <x:v>Rücknahme‑/Recyclingquote</x:v>
      </x:c>
      <x:c r="G46" s="14" t="str">
        <x:v>%</x:v>
      </x:c>
      <x:c r="H46" s="14" t="str">
        <x:v>higher_is_better</x:v>
      </x:c>
      <x:c r="I46" s="14" t="str">
        <x:v>R22</x:v>
      </x:c>
      <x:c r="J46" s="14" t="str">
        <x:v>≥70:+3; 50–69:+2; 30–49:0; 15–29:‑2; &lt;15:‑3</x:v>
      </x:c>
      <x:c r="K46" s="14" t="str">
        <x:v>Feste WÖk-Kalibrierung</x:v>
      </x:c>
      <x:c r="L46" s="14" t="str">
        <x:v>Arbeitskalibrierung – fachlich zu validieren</x:v>
      </x:c>
      <x:c r="M46" s="14" t="str">
        <x:v>WÖk-interne Klassenlogik</x:v>
      </x:c>
      <x:c r="N46" s="14" t="str">
        <x:v>Optional/Nein</x:v>
      </x:c>
      <x:c r="O46" s="14" t="str">
        <x:v>ESRS E5; GRI 306/301; WEEE/VerpackG</x:v>
      </x:c>
      <x:c r="P46" s="14" t="str">
        <x:v>ESRS E5, GRI 306, WEEE/VerpackG</x:v>
      </x:c>
      <x:c r="Q46" s="14" t="str">
        <x:v>Mess-, Berichts- oder Managementrahmen; Schwellen sind grundsätzlich WÖk-Kalibrierungen</x:v>
      </x:c>
      <x:c r="R46" s="14" t="str">
        <x:v>Messgrundlage belegt; Schwellenkalibrierung offen</x:v>
      </x:c>
      <x:c r="S46" s="14" t="str">
        <x:v>EU-ESRS; GRI; EU-WEEE; DE-VERPACKG; EU-PPWR</x:v>
      </x:c>
      <x:c r="T46" s="14" t="str">
        <x:v>A01 Landwirtschaft</x:v>
      </x:c>
      <x:c r="U46" s="14" t="str">
        <x:v>Legacy / nicht explizit versioniert</x:v>
      </x:c>
      <x:c r="V46" s="51" t="str"/>
      <x:c r="W46" s="14" t="str">
        <x:v>Migration auf NACE Rev. 2.1 erforderlich</x:v>
      </x:c>
      <x:c r="X46" s="14" t="str">
        <x:v>Produkt/Funktionseinheit; Lebenszyklusgrenze mindestens cradle-to-gate, bei Nutzungs-/End-of-Life-Relevanz cradle-to-grave</x:v>
      </x:c>
      <x:c r="Y46" s="14" t="str">
        <x:v>PCF gemäß ISO 14067/PEF; Well‑to‑Gate + Nutzung falls zutreffend.</x:v>
      </x:c>
      <x:c r="Z46" s="14" t="str">
        <x:v>Primärdaten bevorzugt; Sekundärdaten nur transparent und versioniert; Methode und Systemgrenze dokumentieren</x:v>
      </x:c>
      <x:c r="AA46" s="14" t="str">
        <x:v>Limited Assurance; risikobasiert höhere Prüftiefe</x:v>
      </x:c>
      <x:c r="AB46" s="14" t="str">
        <x:v>Strukturell nutzbar; Schwellen fachlich zu validieren</x:v>
      </x:c>
      <x:c r="AC46" s="14" t="str">
        <x:v>Mittel</x:v>
      </x:c>
      <x:c r="AD46" s="14" t="str">
        <x:v>Vollständige fünfstufige numerische Regel.</x:v>
      </x:c>
      <x:c r="AE46" s="14" t="str">
        <x:v>v1.4</x:v>
      </x:c>
      <x:c r="AF46" s="52" t="str">
        <x:v>2026-08-16</x:v>
      </x:c>
      <x:c r="AG46" s="52"/>
    </x:row>
    <x:row r="47" ht="42" customHeight="1">
      <x:c r="A47" s="14" t="str">
        <x:v>WOK-E-110</x:v>
      </x:c>
      <x:c r="B47" s="14" t="str">
        <x:v>SDG 2 – Kein Hunger</x:v>
      </x:c>
      <x:c r="C47" s="14" t="str">
        <x:v>2.4</x:v>
      </x:c>
      <x:c r="D47" s="14" t="str">
        <x:v>Boden‑Organik/Fruchtbarkeit</x:v>
      </x:c>
      <x:c r="E47" s="14" t="str">
        <x:v>Boden‑Organik/Fruchtbarkeit – Nettoeffekt</x:v>
      </x:c>
      <x:c r="F47" s="14" t="str">
        <x:v>Net Gain/No Net Loss/Net Loss</x:v>
      </x:c>
      <x:c r="G47" s="14" t="str">
        <x:v>Qualitativ → Klasse</x:v>
      </x:c>
      <x:c r="H47" s="14" t="str">
        <x:v>higher_is_better</x:v>
      </x:c>
      <x:c r="I47" s="14" t="str">
        <x:v>R03</x:v>
      </x:c>
      <x:c r="J47" s="14" t="str">
        <x:v>Net Gain:+3; No Net Loss:0; Net Loss:‑2/‑3</x:v>
      </x:c>
      <x:c r="K47" s="14" t="str">
        <x:v>Qualitativ</x:v>
      </x:c>
      <x:c r="L47" s="14" t="str">
        <x:v>Assurance und Kriterienkatalog erforderlich</x:v>
      </x:c>
      <x:c r="M47" s="14" t="str">
        <x:v>WÖk-Kategorien; fachliche Definition je Wirkungsfeld</x:v>
      </x:c>
      <x:c r="N47" s="14" t="str">
        <x:v>Optional/Nein</x:v>
      </x:c>
      <x:c r="O47" s="14" t="str">
        <x:v>ESRS E4; GIS/KBA</x:v>
      </x:c>
      <x:c r="P47" s="14" t="str">
        <x:v>ESRS E4, CBD/GBF, EN 15978 (Bau)</x:v>
      </x:c>
      <x:c r="Q47" s="14" t="str">
        <x:v>Mess-, Berichts- oder Managementrahmen; Schwellen sind grundsätzlich WÖk-Kalibrierungen</x:v>
      </x:c>
      <x:c r="R47" s="14" t="str">
        <x:v>Messgrundlage belegt; Schwellenkalibrierung offen</x:v>
      </x:c>
      <x:c r="S47" s="14" t="str">
        <x:v>EU-ESRS; CBD-GBF; KBA-DATA; DATA-GIS</x:v>
      </x:c>
      <x:c r="T47" s="14" t="str">
        <x:v>A01 Landwirtschaft</x:v>
      </x:c>
      <x:c r="U47" s="14" t="str">
        <x:v>Legacy / nicht explizit versioniert</x:v>
      </x:c>
      <x:c r="V47" s="51" t="str"/>
      <x:c r="W47" s="14" t="str">
        <x:v>Migration auf NACE Rev. 2.1 erforderlich</x:v>
      </x:c>
      <x:c r="X47" s="14" t="str">
        <x:v>Standort/Prozess/Aktivität; Bezugsgröße und relevante Umweltmedien</x:v>
      </x:c>
      <x:c r="Y47" s="14" t="str">
        <x:v>Siehe Quelle: Definition gemäß Standard (ESRS/GRI/Taxonomie/ISO).</x:v>
      </x:c>
      <x:c r="Z47" s="14" t="str">
        <x:v>Dokumentierter Kriterienkatalog; nachvollziehbare Evidenz; DQR A/B bevorzugt</x:v>
      </x:c>
      <x:c r="AA47" s="14" t="str">
        <x:v>Unabhängige Fachprüfung/Limited Assurance; bei roten Linien Reasonable Assurance</x:v>
      </x:c>
      <x:c r="AB47" s="14" t="str">
        <x:v>Prüfung/Parametrisierung erforderlich</x:v>
      </x:c>
      <x:c r="AC47" s="14" t="str">
        <x:v>Hoch</x:v>
      </x:c>
      <x:c r="AD47" s="14" t="str">
        <x:v>Net Gain/No Net Loss/Net Loss ist ohne feldspezifischen Nachweis nicht automatisierbar.</x:v>
      </x:c>
      <x:c r="AE47" s="14" t="str">
        <x:v>v1.4</x:v>
      </x:c>
      <x:c r="AF47" s="52" t="str">
        <x:v>2026-08-16</x:v>
      </x:c>
      <x:c r="AG47" s="52"/>
    </x:row>
    <x:row r="48" ht="42" customHeight="1">
      <x:c r="A48" s="14" t="str">
        <x:v>WOK-E-111</x:v>
      </x:c>
      <x:c r="B48" s="14" t="str">
        <x:v>SDG 2 – Kein Hunger</x:v>
      </x:c>
      <x:c r="C48" s="14" t="str">
        <x:v>2.4</x:v>
      </x:c>
      <x:c r="D48" s="14" t="str">
        <x:v>Boden‑Organik/Fruchtbarkeit</x:v>
      </x:c>
      <x:c r="E48" s="14" t="str">
        <x:v>Boden‑Organik/Fruchtbarkeit – Landumwandlung</x:v>
      </x:c>
      <x:c r="F48" s="14" t="str">
        <x:v>Neue Flächen mit hohem Risiko</x:v>
      </x:c>
      <x:c r="G48" s="14" t="str">
        <x:v>ha/Jahr</x:v>
      </x:c>
      <x:c r="H48" s="14" t="str">
        <x:v>lower_is_better</x:v>
      </x:c>
      <x:c r="I48" s="14" t="str">
        <x:v>R02</x:v>
      </x:c>
      <x:c r="J48" s="14" t="str">
        <x:v>0:+3; ≤1:+2; ≤3:0; ≤5:‑2; &gt;5:‑3</x:v>
      </x:c>
      <x:c r="K48" s="14" t="str">
        <x:v>Feste WÖk-Kalibrierung</x:v>
      </x:c>
      <x:c r="L48" s="14" t="str">
        <x:v>Arbeitskalibrierung – fachlich zu validieren</x:v>
      </x:c>
      <x:c r="M48" s="14" t="str">
        <x:v>WÖk-interne Klassenlogik</x:v>
      </x:c>
      <x:c r="N48" s="14" t="str">
        <x:v>Optional/Nein</x:v>
      </x:c>
      <x:c r="O48" s="14" t="str">
        <x:v>ESRS E4; GIS/KBA</x:v>
      </x:c>
      <x:c r="P48" s="14" t="str">
        <x:v>ESRS E4, CBD/GBF, EN 15978 (Bau)</x:v>
      </x:c>
      <x:c r="Q48" s="14" t="str">
        <x:v>Mess-, Berichts- oder Managementrahmen; Schwellen sind grundsätzlich WÖk-Kalibrierungen</x:v>
      </x:c>
      <x:c r="R48" s="14" t="str">
        <x:v>Messgrundlage belegt; Schwellenkalibrierung offen</x:v>
      </x:c>
      <x:c r="S48" s="14" t="str">
        <x:v>EU-ESRS; CBD-GBF; KBA-DATA; DATA-GIS</x:v>
      </x:c>
      <x:c r="T48" s="14" t="str">
        <x:v>A01 Landwirtschaft</x:v>
      </x:c>
      <x:c r="U48" s="14" t="str">
        <x:v>Legacy / nicht explizit versioniert</x:v>
      </x:c>
      <x:c r="V48" s="51" t="str"/>
      <x:c r="W48" s="14" t="str">
        <x:v>Migration auf NACE Rev. 2.1 erforderlich</x:v>
      </x:c>
      <x:c r="X48" s="14" t="str">
        <x:v>Standort/Prozess/Aktivität; Bezugsgröße und relevante Umweltmedien</x:v>
      </x:c>
      <x:c r="Y48" s="14" t="str">
        <x:v>Siehe Quelle: Definition gemäß Standard (ESRS/GRI/Taxonomie/ISO).</x:v>
      </x:c>
      <x:c r="Z48" s="14" t="str">
        <x:v>Primärdaten bevorzugt; Sekundärdaten nur transparent und versioniert; Methode und Systemgrenze dokumentieren</x:v>
      </x:c>
      <x:c r="AA48" s="14" t="str">
        <x:v>Limited Assurance; risikobasiert höhere Prüftiefe</x:v>
      </x:c>
      <x:c r="AB48" s="14" t="str">
        <x:v>Strukturell nutzbar; Schwellen fachlich zu validieren</x:v>
      </x:c>
      <x:c r="AC48" s="14" t="str">
        <x:v>Mittel</x:v>
      </x:c>
      <x:c r="AD48" s="14" t="str">
        <x:v>Vollständige fünfstufige numerische Regel.</x:v>
      </x:c>
      <x:c r="AE48" s="14" t="str">
        <x:v>v1.4</x:v>
      </x:c>
      <x:c r="AF48" s="52" t="str">
        <x:v>2026-08-16</x:v>
      </x:c>
      <x:c r="AG48" s="52"/>
    </x:row>
    <x:row r="49" ht="42" customHeight="1">
      <x:c r="A49" s="14" t="str">
        <x:v>WOK-E-112</x:v>
      </x:c>
      <x:c r="B49" s="14" t="str">
        <x:v>SDG 2 – Kein Hunger</x:v>
      </x:c>
      <x:c r="C49" s="14" t="str">
        <x:v>2.4</x:v>
      </x:c>
      <x:c r="D49" s="14" t="str">
        <x:v>Boden‑Organik/Fruchtbarkeit</x:v>
      </x:c>
      <x:c r="E49" s="14" t="str">
        <x:v>Boden‑Organik/Fruchtbarkeit – Deforestationsfrei</x:v>
      </x:c>
      <x:c r="F49" s="14" t="str">
        <x:v>Anteil deforestationsfreie Rohstoffe</x:v>
      </x:c>
      <x:c r="G49" s="14" t="str">
        <x:v>%</x:v>
      </x:c>
      <x:c r="H49" s="14" t="str">
        <x:v>higher_is_better</x:v>
      </x:c>
      <x:c r="I49" s="14" t="str">
        <x:v>R28</x:v>
      </x:c>
      <x:c r="J49" s="14" t="str">
        <x:v>≥98:+3; 90–97:+2; 75–89:0; 50–74:‑2; &lt;50:‑3</x:v>
      </x:c>
      <x:c r="K49" s="14" t="str">
        <x:v>Feste WÖk-Kalibrierung</x:v>
      </x:c>
      <x:c r="L49" s="14" t="str">
        <x:v>Arbeitskalibrierung – fachlich zu validieren</x:v>
      </x:c>
      <x:c r="M49" s="14" t="str">
        <x:v>WÖk-interne Klassenlogik</x:v>
      </x:c>
      <x:c r="N49" s="14" t="str">
        <x:v>Optional/Nein</x:v>
      </x:c>
      <x:c r="O49" s="14" t="str">
        <x:v>ESRS E4; GIS/KBA</x:v>
      </x:c>
      <x:c r="P49" s="14" t="str">
        <x:v>ESRS E4, CBD/GBF, EN 15978 (Bau)</x:v>
      </x:c>
      <x:c r="Q49" s="14" t="str">
        <x:v>Mess-, Berichts- oder Managementrahmen; Schwellen sind grundsätzlich WÖk-Kalibrierungen</x:v>
      </x:c>
      <x:c r="R49" s="14" t="str">
        <x:v>Messgrundlage belegt; Schwellenkalibrierung offen</x:v>
      </x:c>
      <x:c r="S49" s="14" t="str">
        <x:v>EU-ESRS; CBD-GBF; KBA-DATA; DATA-GIS</x:v>
      </x:c>
      <x:c r="T49" s="14" t="str">
        <x:v>A01 Landwirtschaft</x:v>
      </x:c>
      <x:c r="U49" s="14" t="str">
        <x:v>Legacy / nicht explizit versioniert</x:v>
      </x:c>
      <x:c r="V49" s="51" t="str"/>
      <x:c r="W49" s="14" t="str">
        <x:v>Migration auf NACE Rev. 2.1 erforderlich</x:v>
      </x:c>
      <x:c r="X49" s="14" t="str">
        <x:v>Standort/Prozess/Aktivität; Bezugsgröße und relevante Umweltmedien</x:v>
      </x:c>
      <x:c r="Y49" s="14" t="str">
        <x:v>Quote = Zähler / Nenner gemäß Quelle; in %.</x:v>
      </x:c>
      <x:c r="Z49" s="14" t="str">
        <x:v>Primärdaten bevorzugt; Sekundärdaten nur transparent und versioniert; Methode und Systemgrenze dokumentieren</x:v>
      </x:c>
      <x:c r="AA49" s="14" t="str">
        <x:v>Limited Assurance; risikobasiert höhere Prüftiefe</x:v>
      </x:c>
      <x:c r="AB49" s="14" t="str">
        <x:v>Strukturell nutzbar; Schwellen fachlich zu validieren</x:v>
      </x:c>
      <x:c r="AC49" s="14" t="str">
        <x:v>Mittel</x:v>
      </x:c>
      <x:c r="AD49" s="14" t="str">
        <x:v>Vollständige fünfstufige numerische Regel.</x:v>
      </x:c>
      <x:c r="AE49" s="14" t="str">
        <x:v>v1.4</x:v>
      </x:c>
      <x:c r="AF49" s="52" t="str">
        <x:v>2026-08-16</x:v>
      </x:c>
      <x:c r="AG49" s="52"/>
    </x:row>
    <x:row r="50" ht="42" customHeight="1">
      <x:c r="A50" s="14" t="str">
        <x:v>WOK-S-116</x:v>
      </x:c>
      <x:c r="B50" s="14" t="str">
        <x:v>SDG 2 – Kein Hunger</x:v>
      </x:c>
      <x:c r="C50" s="14" t="str">
        <x:v>2.3</x:v>
      </x:c>
      <x:c r="D50" s="14" t="str">
        <x:v>Saisonarbeits‑Standards</x:v>
      </x:c>
      <x:c r="E50" s="14" t="str">
        <x:v>Saisonarbeits‑Standards – Living Wage</x:v>
      </x:c>
      <x:c r="F50" s="14" t="str">
        <x:v>Abdeckung Lebenslohn</x:v>
      </x:c>
      <x:c r="G50" s="14" t="str">
        <x:v>% Beschäftigte</x:v>
      </x:c>
      <x:c r="H50" s="14" t="str">
        <x:v>higher_is_better</x:v>
      </x:c>
      <x:c r="I50" s="14" t="str">
        <x:v>R27</x:v>
      </x:c>
      <x:c r="J50" s="14" t="str">
        <x:v>≥95:+3; 80–94:+2; 60–79:0; 40–59:‑2; &lt;40:‑3</x:v>
      </x:c>
      <x:c r="K50" s="14" t="str">
        <x:v>Feste WÖk-Kalibrierung</x:v>
      </x:c>
      <x:c r="L50" s="14" t="str">
        <x:v>Arbeitskalibrierung – fachlich zu validieren</x:v>
      </x:c>
      <x:c r="M50" s="14" t="str">
        <x:v>WÖk-interne Klassenlogik</x:v>
      </x:c>
      <x:c r="N50" s="14" t="str">
        <x:v>Optional/Nein</x:v>
      </x:c>
      <x:c r="O50" s="14" t="str">
        <x:v>ESRS S1; GRI 401/403/405/406</x:v>
      </x:c>
      <x:c r="P50" s="14" t="str">
        <x:v>ESRS S1, GRI 401/403/405/406, ILO</x:v>
      </x:c>
      <x:c r="Q50" s="14" t="str">
        <x:v>Mess-, Berichts- oder Managementrahmen; Schwellen sind grundsätzlich WÖk-Kalibrierungen</x:v>
      </x:c>
      <x:c r="R50" s="14" t="str">
        <x:v>Messgrundlage belegt; Schwellenkalibrierung offen</x:v>
      </x:c>
      <x:c r="S50" s="14" t="str">
        <x:v>EU-ESRS; GRI; ISO-45001; ILO-LW; ILO-CORE</x:v>
      </x:c>
      <x:c r="T50" s="14" t="str">
        <x:v>A01 Landwirtschaft</x:v>
      </x:c>
      <x:c r="U50" s="14" t="str">
        <x:v>Legacy / nicht explizit versioniert</x:v>
      </x:c>
      <x:c r="V50" s="51" t="str"/>
      <x:c r="W50" s="14" t="str">
        <x:v>Migration auf NACE Rev. 2.1 erforderlich</x:v>
      </x:c>
      <x:c r="X50" s="14" t="str">
        <x:v>Eigene Belegschaft/Organisation; FTE, Beschäftigtengruppe und Zeitraum</x:v>
      </x:c>
      <x:c r="Y50" s="14" t="str">
        <x:v>Anteil Beschäftigte ≥ Living Wage (zertifizierte Methodik).</x:v>
      </x:c>
      <x:c r="Z50" s="14" t="str">
        <x:v>Primärdaten bevorzugt; Sekundärdaten nur transparent und versioniert; Methode und Systemgrenze dokumentieren</x:v>
      </x:c>
      <x:c r="AA50" s="14" t="str">
        <x:v>Limited Assurance; risikobasiert höhere Prüftiefe</x:v>
      </x:c>
      <x:c r="AB50" s="14" t="str">
        <x:v>Strukturell nutzbar; Schwellen fachlich zu validieren</x:v>
      </x:c>
      <x:c r="AC50" s="14" t="str">
        <x:v>Mittel</x:v>
      </x:c>
      <x:c r="AD50" s="14" t="str">
        <x:v>Vollständige fünfstufige numerische Regel.</x:v>
      </x:c>
      <x:c r="AE50" s="14" t="str">
        <x:v>v1.4</x:v>
      </x:c>
      <x:c r="AF50" s="52" t="str">
        <x:v>2026-08-16</x:v>
      </x:c>
      <x:c r="AG50" s="52"/>
    </x:row>
    <x:row r="51" ht="42" customHeight="1">
      <x:c r="A51" s="14" t="str">
        <x:v>WOK-S-117</x:v>
      </x:c>
      <x:c r="B51" s="14" t="str">
        <x:v>SDG 2 – Kein Hunger</x:v>
      </x:c>
      <x:c r="C51" s="14" t="str">
        <x:v>2.3</x:v>
      </x:c>
      <x:c r="D51" s="14" t="str">
        <x:v>Saisonarbeits‑Standards</x:v>
      </x:c>
      <x:c r="E51" s="14" t="str">
        <x:v>Saisonarbeits‑Standards – Tarifbindung</x:v>
      </x:c>
      <x:c r="F51" s="14" t="str">
        <x:v>Beschäftigte unter Kollektivvertrag</x:v>
      </x:c>
      <x:c r="G51" s="14" t="str">
        <x:v>%</x:v>
      </x:c>
      <x:c r="H51" s="14" t="str">
        <x:v>higher_is_better</x:v>
      </x:c>
      <x:c r="I51" s="14" t="str">
        <x:v>R26</x:v>
      </x:c>
      <x:c r="J51" s="14" t="str">
        <x:v>≥90:+3; 70–89:+2; 50–69:0; 30–49:‑2; &lt;30:‑3</x:v>
      </x:c>
      <x:c r="K51" s="14" t="str">
        <x:v>Feste WÖk-Kalibrierung</x:v>
      </x:c>
      <x:c r="L51" s="14" t="str">
        <x:v>Arbeitskalibrierung – fachlich zu validieren</x:v>
      </x:c>
      <x:c r="M51" s="14" t="str">
        <x:v>WÖk-interne Klassenlogik</x:v>
      </x:c>
      <x:c r="N51" s="14" t="str">
        <x:v>Optional/Nein</x:v>
      </x:c>
      <x:c r="O51" s="14" t="str">
        <x:v>ESRS S1; GRI 401/403/405/406</x:v>
      </x:c>
      <x:c r="P51" s="14" t="str">
        <x:v>ESRS S1, GRI 401/403/405/406, ILO</x:v>
      </x:c>
      <x:c r="Q51" s="14" t="str">
        <x:v>Mess-, Berichts- oder Managementrahmen; Schwellen sind grundsätzlich WÖk-Kalibrierungen</x:v>
      </x:c>
      <x:c r="R51" s="14" t="str">
        <x:v>Messgrundlage belegt; Schwellenkalibrierung offen</x:v>
      </x:c>
      <x:c r="S51" s="14" t="str">
        <x:v>EU-ESRS; GRI; ISO-45001; ILO-LW; ILO-CORE</x:v>
      </x:c>
      <x:c r="T51" s="14" t="str">
        <x:v>A01 Landwirtschaft</x:v>
      </x:c>
      <x:c r="U51" s="14" t="str">
        <x:v>Legacy / nicht explizit versioniert</x:v>
      </x:c>
      <x:c r="V51" s="51" t="str"/>
      <x:c r="W51" s="14" t="str">
        <x:v>Migration auf NACE Rev. 2.1 erforderlich</x:v>
      </x:c>
      <x:c r="X51" s="14" t="str">
        <x:v>Eigene Belegschaft/Organisation; FTE, Beschäftigtengruppe und Zeitraum</x:v>
      </x:c>
      <x:c r="Y51" s="14" t="str">
        <x:v>Quote = Zähler / Nenner gemäß Quelle; in %.</x:v>
      </x:c>
      <x:c r="Z51" s="14" t="str">
        <x:v>Primärdaten bevorzugt; Sekundärdaten nur transparent und versioniert; Methode und Systemgrenze dokumentieren</x:v>
      </x:c>
      <x:c r="AA51" s="14" t="str">
        <x:v>Limited Assurance; risikobasiert höhere Prüftiefe</x:v>
      </x:c>
      <x:c r="AB51" s="14" t="str">
        <x:v>Strukturell nutzbar; Schwellen fachlich zu validieren</x:v>
      </x:c>
      <x:c r="AC51" s="14" t="str">
        <x:v>Mittel</x:v>
      </x:c>
      <x:c r="AD51" s="14" t="str">
        <x:v>Vollständige fünfstufige numerische Regel.</x:v>
      </x:c>
      <x:c r="AE51" s="14" t="str">
        <x:v>v1.4</x:v>
      </x:c>
      <x:c r="AF51" s="52" t="str">
        <x:v>2026-08-16</x:v>
      </x:c>
      <x:c r="AG51" s="52"/>
    </x:row>
    <x:row r="52" ht="42" customHeight="1">
      <x:c r="A52" s="14" t="str">
        <x:v>WOK-S-118</x:v>
      </x:c>
      <x:c r="B52" s="14" t="str">
        <x:v>SDG 2 – Kein Hunger</x:v>
      </x:c>
      <x:c r="C52" s="14" t="str">
        <x:v>2.3</x:v>
      </x:c>
      <x:c r="D52" s="14" t="str">
        <x:v>Saisonarbeits‑Standards</x:v>
      </x:c>
      <x:c r="E52" s="14" t="str">
        <x:v>Saisonarbeits‑Standards – LTIFR</x:v>
      </x:c>
      <x:c r="F52" s="14" t="str">
        <x:v>Arbeitsunfälle pro Mio Stunden</x:v>
      </x:c>
      <x:c r="G52" s="14" t="str">
        <x:v>Unfälle/Mio Std.</x:v>
      </x:c>
      <x:c r="H52" s="14" t="str">
        <x:v>lower_is_better</x:v>
      </x:c>
      <x:c r="I52" s="14" t="str">
        <x:v>R02</x:v>
      </x:c>
      <x:c r="J52" s="14" t="str">
        <x:v>0:+3; ≤1:+2; ≤3:0; ≤5:‑2; &gt;5:‑3</x:v>
      </x:c>
      <x:c r="K52" s="14" t="str">
        <x:v>Feste WÖk-Kalibrierung</x:v>
      </x:c>
      <x:c r="L52" s="14" t="str">
        <x:v>Arbeitskalibrierung – fachlich zu validieren</x:v>
      </x:c>
      <x:c r="M52" s="14" t="str">
        <x:v>WÖk-interne Klassenlogik</x:v>
      </x:c>
      <x:c r="N52" s="14" t="str">
        <x:v>Optional/Nein</x:v>
      </x:c>
      <x:c r="O52" s="14" t="str">
        <x:v>ESRS S1; GRI 401/403/405/406</x:v>
      </x:c>
      <x:c r="P52" s="14" t="str">
        <x:v>ESRS S1, GRI 401/403/405/406, ILO</x:v>
      </x:c>
      <x:c r="Q52" s="14" t="str">
        <x:v>Mess-, Berichts- oder Managementrahmen; Schwellen sind grundsätzlich WÖk-Kalibrierungen</x:v>
      </x:c>
      <x:c r="R52" s="14" t="str">
        <x:v>Messgrundlage belegt; Schwellenkalibrierung offen</x:v>
      </x:c>
      <x:c r="S52" s="14" t="str">
        <x:v>EU-ESRS; GRI; ISO-45001; ILO-LW; ILO-CORE</x:v>
      </x:c>
      <x:c r="T52" s="14" t="str">
        <x:v>A01 Landwirtschaft</x:v>
      </x:c>
      <x:c r="U52" s="14" t="str">
        <x:v>Legacy / nicht explizit versioniert</x:v>
      </x:c>
      <x:c r="V52" s="51" t="str"/>
      <x:c r="W52" s="14" t="str">
        <x:v>Migration auf NACE Rev. 2.1 erforderlich</x:v>
      </x:c>
      <x:c r="X52" s="14" t="str">
        <x:v>Eigene Belegschaft/Organisation; FTE, Beschäftigtengruppe und Zeitraum</x:v>
      </x:c>
      <x:c r="Y52" s="14" t="str">
        <x:v>LTIFR = Unfälle mit Ausfallzeit / 1 Mio. Std. (ILO/GRI 403).</x:v>
      </x:c>
      <x:c r="Z52" s="14" t="str">
        <x:v>Primärdaten bevorzugt; Sekundärdaten nur transparent und versioniert; Methode und Systemgrenze dokumentieren</x:v>
      </x:c>
      <x:c r="AA52" s="14" t="str">
        <x:v>Limited Assurance; risikobasiert höhere Prüftiefe</x:v>
      </x:c>
      <x:c r="AB52" s="14" t="str">
        <x:v>Strukturell nutzbar; Schwellen fachlich zu validieren</x:v>
      </x:c>
      <x:c r="AC52" s="14" t="str">
        <x:v>Mittel</x:v>
      </x:c>
      <x:c r="AD52" s="14" t="str">
        <x:v>Vollständige fünfstufige numerische Regel.</x:v>
      </x:c>
      <x:c r="AE52" s="14" t="str">
        <x:v>v1.4</x:v>
      </x:c>
      <x:c r="AF52" s="52" t="str">
        <x:v>2026-08-16</x:v>
      </x:c>
      <x:c r="AG52" s="52"/>
    </x:row>
    <x:row r="53" ht="42" customHeight="1">
      <x:c r="A53" s="14" t="str">
        <x:v>WOK-G-107</x:v>
      </x:c>
      <x:c r="B53" s="14" t="str">
        <x:v>SDG 2 – Kein Hunger</x:v>
      </x:c>
      <x:c r="C53" s="14" t="str">
        <x:v>2.1</x:v>
      </x:c>
      <x:c r="D53" s="14" t="str">
        <x:v>Lebensmittelsicherheit &amp; Rückrufe</x:v>
      </x:c>
      <x:c r="E53" s="14" t="str">
        <x:v>Lebensmittelsicherheit &amp; Rückrufe – Antikorruption</x:v>
      </x:c>
      <x:c r="F53" s="14" t="str">
        <x:v>Bestätigte Fälle/1.000 FTE</x:v>
      </x:c>
      <x:c r="G53" s="14" t="str">
        <x:v>Fälle/1.000 FTE</x:v>
      </x:c>
      <x:c r="H53" s="14" t="str">
        <x:v>lower_is_better</x:v>
      </x:c>
      <x:c r="I53" s="14" t="str">
        <x:v>R01</x:v>
      </x:c>
      <x:c r="J53" s="14" t="str">
        <x:v>0:+3; ≤0,2:+2; ≤0,5:0; ≤1:‑2; &gt;1:‑3</x:v>
      </x:c>
      <x:c r="K53" s="14" t="str">
        <x:v>Feste WÖk-Kalibrierung</x:v>
      </x:c>
      <x:c r="L53" s="14" t="str">
        <x:v>Arbeitskalibrierung – fachlich zu validieren</x:v>
      </x:c>
      <x:c r="M53" s="14" t="str">
        <x:v>WÖk-interne Klassenlogik</x:v>
      </x:c>
      <x:c r="N53" s="14" t="str">
        <x:v>Optional/Nein</x:v>
      </x:c>
      <x:c r="O53" s="14" t="str">
        <x:v>ESRS G1; GRI 205/207</x:v>
      </x:c>
      <x:c r="P53" s="14" t="str">
        <x:v>ESRS G1, GRI 205/207, OECD Anti‑Bribery</x:v>
      </x:c>
      <x:c r="Q53" s="14" t="str">
        <x:v>Mess-, Berichts- oder Managementrahmen; Schwellen sind grundsätzlich WÖk-Kalibrierungen</x:v>
      </x:c>
      <x:c r="R53" s="14" t="str">
        <x:v>Messgrundlage belegt; Schwellenkalibrierung offen</x:v>
      </x:c>
      <x:c r="S53" s="14" t="str">
        <x:v>EU-ESRS; GRI; OECD-AB</x:v>
      </x:c>
      <x:c r="T53" s="14" t="str">
        <x:v>A01 Landwirtschaft</x:v>
      </x:c>
      <x:c r="U53" s="14" t="str">
        <x:v>Legacy / nicht explizit versioniert</x:v>
      </x:c>
      <x:c r="V53" s="51" t="str"/>
      <x:c r="W53" s="14" t="str">
        <x:v>Migration auf NACE Rev. 2.1 erforderlich</x:v>
      </x:c>
      <x:c r="X53" s="14" t="str">
        <x:v>Organisation/Governance; konsolidierter Kreis und relevante Rechtseinheiten</x:v>
      </x:c>
      <x:c r="Y53" s="14" t="str">
        <x:v>Siehe Quelle: Definition gemäß Standard (ESRS/GRI/Taxonomie/ISO).</x:v>
      </x:c>
      <x:c r="Z53" s="14" t="str">
        <x:v>Primärdaten bevorzugt; Sekundärdaten nur transparent und versioniert; Methode und Systemgrenze dokumentieren</x:v>
      </x:c>
      <x:c r="AA53" s="14" t="str">
        <x:v>Limited Assurance; risikobasiert höhere Prüftiefe</x:v>
      </x:c>
      <x:c r="AB53" s="14" t="str">
        <x:v>Strukturell nutzbar; Schwellen fachlich zu validieren</x:v>
      </x:c>
      <x:c r="AC53" s="14" t="str">
        <x:v>Mittel</x:v>
      </x:c>
      <x:c r="AD53" s="14" t="str">
        <x:v>Vollständige fünfstufige numerische Regel.</x:v>
      </x:c>
      <x:c r="AE53" s="14" t="str">
        <x:v>v1.4</x:v>
      </x:c>
      <x:c r="AF53" s="52" t="str">
        <x:v>2026-08-16</x:v>
      </x:c>
      <x:c r="AG53" s="52"/>
    </x:row>
    <x:row r="54" ht="42" customHeight="1">
      <x:c r="A54" s="14" t="str">
        <x:v>WOK-G-108</x:v>
      </x:c>
      <x:c r="B54" s="14" t="str">
        <x:v>SDG 2 – Kein Hunger</x:v>
      </x:c>
      <x:c r="C54" s="14" t="str">
        <x:v>2.1</x:v>
      </x:c>
      <x:c r="D54" s="14" t="str">
        <x:v>Lebensmittelsicherheit &amp; Rückrufe</x:v>
      </x:c>
      <x:c r="E54" s="14" t="str">
        <x:v>Lebensmittelsicherheit &amp; Rückrufe – Whistleblowing</x:v>
      </x:c>
      <x:c r="F54" s="14" t="str">
        <x:v>Wirksamkeits‑Score</x:v>
      </x:c>
      <x:c r="G54" s="14" t="str">
        <x:v>0–1</x:v>
      </x:c>
      <x:c r="H54" s="14" t="str">
        <x:v>higher_is_better</x:v>
      </x:c>
      <x:c r="I54" s="14" t="str">
        <x:v>R16</x:v>
      </x:c>
      <x:c r="J54" s="14" t="str">
        <x:v>≥0,9:+3; 0,75–0,89:+2; 0,6–0,74:0; 0,4–0,59:‑2; &lt;0,4:‑3</x:v>
      </x:c>
      <x:c r="K54" s="14" t="str">
        <x:v>Feste WÖk-Kalibrierung</x:v>
      </x:c>
      <x:c r="L54" s="14" t="str">
        <x:v>Arbeitskalibrierung – fachlich zu validieren</x:v>
      </x:c>
      <x:c r="M54" s="14" t="str">
        <x:v>WÖk-interne Klassenlogik</x:v>
      </x:c>
      <x:c r="N54" s="14" t="str">
        <x:v>Optional/Nein</x:v>
      </x:c>
      <x:c r="O54" s="14" t="str">
        <x:v>ESRS G1; GRI 205/207</x:v>
      </x:c>
      <x:c r="P54" s="14" t="str">
        <x:v>ESRS G1, GRI 205/207, OECD Anti‑Bribery</x:v>
      </x:c>
      <x:c r="Q54" s="14" t="str">
        <x:v>Mess-, Berichts- oder Managementrahmen; Schwellen sind grundsätzlich WÖk-Kalibrierungen</x:v>
      </x:c>
      <x:c r="R54" s="14" t="str">
        <x:v>Messgrundlage belegt; Schwellenkalibrierung offen</x:v>
      </x:c>
      <x:c r="S54" s="14" t="str">
        <x:v>EU-ESRS; GRI; OECD-AB</x:v>
      </x:c>
      <x:c r="T54" s="14" t="str">
        <x:v>A01 Landwirtschaft</x:v>
      </x:c>
      <x:c r="U54" s="14" t="str">
        <x:v>Legacy / nicht explizit versioniert</x:v>
      </x:c>
      <x:c r="V54" s="51" t="str"/>
      <x:c r="W54" s="14" t="str">
        <x:v>Migration auf NACE Rev. 2.1 erforderlich</x:v>
      </x:c>
      <x:c r="X54" s="14" t="str">
        <x:v>Organisation/Governance; konsolidierter Kreis und relevante Rechtseinheiten</x:v>
      </x:c>
      <x:c r="Y54" s="14" t="str">
        <x:v>Siehe Quelle: Definition gemäß Standard (ESRS/GRI/Taxonomie/ISO).</x:v>
      </x:c>
      <x:c r="Z54" s="14" t="str">
        <x:v>Primärdaten bevorzugt; Sekundärdaten nur transparent und versioniert; Methode und Systemgrenze dokumentieren</x:v>
      </x:c>
      <x:c r="AA54" s="14" t="str">
        <x:v>Limited Assurance; risikobasiert höhere Prüftiefe</x:v>
      </x:c>
      <x:c r="AB54" s="14" t="str">
        <x:v>Strukturell nutzbar; Schwellen fachlich zu validieren</x:v>
      </x:c>
      <x:c r="AC54" s="14" t="str">
        <x:v>Mittel</x:v>
      </x:c>
      <x:c r="AD54" s="14" t="str">
        <x:v>Vollständige fünfstufige numerische Regel.</x:v>
      </x:c>
      <x:c r="AE54" s="14" t="str">
        <x:v>v1.4</x:v>
      </x:c>
      <x:c r="AF54" s="52" t="str">
        <x:v>2026-08-16</x:v>
      </x:c>
      <x:c r="AG54" s="52"/>
    </x:row>
    <x:row r="55" ht="42" customHeight="1">
      <x:c r="A55" s="14" t="str">
        <x:v>WOK-G-109</x:v>
      </x:c>
      <x:c r="B55" s="14" t="str">
        <x:v>SDG 2 – Kein Hunger</x:v>
      </x:c>
      <x:c r="C55" s="14" t="str">
        <x:v>2.1</x:v>
      </x:c>
      <x:c r="D55" s="14" t="str">
        <x:v>Lebensmittelsicherheit &amp; Rückrufe</x:v>
      </x:c>
      <x:c r="E55" s="14" t="str">
        <x:v>Lebensmittelsicherheit &amp; Rückrufe – Steuertransparenz</x:v>
      </x:c>
      <x:c r="F55" s="14" t="str">
        <x:v>CbCR‑Offenlegung</x:v>
      </x:c>
      <x:c r="G55" s="14" t="str">
        <x:v>0–1</x:v>
      </x:c>
      <x:c r="H55" s="14" t="str">
        <x:v>higher_is_better</x:v>
      </x:c>
      <x:c r="I55" s="14" t="str">
        <x:v>R08</x:v>
      </x:c>
      <x:c r="J55" s="14" t="str">
        <x:v>vollständig:+3; teilweise:+2; minimal:0; schlecht:‑2</x:v>
      </x:c>
      <x:c r="K55" s="14" t="str">
        <x:v>Qualitativ</x:v>
      </x:c>
      <x:c r="L55" s="14" t="str">
        <x:v>Assurance und Kriterienkatalog erforderlich</x:v>
      </x:c>
      <x:c r="M55" s="14" t="str">
        <x:v>WÖk-interne Kategorien</x:v>
      </x:c>
      <x:c r="N55" s="14" t="str">
        <x:v>Optional/Nein</x:v>
      </x:c>
      <x:c r="O55" s="14" t="str">
        <x:v>ESRS G1; GRI 205/207</x:v>
      </x:c>
      <x:c r="P55" s="14" t="str">
        <x:v>ESRS G1, GRI 205/207, OECD Anti‑Bribery</x:v>
      </x:c>
      <x:c r="Q55" s="14" t="str">
        <x:v>Mess-, Berichts- oder Managementrahmen; Schwellen sind grundsätzlich WÖk-Kalibrierungen</x:v>
      </x:c>
      <x:c r="R55" s="14" t="str">
        <x:v>Messgrundlage belegt; Schwellenkalibrierung offen</x:v>
      </x:c>
      <x:c r="S55" s="14" t="str">
        <x:v>EU-ESRS; GRI; OECD-AB</x:v>
      </x:c>
      <x:c r="T55" s="14" t="str">
        <x:v>A01 Landwirtschaft</x:v>
      </x:c>
      <x:c r="U55" s="14" t="str">
        <x:v>Legacy / nicht explizit versioniert</x:v>
      </x:c>
      <x:c r="V55" s="51" t="str"/>
      <x:c r="W55" s="14" t="str">
        <x:v>Migration auf NACE Rev. 2.1 erforderlich</x:v>
      </x:c>
      <x:c r="X55" s="14" t="str">
        <x:v>Organisation/Governance; konsolidierter Kreis und relevante Rechtseinheiten</x:v>
      </x:c>
      <x:c r="Y55" s="14" t="str">
        <x:v>Siehe Quelle: Definition gemäß Standard (ESRS/GRI/Taxonomie/ISO).</x:v>
      </x:c>
      <x:c r="Z55" s="14" t="str">
        <x:v>Dokumentierter Kriterienkatalog; nachvollziehbare Evidenz; DQR A/B bevorzugt</x:v>
      </x:c>
      <x:c r="AA55" s="14" t="str">
        <x:v>Unabhängige Fachprüfung/Limited Assurance; bei roten Linien Reasonable Assurance</x:v>
      </x:c>
      <x:c r="AB55" s="14" t="str">
        <x:v>Prüfung/Parametrisierung erforderlich</x:v>
      </x:c>
      <x:c r="AC55" s="14" t="str">
        <x:v>Hoch</x:v>
      </x:c>
      <x:c r="AD55" s="14" t="str">
        <x:v>Die Kategorie −3 fehlt; Vollständigkeit und Wirksamkeit sind feldspezifisch zu definieren.</x:v>
      </x:c>
      <x:c r="AE55" s="14" t="str">
        <x:v>v1.4</x:v>
      </x:c>
      <x:c r="AF55" s="52" t="str">
        <x:v>2026-08-16</x:v>
      </x:c>
      <x:c r="AG55" s="52"/>
    </x:row>
    <x:row r="56" ht="42" customHeight="1">
      <x:c r="A56" s="14" t="str">
        <x:v>WOK-E-113</x:v>
      </x:c>
      <x:c r="B56" s="14" t="str">
        <x:v>SDG 2 – Kein Hunger</x:v>
      </x:c>
      <x:c r="C56" s="14" t="str">
        <x:v>2.1</x:v>
      </x:c>
      <x:c r="D56" s="14" t="str">
        <x:v>Food Waste entlang Kette</x:v>
      </x:c>
      <x:c r="E56" s="14" t="str">
        <x:v>Food Waste entlang Kette – Abfallintensität</x:v>
      </x:c>
      <x:c r="F56" s="14" t="str">
        <x:v>Abfallmenge je Output</x:v>
      </x:c>
      <x:c r="G56" s="14" t="str">
        <x:v>kg/t</x:v>
      </x:c>
      <x:c r="H56" s="14" t="str">
        <x:v>lower_is_better</x:v>
      </x:c>
      <x:c r="I56" s="14" t="str">
        <x:v>R06</x:v>
      </x:c>
      <x:c r="J56" s="14" t="str">
        <x:v>Top‑10%:+3; Mittel:0; &gt;150%:‑2; &gt;250%:‑3</x:v>
      </x:c>
      <x:c r="K56" s="14" t="str">
        <x:v>Benchmarkabhängig</x:v>
      </x:c>
      <x:c r="L56" s="14" t="str">
        <x:v>Validierter Benchmark fehlt</x:v>
      </x:c>
      <x:c r="M56" s="14" t="str">
        <x:v>Branche/Region/Technologie</x:v>
      </x:c>
      <x:c r="N56" s="14" t="str">
        <x:v>Ja</x:v>
      </x:c>
      <x:c r="O56" s="14" t="str">
        <x:v>ESRS E5; GRI 306/301</x:v>
      </x:c>
      <x:c r="P56" s="14" t="str">
        <x:v>ESRS E5, GRI 306, WEEE/VerpackG</x:v>
      </x:c>
      <x:c r="Q56" s="14" t="str">
        <x:v>Mess-/Methodenrahmen; aktiver Branchen-/Regional-/Technologiebenchmark separat erforderlich</x:v>
      </x:c>
      <x:c r="R56" s="14" t="str">
        <x:v>Teilbelegt – Benchmarkquelle fehlt</x:v>
      </x:c>
      <x:c r="S56" s="14" t="str">
        <x:v>EU-ESRS; GRI</x:v>
      </x:c>
      <x:c r="T56" s="14" t="str">
        <x:v>A01 Landwirtschaft</x:v>
      </x:c>
      <x:c r="U56" s="14" t="str">
        <x:v>Legacy / nicht explizit versioniert</x:v>
      </x:c>
      <x:c r="V56" s="51" t="str"/>
      <x:c r="W56" s="14" t="str">
        <x:v>Migration auf NACE Rev. 2.1 erforderlich</x:v>
      </x:c>
      <x:c r="X56" s="14" t="str">
        <x:v>Standort/Prozess/Aktivität; Bezugsgröße und relevante Umweltmedien</x:v>
      </x:c>
      <x:c r="Y56" s="14" t="str">
        <x:v>Siehe Quelle: Definition gemäß Standard (ESRS/GRI/Taxonomie/ISO).</x:v>
      </x:c>
      <x:c r="Z56" s="14" t="str">
        <x:v>Primärdaten plus repräsentativer, versionierter Benchmarkdatensatz; Stichprobe und Population offenlegen</x:v>
      </x:c>
      <x:c r="AA56" s="14" t="str">
        <x:v>Messwert-Assurance und unabhängige Benchmark-Governance</x:v>
      </x:c>
      <x:c r="AB56" s="14" t="str">
        <x:v>Prüfung/Parametrisierung erforderlich</x:v>
      </x:c>
      <x:c r="AC56" s="14" t="str">
        <x:v>Hoch</x:v>
      </x:c>
      <x:c r="AD56" s="14" t="str">
        <x:v>Top-10-Prozent, Mittelwert, 150 % und 250 % müssen aus einer dokumentierten Grundgesamtheit stammen.</x:v>
      </x:c>
      <x:c r="AE56" s="14" t="str">
        <x:v>v1.4</x:v>
      </x:c>
      <x:c r="AF56" s="52" t="str">
        <x:v>2026-08-16</x:v>
      </x:c>
      <x:c r="AG56" s="52"/>
    </x:row>
    <x:row r="57" ht="42" customHeight="1">
      <x:c r="A57" s="14" t="str">
        <x:v>WOK-E-114</x:v>
      </x:c>
      <x:c r="B57" s="14" t="str">
        <x:v>SDG 2 – Kein Hunger</x:v>
      </x:c>
      <x:c r="C57" s="14" t="str">
        <x:v>2.1</x:v>
      </x:c>
      <x:c r="D57" s="14" t="str">
        <x:v>Food Waste entlang Kette</x:v>
      </x:c>
      <x:c r="E57" s="14" t="str">
        <x:v>Food Waste entlang Kette – Recyclingquote</x:v>
      </x:c>
      <x:c r="F57" s="14" t="str">
        <x:v>Anteil verwerteter Abfälle</x:v>
      </x:c>
      <x:c r="G57" s="14" t="str">
        <x:v>%</x:v>
      </x:c>
      <x:c r="H57" s="14" t="str">
        <x:v>higher_is_better</x:v>
      </x:c>
      <x:c r="I57" s="14" t="str">
        <x:v>R25</x:v>
      </x:c>
      <x:c r="J57" s="14" t="str">
        <x:v>≥90%:+3; 70–89%:+2; 50–69%:0; 30–49%:‑2; &lt;30%:‑3</x:v>
      </x:c>
      <x:c r="K57" s="14" t="str">
        <x:v>Feste WÖk-Kalibrierung</x:v>
      </x:c>
      <x:c r="L57" s="14" t="str">
        <x:v>Arbeitskalibrierung – fachlich zu validieren</x:v>
      </x:c>
      <x:c r="M57" s="14" t="str">
        <x:v>WÖk-interne Klassenlogik</x:v>
      </x:c>
      <x:c r="N57" s="14" t="str">
        <x:v>Optional/Nein</x:v>
      </x:c>
      <x:c r="O57" s="14" t="str">
        <x:v>ESRS E5; GRI 306/301</x:v>
      </x:c>
      <x:c r="P57" s="14" t="str">
        <x:v>ESRS E5, GRI 306, WEEE/VerpackG</x:v>
      </x:c>
      <x:c r="Q57" s="14" t="str">
        <x:v>Mess-, Berichts- oder Managementrahmen; Schwellen sind grundsätzlich WÖk-Kalibrierungen</x:v>
      </x:c>
      <x:c r="R57" s="14" t="str">
        <x:v>Messgrundlage belegt; Schwellenkalibrierung offen</x:v>
      </x:c>
      <x:c r="S57" s="14" t="str">
        <x:v>EU-ESRS; GRI</x:v>
      </x:c>
      <x:c r="T57" s="14" t="str">
        <x:v>A01 Landwirtschaft</x:v>
      </x:c>
      <x:c r="U57" s="14" t="str">
        <x:v>Legacy / nicht explizit versioniert</x:v>
      </x:c>
      <x:c r="V57" s="51" t="str"/>
      <x:c r="W57" s="14" t="str">
        <x:v>Migration auf NACE Rev. 2.1 erforderlich</x:v>
      </x:c>
      <x:c r="X57" s="14" t="str">
        <x:v>Standort/Prozess/Aktivität; Bezugsgröße und relevante Umweltmedien</x:v>
      </x:c>
      <x:c r="Y57" s="14" t="str">
        <x:v>Recyclingquote = stofflich verwertete Menge / Gesamtabfall.</x:v>
      </x:c>
      <x:c r="Z57" s="14" t="str">
        <x:v>Primärdaten bevorzugt; Sekundärdaten nur transparent und versioniert; Methode und Systemgrenze dokumentieren</x:v>
      </x:c>
      <x:c r="AA57" s="14" t="str">
        <x:v>Limited Assurance; risikobasiert höhere Prüftiefe</x:v>
      </x:c>
      <x:c r="AB57" s="14" t="str">
        <x:v>Strukturell nutzbar; Schwellen fachlich zu validieren</x:v>
      </x:c>
      <x:c r="AC57" s="14" t="str">
        <x:v>Mittel</x:v>
      </x:c>
      <x:c r="AD57" s="14" t="str">
        <x:v>Vollständige fünfstufige Prozentregel.</x:v>
      </x:c>
      <x:c r="AE57" s="14" t="str">
        <x:v>v1.4</x:v>
      </x:c>
      <x:c r="AF57" s="52" t="str">
        <x:v>2026-08-16</x:v>
      </x:c>
      <x:c r="AG57" s="52"/>
    </x:row>
    <x:row r="58" ht="42" customHeight="1">
      <x:c r="A58" s="14" t="str">
        <x:v>WOK-E-115</x:v>
      </x:c>
      <x:c r="B58" s="14" t="str">
        <x:v>SDG 2 – Kein Hunger</x:v>
      </x:c>
      <x:c r="C58" s="14" t="str">
        <x:v>2.1</x:v>
      </x:c>
      <x:c r="D58" s="14" t="str">
        <x:v>Food Waste entlang Kette</x:v>
      </x:c>
      <x:c r="E58" s="14" t="str">
        <x:v>Food Waste entlang Kette – Gefährlicher Abfall</x:v>
      </x:c>
      <x:c r="F58" s="14" t="str">
        <x:v>Gefährlicher Abfall je Output</x:v>
      </x:c>
      <x:c r="G58" s="14" t="str">
        <x:v>kg/t</x:v>
      </x:c>
      <x:c r="H58" s="14" t="str">
        <x:v>lower_is_better</x:v>
      </x:c>
      <x:c r="I58" s="14" t="str">
        <x:v>R06</x:v>
      </x:c>
      <x:c r="J58" s="14" t="str">
        <x:v>Top‑10%:+3; Mittel:0; &gt;150%:‑2; &gt;250%:‑3</x:v>
      </x:c>
      <x:c r="K58" s="14" t="str">
        <x:v>Benchmarkabhängig</x:v>
      </x:c>
      <x:c r="L58" s="14" t="str">
        <x:v>Validierter Benchmark fehlt</x:v>
      </x:c>
      <x:c r="M58" s="14" t="str">
        <x:v>Branche/Region/Technologie</x:v>
      </x:c>
      <x:c r="N58" s="14" t="str">
        <x:v>Ja</x:v>
      </x:c>
      <x:c r="O58" s="14" t="str">
        <x:v>ESRS E5; GRI 306/301</x:v>
      </x:c>
      <x:c r="P58" s="14" t="str">
        <x:v>ESRS E5, GRI 306, WEEE/VerpackG</x:v>
      </x:c>
      <x:c r="Q58" s="14" t="str">
        <x:v>Mess-/Methodenrahmen; aktiver Branchen-/Regional-/Technologiebenchmark separat erforderlich</x:v>
      </x:c>
      <x:c r="R58" s="14" t="str">
        <x:v>Teilbelegt – Benchmarkquelle fehlt</x:v>
      </x:c>
      <x:c r="S58" s="14" t="str">
        <x:v>EU-ESRS; GRI</x:v>
      </x:c>
      <x:c r="T58" s="14" t="str">
        <x:v>A01 Landwirtschaft</x:v>
      </x:c>
      <x:c r="U58" s="14" t="str">
        <x:v>Legacy / nicht explizit versioniert</x:v>
      </x:c>
      <x:c r="V58" s="51" t="str"/>
      <x:c r="W58" s="14" t="str">
        <x:v>Migration auf NACE Rev. 2.1 erforderlich</x:v>
      </x:c>
      <x:c r="X58" s="14" t="str">
        <x:v>Standort/Prozess/Aktivität; Bezugsgröße und relevante Umweltmedien</x:v>
      </x:c>
      <x:c r="Y58" s="14" t="str">
        <x:v>Gefährlicher Abfall‑Intensität = Gefährlicher Abfall / Output bzw. Umsatz.</x:v>
      </x:c>
      <x:c r="Z58" s="14" t="str">
        <x:v>Primärdaten plus repräsentativer, versionierter Benchmarkdatensatz; Stichprobe und Population offenlegen</x:v>
      </x:c>
      <x:c r="AA58" s="14" t="str">
        <x:v>Messwert-Assurance und unabhängige Benchmark-Governance</x:v>
      </x:c>
      <x:c r="AB58" s="14" t="str">
        <x:v>Prüfung/Parametrisierung erforderlich</x:v>
      </x:c>
      <x:c r="AC58" s="14" t="str">
        <x:v>Hoch</x:v>
      </x:c>
      <x:c r="AD58" s="14" t="str">
        <x:v>Top-10-Prozent, Mittelwert, 150 % und 250 % müssen aus einer dokumentierten Grundgesamtheit stammen.</x:v>
      </x:c>
      <x:c r="AE58" s="14" t="str">
        <x:v>v1.4</x:v>
      </x:c>
      <x:c r="AF58" s="52" t="str">
        <x:v>2026-08-16</x:v>
      </x:c>
      <x:c r="AG58" s="52"/>
    </x:row>
    <x:row r="59" ht="42" customHeight="1">
      <x:c r="A59" s="14" t="str">
        <x:v>WOK-E-116</x:v>
      </x:c>
      <x:c r="B59" s="14" t="str">
        <x:v>SDG 3 – Gesundheit</x:v>
      </x:c>
      <x:c r="C59" s="14" t="str">
        <x:v>3.9</x:v>
      </x:c>
      <x:c r="D59" s="14" t="str">
        <x:v>Lokalemissionen NOx/PM/SOx</x:v>
      </x:c>
      <x:c r="E59" s="14" t="str">
        <x:v>Lokalemissionen NOx/PM/SOx – Antikorruption</x:v>
      </x:c>
      <x:c r="F59" s="14" t="str">
        <x:v>Bestätigte Fälle/1.000 FTE</x:v>
      </x:c>
      <x:c r="G59" s="14" t="str">
        <x:v>Fälle/1.000 FTE</x:v>
      </x:c>
      <x:c r="H59" s="14" t="str">
        <x:v>lower_is_better</x:v>
      </x:c>
      <x:c r="I59" s="14" t="str">
        <x:v>R01</x:v>
      </x:c>
      <x:c r="J59" s="14" t="str">
        <x:v>0:+3; ≤0,2:+2; ≤0,5:0; ≤1:‑2; &gt;1:‑3</x:v>
      </x:c>
      <x:c r="K59" s="14" t="str">
        <x:v>Feste WÖk-Kalibrierung</x:v>
      </x:c>
      <x:c r="L59" s="14" t="str">
        <x:v>Arbeitskalibrierung – fachlich zu validieren</x:v>
      </x:c>
      <x:c r="M59" s="14" t="str">
        <x:v>WÖk-interne Klassenlogik</x:v>
      </x:c>
      <x:c r="N59" s="14" t="str">
        <x:v>Optional/Nein</x:v>
      </x:c>
      <x:c r="O59" s="14" t="str">
        <x:v>ESRS G1; GRI 205/207</x:v>
      </x:c>
      <x:c r="P59" s="14" t="str">
        <x:v>ESRS E1, GHG Protocol (Corporate/Scope 1–3), ISO 14064/14067</x:v>
      </x:c>
      <x:c r="Q59" s="14" t="str">
        <x:v>Mess-, Berichts- oder Managementrahmen; Schwellen sind grundsätzlich WÖk-Kalibrierungen</x:v>
      </x:c>
      <x:c r="R59" s="14" t="str">
        <x:v>Messgrundlage belegt; Schwellenkalibrierung offen</x:v>
      </x:c>
      <x:c r="S59" s="14" t="str">
        <x:v>EU-ESRS; GRI; OECD-AB</x:v>
      </x:c>
      <x:c r="T59" s="14" t="str">
        <x:v>C20 Chemie; C24 Stahl; C29 Fahrzeuge</x:v>
      </x:c>
      <x:c r="U59" s="14" t="str">
        <x:v>Legacy / nicht explizit versioniert</x:v>
      </x:c>
      <x:c r="V59" s="51" t="str"/>
      <x:c r="W59" s="14" t="str">
        <x:v>Migration auf NACE Rev. 2.1 erforderlich</x:v>
      </x:c>
      <x:c r="X59" s="14" t="str">
        <x:v>Standort/Prozess/Aktivität; Bezugsgröße und relevante Umweltmedien</x:v>
      </x:c>
      <x:c r="Y59" s="14" t="str">
        <x:v>Siehe Quelle: Definition gemäß Standard (ESRS/GRI/Taxonomie/ISO).</x:v>
      </x:c>
      <x:c r="Z59" s="14" t="str">
        <x:v>Primärdaten bevorzugt; Sekundärdaten nur transparent und versioniert; Methode und Systemgrenze dokumentieren</x:v>
      </x:c>
      <x:c r="AA59" s="14" t="str">
        <x:v>Limited Assurance; risikobasiert höhere Prüftiefe</x:v>
      </x:c>
      <x:c r="AB59" s="14" t="str">
        <x:v>Strukturell nutzbar; Schwellen fachlich zu validieren</x:v>
      </x:c>
      <x:c r="AC59" s="14" t="str">
        <x:v>Mittel</x:v>
      </x:c>
      <x:c r="AD59" s="14" t="str">
        <x:v>Vollständige fünfstufige numerische Regel.</x:v>
      </x:c>
      <x:c r="AE59" s="14" t="str">
        <x:v>v1.4</x:v>
      </x:c>
      <x:c r="AF59" s="52" t="str">
        <x:v>2026-08-16</x:v>
      </x:c>
      <x:c r="AG59" s="52"/>
    </x:row>
    <x:row r="60" ht="42" customHeight="1">
      <x:c r="A60" s="14" t="str">
        <x:v>WOK-E-117</x:v>
      </x:c>
      <x:c r="B60" s="14" t="str">
        <x:v>SDG 3 – Gesundheit</x:v>
      </x:c>
      <x:c r="C60" s="14" t="str">
        <x:v>3.9</x:v>
      </x:c>
      <x:c r="D60" s="14" t="str">
        <x:v>Lokalemissionen NOx/PM/SOx</x:v>
      </x:c>
      <x:c r="E60" s="14" t="str">
        <x:v>Lokalemissionen NOx/PM/SOx – Whistleblowing</x:v>
      </x:c>
      <x:c r="F60" s="14" t="str">
        <x:v>Wirksamkeits‑Score</x:v>
      </x:c>
      <x:c r="G60" s="14" t="str">
        <x:v>0–1</x:v>
      </x:c>
      <x:c r="H60" s="14" t="str">
        <x:v>higher_is_better</x:v>
      </x:c>
      <x:c r="I60" s="14" t="str">
        <x:v>R16</x:v>
      </x:c>
      <x:c r="J60" s="14" t="str">
        <x:v>≥0,9:+3; 0,75–0,89:+2; 0,6–0,74:0; 0,4–0,59:‑2; &lt;0,4:‑3</x:v>
      </x:c>
      <x:c r="K60" s="14" t="str">
        <x:v>Feste WÖk-Kalibrierung</x:v>
      </x:c>
      <x:c r="L60" s="14" t="str">
        <x:v>Arbeitskalibrierung – fachlich zu validieren</x:v>
      </x:c>
      <x:c r="M60" s="14" t="str">
        <x:v>WÖk-interne Klassenlogik</x:v>
      </x:c>
      <x:c r="N60" s="14" t="str">
        <x:v>Optional/Nein</x:v>
      </x:c>
      <x:c r="O60" s="14" t="str">
        <x:v>ESRS G1; GRI 205/207</x:v>
      </x:c>
      <x:c r="P60" s="14" t="str">
        <x:v>ESRS E1, GHG Protocol (Corporate/Scope 1–3), ISO 14064/14067</x:v>
      </x:c>
      <x:c r="Q60" s="14" t="str">
        <x:v>Mess-, Berichts- oder Managementrahmen; Schwellen sind grundsätzlich WÖk-Kalibrierungen</x:v>
      </x:c>
      <x:c r="R60" s="14" t="str">
        <x:v>Messgrundlage belegt; Schwellenkalibrierung offen</x:v>
      </x:c>
      <x:c r="S60" s="14" t="str">
        <x:v>EU-ESRS; GRI; OECD-AB</x:v>
      </x:c>
      <x:c r="T60" s="14" t="str">
        <x:v>C20 Chemie; C24 Stahl; C29 Fahrzeuge</x:v>
      </x:c>
      <x:c r="U60" s="14" t="str">
        <x:v>Legacy / nicht explizit versioniert</x:v>
      </x:c>
      <x:c r="V60" s="51" t="str"/>
      <x:c r="W60" s="14" t="str">
        <x:v>Migration auf NACE Rev. 2.1 erforderlich</x:v>
      </x:c>
      <x:c r="X60" s="14" t="str">
        <x:v>Standort/Prozess/Aktivität; Bezugsgröße und relevante Umweltmedien</x:v>
      </x:c>
      <x:c r="Y60" s="14" t="str">
        <x:v>Siehe Quelle: Definition gemäß Standard (ESRS/GRI/Taxonomie/ISO).</x:v>
      </x:c>
      <x:c r="Z60" s="14" t="str">
        <x:v>Primärdaten bevorzugt; Sekundärdaten nur transparent und versioniert; Methode und Systemgrenze dokumentieren</x:v>
      </x:c>
      <x:c r="AA60" s="14" t="str">
        <x:v>Limited Assurance; risikobasiert höhere Prüftiefe</x:v>
      </x:c>
      <x:c r="AB60" s="14" t="str">
        <x:v>Strukturell nutzbar; Schwellen fachlich zu validieren</x:v>
      </x:c>
      <x:c r="AC60" s="14" t="str">
        <x:v>Mittel</x:v>
      </x:c>
      <x:c r="AD60" s="14" t="str">
        <x:v>Vollständige fünfstufige numerische Regel.</x:v>
      </x:c>
      <x:c r="AE60" s="14" t="str">
        <x:v>v1.4</x:v>
      </x:c>
      <x:c r="AF60" s="52" t="str">
        <x:v>2026-08-16</x:v>
      </x:c>
      <x:c r="AG60" s="52"/>
    </x:row>
    <x:row r="61" ht="42" customHeight="1">
      <x:c r="A61" s="14" t="str">
        <x:v>WOK-E-118</x:v>
      </x:c>
      <x:c r="B61" s="14" t="str">
        <x:v>SDG 3 – Gesundheit</x:v>
      </x:c>
      <x:c r="C61" s="14" t="str">
        <x:v>3.9</x:v>
      </x:c>
      <x:c r="D61" s="14" t="str">
        <x:v>Lokalemissionen NOx/PM/SOx</x:v>
      </x:c>
      <x:c r="E61" s="14" t="str">
        <x:v>Lokalemissionen NOx/PM/SOx – Steuertransparenz</x:v>
      </x:c>
      <x:c r="F61" s="14" t="str">
        <x:v>CbCR‑Offenlegung</x:v>
      </x:c>
      <x:c r="G61" s="14" t="str">
        <x:v>0–1</x:v>
      </x:c>
      <x:c r="H61" s="14" t="str">
        <x:v>higher_is_better</x:v>
      </x:c>
      <x:c r="I61" s="14" t="str">
        <x:v>R08</x:v>
      </x:c>
      <x:c r="J61" s="14" t="str">
        <x:v>vollständig:+3; teilweise:+2; minimal:0; schlecht:‑2</x:v>
      </x:c>
      <x:c r="K61" s="14" t="str">
        <x:v>Qualitativ</x:v>
      </x:c>
      <x:c r="L61" s="14" t="str">
        <x:v>Assurance und Kriterienkatalog erforderlich</x:v>
      </x:c>
      <x:c r="M61" s="14" t="str">
        <x:v>WÖk-interne Kategorien</x:v>
      </x:c>
      <x:c r="N61" s="14" t="str">
        <x:v>Optional/Nein</x:v>
      </x:c>
      <x:c r="O61" s="14" t="str">
        <x:v>ESRS G1; GRI 205/207</x:v>
      </x:c>
      <x:c r="P61" s="14" t="str">
        <x:v>ESRS E1, GHG Protocol (Corporate/Scope 1–3), ISO 14064/14067</x:v>
      </x:c>
      <x:c r="Q61" s="14" t="str">
        <x:v>Mess-, Berichts- oder Managementrahmen; Schwellen sind grundsätzlich WÖk-Kalibrierungen</x:v>
      </x:c>
      <x:c r="R61" s="14" t="str">
        <x:v>Messgrundlage belegt; Schwellenkalibrierung offen</x:v>
      </x:c>
      <x:c r="S61" s="14" t="str">
        <x:v>EU-ESRS; GRI; OECD-AB</x:v>
      </x:c>
      <x:c r="T61" s="14" t="str">
        <x:v>C20 Chemie; C24 Stahl; C29 Fahrzeuge</x:v>
      </x:c>
      <x:c r="U61" s="14" t="str">
        <x:v>Legacy / nicht explizit versioniert</x:v>
      </x:c>
      <x:c r="V61" s="51" t="str"/>
      <x:c r="W61" s="14" t="str">
        <x:v>Migration auf NACE Rev. 2.1 erforderlich</x:v>
      </x:c>
      <x:c r="X61" s="14" t="str">
        <x:v>Standort/Prozess/Aktivität; Bezugsgröße und relevante Umweltmedien</x:v>
      </x:c>
      <x:c r="Y61" s="14" t="str">
        <x:v>Siehe Quelle: Definition gemäß Standard (ESRS/GRI/Taxonomie/ISO).</x:v>
      </x:c>
      <x:c r="Z61" s="14" t="str">
        <x:v>Dokumentierter Kriterienkatalog; nachvollziehbare Evidenz; DQR A/B bevorzugt</x:v>
      </x:c>
      <x:c r="AA61" s="14" t="str">
        <x:v>Unabhängige Fachprüfung/Limited Assurance; bei roten Linien Reasonable Assurance</x:v>
      </x:c>
      <x:c r="AB61" s="14" t="str">
        <x:v>Prüfung/Parametrisierung erforderlich</x:v>
      </x:c>
      <x:c r="AC61" s="14" t="str">
        <x:v>Hoch</x:v>
      </x:c>
      <x:c r="AD61" s="14" t="str">
        <x:v>Die Kategorie −3 fehlt; Vollständigkeit und Wirksamkeit sind feldspezifisch zu definieren.</x:v>
      </x:c>
      <x:c r="AE61" s="14" t="str">
        <x:v>v1.4</x:v>
      </x:c>
      <x:c r="AF61" s="52" t="str">
        <x:v>2026-08-16</x:v>
      </x:c>
      <x:c r="AG61" s="52"/>
    </x:row>
    <x:row r="62" ht="42" customHeight="1">
      <x:c r="A62" s="14" t="str">
        <x:v>WOK-S-119</x:v>
      </x:c>
      <x:c r="B62" s="14" t="str">
        <x:v>SDG 3 – Gesundheit</x:v>
      </x:c>
      <x:c r="C62" s="14" t="str">
        <x:v>3.8</x:v>
      </x:c>
      <x:c r="D62" s="14" t="str">
        <x:v>Arbeits- &amp; Gesundheitsschutz</x:v>
      </x:c>
      <x:c r="E62" s="14" t="str">
        <x:v>Arbeits- &amp; Gesundheitsschutz – Living Wage</x:v>
      </x:c>
      <x:c r="F62" s="14" t="str">
        <x:v>Abdeckung Lebenslohn</x:v>
      </x:c>
      <x:c r="G62" s="14" t="str">
        <x:v>% Beschäftigte</x:v>
      </x:c>
      <x:c r="H62" s="14" t="str">
        <x:v>higher_is_better</x:v>
      </x:c>
      <x:c r="I62" s="14" t="str">
        <x:v>R27</x:v>
      </x:c>
      <x:c r="J62" s="14" t="str">
        <x:v>≥95:+3; 80–94:+2; 60–79:0; 40–59:‑2; &lt;40:‑3</x:v>
      </x:c>
      <x:c r="K62" s="14" t="str">
        <x:v>Feste WÖk-Kalibrierung</x:v>
      </x:c>
      <x:c r="L62" s="14" t="str">
        <x:v>Arbeitskalibrierung – fachlich zu validieren</x:v>
      </x:c>
      <x:c r="M62" s="14" t="str">
        <x:v>WÖk-interne Klassenlogik</x:v>
      </x:c>
      <x:c r="N62" s="14" t="str">
        <x:v>Optional/Nein</x:v>
      </x:c>
      <x:c r="O62" s="14" t="str">
        <x:v>ESRS S1; GRI 401/403/405/406</x:v>
      </x:c>
      <x:c r="P62" s="14" t="str">
        <x:v>ESRS S1, GRI 401/403/405/406, ILO</x:v>
      </x:c>
      <x:c r="Q62" s="14" t="str">
        <x:v>Mess-, Berichts- oder Managementrahmen; Schwellen sind grundsätzlich WÖk-Kalibrierungen</x:v>
      </x:c>
      <x:c r="R62" s="14" t="str">
        <x:v>Messgrundlage belegt; Schwellenkalibrierung offen</x:v>
      </x:c>
      <x:c r="S62" s="14" t="str">
        <x:v>EU-ESRS; GRI; ISO-45001; ILO-LW; ILO-CORE</x:v>
      </x:c>
      <x:c r="T62" s="14" t="str">
        <x:v>C20 Chemie; C24 Stahl; C29 Fahrzeuge</x:v>
      </x:c>
      <x:c r="U62" s="14" t="str">
        <x:v>Legacy / nicht explizit versioniert</x:v>
      </x:c>
      <x:c r="V62" s="51" t="str"/>
      <x:c r="W62" s="14" t="str">
        <x:v>Migration auf NACE Rev. 2.1 erforderlich</x:v>
      </x:c>
      <x:c r="X62" s="14" t="str">
        <x:v>Eigene Belegschaft/Organisation; FTE, Beschäftigtengruppe und Zeitraum</x:v>
      </x:c>
      <x:c r="Y62" s="14" t="str">
        <x:v>Anteil Beschäftigte ≥ Living Wage (zertifizierte Methodik).</x:v>
      </x:c>
      <x:c r="Z62" s="14" t="str">
        <x:v>Primärdaten bevorzugt; Sekundärdaten nur transparent und versioniert; Methode und Systemgrenze dokumentieren</x:v>
      </x:c>
      <x:c r="AA62" s="14" t="str">
        <x:v>Limited Assurance; risikobasiert höhere Prüftiefe</x:v>
      </x:c>
      <x:c r="AB62" s="14" t="str">
        <x:v>Strukturell nutzbar; Schwellen fachlich zu validieren</x:v>
      </x:c>
      <x:c r="AC62" s="14" t="str">
        <x:v>Mittel</x:v>
      </x:c>
      <x:c r="AD62" s="14" t="str">
        <x:v>Vollständige fünfstufige numerische Regel.</x:v>
      </x:c>
      <x:c r="AE62" s="14" t="str">
        <x:v>v1.4</x:v>
      </x:c>
      <x:c r="AF62" s="52" t="str">
        <x:v>2026-08-16</x:v>
      </x:c>
      <x:c r="AG62" s="52"/>
    </x:row>
    <x:row r="63" ht="42" customHeight="1">
      <x:c r="A63" s="14" t="str">
        <x:v>WOK-S-120</x:v>
      </x:c>
      <x:c r="B63" s="14" t="str">
        <x:v>SDG 3 – Gesundheit</x:v>
      </x:c>
      <x:c r="C63" s="14" t="str">
        <x:v>3.8</x:v>
      </x:c>
      <x:c r="D63" s="14" t="str">
        <x:v>Arbeits- &amp; Gesundheitsschutz</x:v>
      </x:c>
      <x:c r="E63" s="14" t="str">
        <x:v>Arbeits- &amp; Gesundheitsschutz – Tarifbindung</x:v>
      </x:c>
      <x:c r="F63" s="14" t="str">
        <x:v>Beschäftigte unter Kollektivvertrag</x:v>
      </x:c>
      <x:c r="G63" s="14" t="str">
        <x:v>%</x:v>
      </x:c>
      <x:c r="H63" s="14" t="str">
        <x:v>higher_is_better</x:v>
      </x:c>
      <x:c r="I63" s="14" t="str">
        <x:v>R26</x:v>
      </x:c>
      <x:c r="J63" s="14" t="str">
        <x:v>≥90:+3; 70–89:+2; 50–69:0; 30–49:‑2; &lt;30:‑3</x:v>
      </x:c>
      <x:c r="K63" s="14" t="str">
        <x:v>Feste WÖk-Kalibrierung</x:v>
      </x:c>
      <x:c r="L63" s="14" t="str">
        <x:v>Arbeitskalibrierung – fachlich zu validieren</x:v>
      </x:c>
      <x:c r="M63" s="14" t="str">
        <x:v>WÖk-interne Klassenlogik</x:v>
      </x:c>
      <x:c r="N63" s="14" t="str">
        <x:v>Optional/Nein</x:v>
      </x:c>
      <x:c r="O63" s="14" t="str">
        <x:v>ESRS S1; GRI 401/403/405/406</x:v>
      </x:c>
      <x:c r="P63" s="14" t="str">
        <x:v>ESRS S1, GRI 401/403/405/406, ILO</x:v>
      </x:c>
      <x:c r="Q63" s="14" t="str">
        <x:v>Mess-, Berichts- oder Managementrahmen; Schwellen sind grundsätzlich WÖk-Kalibrierungen</x:v>
      </x:c>
      <x:c r="R63" s="14" t="str">
        <x:v>Messgrundlage belegt; Schwellenkalibrierung offen</x:v>
      </x:c>
      <x:c r="S63" s="14" t="str">
        <x:v>EU-ESRS; GRI; ISO-45001; ILO-LW; ILO-CORE</x:v>
      </x:c>
      <x:c r="T63" s="14" t="str">
        <x:v>C20 Chemie; C24 Stahl; C29 Fahrzeuge</x:v>
      </x:c>
      <x:c r="U63" s="14" t="str">
        <x:v>Legacy / nicht explizit versioniert</x:v>
      </x:c>
      <x:c r="V63" s="51" t="str"/>
      <x:c r="W63" s="14" t="str">
        <x:v>Migration auf NACE Rev. 2.1 erforderlich</x:v>
      </x:c>
      <x:c r="X63" s="14" t="str">
        <x:v>Eigene Belegschaft/Organisation; FTE, Beschäftigtengruppe und Zeitraum</x:v>
      </x:c>
      <x:c r="Y63" s="14" t="str">
        <x:v>Quote = Zähler / Nenner gemäß Quelle; in %.</x:v>
      </x:c>
      <x:c r="Z63" s="14" t="str">
        <x:v>Primärdaten bevorzugt; Sekundärdaten nur transparent und versioniert; Methode und Systemgrenze dokumentieren</x:v>
      </x:c>
      <x:c r="AA63" s="14" t="str">
        <x:v>Limited Assurance; risikobasiert höhere Prüftiefe</x:v>
      </x:c>
      <x:c r="AB63" s="14" t="str">
        <x:v>Strukturell nutzbar; Schwellen fachlich zu validieren</x:v>
      </x:c>
      <x:c r="AC63" s="14" t="str">
        <x:v>Mittel</x:v>
      </x:c>
      <x:c r="AD63" s="14" t="str">
        <x:v>Vollständige fünfstufige numerische Regel.</x:v>
      </x:c>
      <x:c r="AE63" s="14" t="str">
        <x:v>v1.4</x:v>
      </x:c>
      <x:c r="AF63" s="52" t="str">
        <x:v>2026-08-16</x:v>
      </x:c>
      <x:c r="AG63" s="52"/>
    </x:row>
    <x:row r="64" ht="42" customHeight="1">
      <x:c r="A64" s="14" t="str">
        <x:v>WOK-S-121</x:v>
      </x:c>
      <x:c r="B64" s="14" t="str">
        <x:v>SDG 3 – Gesundheit</x:v>
      </x:c>
      <x:c r="C64" s="14" t="str">
        <x:v>3.8</x:v>
      </x:c>
      <x:c r="D64" s="14" t="str">
        <x:v>Arbeits- &amp; Gesundheitsschutz</x:v>
      </x:c>
      <x:c r="E64" s="14" t="str">
        <x:v>Arbeits- &amp; Gesundheitsschutz – LTIFR</x:v>
      </x:c>
      <x:c r="F64" s="14" t="str">
        <x:v>Arbeitsunfälle pro Mio Stunden</x:v>
      </x:c>
      <x:c r="G64" s="14" t="str">
        <x:v>Unfälle/Mio Std.</x:v>
      </x:c>
      <x:c r="H64" s="14" t="str">
        <x:v>lower_is_better</x:v>
      </x:c>
      <x:c r="I64" s="14" t="str">
        <x:v>R02</x:v>
      </x:c>
      <x:c r="J64" s="14" t="str">
        <x:v>0:+3; ≤1:+2; ≤3:0; ≤5:‑2; &gt;5:‑3</x:v>
      </x:c>
      <x:c r="K64" s="14" t="str">
        <x:v>Feste WÖk-Kalibrierung</x:v>
      </x:c>
      <x:c r="L64" s="14" t="str">
        <x:v>Arbeitskalibrierung – fachlich zu validieren</x:v>
      </x:c>
      <x:c r="M64" s="14" t="str">
        <x:v>WÖk-interne Klassenlogik</x:v>
      </x:c>
      <x:c r="N64" s="14" t="str">
        <x:v>Optional/Nein</x:v>
      </x:c>
      <x:c r="O64" s="14" t="str">
        <x:v>ESRS S1; GRI 401/403/405/406</x:v>
      </x:c>
      <x:c r="P64" s="14" t="str">
        <x:v>ESRS S1, GRI 401/403/405/406, ILO</x:v>
      </x:c>
      <x:c r="Q64" s="14" t="str">
        <x:v>Mess-, Berichts- oder Managementrahmen; Schwellen sind grundsätzlich WÖk-Kalibrierungen</x:v>
      </x:c>
      <x:c r="R64" s="14" t="str">
        <x:v>Messgrundlage belegt; Schwellenkalibrierung offen</x:v>
      </x:c>
      <x:c r="S64" s="14" t="str">
        <x:v>EU-ESRS; GRI; ISO-45001; ILO-LW; ILO-CORE</x:v>
      </x:c>
      <x:c r="T64" s="14" t="str">
        <x:v>C20 Chemie; C24 Stahl; C29 Fahrzeuge</x:v>
      </x:c>
      <x:c r="U64" s="14" t="str">
        <x:v>Legacy / nicht explizit versioniert</x:v>
      </x:c>
      <x:c r="V64" s="51" t="str"/>
      <x:c r="W64" s="14" t="str">
        <x:v>Migration auf NACE Rev. 2.1 erforderlich</x:v>
      </x:c>
      <x:c r="X64" s="14" t="str">
        <x:v>Eigene Belegschaft/Organisation; FTE, Beschäftigtengruppe und Zeitraum</x:v>
      </x:c>
      <x:c r="Y64" s="14" t="str">
        <x:v>LTIFR = Unfälle mit Ausfallzeit / 1 Mio. Std. (ILO/GRI 403).</x:v>
      </x:c>
      <x:c r="Z64" s="14" t="str">
        <x:v>Primärdaten bevorzugt; Sekundärdaten nur transparent und versioniert; Methode und Systemgrenze dokumentieren</x:v>
      </x:c>
      <x:c r="AA64" s="14" t="str">
        <x:v>Limited Assurance; risikobasiert höhere Prüftiefe</x:v>
      </x:c>
      <x:c r="AB64" s="14" t="str">
        <x:v>Strukturell nutzbar; Schwellen fachlich zu validieren</x:v>
      </x:c>
      <x:c r="AC64" s="14" t="str">
        <x:v>Mittel</x:v>
      </x:c>
      <x:c r="AD64" s="14" t="str">
        <x:v>Vollständige fünfstufige numerische Regel.</x:v>
      </x:c>
      <x:c r="AE64" s="14" t="str">
        <x:v>v1.4</x:v>
      </x:c>
      <x:c r="AF64" s="52" t="str">
        <x:v>2026-08-16</x:v>
      </x:c>
      <x:c r="AG64" s="52"/>
    </x:row>
    <x:row r="65" ht="42" customHeight="1">
      <x:c r="A65" s="14" t="str">
        <x:v>WOK-P-104</x:v>
      </x:c>
      <x:c r="B65" s="14" t="str">
        <x:v>SDG 3 – Gesundheit</x:v>
      </x:c>
      <x:c r="C65" s="14" t="str">
        <x:v>3.9</x:v>
      </x:c>
      <x:c r="D65" s="14" t="str">
        <x:v>Produktsicherheit &amp; Rückrufe</x:v>
      </x:c>
      <x:c r="E65" s="14" t="str">
        <x:v>Produktsicherheit &amp; Rückrufe – PCF</x:v>
      </x:c>
      <x:c r="F65" s="14" t="str">
        <x:v>CO₂‑Fußabdruck pro Einheit</x:v>
      </x:c>
      <x:c r="G65" s="14" t="str">
        <x:v>kg CO₂e/Einheit</x:v>
      </x:c>
      <x:c r="H65" s="14" t="str">
        <x:v>lower_is_better</x:v>
      </x:c>
      <x:c r="I65" s="14" t="str">
        <x:v>R07</x:v>
      </x:c>
      <x:c r="J65" s="14" t="str">
        <x:v>Top‑10%:+3; ±Benchmark:0; &gt;150%:‑2; &gt;250%:‑3</x:v>
      </x:c>
      <x:c r="K65" s="14" t="str">
        <x:v>Benchmarkabhängig</x:v>
      </x:c>
      <x:c r="L65" s="14" t="str">
        <x:v>Validierter Benchmark fehlt</x:v>
      </x:c>
      <x:c r="M65" s="14" t="str">
        <x:v>Produktgruppe/Region/Technologie</x:v>
      </x:c>
      <x:c r="N65" s="14" t="str">
        <x:v>Ja</x:v>
      </x:c>
      <x:c r="O65" s="14" t="str">
        <x:v>ISO 14067; ESRS E5; GRI 306/301; WEEE/VerpackG</x:v>
      </x:c>
      <x:c r="P65" s="14" t="str">
        <x:v>ISO 14067/14040/44 (LCA/PCF), PEF/EF 3.1, EU Reparierbarkeitsindex</x:v>
      </x:c>
      <x:c r="Q65" s="14" t="str">
        <x:v>Mess-/Methodenrahmen; aktiver Branchen-/Regional-/Technologiebenchmark separat erforderlich</x:v>
      </x:c>
      <x:c r="R65" s="14" t="str">
        <x:v>Teilbelegt – Benchmarkquelle fehlt</x:v>
      </x:c>
      <x:c r="S65" s="14" t="str">
        <x:v>ISO-14067; EU-ESRS; GRI; EU-WEEE; DE-VERPACKG; EU-PPWR</x:v>
      </x:c>
      <x:c r="T65" s="14" t="str">
        <x:v>C20 Chemie; C24 Stahl; C29 Fahrzeuge</x:v>
      </x:c>
      <x:c r="U65" s="14" t="str">
        <x:v>Legacy / nicht explizit versioniert</x:v>
      </x:c>
      <x:c r="V65" s="51" t="str"/>
      <x:c r="W65" s="14" t="str">
        <x:v>Migration auf NACE Rev. 2.1 erforderlich</x:v>
      </x:c>
      <x:c r="X65" s="14" t="str">
        <x:v>Produkt/Funktionseinheit; Lebenszyklusgrenze mindestens cradle-to-gate, bei Nutzungs-/End-of-Life-Relevanz cradle-to-grave</x:v>
      </x:c>
      <x:c r="Y65" s="14" t="str">
        <x:v>PCF gemäß ISO 14067/PEF; Well‑to‑Gate + Nutzung falls zutreffend.</x:v>
      </x:c>
      <x:c r="Z65" s="14" t="str">
        <x:v>Primärdaten plus repräsentativer, versionierter Benchmarkdatensatz; Stichprobe und Population offenlegen</x:v>
      </x:c>
      <x:c r="AA65" s="14" t="str">
        <x:v>Messwert-Assurance und unabhängige Benchmark-Governance</x:v>
      </x:c>
      <x:c r="AB65" s="14" t="str">
        <x:v>Prüfung/Parametrisierung erforderlich</x:v>
      </x:c>
      <x:c r="AC65" s="14" t="str">
        <x:v>Hoch</x:v>
      </x:c>
      <x:c r="AD65" s="14" t="str">
        <x:v>Produktspezifische Referenzpopulation erforderlich.</x:v>
      </x:c>
      <x:c r="AE65" s="14" t="str">
        <x:v>v1.4</x:v>
      </x:c>
      <x:c r="AF65" s="52" t="str">
        <x:v>2026-08-16</x:v>
      </x:c>
      <x:c r="AG65" s="52"/>
    </x:row>
    <x:row r="66" ht="42" customHeight="1">
      <x:c r="A66" s="14" t="str">
        <x:v>WOK-P-105</x:v>
      </x:c>
      <x:c r="B66" s="14" t="str">
        <x:v>SDG 3 – Gesundheit</x:v>
      </x:c>
      <x:c r="C66" s="14" t="str">
        <x:v>3.9</x:v>
      </x:c>
      <x:c r="D66" s="14" t="str">
        <x:v>Produktsicherheit &amp; Rückrufe</x:v>
      </x:c>
      <x:c r="E66" s="14" t="str">
        <x:v>Produktsicherheit &amp; Rückrufe – Reparierbarkeit</x:v>
      </x:c>
      <x:c r="F66" s="14" t="str">
        <x:v>Reparierbarkeitsindex</x:v>
      </x:c>
      <x:c r="G66" s="14" t="str">
        <x:v>Score 0–10</x:v>
      </x:c>
      <x:c r="H66" s="14" t="str">
        <x:v>higher_is_better</x:v>
      </x:c>
      <x:c r="I66" s="14" t="str">
        <x:v>R24</x:v>
      </x:c>
      <x:c r="J66" s="14" t="str">
        <x:v>≥8:+3; 6–7,9:+2; 4–5,9:0; 2–3,9:‑2; &lt;2:‑3</x:v>
      </x:c>
      <x:c r="K66" s="14" t="str">
        <x:v>Produktspezifische Indexkalibrierung</x:v>
      </x:c>
      <x:c r="L66" s="14" t="str">
        <x:v>Indexsystem und Produktgruppe müssen ausgewiesen werden</x:v>
      </x:c>
      <x:c r="M66" s="14" t="str">
        <x:v>FR-/EU-Reparierbarkeitssystem je Produktgruppe</x:v>
      </x:c>
      <x:c r="N66" s="14" t="str">
        <x:v>Optional/Nein</x:v>
      </x:c>
      <x:c r="O66" s="14" t="str">
        <x:v>EU/FR Index</x:v>
      </x:c>
      <x:c r="P66" s="14" t="str">
        <x:v>ISO 14067/14040/44 (LCA/PCF), PEF/EF 3.1, EU Reparierbarkeitsindex</x:v>
      </x:c>
      <x:c r="Q66" s="14" t="str">
        <x:v>Produktspezifischer Rechts-/Indexrahmen; System und Produktgruppe explizit auswählen</x:v>
      </x:c>
      <x:c r="R66" s="14" t="str">
        <x:v>Teilbelegt – produktspezifisch zu validieren</x:v>
      </x:c>
      <x:c r="S66" s="14" t="str">
        <x:v>FR-REPAIR; EU-REPAIR; EU-ESPR</x:v>
      </x:c>
      <x:c r="T66" s="14" t="str">
        <x:v>C20 Chemie; C24 Stahl; C29 Fahrzeuge</x:v>
      </x:c>
      <x:c r="U66" s="14" t="str">
        <x:v>Legacy / nicht explizit versioniert</x:v>
      </x:c>
      <x:c r="V66" s="51" t="str"/>
      <x:c r="W66" s="14" t="str">
        <x:v>Migration auf NACE Rev. 2.1 erforderlich</x:v>
      </x:c>
      <x:c r="X66" s="14" t="str">
        <x:v>Produkt/Funktionseinheit; Lebenszyklusgrenze mindestens cradle-to-gate, bei Nutzungs-/End-of-Life-Relevanz cradle-to-grave</x:v>
      </x:c>
      <x:c r="Y66" s="14" t="str">
        <x:v>EU/FR‑Reparierbarkeitsindex: Zerlegbarkeit, Ersatzteile, Doku.</x:v>
      </x:c>
      <x:c r="Z66" s="14" t="str">
        <x:v>Primärdaten oder qualitätsgesicherte Sekundärdaten; Methode, Zeitraum und Systemgrenze dokumentieren</x:v>
      </x:c>
      <x:c r="AA66" s="14" t="str">
        <x:v>Limited Assurance; bei materieller Steuerwirkung risikobasiert vertiefen</x:v>
      </x:c>
      <x:c r="AB66" s="14" t="str">
        <x:v>Produktspezifische bzw. lokale Prüfung erforderlich</x:v>
      </x:c>
      <x:c r="AC66" s="14" t="str">
        <x:v>Hoch</x:v>
      </x:c>
      <x:c r="AD66" s="14" t="str">
        <x:v>Indexsystem, Produktgruppe und Rechtsstand festlegen. Französischer Index und EU-Score sind nicht pauschal austauschbar.</x:v>
      </x:c>
      <x:c r="AE66" s="14" t="str">
        <x:v>v1.4</x:v>
      </x:c>
      <x:c r="AF66" s="52" t="str">
        <x:v>2026-08-16</x:v>
      </x:c>
      <x:c r="AG66" s="52"/>
    </x:row>
    <x:row r="67" ht="42" customHeight="1">
      <x:c r="A67" s="14" t="str">
        <x:v>WOK-P-106</x:v>
      </x:c>
      <x:c r="B67" s="14" t="str">
        <x:v>SDG 3 – Gesundheit</x:v>
      </x:c>
      <x:c r="C67" s="14" t="str">
        <x:v>3.9</x:v>
      </x:c>
      <x:c r="D67" s="14" t="str">
        <x:v>Produktsicherheit &amp; Rückrufe</x:v>
      </x:c>
      <x:c r="E67" s="14" t="str">
        <x:v>Produktsicherheit &amp; Rückrufe – Rücknahme/Recycling</x:v>
      </x:c>
      <x:c r="F67" s="14" t="str">
        <x:v>Rücknahme‑/Recyclingquote</x:v>
      </x:c>
      <x:c r="G67" s="14" t="str">
        <x:v>%</x:v>
      </x:c>
      <x:c r="H67" s="14" t="str">
        <x:v>higher_is_better</x:v>
      </x:c>
      <x:c r="I67" s="14" t="str">
        <x:v>R22</x:v>
      </x:c>
      <x:c r="J67" s="14" t="str">
        <x:v>≥70:+3; 50–69:+2; 30–49:0; 15–29:‑2; &lt;15:‑3</x:v>
      </x:c>
      <x:c r="K67" s="14" t="str">
        <x:v>Feste WÖk-Kalibrierung</x:v>
      </x:c>
      <x:c r="L67" s="14" t="str">
        <x:v>Arbeitskalibrierung – fachlich zu validieren</x:v>
      </x:c>
      <x:c r="M67" s="14" t="str">
        <x:v>WÖk-interne Klassenlogik</x:v>
      </x:c>
      <x:c r="N67" s="14" t="str">
        <x:v>Optional/Nein</x:v>
      </x:c>
      <x:c r="O67" s="14" t="str">
        <x:v>ESRS E5; GRI 306/301; WEEE/VerpackG</x:v>
      </x:c>
      <x:c r="P67" s="14" t="str">
        <x:v>ESRS E5, GRI 306, WEEE/VerpackG</x:v>
      </x:c>
      <x:c r="Q67" s="14" t="str">
        <x:v>Mess-, Berichts- oder Managementrahmen; Schwellen sind grundsätzlich WÖk-Kalibrierungen</x:v>
      </x:c>
      <x:c r="R67" s="14" t="str">
        <x:v>Messgrundlage belegt; Schwellenkalibrierung offen</x:v>
      </x:c>
      <x:c r="S67" s="14" t="str">
        <x:v>EU-ESRS; GRI; EU-WEEE; DE-VERPACKG; EU-PPWR</x:v>
      </x:c>
      <x:c r="T67" s="14" t="str">
        <x:v>C20 Chemie; C24 Stahl; C29 Fahrzeuge</x:v>
      </x:c>
      <x:c r="U67" s="14" t="str">
        <x:v>Legacy / nicht explizit versioniert</x:v>
      </x:c>
      <x:c r="V67" s="51" t="str"/>
      <x:c r="W67" s="14" t="str">
        <x:v>Migration auf NACE Rev. 2.1 erforderlich</x:v>
      </x:c>
      <x:c r="X67" s="14" t="str">
        <x:v>Produkt/Funktionseinheit; Lebenszyklusgrenze mindestens cradle-to-gate, bei Nutzungs-/End-of-Life-Relevanz cradle-to-grave</x:v>
      </x:c>
      <x:c r="Y67" s="14" t="str">
        <x:v>Siehe Quelle: Definition gemäß Standard (ESRS/GRI/Taxonomie/ISO).</x:v>
      </x:c>
      <x:c r="Z67" s="14" t="str">
        <x:v>Primärdaten bevorzugt; Sekundärdaten nur transparent und versioniert; Methode und Systemgrenze dokumentieren</x:v>
      </x:c>
      <x:c r="AA67" s="14" t="str">
        <x:v>Limited Assurance; risikobasiert höhere Prüftiefe</x:v>
      </x:c>
      <x:c r="AB67" s="14" t="str">
        <x:v>Strukturell nutzbar; Schwellen fachlich zu validieren</x:v>
      </x:c>
      <x:c r="AC67" s="14" t="str">
        <x:v>Mittel</x:v>
      </x:c>
      <x:c r="AD67" s="14" t="str">
        <x:v>Vollständige fünfstufige numerische Regel.</x:v>
      </x:c>
      <x:c r="AE67" s="14" t="str">
        <x:v>v1.4</x:v>
      </x:c>
      <x:c r="AF67" s="52" t="str">
        <x:v>2026-08-16</x:v>
      </x:c>
      <x:c r="AG67" s="52"/>
    </x:row>
    <x:row r="68" ht="42" customHeight="1">
      <x:c r="A68" s="14" t="str">
        <x:v>WOK-G-110</x:v>
      </x:c>
      <x:c r="B68" s="14" t="str">
        <x:v>SDG 3 – Gesundheit</x:v>
      </x:c>
      <x:c r="C68" s="14" t="str">
        <x:v>3.d</x:v>
      </x:c>
      <x:c r="D68" s="14" t="str">
        <x:v>Datenschutz (Gesundheitsdaten)</x:v>
      </x:c>
      <x:c r="E68" s="14" t="str">
        <x:v>Datenschutz (Gesundheitsdaten) – Datenschutzvorfälle</x:v>
      </x:c>
      <x:c r="F68" s="14" t="str">
        <x:v>Fälle pro 1 Mio Kunden</x:v>
      </x:c>
      <x:c r="G68" s="14" t="str">
        <x:v>Fälle/Mio</x:v>
      </x:c>
      <x:c r="H68" s="14" t="str">
        <x:v>lower_is_better</x:v>
      </x:c>
      <x:c r="I68" s="14" t="str">
        <x:v>R02</x:v>
      </x:c>
      <x:c r="J68" s="14" t="str">
        <x:v>0:+3; ≤1:+2; ≤3:0; ≤5:‑2; &gt;5:‑3</x:v>
      </x:c>
      <x:c r="K68" s="14" t="str">
        <x:v>Feste WÖk-Kalibrierung</x:v>
      </x:c>
      <x:c r="L68" s="14" t="str">
        <x:v>Arbeitskalibrierung – fachlich zu validieren</x:v>
      </x:c>
      <x:c r="M68" s="14" t="str">
        <x:v>WÖk-interne Klassenlogik</x:v>
      </x:c>
      <x:c r="N68" s="14" t="str">
        <x:v>Optional/Nein</x:v>
      </x:c>
      <x:c r="O68" s="14" t="str">
        <x:v>ISO 14067/50001/45001/22301/27701/23894</x:v>
      </x:c>
      <x:c r="P68" s="14" t="str">
        <x:v>ISO/IEC 27001 &amp; 27701, NIS2</x:v>
      </x:c>
      <x:c r="Q68" s="14" t="str">
        <x:v>Mess-, Berichts- oder Managementrahmen; Schwellen sind grundsätzlich WÖk-Kalibrierungen</x:v>
      </x:c>
      <x:c r="R68" s="14" t="str">
        <x:v>Messgrundlage belegt; Schwellenkalibrierung offen</x:v>
      </x:c>
      <x:c r="S68" s="14" t="str">
        <x:v>ISO-14067; ISO-50001; ISO-45001; ISO-22301; ISO-27701; ISO-23894</x:v>
      </x:c>
      <x:c r="T68" s="14" t="str">
        <x:v>G47 Handel; K Versicherungen; M72 F&amp;E</x:v>
      </x:c>
      <x:c r="U68" s="14" t="str">
        <x:v>Legacy / nicht explizit versioniert</x:v>
      </x:c>
      <x:c r="V68" s="51" t="str"/>
      <x:c r="W68" s="14" t="str">
        <x:v>Migration auf NACE Rev. 2.1 erforderlich</x:v>
      </x:c>
      <x:c r="X68" s="14" t="str">
        <x:v>Organisation/Governance; konsolidierter Kreis und relevante Rechtseinheiten</x:v>
      </x:c>
      <x:c r="Y68" s="14" t="str">
        <x:v>Vorfälle pro 1 Mio. Kunden (DSGVO/NIS2).</x:v>
      </x:c>
      <x:c r="Z68" s="14" t="str">
        <x:v>Primärdaten bevorzugt; Sekundärdaten nur transparent und versioniert; Methode und Systemgrenze dokumentieren</x:v>
      </x:c>
      <x:c r="AA68" s="14" t="str">
        <x:v>Limited Assurance; risikobasiert höhere Prüftiefe</x:v>
      </x:c>
      <x:c r="AB68" s="14" t="str">
        <x:v>Strukturell nutzbar; Schwellen fachlich zu validieren</x:v>
      </x:c>
      <x:c r="AC68" s="14" t="str">
        <x:v>Mittel</x:v>
      </x:c>
      <x:c r="AD68" s="14" t="str">
        <x:v>Vollständige fünfstufige numerische Regel.</x:v>
      </x:c>
      <x:c r="AE68" s="14" t="str">
        <x:v>v1.4</x:v>
      </x:c>
      <x:c r="AF68" s="52" t="str">
        <x:v>2026-08-16</x:v>
      </x:c>
      <x:c r="AG68" s="52"/>
    </x:row>
    <x:row r="69" ht="42" customHeight="1">
      <x:c r="A69" s="14" t="str">
        <x:v>WOK-G-111</x:v>
      </x:c>
      <x:c r="B69" s="14" t="str">
        <x:v>SDG 3 – Gesundheit</x:v>
      </x:c>
      <x:c r="C69" s="14" t="str">
        <x:v>3.d</x:v>
      </x:c>
      <x:c r="D69" s="14" t="str">
        <x:v>Datenschutz (Gesundheitsdaten)</x:v>
      </x:c>
      <x:c r="E69" s="14" t="str">
        <x:v>Datenschutz (Gesundheitsdaten) – Privacy by Design</x:v>
      </x:c>
      <x:c r="F69" s="14" t="str">
        <x:v>Abdeckung relevanter Features/Produkte</x:v>
      </x:c>
      <x:c r="G69" s="14" t="str">
        <x:v>%</x:v>
      </x:c>
      <x:c r="H69" s="14" t="str">
        <x:v>higher_is_better</x:v>
      </x:c>
      <x:c r="I69" s="14" t="str">
        <x:v>R25</x:v>
      </x:c>
      <x:c r="J69" s="14" t="str">
        <x:v>≥90%:+3; 70–89%:+2; 50–69%:0; 30–49%:‑2; &lt;30%:‑3</x:v>
      </x:c>
      <x:c r="K69" s="14" t="str">
        <x:v>Feste WÖk-Kalibrierung</x:v>
      </x:c>
      <x:c r="L69" s="14" t="str">
        <x:v>Arbeitskalibrierung – fachlich zu validieren</x:v>
      </x:c>
      <x:c r="M69" s="14" t="str">
        <x:v>WÖk-interne Klassenlogik</x:v>
      </x:c>
      <x:c r="N69" s="14" t="str">
        <x:v>Optional/Nein</x:v>
      </x:c>
      <x:c r="O69" s="14" t="str">
        <x:v>ISO 14067/50001/45001/22301/27701/23894</x:v>
      </x:c>
      <x:c r="P69" s="14" t="str">
        <x:v>ISO/IEC 27001 &amp; 27701, NIS2</x:v>
      </x:c>
      <x:c r="Q69" s="14" t="str">
        <x:v>Mess-, Berichts- oder Managementrahmen; Schwellen sind grundsätzlich WÖk-Kalibrierungen</x:v>
      </x:c>
      <x:c r="R69" s="14" t="str">
        <x:v>Messgrundlage belegt; Schwellenkalibrierung offen</x:v>
      </x:c>
      <x:c r="S69" s="14" t="str">
        <x:v>ISO-14067; ISO-50001; ISO-45001; ISO-22301; ISO-27701; ISO-23894</x:v>
      </x:c>
      <x:c r="T69" s="14" t="str">
        <x:v>G47 Handel; K Versicherungen; M72 F&amp;E</x:v>
      </x:c>
      <x:c r="U69" s="14" t="str">
        <x:v>Legacy / nicht explizit versioniert</x:v>
      </x:c>
      <x:c r="V69" s="51" t="str"/>
      <x:c r="W69" s="14" t="str">
        <x:v>Migration auf NACE Rev. 2.1 erforderlich</x:v>
      </x:c>
      <x:c r="X69" s="14" t="str">
        <x:v>Organisation/Governance; konsolidierter Kreis und relevante Rechtseinheiten</x:v>
      </x:c>
      <x:c r="Y69" s="14" t="str">
        <x:v>Vorfälle pro 1 Mio. Kunden (DSGVO/NIS2).</x:v>
      </x:c>
      <x:c r="Z69" s="14" t="str">
        <x:v>Primärdaten bevorzugt; Sekundärdaten nur transparent und versioniert; Methode und Systemgrenze dokumentieren</x:v>
      </x:c>
      <x:c r="AA69" s="14" t="str">
        <x:v>Limited Assurance; risikobasiert höhere Prüftiefe</x:v>
      </x:c>
      <x:c r="AB69" s="14" t="str">
        <x:v>Strukturell nutzbar; Schwellen fachlich zu validieren</x:v>
      </x:c>
      <x:c r="AC69" s="14" t="str">
        <x:v>Mittel</x:v>
      </x:c>
      <x:c r="AD69" s="14" t="str">
        <x:v>Vollständige fünfstufige Prozentregel.</x:v>
      </x:c>
      <x:c r="AE69" s="14" t="str">
        <x:v>v1.4</x:v>
      </x:c>
      <x:c r="AF69" s="52" t="str">
        <x:v>2026-08-16</x:v>
      </x:c>
      <x:c r="AG69" s="52"/>
    </x:row>
    <x:row r="70" ht="42" customHeight="1">
      <x:c r="A70" s="14" t="str">
        <x:v>WOK-G-112</x:v>
      </x:c>
      <x:c r="B70" s="14" t="str">
        <x:v>SDG 3 – Gesundheit</x:v>
      </x:c>
      <x:c r="C70" s="14" t="str">
        <x:v>3.d</x:v>
      </x:c>
      <x:c r="D70" s="14" t="str">
        <x:v>Datenschutz (Gesundheitsdaten)</x:v>
      </x:c>
      <x:c r="E70" s="14" t="str">
        <x:v>Datenschutz (Gesundheitsdaten) – Security Reifegrad</x:v>
      </x:c>
      <x:c r="F70" s="14" t="str">
        <x:v>ISO/27001 Reifegrad</x:v>
      </x:c>
      <x:c r="G70" s="14" t="str">
        <x:v>0–1</x:v>
      </x:c>
      <x:c r="H70" s="14" t="str">
        <x:v>higher_is_better</x:v>
      </x:c>
      <x:c r="I70" s="14" t="str">
        <x:v>R16</x:v>
      </x:c>
      <x:c r="J70" s="14" t="str">
        <x:v>≥0,9:+3; 0,75–0,89:+2; 0,6–0,74:0; 0,4–0,59:‑2; &lt;0,4:‑3</x:v>
      </x:c>
      <x:c r="K70" s="14" t="str">
        <x:v>Feste WÖk-Kalibrierung</x:v>
      </x:c>
      <x:c r="L70" s="14" t="str">
        <x:v>Arbeitskalibrierung – fachlich zu validieren</x:v>
      </x:c>
      <x:c r="M70" s="14" t="str">
        <x:v>WÖk-interne Klassenlogik</x:v>
      </x:c>
      <x:c r="N70" s="14" t="str">
        <x:v>Optional/Nein</x:v>
      </x:c>
      <x:c r="O70" s="14" t="str">
        <x:v>ISO 14067/50001/45001/22301/27701/23894</x:v>
      </x:c>
      <x:c r="P70" s="14" t="str">
        <x:v>ISO/IEC 27001 &amp; 27701, NIS2</x:v>
      </x:c>
      <x:c r="Q70" s="14" t="str">
        <x:v>Mess-, Berichts- oder Managementrahmen; Schwellen sind grundsätzlich WÖk-Kalibrierungen</x:v>
      </x:c>
      <x:c r="R70" s="14" t="str">
        <x:v>Messgrundlage belegt; Schwellenkalibrierung offen</x:v>
      </x:c>
      <x:c r="S70" s="14" t="str">
        <x:v>ISO-14067; ISO-50001; ISO-45001; ISO-22301; ISO-27701; ISO-23894</x:v>
      </x:c>
      <x:c r="T70" s="14" t="str">
        <x:v>G47 Handel; K Versicherungen; M72 F&amp;E</x:v>
      </x:c>
      <x:c r="U70" s="14" t="str">
        <x:v>Legacy / nicht explizit versioniert</x:v>
      </x:c>
      <x:c r="V70" s="51" t="str"/>
      <x:c r="W70" s="14" t="str">
        <x:v>Migration auf NACE Rev. 2.1 erforderlich</x:v>
      </x:c>
      <x:c r="X70" s="14" t="str">
        <x:v>Organisation/Governance; konsolidierter Kreis und relevante Rechtseinheiten</x:v>
      </x:c>
      <x:c r="Y70" s="14" t="str">
        <x:v>Vorfälle pro 1 Mio. Kunden (DSGVO/NIS2).</x:v>
      </x:c>
      <x:c r="Z70" s="14" t="str">
        <x:v>Primärdaten bevorzugt; Sekundärdaten nur transparent und versioniert; Methode und Systemgrenze dokumentieren</x:v>
      </x:c>
      <x:c r="AA70" s="14" t="str">
        <x:v>Limited Assurance; risikobasiert höhere Prüftiefe</x:v>
      </x:c>
      <x:c r="AB70" s="14" t="str">
        <x:v>Strukturell nutzbar; Schwellen fachlich zu validieren</x:v>
      </x:c>
      <x:c r="AC70" s="14" t="str">
        <x:v>Mittel</x:v>
      </x:c>
      <x:c r="AD70" s="14" t="str">
        <x:v>Vollständige fünfstufige numerische Regel.</x:v>
      </x:c>
      <x:c r="AE70" s="14" t="str">
        <x:v>v1.4</x:v>
      </x:c>
      <x:c r="AF70" s="52" t="str">
        <x:v>2026-08-16</x:v>
      </x:c>
      <x:c r="AG70" s="52"/>
    </x:row>
    <x:row r="71" ht="42" customHeight="1">
      <x:c r="A71" s="14" t="str">
        <x:v>WOK-RE-101</x:v>
      </x:c>
      <x:c r="B71" s="14" t="str">
        <x:v>SDG 3 – Gesundheit</x:v>
      </x:c>
      <x:c r="C71" s="14" t="str">
        <x:v>3.9</x:v>
      </x:c>
      <x:c r="D71" s="14" t="str">
        <x:v>Gesunde Gebäude (IAQ)</x:v>
      </x:c>
      <x:c r="E71" s="14" t="str">
        <x:v>Gesunde Gebäude (IAQ) – Betriebsenergie</x:v>
      </x:c>
      <x:c r="F71" s="14" t="str">
        <x:v>Endenergiebedarf</x:v>
      </x:c>
      <x:c r="G71" s="14" t="str">
        <x:v>kWh/m²a</x:v>
      </x:c>
      <x:c r="H71" s="14" t="str">
        <x:v>lower_is_better</x:v>
      </x:c>
      <x:c r="I71" s="14" t="str">
        <x:v>R05</x:v>
      </x:c>
      <x:c r="J71" s="14" t="str">
        <x:v>Top 15%:+3; +15–30%:+2; +31–60%:0; &gt;+60%:‑2/‑3</x:v>
      </x:c>
      <x:c r="K71" s="14" t="str">
        <x:v>Benchmarkabhängig</x:v>
      </x:c>
      <x:c r="L71" s="14" t="str">
        <x:v>Validierter Benchmark fehlt</x:v>
      </x:c>
      <x:c r="M71" s="14" t="str">
        <x:v>Branche/Region/Technologie</x:v>
      </x:c>
      <x:c r="N71" s="14" t="str">
        <x:v>Ja</x:v>
      </x:c>
      <x:c r="O71" s="14" t="str">
        <x:v>EPBD; EN 15978</x:v>
      </x:c>
      <x:c r="P71" s="14" t="str">
        <x:v>ESRS E1, ISO 50001 (EnMS), ISO/IEC 30134‑2 (PUE), EU EPBD</x:v>
      </x:c>
      <x:c r="Q71" s="14" t="str">
        <x:v>Mess-/Methodenrahmen; aktiver Branchen-/Regional-/Technologiebenchmark separat erforderlich</x:v>
      </x:c>
      <x:c r="R71" s="14" t="str">
        <x:v>Teilbelegt – Benchmarkquelle fehlt</x:v>
      </x:c>
      <x:c r="S71" s="14" t="str">
        <x:v>EU-EPBD; CEN-15978</x:v>
      </x:c>
      <x:c r="T71" s="14" t="str">
        <x:v>L68 Immobilien; F41/F42 Bau</x:v>
      </x:c>
      <x:c r="U71" s="14" t="str">
        <x:v>Legacy / nicht explizit versioniert</x:v>
      </x:c>
      <x:c r="V71" s="51" t="str"/>
      <x:c r="W71" s="14" t="str">
        <x:v>Migration auf NACE Rev. 2.1 erforderlich</x:v>
      </x:c>
      <x:c r="X71" s="14" t="str">
        <x:v>Gebäude/Standort; Betrieb plus relevante Lebenszyklusmodule</x:v>
      </x:c>
      <x:c r="Y71" s="14" t="str">
        <x:v>Siehe Quelle: Definition gemäß Standard (ESRS/GRI/Taxonomie/ISO).</x:v>
      </x:c>
      <x:c r="Z71" s="14" t="str">
        <x:v>Primärdaten plus repräsentativer, versionierter Benchmarkdatensatz; Stichprobe und Population offenlegen</x:v>
      </x:c>
      <x:c r="AA71" s="14" t="str">
        <x:v>Messwert-Assurance und unabhängige Benchmark-Governance</x:v>
      </x:c>
      <x:c r="AB71" s="14" t="str">
        <x:v>Prüfung/Parametrisierung erforderlich</x:v>
      </x:c>
      <x:c r="AC71" s="14" t="str">
        <x:v>Hoch</x:v>
      </x:c>
      <x:c r="AD71" s="14" t="str">
        <x:v>Die Grenze &gt;+60 % ist derzeit nicht eindeutig in −2/−3 aufgelöst.</x:v>
      </x:c>
      <x:c r="AE71" s="14" t="str">
        <x:v>v1.4</x:v>
      </x:c>
      <x:c r="AF71" s="52" t="str">
        <x:v>2026-08-16</x:v>
      </x:c>
      <x:c r="AG71" s="52"/>
    </x:row>
    <x:row r="72" ht="42" customHeight="1">
      <x:c r="A72" s="14" t="str">
        <x:v>WOK-RE-102</x:v>
      </x:c>
      <x:c r="B72" s="14" t="str">
        <x:v>SDG 3 – Gesundheit</x:v>
      </x:c>
      <x:c r="C72" s="14" t="str">
        <x:v>3.9</x:v>
      </x:c>
      <x:c r="D72" s="14" t="str">
        <x:v>Gesunde Gebäude (IAQ)</x:v>
      </x:c>
      <x:c r="E72" s="14" t="str">
        <x:v>Gesunde Gebäude (IAQ) – Graue Emissionen</x:v>
      </x:c>
      <x:c r="F72" s="14" t="str">
        <x:v>Embodied Carbon (A1–A3)</x:v>
      </x:c>
      <x:c r="G72" s="14" t="str">
        <x:v>kg CO₂e/m²</x:v>
      </x:c>
      <x:c r="H72" s="14" t="str">
        <x:v>lower_is_better</x:v>
      </x:c>
      <x:c r="I72" s="14" t="str">
        <x:v>R06</x:v>
      </x:c>
      <x:c r="J72" s="14" t="str">
        <x:v>Top‑10%:+3; Mittel:0; &gt;150%:‑2; &gt;250%:‑3</x:v>
      </x:c>
      <x:c r="K72" s="14" t="str">
        <x:v>Benchmarkabhängig</x:v>
      </x:c>
      <x:c r="L72" s="14" t="str">
        <x:v>Validierter Benchmark fehlt</x:v>
      </x:c>
      <x:c r="M72" s="14" t="str">
        <x:v>Branche/Region/Technologie</x:v>
      </x:c>
      <x:c r="N72" s="14" t="str">
        <x:v>Ja</x:v>
      </x:c>
      <x:c r="O72" s="14" t="str">
        <x:v>EN 15978/ISO 14067</x:v>
      </x:c>
      <x:c r="P72" s="14" t="str">
        <x:v>ESRS E1, GHG Protocol (Corporate/Scope 1–3), ISO 14064/14067</x:v>
      </x:c>
      <x:c r="Q72" s="14" t="str">
        <x:v>Mess-/Methodenrahmen; aktiver Branchen-/Regional-/Technologiebenchmark separat erforderlich</x:v>
      </x:c>
      <x:c r="R72" s="14" t="str">
        <x:v>Teilbelegt – Benchmarkquelle fehlt</x:v>
      </x:c>
      <x:c r="S72" s="14" t="str">
        <x:v>CEN-15978; ISO-14067</x:v>
      </x:c>
      <x:c r="T72" s="14" t="str">
        <x:v>L68 Immobilien; F41/F42 Bau</x:v>
      </x:c>
      <x:c r="U72" s="14" t="str">
        <x:v>Legacy / nicht explizit versioniert</x:v>
      </x:c>
      <x:c r="V72" s="51" t="str"/>
      <x:c r="W72" s="14" t="str">
        <x:v>Migration auf NACE Rev. 2.1 erforderlich</x:v>
      </x:c>
      <x:c r="X72" s="14" t="str">
        <x:v>Gebäude/Standort; Betrieb plus relevante Lebenszyklusmodule</x:v>
      </x:c>
      <x:c r="Y72" s="14" t="str">
        <x:v>Embodied Carbon gem. EN 15978 (A1–A3 ggf. A4–A5); kg CO₂e/m².</x:v>
      </x:c>
      <x:c r="Z72" s="14" t="str">
        <x:v>Primärdaten plus repräsentativer, versionierter Benchmarkdatensatz; Stichprobe und Population offenlegen</x:v>
      </x:c>
      <x:c r="AA72" s="14" t="str">
        <x:v>Messwert-Assurance und unabhängige Benchmark-Governance</x:v>
      </x:c>
      <x:c r="AB72" s="14" t="str">
        <x:v>Prüfung/Parametrisierung erforderlich</x:v>
      </x:c>
      <x:c r="AC72" s="14" t="str">
        <x:v>Hoch</x:v>
      </x:c>
      <x:c r="AD72" s="14" t="str">
        <x:v>Top-10-Prozent, Mittelwert, 150 % und 250 % müssen aus einer dokumentierten Grundgesamtheit stammen.</x:v>
      </x:c>
      <x:c r="AE72" s="14" t="str">
        <x:v>v1.4</x:v>
      </x:c>
      <x:c r="AF72" s="52" t="str">
        <x:v>2026-08-16</x:v>
      </x:c>
      <x:c r="AG72" s="52"/>
    </x:row>
    <x:row r="73" ht="42" customHeight="1">
      <x:c r="A73" s="14" t="str">
        <x:v>WOK-RE-103</x:v>
      </x:c>
      <x:c r="B73" s="14" t="str">
        <x:v>SDG 3 – Gesundheit</x:v>
      </x:c>
      <x:c r="C73" s="14" t="str">
        <x:v>3.9</x:v>
      </x:c>
      <x:c r="D73" s="14" t="str">
        <x:v>Gesunde Gebäude (IAQ)</x:v>
      </x:c>
      <x:c r="E73" s="14" t="str">
        <x:v>Gesunde Gebäude (IAQ) – ÖPNV‑Erreichbarkeit</x:v>
      </x:c>
      <x:c r="F73" s="14" t="str">
        <x:v>Transit‑Score</x:v>
      </x:c>
      <x:c r="G73" s="14" t="str">
        <x:v>0–1</x:v>
      </x:c>
      <x:c r="H73" s="14" t="str">
        <x:v>higher_is_better</x:v>
      </x:c>
      <x:c r="I73" s="14" t="str">
        <x:v>R14</x:v>
      </x:c>
      <x:c r="J73" s="14" t="str">
        <x:v>≥0,8:+3; 0,6–0,79:+2; 0,4–0,59:0; 0,2–0,39:‑2; &lt;0,2:‑3</x:v>
      </x:c>
      <x:c r="K73" s="14" t="str">
        <x:v>Feste WÖk-Kalibrierung</x:v>
      </x:c>
      <x:c r="L73" s="14" t="str">
        <x:v>Arbeitskalibrierung – fachlich zu validieren</x:v>
      </x:c>
      <x:c r="M73" s="14" t="str">
        <x:v>WÖk-interne Klassenlogik</x:v>
      </x:c>
      <x:c r="N73" s="14" t="str">
        <x:v>Optional/Nein</x:v>
      </x:c>
      <x:c r="O73" s="14" t="str">
        <x:v>Stadt/GIS</x:v>
      </x:c>
      <x:c r="P73" s="14" t="str">
        <x:v>EN 15978 (Bau LCA), EU EPBD, ISO 52000</x:v>
      </x:c>
      <x:c r="Q73" s="14" t="str">
        <x:v>Lokale Primärdaten; Datenhalter, Layer, Zeitraum und Methodik je Fall ergänzen</x:v>
      </x:c>
      <x:c r="R73" s="14" t="str">
        <x:v>Platzhalter – konkrete Datenquelle fehlt</x:v>
      </x:c>
      <x:c r="S73" s="14" t="str">
        <x:v>DATA-GIS</x:v>
      </x:c>
      <x:c r="T73" s="14" t="str">
        <x:v>L68 Immobilien; F41/F42 Bau</x:v>
      </x:c>
      <x:c r="U73" s="14" t="str">
        <x:v>Legacy / nicht explizit versioniert</x:v>
      </x:c>
      <x:c r="V73" s="51" t="str"/>
      <x:c r="W73" s="14" t="str">
        <x:v>Migration auf NACE Rev. 2.1 erforderlich</x:v>
      </x:c>
      <x:c r="X73" s="14" t="str">
        <x:v>Gebäude/Standort; Betrieb plus relevante Lebenszyklusmodule</x:v>
      </x:c>
      <x:c r="Y73" s="14" t="str">
        <x:v>Siehe Quelle: Definition gemäß Standard (ESRS/GRI/Taxonomie/ISO).</x:v>
      </x:c>
      <x:c r="Z73" s="14" t="str">
        <x:v>Primärdaten oder qualitätsgesicherte Sekundärdaten; Methode, Zeitraum und Systemgrenze dokumentieren</x:v>
      </x:c>
      <x:c r="AA73" s="14" t="str">
        <x:v>Limited Assurance; bei materieller Steuerwirkung risikobasiert vertiefen</x:v>
      </x:c>
      <x:c r="AB73" s="14" t="str">
        <x:v>Produktspezifische bzw. lokale Prüfung erforderlich</x:v>
      </x:c>
      <x:c r="AC73" s="14" t="str">
        <x:v>Hoch</x:v>
      </x:c>
      <x:c r="AD73" s="14" t="str">
        <x:v>Konkreten Datenhalter, GIS-Layer, Stichtag und Methodik ergänzen. Vollständige fünfstufige numerische Regel.</x:v>
      </x:c>
      <x:c r="AE73" s="14" t="str">
        <x:v>v1.4</x:v>
      </x:c>
      <x:c r="AF73" s="52" t="str">
        <x:v>2026-08-16</x:v>
      </x:c>
      <x:c r="AG73" s="52"/>
    </x:row>
    <x:row r="74" ht="42" customHeight="1">
      <x:c r="A74" s="14" t="str">
        <x:v>WOK-SYS-104</x:v>
      </x:c>
      <x:c r="B74" s="14" t="str">
        <x:v>SDG 3 – Gesundheit</x:v>
      </x:c>
      <x:c r="C74" s="14" t="str">
        <x:v>3.4</x:v>
      </x:c>
      <x:c r="D74" s="14" t="str">
        <x:v>Kultur/Bewegung fördern</x:v>
      </x:c>
      <x:c r="E74" s="14" t="str">
        <x:v>Kultur/Bewegung fördern – Index</x:v>
      </x:c>
      <x:c r="F74" s="14" t="str">
        <x:v>umsatzgewichteter Index (z. B. Demokratie/Rule of Law)</x:v>
      </x:c>
      <x:c r="G74" s="14" t="str">
        <x:v>0–1</x:v>
      </x:c>
      <x:c r="H74" s="14" t="str">
        <x:v>higher_is_better</x:v>
      </x:c>
      <x:c r="I74" s="14" t="str">
        <x:v>R15</x:v>
      </x:c>
      <x:c r="J74" s="14" t="str">
        <x:v>≥0,8:+3; 0,7–0,79:+2; 0,6–0,69:0; 0,5–0,59:‑2; &lt;0,5:‑3</x:v>
      </x:c>
      <x:c r="K74" s="14" t="str">
        <x:v>Feste WÖk-Kalibrierung</x:v>
      </x:c>
      <x:c r="L74" s="14" t="str">
        <x:v>Arbeitskalibrierung – fachlich zu validieren</x:v>
      </x:c>
      <x:c r="M74" s="14" t="str">
        <x:v>WÖk-interne Klassenlogik</x:v>
      </x:c>
      <x:c r="N74" s="14" t="str">
        <x:v>Optional/Nein</x:v>
      </x:c>
      <x:c r="O74" s="14" t="str">
        <x:v>SROI/SDG17</x:v>
      </x:c>
      <x:c r="P74" s="14" t="str">
        <x:v>SDG 16/17, WJP, V‑Dem</x:v>
      </x:c>
      <x:c r="Q74" s="14" t="str">
        <x:v>Methodischer Platzhalter; konkrete Fach- und Primärdatenquelle erforderlich</x:v>
      </x:c>
      <x:c r="R74" s="14" t="str">
        <x:v>Platzhalter – fachliche Operationalisierung offen</x:v>
      </x:c>
      <x:c r="S74" s="14" t="str">
        <x:v>INT-WOEK-TSROI; SVI-SROI; UN-SDG</x:v>
      </x:c>
      <x:c r="T74" s="14" t="str">
        <x:v>G47 Handel; K Versicherungen; M72 F&amp;E</x:v>
      </x:c>
      <x:c r="U74" s="14" t="str">
        <x:v>Legacy / nicht explizit versioniert</x:v>
      </x:c>
      <x:c r="V74" s="51" t="str"/>
      <x:c r="W74" s="14" t="str">
        <x:v>Migration auf NACE Rev. 2.1 erforderlich</x:v>
      </x:c>
      <x:c r="X74" s="14" t="str">
        <x:v>Programm/Portfolio/Systemraum; Empfängergruppe, Region und Zeitraum explizit definieren</x:v>
      </x:c>
      <x:c r="Y74" s="14" t="str">
        <x:v>Siehe Quelle: Definition gemäß Standard (ESRS/GRI/Taxonomie/ISO).</x:v>
      </x:c>
      <x:c r="Z74" s="14" t="str">
        <x:v>Primärdaten bevorzugt; Sekundärdaten nur transparent und versioniert; Methode und Systemgrenze dokumentieren</x:v>
      </x:c>
      <x:c r="AA74" s="14" t="str">
        <x:v>Limited Assurance; risikobasiert höhere Prüftiefe</x:v>
      </x:c>
      <x:c r="AB74" s="14" t="str">
        <x:v>Kritische Schablonenabweichung – Indikator und Definition fachlich neu zu entwerfen</x:v>
      </x:c>
      <x:c r="AC74" s="14" t="str">
        <x:v>Kritisch</x:v>
      </x:c>
      <x:c r="AD74" s="14" t="str">
        <x:v>Item-Bezeichnung und Messdefinition passen nicht ausreichend zusammen. SROI/SDG 17 ist keine hinreichend konkrete Mess- oder Schwellenquelle. Vollständige fünfstufige numerische Regel.</x:v>
      </x:c>
      <x:c r="AE74" s="14" t="str">
        <x:v>v1.4</x:v>
      </x:c>
      <x:c r="AF74" s="52" t="str">
        <x:v>2026-08-16</x:v>
      </x:c>
      <x:c r="AG74" s="52"/>
    </x:row>
    <x:row r="75" ht="42" customHeight="1">
      <x:c r="A75" s="14" t="str">
        <x:v>WOK-SYS-105</x:v>
      </x:c>
      <x:c r="B75" s="14" t="str">
        <x:v>SDG 3 – Gesundheit</x:v>
      </x:c>
      <x:c r="C75" s="14" t="str">
        <x:v>3.4</x:v>
      </x:c>
      <x:c r="D75" s="14" t="str">
        <x:v>Kultur/Bewegung fördern</x:v>
      </x:c>
      <x:c r="E75" s="14" t="str">
        <x:v>Kultur/Bewegung fördern – Exposure</x:v>
      </x:c>
      <x:c r="F75" s="14" t="str">
        <x:v>Umsatz in Hochrisikoländern</x:v>
      </x:c>
      <x:c r="G75" s="14" t="str">
        <x:v>%</x:v>
      </x:c>
      <x:c r="H75" s="14" t="str">
        <x:v>lower_is_better</x:v>
      </x:c>
      <x:c r="I75" s="14" t="str">
        <x:v>R13</x:v>
      </x:c>
      <x:c r="J75" s="14" t="str">
        <x:v>≤5:+3; 6–10:+2; 11–20:0; 21–30:‑2; &gt;30:‑3</x:v>
      </x:c>
      <x:c r="K75" s="14" t="str">
        <x:v>Feste WÖk-Kalibrierung</x:v>
      </x:c>
      <x:c r="L75" s="14" t="str">
        <x:v>Arbeitskalibrierung – fachlich zu validieren</x:v>
      </x:c>
      <x:c r="M75" s="14" t="str">
        <x:v>WÖk-interne Klassenlogik</x:v>
      </x:c>
      <x:c r="N75" s="14" t="str">
        <x:v>Optional/Nein</x:v>
      </x:c>
      <x:c r="O75" s="14" t="str">
        <x:v>SROI/SDG17</x:v>
      </x:c>
      <x:c r="P75" s="14" t="str">
        <x:v>SROI/SDG17</x:v>
      </x:c>
      <x:c r="Q75" s="14" t="str">
        <x:v>Methodischer Platzhalter; konkrete Fach- und Primärdatenquelle erforderlich</x:v>
      </x:c>
      <x:c r="R75" s="14" t="str">
        <x:v>Platzhalter – fachliche Operationalisierung offen</x:v>
      </x:c>
      <x:c r="S75" s="14" t="str">
        <x:v>INT-WOEK-TSROI; SVI-SROI; UN-SDG</x:v>
      </x:c>
      <x:c r="T75" s="14" t="str">
        <x:v>G47 Handel; K Versicherungen; M72 F&amp;E</x:v>
      </x:c>
      <x:c r="U75" s="14" t="str">
        <x:v>Legacy / nicht explizit versioniert</x:v>
      </x:c>
      <x:c r="V75" s="51" t="str"/>
      <x:c r="W75" s="14" t="str">
        <x:v>Migration auf NACE Rev. 2.1 erforderlich</x:v>
      </x:c>
      <x:c r="X75" s="14" t="str">
        <x:v>Programm/Portfolio/Systemraum; Empfängergruppe, Region und Zeitraum explizit definieren</x:v>
      </x:c>
      <x:c r="Y75" s="14" t="str">
        <x:v>Siehe Quelle: Definition gemäß Standard (ESRS/GRI/Taxonomie/ISO).</x:v>
      </x:c>
      <x:c r="Z75" s="14" t="str">
        <x:v>Primärdaten bevorzugt; Sekundärdaten nur transparent und versioniert; Methode und Systemgrenze dokumentieren</x:v>
      </x:c>
      <x:c r="AA75" s="14" t="str">
        <x:v>Limited Assurance; risikobasiert höhere Prüftiefe</x:v>
      </x:c>
      <x:c r="AB75" s="14" t="str">
        <x:v>Kritische Schablonenabweichung – Indikator und Definition fachlich neu zu entwerfen</x:v>
      </x:c>
      <x:c r="AC75" s="14" t="str">
        <x:v>Kritisch</x:v>
      </x:c>
      <x:c r="AD75" s="14" t="str">
        <x:v>Item-Bezeichnung und Messdefinition passen nicht ausreichend zusammen. SROI/SDG 17 ist keine hinreichend konkrete Mess- oder Schwellenquelle. Vollständige fünfstufige numerische Regel.</x:v>
      </x:c>
      <x:c r="AE75" s="14" t="str">
        <x:v>v1.4</x:v>
      </x:c>
      <x:c r="AF75" s="52" t="str">
        <x:v>2026-08-16</x:v>
      </x:c>
      <x:c r="AG75" s="52"/>
    </x:row>
    <x:row r="76" ht="42" customHeight="1">
      <x:c r="A76" s="14" t="str">
        <x:v>WOK-SYS-106</x:v>
      </x:c>
      <x:c r="B76" s="14" t="str">
        <x:v>SDG 3 – Gesundheit</x:v>
      </x:c>
      <x:c r="C76" s="14" t="str">
        <x:v>3.4</x:v>
      </x:c>
      <x:c r="D76" s="14" t="str">
        <x:v>Kultur/Bewegung fördern</x:v>
      </x:c>
      <x:c r="E76" s="14" t="str">
        <x:v>Kultur/Bewegung fördern – Kooperationen</x:v>
      </x:c>
      <x:c r="F76" s="14" t="str">
        <x:v>aktive, evaluierte Partnerschaften/Jahr</x:v>
      </x:c>
      <x:c r="G76" s="14" t="str">
        <x:v>#/Jahr</x:v>
      </x:c>
      <x:c r="H76" s="14" t="str">
        <x:v>higher_is_better</x:v>
      </x:c>
      <x:c r="I76" s="14" t="str">
        <x:v>R20</x:v>
      </x:c>
      <x:c r="J76" s="14" t="str">
        <x:v>≥5:+3; 3–4:+2; 1–2:0; 0:‑2</x:v>
      </x:c>
      <x:c r="K76" s="14" t="str">
        <x:v>Feste WÖk-Grobkalibrierung</x:v>
      </x:c>
      <x:c r="L76" s="14" t="str">
        <x:v>Klasse −3 nur für negative/unzulässige Werte ergänzt</x:v>
      </x:c>
      <x:c r="M76" s="14" t="str">
        <x:v>WÖk-interne Grobkalibrierung</x:v>
      </x:c>
      <x:c r="N76" s="14" t="str">
        <x:v>Optional/Nein</x:v>
      </x:c>
      <x:c r="O76" s="14" t="str">
        <x:v>SROI/SDG17</x:v>
      </x:c>
      <x:c r="P76" s="14" t="str">
        <x:v>SDG 16/17, WJP, V‑Dem</x:v>
      </x:c>
      <x:c r="Q76" s="14" t="str">
        <x:v>Methodischer Platzhalter; konkrete Fach- und Primärdatenquelle erforderlich</x:v>
      </x:c>
      <x:c r="R76" s="14" t="str">
        <x:v>Platzhalter – fachliche Operationalisierung offen</x:v>
      </x:c>
      <x:c r="S76" s="14" t="str">
        <x:v>INT-WOEK-TSROI; SVI-SROI; UN-SDG</x:v>
      </x:c>
      <x:c r="T76" s="14" t="str">
        <x:v>G47 Handel; K Versicherungen; M72 F&amp;E</x:v>
      </x:c>
      <x:c r="U76" s="14" t="str">
        <x:v>Legacy / nicht explizit versioniert</x:v>
      </x:c>
      <x:c r="V76" s="51" t="str"/>
      <x:c r="W76" s="14" t="str">
        <x:v>Migration auf NACE Rev. 2.1 erforderlich</x:v>
      </x:c>
      <x:c r="X76" s="14" t="str">
        <x:v>Programm/Portfolio/Systemraum; Empfängergruppe, Region und Zeitraum explizit definieren</x:v>
      </x:c>
      <x:c r="Y76" s="14" t="str">
        <x:v>Siehe Quelle: Definition gemäß Standard (ESRS/GRI/Taxonomie/ISO).</x:v>
      </x:c>
      <x:c r="Z76" s="14" t="str">
        <x:v>Primärdaten bevorzugt; Sekundärdaten nur transparent und versioniert; Methode und Systemgrenze dokumentieren</x:v>
      </x:c>
      <x:c r="AA76" s="14" t="str">
        <x:v>Limited Assurance; risikobasiert höhere Prüftiefe</x:v>
      </x:c>
      <x:c r="AB76" s="14" t="str">
        <x:v>Kritische Schablonenabweichung – Indikator und Definition fachlich neu zu entwerfen</x:v>
      </x:c>
      <x:c r="AC76" s="14" t="str">
        <x:v>Kritisch</x:v>
      </x:c>
      <x:c r="AD76" s="14" t="str">
        <x:v>Item-Bezeichnung und Messdefinition passen nicht ausreichend zusammen. SROI/SDG 17 ist keine hinreichend konkrete Mess- oder Schwellenquelle. Für sachlogisch nichtnegative Zählwerte ist 0 die schlechteste reguläre Klasse (−2).</x:v>
      </x:c>
      <x:c r="AE76" s="14" t="str">
        <x:v>v1.4</x:v>
      </x:c>
      <x:c r="AF76" s="52" t="str">
        <x:v>2026-08-16</x:v>
      </x:c>
      <x:c r="AG76" s="52"/>
    </x:row>
    <x:row r="77" ht="42" customHeight="1">
      <x:c r="A77" s="14" t="str">
        <x:v>WOK-S-122</x:v>
      </x:c>
      <x:c r="B77" s="14" t="str">
        <x:v>SDG 3 – Gesundheit</x:v>
      </x:c>
      <x:c r="C77" s="14" t="str">
        <x:v>3.4</x:v>
      </x:c>
      <x:c r="D77" s="14" t="str">
        <x:v>Psycho‑soziale Risiken</x:v>
      </x:c>
      <x:c r="E77" s="14" t="str">
        <x:v>Psycho‑soziale Risiken – Living Wage</x:v>
      </x:c>
      <x:c r="F77" s="14" t="str">
        <x:v>Abdeckung Lebenslohn</x:v>
      </x:c>
      <x:c r="G77" s="14" t="str">
        <x:v>% Beschäftigte</x:v>
      </x:c>
      <x:c r="H77" s="14" t="str">
        <x:v>higher_is_better</x:v>
      </x:c>
      <x:c r="I77" s="14" t="str">
        <x:v>R27</x:v>
      </x:c>
      <x:c r="J77" s="14" t="str">
        <x:v>≥95:+3; 80–94:+2; 60–79:0; 40–59:‑2; &lt;40:‑3</x:v>
      </x:c>
      <x:c r="K77" s="14" t="str">
        <x:v>Feste WÖk-Kalibrierung</x:v>
      </x:c>
      <x:c r="L77" s="14" t="str">
        <x:v>Arbeitskalibrierung – fachlich zu validieren</x:v>
      </x:c>
      <x:c r="M77" s="14" t="str">
        <x:v>WÖk-interne Klassenlogik</x:v>
      </x:c>
      <x:c r="N77" s="14" t="str">
        <x:v>Optional/Nein</x:v>
      </x:c>
      <x:c r="O77" s="14" t="str">
        <x:v>ESRS S1; GRI 401/403/405/406</x:v>
      </x:c>
      <x:c r="P77" s="14" t="str">
        <x:v>ESRS S1, GRI 401/403/405/406, ILO</x:v>
      </x:c>
      <x:c r="Q77" s="14" t="str">
        <x:v>Mess-, Berichts- oder Managementrahmen; Schwellen sind grundsätzlich WÖk-Kalibrierungen</x:v>
      </x:c>
      <x:c r="R77" s="14" t="str">
        <x:v>Messgrundlage belegt; Schwellenkalibrierung offen</x:v>
      </x:c>
      <x:c r="S77" s="14" t="str">
        <x:v>EU-ESRS; GRI; ISO-45001; ILO-LW; ILO-CORE</x:v>
      </x:c>
      <x:c r="T77" s="14" t="str">
        <x:v>G47 Handel; K Versicherungen; M72 F&amp;E</x:v>
      </x:c>
      <x:c r="U77" s="14" t="str">
        <x:v>Legacy / nicht explizit versioniert</x:v>
      </x:c>
      <x:c r="V77" s="51" t="str"/>
      <x:c r="W77" s="14" t="str">
        <x:v>Migration auf NACE Rev. 2.1 erforderlich</x:v>
      </x:c>
      <x:c r="X77" s="14" t="str">
        <x:v>Eigene Belegschaft/Organisation; FTE, Beschäftigtengruppe und Zeitraum</x:v>
      </x:c>
      <x:c r="Y77" s="14" t="str">
        <x:v>Anteil Beschäftigte ≥ Living Wage (zertifizierte Methodik).</x:v>
      </x:c>
      <x:c r="Z77" s="14" t="str">
        <x:v>Primärdaten bevorzugt; Sekundärdaten nur transparent und versioniert; Methode und Systemgrenze dokumentieren</x:v>
      </x:c>
      <x:c r="AA77" s="14" t="str">
        <x:v>Limited Assurance; risikobasiert höhere Prüftiefe</x:v>
      </x:c>
      <x:c r="AB77" s="14" t="str">
        <x:v>Strukturell nutzbar; Schwellen fachlich zu validieren</x:v>
      </x:c>
      <x:c r="AC77" s="14" t="str">
        <x:v>Mittel</x:v>
      </x:c>
      <x:c r="AD77" s="14" t="str">
        <x:v>Vollständige fünfstufige numerische Regel.</x:v>
      </x:c>
      <x:c r="AE77" s="14" t="str">
        <x:v>v1.4</x:v>
      </x:c>
      <x:c r="AF77" s="52" t="str">
        <x:v>2026-08-16</x:v>
      </x:c>
      <x:c r="AG77" s="52"/>
    </x:row>
    <x:row r="78" ht="42" customHeight="1">
      <x:c r="A78" s="14" t="str">
        <x:v>WOK-S-123</x:v>
      </x:c>
      <x:c r="B78" s="14" t="str">
        <x:v>SDG 3 – Gesundheit</x:v>
      </x:c>
      <x:c r="C78" s="14" t="str">
        <x:v>3.4</x:v>
      </x:c>
      <x:c r="D78" s="14" t="str">
        <x:v>Psycho‑soziale Risiken</x:v>
      </x:c>
      <x:c r="E78" s="14" t="str">
        <x:v>Psycho‑soziale Risiken – Tarifbindung</x:v>
      </x:c>
      <x:c r="F78" s="14" t="str">
        <x:v>Beschäftigte unter Kollektivvertrag</x:v>
      </x:c>
      <x:c r="G78" s="14" t="str">
        <x:v>%</x:v>
      </x:c>
      <x:c r="H78" s="14" t="str">
        <x:v>higher_is_better</x:v>
      </x:c>
      <x:c r="I78" s="14" t="str">
        <x:v>R26</x:v>
      </x:c>
      <x:c r="J78" s="14" t="str">
        <x:v>≥90:+3; 70–89:+2; 50–69:0; 30–49:‑2; &lt;30:‑3</x:v>
      </x:c>
      <x:c r="K78" s="14" t="str">
        <x:v>Feste WÖk-Kalibrierung</x:v>
      </x:c>
      <x:c r="L78" s="14" t="str">
        <x:v>Arbeitskalibrierung – fachlich zu validieren</x:v>
      </x:c>
      <x:c r="M78" s="14" t="str">
        <x:v>WÖk-interne Klassenlogik</x:v>
      </x:c>
      <x:c r="N78" s="14" t="str">
        <x:v>Optional/Nein</x:v>
      </x:c>
      <x:c r="O78" s="14" t="str">
        <x:v>ESRS S1; GRI 401/403/405/406</x:v>
      </x:c>
      <x:c r="P78" s="14" t="str">
        <x:v>ESRS S1, GRI 401/403/405/406, ILO</x:v>
      </x:c>
      <x:c r="Q78" s="14" t="str">
        <x:v>Mess-, Berichts- oder Managementrahmen; Schwellen sind grundsätzlich WÖk-Kalibrierungen</x:v>
      </x:c>
      <x:c r="R78" s="14" t="str">
        <x:v>Messgrundlage belegt; Schwellenkalibrierung offen</x:v>
      </x:c>
      <x:c r="S78" s="14" t="str">
        <x:v>EU-ESRS; GRI; ISO-45001; ILO-LW; ILO-CORE</x:v>
      </x:c>
      <x:c r="T78" s="14" t="str">
        <x:v>G47 Handel; K Versicherungen; M72 F&amp;E</x:v>
      </x:c>
      <x:c r="U78" s="14" t="str">
        <x:v>Legacy / nicht explizit versioniert</x:v>
      </x:c>
      <x:c r="V78" s="51" t="str"/>
      <x:c r="W78" s="14" t="str">
        <x:v>Migration auf NACE Rev. 2.1 erforderlich</x:v>
      </x:c>
      <x:c r="X78" s="14" t="str">
        <x:v>Eigene Belegschaft/Organisation; FTE, Beschäftigtengruppe und Zeitraum</x:v>
      </x:c>
      <x:c r="Y78" s="14" t="str">
        <x:v>Quote = Zähler / Nenner gemäß Quelle; in %.</x:v>
      </x:c>
      <x:c r="Z78" s="14" t="str">
        <x:v>Primärdaten bevorzugt; Sekundärdaten nur transparent und versioniert; Methode und Systemgrenze dokumentieren</x:v>
      </x:c>
      <x:c r="AA78" s="14" t="str">
        <x:v>Limited Assurance; risikobasiert höhere Prüftiefe</x:v>
      </x:c>
      <x:c r="AB78" s="14" t="str">
        <x:v>Strukturell nutzbar; Schwellen fachlich zu validieren</x:v>
      </x:c>
      <x:c r="AC78" s="14" t="str">
        <x:v>Mittel</x:v>
      </x:c>
      <x:c r="AD78" s="14" t="str">
        <x:v>Vollständige fünfstufige numerische Regel.</x:v>
      </x:c>
      <x:c r="AE78" s="14" t="str">
        <x:v>v1.4</x:v>
      </x:c>
      <x:c r="AF78" s="52" t="str">
        <x:v>2026-08-16</x:v>
      </x:c>
      <x:c r="AG78" s="52"/>
    </x:row>
    <x:row r="79" ht="42" customHeight="1">
      <x:c r="A79" s="14" t="str">
        <x:v>WOK-S-124</x:v>
      </x:c>
      <x:c r="B79" s="14" t="str">
        <x:v>SDG 3 – Gesundheit</x:v>
      </x:c>
      <x:c r="C79" s="14" t="str">
        <x:v>3.4</x:v>
      </x:c>
      <x:c r="D79" s="14" t="str">
        <x:v>Psycho‑soziale Risiken</x:v>
      </x:c>
      <x:c r="E79" s="14" t="str">
        <x:v>Psycho‑soziale Risiken – LTIFR</x:v>
      </x:c>
      <x:c r="F79" s="14" t="str">
        <x:v>Arbeitsunfälle pro Mio Stunden</x:v>
      </x:c>
      <x:c r="G79" s="14" t="str">
        <x:v>Unfälle/Mio Std.</x:v>
      </x:c>
      <x:c r="H79" s="14" t="str">
        <x:v>lower_is_better</x:v>
      </x:c>
      <x:c r="I79" s="14" t="str">
        <x:v>R02</x:v>
      </x:c>
      <x:c r="J79" s="14" t="str">
        <x:v>0:+3; ≤1:+2; ≤3:0; ≤5:‑2; &gt;5:‑3</x:v>
      </x:c>
      <x:c r="K79" s="14" t="str">
        <x:v>Feste WÖk-Kalibrierung</x:v>
      </x:c>
      <x:c r="L79" s="14" t="str">
        <x:v>Arbeitskalibrierung – fachlich zu validieren</x:v>
      </x:c>
      <x:c r="M79" s="14" t="str">
        <x:v>WÖk-interne Klassenlogik</x:v>
      </x:c>
      <x:c r="N79" s="14" t="str">
        <x:v>Optional/Nein</x:v>
      </x:c>
      <x:c r="O79" s="14" t="str">
        <x:v>ESRS S1; GRI 401/403/405/406</x:v>
      </x:c>
      <x:c r="P79" s="14" t="str">
        <x:v>ESRS S1, GRI 401/403/405/406, ILO</x:v>
      </x:c>
      <x:c r="Q79" s="14" t="str">
        <x:v>Mess-, Berichts- oder Managementrahmen; Schwellen sind grundsätzlich WÖk-Kalibrierungen</x:v>
      </x:c>
      <x:c r="R79" s="14" t="str">
        <x:v>Messgrundlage belegt; Schwellenkalibrierung offen</x:v>
      </x:c>
      <x:c r="S79" s="14" t="str">
        <x:v>EU-ESRS; GRI; ISO-45001; ILO-LW; ILO-CORE</x:v>
      </x:c>
      <x:c r="T79" s="14" t="str">
        <x:v>G47 Handel; K Versicherungen; M72 F&amp;E</x:v>
      </x:c>
      <x:c r="U79" s="14" t="str">
        <x:v>Legacy / nicht explizit versioniert</x:v>
      </x:c>
      <x:c r="V79" s="51" t="str"/>
      <x:c r="W79" s="14" t="str">
        <x:v>Migration auf NACE Rev. 2.1 erforderlich</x:v>
      </x:c>
      <x:c r="X79" s="14" t="str">
        <x:v>Eigene Belegschaft/Organisation; FTE, Beschäftigtengruppe und Zeitraum</x:v>
      </x:c>
      <x:c r="Y79" s="14" t="str">
        <x:v>LTIFR = Unfälle mit Ausfallzeit / 1 Mio. Std. (ILO/GRI 403).</x:v>
      </x:c>
      <x:c r="Z79" s="14" t="str">
        <x:v>Primärdaten bevorzugt; Sekundärdaten nur transparent und versioniert; Methode und Systemgrenze dokumentieren</x:v>
      </x:c>
      <x:c r="AA79" s="14" t="str">
        <x:v>Limited Assurance; risikobasiert höhere Prüftiefe</x:v>
      </x:c>
      <x:c r="AB79" s="14" t="str">
        <x:v>Strukturell nutzbar; Schwellen fachlich zu validieren</x:v>
      </x:c>
      <x:c r="AC79" s="14" t="str">
        <x:v>Mittel</x:v>
      </x:c>
      <x:c r="AD79" s="14" t="str">
        <x:v>Vollständige fünfstufige numerische Regel.</x:v>
      </x:c>
      <x:c r="AE79" s="14" t="str">
        <x:v>v1.4</x:v>
      </x:c>
      <x:c r="AF79" s="52" t="str">
        <x:v>2026-08-16</x:v>
      </x:c>
      <x:c r="AG79" s="52"/>
    </x:row>
    <x:row r="80" ht="42" customHeight="1">
      <x:c r="A80" s="14" t="str">
        <x:v>WOK-E-119</x:v>
      </x:c>
      <x:c r="B80" s="14" t="str">
        <x:v>SDG 3 – Gesundheit</x:v>
      </x:c>
      <x:c r="C80" s="14" t="str">
        <x:v>3.9</x:v>
      </x:c>
      <x:c r="D80" s="14" t="str">
        <x:v>Chemikaliensicherheit/REACH</x:v>
      </x:c>
      <x:c r="E80" s="14" t="str">
        <x:v>Chemikaliensicherheit/REACH – Abfallintensität</x:v>
      </x:c>
      <x:c r="F80" s="14" t="str">
        <x:v>Abfallmenge je Output</x:v>
      </x:c>
      <x:c r="G80" s="14" t="str">
        <x:v>kg/t</x:v>
      </x:c>
      <x:c r="H80" s="14" t="str">
        <x:v>lower_is_better</x:v>
      </x:c>
      <x:c r="I80" s="14" t="str">
        <x:v>R06</x:v>
      </x:c>
      <x:c r="J80" s="14" t="str">
        <x:v>Top‑10%:+3; Mittel:0; &gt;150%:‑2; &gt;250%:‑3</x:v>
      </x:c>
      <x:c r="K80" s="14" t="str">
        <x:v>Benchmarkabhängig</x:v>
      </x:c>
      <x:c r="L80" s="14" t="str">
        <x:v>Validierter Benchmark fehlt</x:v>
      </x:c>
      <x:c r="M80" s="14" t="str">
        <x:v>Branche/Region/Technologie</x:v>
      </x:c>
      <x:c r="N80" s="14" t="str">
        <x:v>Ja</x:v>
      </x:c>
      <x:c r="O80" s="14" t="str">
        <x:v>ESRS E5; GRI 306/301</x:v>
      </x:c>
      <x:c r="P80" s="14" t="str">
        <x:v>ESRS E5, GRI 306, WEEE/VerpackG</x:v>
      </x:c>
      <x:c r="Q80" s="14" t="str">
        <x:v>Mess-/Methodenrahmen; aktiver Branchen-/Regional-/Technologiebenchmark separat erforderlich</x:v>
      </x:c>
      <x:c r="R80" s="14" t="str">
        <x:v>Teilbelegt – Benchmarkquelle fehlt</x:v>
      </x:c>
      <x:c r="S80" s="14" t="str">
        <x:v>EU-ESRS; GRI</x:v>
      </x:c>
      <x:c r="T80" s="14" t="str">
        <x:v>C20 Chemie; C24 Stahl; C29 Fahrzeuge</x:v>
      </x:c>
      <x:c r="U80" s="14" t="str">
        <x:v>Legacy / nicht explizit versioniert</x:v>
      </x:c>
      <x:c r="V80" s="51" t="str"/>
      <x:c r="W80" s="14" t="str">
        <x:v>Migration auf NACE Rev. 2.1 erforderlich</x:v>
      </x:c>
      <x:c r="X80" s="14" t="str">
        <x:v>Standort/Prozess/Aktivität; Bezugsgröße und relevante Umweltmedien</x:v>
      </x:c>
      <x:c r="Y80" s="14" t="str">
        <x:v>Siehe Quelle: Definition gemäß Standard (ESRS/GRI/Taxonomie/ISO).</x:v>
      </x:c>
      <x:c r="Z80" s="14" t="str">
        <x:v>Primärdaten plus repräsentativer, versionierter Benchmarkdatensatz; Stichprobe und Population offenlegen</x:v>
      </x:c>
      <x:c r="AA80" s="14" t="str">
        <x:v>Messwert-Assurance und unabhängige Benchmark-Governance</x:v>
      </x:c>
      <x:c r="AB80" s="14" t="str">
        <x:v>Prüfung/Parametrisierung erforderlich</x:v>
      </x:c>
      <x:c r="AC80" s="14" t="str">
        <x:v>Hoch</x:v>
      </x:c>
      <x:c r="AD80" s="14" t="str">
        <x:v>Top-10-Prozent, Mittelwert, 150 % und 250 % müssen aus einer dokumentierten Grundgesamtheit stammen.</x:v>
      </x:c>
      <x:c r="AE80" s="14" t="str">
        <x:v>v1.4</x:v>
      </x:c>
      <x:c r="AF80" s="52" t="str">
        <x:v>2026-08-16</x:v>
      </x:c>
      <x:c r="AG80" s="52"/>
    </x:row>
    <x:row r="81" ht="42" customHeight="1">
      <x:c r="A81" s="14" t="str">
        <x:v>WOK-E-120</x:v>
      </x:c>
      <x:c r="B81" s="14" t="str">
        <x:v>SDG 3 – Gesundheit</x:v>
      </x:c>
      <x:c r="C81" s="14" t="str">
        <x:v>3.9</x:v>
      </x:c>
      <x:c r="D81" s="14" t="str">
        <x:v>Chemikaliensicherheit/REACH</x:v>
      </x:c>
      <x:c r="E81" s="14" t="str">
        <x:v>Chemikaliensicherheit/REACH – Recyclingquote</x:v>
      </x:c>
      <x:c r="F81" s="14" t="str">
        <x:v>Anteil verwerteter Abfälle</x:v>
      </x:c>
      <x:c r="G81" s="14" t="str">
        <x:v>%</x:v>
      </x:c>
      <x:c r="H81" s="14" t="str">
        <x:v>higher_is_better</x:v>
      </x:c>
      <x:c r="I81" s="14" t="str">
        <x:v>R25</x:v>
      </x:c>
      <x:c r="J81" s="14" t="str">
        <x:v>≥90%:+3; 70–89%:+2; 50–69%:0; 30–49%:‑2; &lt;30%:‑3</x:v>
      </x:c>
      <x:c r="K81" s="14" t="str">
        <x:v>Feste WÖk-Kalibrierung</x:v>
      </x:c>
      <x:c r="L81" s="14" t="str">
        <x:v>Arbeitskalibrierung – fachlich zu validieren</x:v>
      </x:c>
      <x:c r="M81" s="14" t="str">
        <x:v>WÖk-interne Klassenlogik</x:v>
      </x:c>
      <x:c r="N81" s="14" t="str">
        <x:v>Optional/Nein</x:v>
      </x:c>
      <x:c r="O81" s="14" t="str">
        <x:v>ESRS E5; GRI 306/301</x:v>
      </x:c>
      <x:c r="P81" s="14" t="str">
        <x:v>ESRS E5, GRI 306, WEEE/VerpackG</x:v>
      </x:c>
      <x:c r="Q81" s="14" t="str">
        <x:v>Mess-, Berichts- oder Managementrahmen; Schwellen sind grundsätzlich WÖk-Kalibrierungen</x:v>
      </x:c>
      <x:c r="R81" s="14" t="str">
        <x:v>Messgrundlage belegt; Schwellenkalibrierung offen</x:v>
      </x:c>
      <x:c r="S81" s="14" t="str">
        <x:v>EU-ESRS; GRI</x:v>
      </x:c>
      <x:c r="T81" s="14" t="str">
        <x:v>C20 Chemie; C24 Stahl; C29 Fahrzeuge</x:v>
      </x:c>
      <x:c r="U81" s="14" t="str">
        <x:v>Legacy / nicht explizit versioniert</x:v>
      </x:c>
      <x:c r="V81" s="51" t="str"/>
      <x:c r="W81" s="14" t="str">
        <x:v>Migration auf NACE Rev. 2.1 erforderlich</x:v>
      </x:c>
      <x:c r="X81" s="14" t="str">
        <x:v>Standort/Prozess/Aktivität; Bezugsgröße und relevante Umweltmedien</x:v>
      </x:c>
      <x:c r="Y81" s="14" t="str">
        <x:v>Recyclingquote = stofflich verwertete Menge / Gesamtabfall.</x:v>
      </x:c>
      <x:c r="Z81" s="14" t="str">
        <x:v>Primärdaten bevorzugt; Sekundärdaten nur transparent und versioniert; Methode und Systemgrenze dokumentieren</x:v>
      </x:c>
      <x:c r="AA81" s="14" t="str">
        <x:v>Limited Assurance; risikobasiert höhere Prüftiefe</x:v>
      </x:c>
      <x:c r="AB81" s="14" t="str">
        <x:v>Strukturell nutzbar; Schwellen fachlich zu validieren</x:v>
      </x:c>
      <x:c r="AC81" s="14" t="str">
        <x:v>Mittel</x:v>
      </x:c>
      <x:c r="AD81" s="14" t="str">
        <x:v>Vollständige fünfstufige Prozentregel.</x:v>
      </x:c>
      <x:c r="AE81" s="14" t="str">
        <x:v>v1.4</x:v>
      </x:c>
      <x:c r="AF81" s="52" t="str">
        <x:v>2026-08-16</x:v>
      </x:c>
      <x:c r="AG81" s="52"/>
    </x:row>
    <x:row r="82" ht="42" customHeight="1">
      <x:c r="A82" s="14" t="str">
        <x:v>WOK-E-121</x:v>
      </x:c>
      <x:c r="B82" s="14" t="str">
        <x:v>SDG 3 – Gesundheit</x:v>
      </x:c>
      <x:c r="C82" s="14" t="str">
        <x:v>3.9</x:v>
      </x:c>
      <x:c r="D82" s="14" t="str">
        <x:v>Chemikaliensicherheit/REACH</x:v>
      </x:c>
      <x:c r="E82" s="14" t="str">
        <x:v>Chemikaliensicherheit/REACH – Gefährlicher Abfall</x:v>
      </x:c>
      <x:c r="F82" s="14" t="str">
        <x:v>Gefährlicher Abfall je Output</x:v>
      </x:c>
      <x:c r="G82" s="14" t="str">
        <x:v>kg/t</x:v>
      </x:c>
      <x:c r="H82" s="14" t="str">
        <x:v>lower_is_better</x:v>
      </x:c>
      <x:c r="I82" s="14" t="str">
        <x:v>R06</x:v>
      </x:c>
      <x:c r="J82" s="14" t="str">
        <x:v>Top‑10%:+3; Mittel:0; &gt;150%:‑2; &gt;250%:‑3</x:v>
      </x:c>
      <x:c r="K82" s="14" t="str">
        <x:v>Benchmarkabhängig</x:v>
      </x:c>
      <x:c r="L82" s="14" t="str">
        <x:v>Validierter Benchmark fehlt</x:v>
      </x:c>
      <x:c r="M82" s="14" t="str">
        <x:v>Branche/Region/Technologie</x:v>
      </x:c>
      <x:c r="N82" s="14" t="str">
        <x:v>Ja</x:v>
      </x:c>
      <x:c r="O82" s="14" t="str">
        <x:v>ESRS E5; GRI 306/301</x:v>
      </x:c>
      <x:c r="P82" s="14" t="str">
        <x:v>ESRS E5, GRI 306, WEEE/VerpackG</x:v>
      </x:c>
      <x:c r="Q82" s="14" t="str">
        <x:v>Mess-/Methodenrahmen; aktiver Branchen-/Regional-/Technologiebenchmark separat erforderlich</x:v>
      </x:c>
      <x:c r="R82" s="14" t="str">
        <x:v>Teilbelegt – Benchmarkquelle fehlt</x:v>
      </x:c>
      <x:c r="S82" s="14" t="str">
        <x:v>EU-ESRS; GRI</x:v>
      </x:c>
      <x:c r="T82" s="14" t="str">
        <x:v>C20 Chemie; C24 Stahl; C29 Fahrzeuge</x:v>
      </x:c>
      <x:c r="U82" s="14" t="str">
        <x:v>Legacy / nicht explizit versioniert</x:v>
      </x:c>
      <x:c r="V82" s="51" t="str"/>
      <x:c r="W82" s="14" t="str">
        <x:v>Migration auf NACE Rev. 2.1 erforderlich</x:v>
      </x:c>
      <x:c r="X82" s="14" t="str">
        <x:v>Standort/Prozess/Aktivität; Bezugsgröße und relevante Umweltmedien</x:v>
      </x:c>
      <x:c r="Y82" s="14" t="str">
        <x:v>Gefährlicher Abfall‑Intensität = Gefährlicher Abfall / Output bzw. Umsatz.</x:v>
      </x:c>
      <x:c r="Z82" s="14" t="str">
        <x:v>Primärdaten plus repräsentativer, versionierter Benchmarkdatensatz; Stichprobe und Population offenlegen</x:v>
      </x:c>
      <x:c r="AA82" s="14" t="str">
        <x:v>Messwert-Assurance und unabhängige Benchmark-Governance</x:v>
      </x:c>
      <x:c r="AB82" s="14" t="str">
        <x:v>Prüfung/Parametrisierung erforderlich</x:v>
      </x:c>
      <x:c r="AC82" s="14" t="str">
        <x:v>Hoch</x:v>
      </x:c>
      <x:c r="AD82" s="14" t="str">
        <x:v>Top-10-Prozent, Mittelwert, 150 % und 250 % müssen aus einer dokumentierten Grundgesamtheit stammen.</x:v>
      </x:c>
      <x:c r="AE82" s="14" t="str">
        <x:v>v1.4</x:v>
      </x:c>
      <x:c r="AF82" s="52" t="str">
        <x:v>2026-08-16</x:v>
      </x:c>
      <x:c r="AG82" s="52"/>
    </x:row>
    <x:row r="83" ht="42" customHeight="1">
      <x:c r="A83" s="14" t="str">
        <x:v>WOK-G-113</x:v>
      </x:c>
      <x:c r="B83" s="14" t="str">
        <x:v>SDG 3 – Gesundheit</x:v>
      </x:c>
      <x:c r="C83" s="14" t="str">
        <x:v>3.8</x:v>
      </x:c>
      <x:c r="D83" s="14" t="str">
        <x:v>Patientensicherheit Kliniken</x:v>
      </x:c>
      <x:c r="E83" s="14" t="str">
        <x:v>Patientensicherheit Kliniken – Antikorruption</x:v>
      </x:c>
      <x:c r="F83" s="14" t="str">
        <x:v>Bestätigte Fälle/1.000 FTE</x:v>
      </x:c>
      <x:c r="G83" s="14" t="str">
        <x:v>Fälle/1.000 FTE</x:v>
      </x:c>
      <x:c r="H83" s="14" t="str">
        <x:v>lower_is_better</x:v>
      </x:c>
      <x:c r="I83" s="14" t="str">
        <x:v>R01</x:v>
      </x:c>
      <x:c r="J83" s="14" t="str">
        <x:v>0:+3; ≤0,2:+2; ≤0,5:0; ≤1:‑2; &gt;1:‑3</x:v>
      </x:c>
      <x:c r="K83" s="14" t="str">
        <x:v>Feste WÖk-Kalibrierung</x:v>
      </x:c>
      <x:c r="L83" s="14" t="str">
        <x:v>Arbeitskalibrierung – fachlich zu validieren</x:v>
      </x:c>
      <x:c r="M83" s="14" t="str">
        <x:v>WÖk-interne Klassenlogik</x:v>
      </x:c>
      <x:c r="N83" s="14" t="str">
        <x:v>Optional/Nein</x:v>
      </x:c>
      <x:c r="O83" s="14" t="str">
        <x:v>ESRS G1; GRI 205/207</x:v>
      </x:c>
      <x:c r="P83" s="14" t="str">
        <x:v>ESRS G1, GRI 205/207, OECD Anti‑Bribery</x:v>
      </x:c>
      <x:c r="Q83" s="14" t="str">
        <x:v>Mess-, Berichts- oder Managementrahmen; Schwellen sind grundsätzlich WÖk-Kalibrierungen</x:v>
      </x:c>
      <x:c r="R83" s="14" t="str">
        <x:v>Messgrundlage belegt; Schwellenkalibrierung offen</x:v>
      </x:c>
      <x:c r="S83" s="14" t="str">
        <x:v>EU-ESRS; GRI; OECD-AB</x:v>
      </x:c>
      <x:c r="T83" s="14" t="str">
        <x:v>G47 Handel; K Versicherungen; M72 F&amp;E</x:v>
      </x:c>
      <x:c r="U83" s="14" t="str">
        <x:v>Legacy / nicht explizit versioniert</x:v>
      </x:c>
      <x:c r="V83" s="51" t="str"/>
      <x:c r="W83" s="14" t="str">
        <x:v>Migration auf NACE Rev. 2.1 erforderlich</x:v>
      </x:c>
      <x:c r="X83" s="14" t="str">
        <x:v>Organisation/Governance; konsolidierter Kreis und relevante Rechtseinheiten</x:v>
      </x:c>
      <x:c r="Y83" s="14" t="str">
        <x:v>Siehe Quelle: Definition gemäß Standard (ESRS/GRI/Taxonomie/ISO).</x:v>
      </x:c>
      <x:c r="Z83" s="14" t="str">
        <x:v>Primärdaten bevorzugt; Sekundärdaten nur transparent und versioniert; Methode und Systemgrenze dokumentieren</x:v>
      </x:c>
      <x:c r="AA83" s="14" t="str">
        <x:v>Limited Assurance; risikobasiert höhere Prüftiefe</x:v>
      </x:c>
      <x:c r="AB83" s="14" t="str">
        <x:v>Kritische Schablonenabweichung – Indikator und Definition fachlich neu zu entwerfen</x:v>
      </x:c>
      <x:c r="AC83" s="14" t="str">
        <x:v>Kritisch</x:v>
      </x:c>
      <x:c r="AD83" s="14" t="str">
        <x:v>Item-Bezeichnung und Messdefinition passen nicht ausreichend zusammen. Vollständige fünfstufige numerische Regel.</x:v>
      </x:c>
      <x:c r="AE83" s="14" t="str">
        <x:v>v1.4</x:v>
      </x:c>
      <x:c r="AF83" s="52" t="str">
        <x:v>2026-08-16</x:v>
      </x:c>
      <x:c r="AG83" s="52"/>
    </x:row>
    <x:row r="84" ht="42" customHeight="1">
      <x:c r="A84" s="14" t="str">
        <x:v>WOK-G-114</x:v>
      </x:c>
      <x:c r="B84" s="14" t="str">
        <x:v>SDG 3 – Gesundheit</x:v>
      </x:c>
      <x:c r="C84" s="14" t="str">
        <x:v>3.8</x:v>
      </x:c>
      <x:c r="D84" s="14" t="str">
        <x:v>Patientensicherheit Kliniken</x:v>
      </x:c>
      <x:c r="E84" s="14" t="str">
        <x:v>Patientensicherheit Kliniken – Whistleblowing</x:v>
      </x:c>
      <x:c r="F84" s="14" t="str">
        <x:v>Wirksamkeits‑Score</x:v>
      </x:c>
      <x:c r="G84" s="14" t="str">
        <x:v>0–1</x:v>
      </x:c>
      <x:c r="H84" s="14" t="str">
        <x:v>higher_is_better</x:v>
      </x:c>
      <x:c r="I84" s="14" t="str">
        <x:v>R16</x:v>
      </x:c>
      <x:c r="J84" s="14" t="str">
        <x:v>≥0,9:+3; 0,75–0,89:+2; 0,6–0,74:0; 0,4–0,59:‑2; &lt;0,4:‑3</x:v>
      </x:c>
      <x:c r="K84" s="14" t="str">
        <x:v>Feste WÖk-Kalibrierung</x:v>
      </x:c>
      <x:c r="L84" s="14" t="str">
        <x:v>Arbeitskalibrierung – fachlich zu validieren</x:v>
      </x:c>
      <x:c r="M84" s="14" t="str">
        <x:v>WÖk-interne Klassenlogik</x:v>
      </x:c>
      <x:c r="N84" s="14" t="str">
        <x:v>Optional/Nein</x:v>
      </x:c>
      <x:c r="O84" s="14" t="str">
        <x:v>ESRS G1; GRI 205/207</x:v>
      </x:c>
      <x:c r="P84" s="14" t="str">
        <x:v>ESRS G1, GRI 205/207, OECD Anti‑Bribery</x:v>
      </x:c>
      <x:c r="Q84" s="14" t="str">
        <x:v>Mess-, Berichts- oder Managementrahmen; Schwellen sind grundsätzlich WÖk-Kalibrierungen</x:v>
      </x:c>
      <x:c r="R84" s="14" t="str">
        <x:v>Messgrundlage belegt; Schwellenkalibrierung offen</x:v>
      </x:c>
      <x:c r="S84" s="14" t="str">
        <x:v>EU-ESRS; GRI; OECD-AB</x:v>
      </x:c>
      <x:c r="T84" s="14" t="str">
        <x:v>G47 Handel; K Versicherungen; M72 F&amp;E</x:v>
      </x:c>
      <x:c r="U84" s="14" t="str">
        <x:v>Legacy / nicht explizit versioniert</x:v>
      </x:c>
      <x:c r="V84" s="51" t="str"/>
      <x:c r="W84" s="14" t="str">
        <x:v>Migration auf NACE Rev. 2.1 erforderlich</x:v>
      </x:c>
      <x:c r="X84" s="14" t="str">
        <x:v>Organisation/Governance; konsolidierter Kreis und relevante Rechtseinheiten</x:v>
      </x:c>
      <x:c r="Y84" s="14" t="str">
        <x:v>Siehe Quelle: Definition gemäß Standard (ESRS/GRI/Taxonomie/ISO).</x:v>
      </x:c>
      <x:c r="Z84" s="14" t="str">
        <x:v>Primärdaten bevorzugt; Sekundärdaten nur transparent und versioniert; Methode und Systemgrenze dokumentieren</x:v>
      </x:c>
      <x:c r="AA84" s="14" t="str">
        <x:v>Limited Assurance; risikobasiert höhere Prüftiefe</x:v>
      </x:c>
      <x:c r="AB84" s="14" t="str">
        <x:v>Kritische Schablonenabweichung – Indikator und Definition fachlich neu zu entwerfen</x:v>
      </x:c>
      <x:c r="AC84" s="14" t="str">
        <x:v>Kritisch</x:v>
      </x:c>
      <x:c r="AD84" s="14" t="str">
        <x:v>Item-Bezeichnung und Messdefinition passen nicht ausreichend zusammen. Vollständige fünfstufige numerische Regel.</x:v>
      </x:c>
      <x:c r="AE84" s="14" t="str">
        <x:v>v1.4</x:v>
      </x:c>
      <x:c r="AF84" s="52" t="str">
        <x:v>2026-08-16</x:v>
      </x:c>
      <x:c r="AG84" s="52"/>
    </x:row>
    <x:row r="85" ht="42" customHeight="1">
      <x:c r="A85" s="14" t="str">
        <x:v>WOK-G-115</x:v>
      </x:c>
      <x:c r="B85" s="14" t="str">
        <x:v>SDG 3 – Gesundheit</x:v>
      </x:c>
      <x:c r="C85" s="14" t="str">
        <x:v>3.8</x:v>
      </x:c>
      <x:c r="D85" s="14" t="str">
        <x:v>Patientensicherheit Kliniken</x:v>
      </x:c>
      <x:c r="E85" s="14" t="str">
        <x:v>Patientensicherheit Kliniken – Steuertransparenz</x:v>
      </x:c>
      <x:c r="F85" s="14" t="str">
        <x:v>CbCR‑Offenlegung</x:v>
      </x:c>
      <x:c r="G85" s="14" t="str">
        <x:v>0–1</x:v>
      </x:c>
      <x:c r="H85" s="14" t="str">
        <x:v>higher_is_better</x:v>
      </x:c>
      <x:c r="I85" s="14" t="str">
        <x:v>R08</x:v>
      </x:c>
      <x:c r="J85" s="14" t="str">
        <x:v>vollständig:+3; teilweise:+2; minimal:0; schlecht:‑2</x:v>
      </x:c>
      <x:c r="K85" s="14" t="str">
        <x:v>Qualitativ</x:v>
      </x:c>
      <x:c r="L85" s="14" t="str">
        <x:v>Assurance und Kriterienkatalog erforderlich</x:v>
      </x:c>
      <x:c r="M85" s="14" t="str">
        <x:v>WÖk-interne Kategorien</x:v>
      </x:c>
      <x:c r="N85" s="14" t="str">
        <x:v>Optional/Nein</x:v>
      </x:c>
      <x:c r="O85" s="14" t="str">
        <x:v>ESRS G1; GRI 205/207</x:v>
      </x:c>
      <x:c r="P85" s="14" t="str">
        <x:v>ESRS G1, GRI 205/207, OECD Anti‑Bribery</x:v>
      </x:c>
      <x:c r="Q85" s="14" t="str">
        <x:v>Mess-, Berichts- oder Managementrahmen; Schwellen sind grundsätzlich WÖk-Kalibrierungen</x:v>
      </x:c>
      <x:c r="R85" s="14" t="str">
        <x:v>Messgrundlage belegt; Schwellenkalibrierung offen</x:v>
      </x:c>
      <x:c r="S85" s="14" t="str">
        <x:v>EU-ESRS; GRI; OECD-AB</x:v>
      </x:c>
      <x:c r="T85" s="14" t="str">
        <x:v>G47 Handel; K Versicherungen; M72 F&amp;E</x:v>
      </x:c>
      <x:c r="U85" s="14" t="str">
        <x:v>Legacy / nicht explizit versioniert</x:v>
      </x:c>
      <x:c r="V85" s="51" t="str"/>
      <x:c r="W85" s="14" t="str">
        <x:v>Migration auf NACE Rev. 2.1 erforderlich</x:v>
      </x:c>
      <x:c r="X85" s="14" t="str">
        <x:v>Organisation/Governance; konsolidierter Kreis und relevante Rechtseinheiten</x:v>
      </x:c>
      <x:c r="Y85" s="14" t="str">
        <x:v>Siehe Quelle: Definition gemäß Standard (ESRS/GRI/Taxonomie/ISO).</x:v>
      </x:c>
      <x:c r="Z85" s="14" t="str">
        <x:v>Dokumentierter Kriterienkatalog; nachvollziehbare Evidenz; DQR A/B bevorzugt</x:v>
      </x:c>
      <x:c r="AA85" s="14" t="str">
        <x:v>Unabhängige Fachprüfung/Limited Assurance; bei roten Linien Reasonable Assurance</x:v>
      </x:c>
      <x:c r="AB85" s="14" t="str">
        <x:v>Kritische Schablonenabweichung – Indikator und Definition fachlich neu zu entwerfen</x:v>
      </x:c>
      <x:c r="AC85" s="14" t="str">
        <x:v>Kritisch</x:v>
      </x:c>
      <x:c r="AD85" s="14" t="str">
        <x:v>Item-Bezeichnung und Messdefinition passen nicht ausreichend zusammen. Die Kategorie −3 fehlt; Vollständigkeit und Wirksamkeit sind feldspezifisch zu definieren.</x:v>
      </x:c>
      <x:c r="AE85" s="14" t="str">
        <x:v>v1.4</x:v>
      </x:c>
      <x:c r="AF85" s="52" t="str">
        <x:v>2026-08-16</x:v>
      </x:c>
      <x:c r="AG85" s="52"/>
    </x:row>
    <x:row r="86" ht="42" customHeight="1">
      <x:c r="A86" s="14" t="str">
        <x:v>WOK-S-125</x:v>
      </x:c>
      <x:c r="B86" s="14" t="str">
        <x:v>SDG 4 – Bildung</x:v>
      </x:c>
      <x:c r="C86" s="14" t="str">
        <x:v>4.4</x:v>
      </x:c>
      <x:c r="D86" s="14" t="str">
        <x:v>Weiterbildung &amp; Future Skills</x:v>
      </x:c>
      <x:c r="E86" s="14" t="str">
        <x:v>Weiterbildung &amp; Future Skills – Living Wage</x:v>
      </x:c>
      <x:c r="F86" s="14" t="str">
        <x:v>Abdeckung Lebenslohn</x:v>
      </x:c>
      <x:c r="G86" s="14" t="str">
        <x:v>% Beschäftigte</x:v>
      </x:c>
      <x:c r="H86" s="14" t="str">
        <x:v>higher_is_better</x:v>
      </x:c>
      <x:c r="I86" s="14" t="str">
        <x:v>R27</x:v>
      </x:c>
      <x:c r="J86" s="14" t="str">
        <x:v>≥95:+3; 80–94:+2; 60–79:0; 40–59:‑2; &lt;40:‑3</x:v>
      </x:c>
      <x:c r="K86" s="14" t="str">
        <x:v>Feste WÖk-Kalibrierung</x:v>
      </x:c>
      <x:c r="L86" s="14" t="str">
        <x:v>Arbeitskalibrierung – fachlich zu validieren</x:v>
      </x:c>
      <x:c r="M86" s="14" t="str">
        <x:v>WÖk-interne Klassenlogik</x:v>
      </x:c>
      <x:c r="N86" s="14" t="str">
        <x:v>Optional/Nein</x:v>
      </x:c>
      <x:c r="O86" s="14" t="str">
        <x:v>ESRS S1; GRI 401/403/405/406</x:v>
      </x:c>
      <x:c r="P86" s="14" t="str">
        <x:v>ESRS S1, GRI 401/403/405/406, ILO</x:v>
      </x:c>
      <x:c r="Q86" s="14" t="str">
        <x:v>Mess-, Berichts- oder Managementrahmen; Schwellen sind grundsätzlich WÖk-Kalibrierungen</x:v>
      </x:c>
      <x:c r="R86" s="14" t="str">
        <x:v>Messgrundlage belegt; Schwellenkalibrierung offen</x:v>
      </x:c>
      <x:c r="S86" s="14" t="str">
        <x:v>EU-ESRS; GRI; ISO-45001; ILO-LW; ILO-CORE</x:v>
      </x:c>
      <x:c r="T86" s="14" t="str">
        <x:v>G47 Handel; K Versicherungen; M72 F&amp;E</x:v>
      </x:c>
      <x:c r="U86" s="14" t="str">
        <x:v>Legacy / nicht explizit versioniert</x:v>
      </x:c>
      <x:c r="V86" s="51" t="str"/>
      <x:c r="W86" s="14" t="str">
        <x:v>Migration auf NACE Rev. 2.1 erforderlich</x:v>
      </x:c>
      <x:c r="X86" s="14" t="str">
        <x:v>Eigene Belegschaft/Organisation; FTE, Beschäftigtengruppe und Zeitraum</x:v>
      </x:c>
      <x:c r="Y86" s="14" t="str">
        <x:v>Anteil Beschäftigte ≥ Living Wage (zertifizierte Methodik).</x:v>
      </x:c>
      <x:c r="Z86" s="14" t="str">
        <x:v>Primärdaten bevorzugt; Sekundärdaten nur transparent und versioniert; Methode und Systemgrenze dokumentieren</x:v>
      </x:c>
      <x:c r="AA86" s="14" t="str">
        <x:v>Limited Assurance; risikobasiert höhere Prüftiefe</x:v>
      </x:c>
      <x:c r="AB86" s="14" t="str">
        <x:v>Strukturell nutzbar; Schwellen fachlich zu validieren</x:v>
      </x:c>
      <x:c r="AC86" s="14" t="str">
        <x:v>Mittel</x:v>
      </x:c>
      <x:c r="AD86" s="14" t="str">
        <x:v>Vollständige fünfstufige numerische Regel.</x:v>
      </x:c>
      <x:c r="AE86" s="14" t="str">
        <x:v>v1.4</x:v>
      </x:c>
      <x:c r="AF86" s="52" t="str">
        <x:v>2026-08-16</x:v>
      </x:c>
      <x:c r="AG86" s="52"/>
    </x:row>
    <x:row r="87" ht="42" customHeight="1">
      <x:c r="A87" s="14" t="str">
        <x:v>WOK-S-126</x:v>
      </x:c>
      <x:c r="B87" s="14" t="str">
        <x:v>SDG 4 – Bildung</x:v>
      </x:c>
      <x:c r="C87" s="14" t="str">
        <x:v>4.4</x:v>
      </x:c>
      <x:c r="D87" s="14" t="str">
        <x:v>Weiterbildung &amp; Future Skills</x:v>
      </x:c>
      <x:c r="E87" s="14" t="str">
        <x:v>Weiterbildung &amp; Future Skills – Tarifbindung</x:v>
      </x:c>
      <x:c r="F87" s="14" t="str">
        <x:v>Beschäftigte unter Kollektivvertrag</x:v>
      </x:c>
      <x:c r="G87" s="14" t="str">
        <x:v>%</x:v>
      </x:c>
      <x:c r="H87" s="14" t="str">
        <x:v>higher_is_better</x:v>
      </x:c>
      <x:c r="I87" s="14" t="str">
        <x:v>R26</x:v>
      </x:c>
      <x:c r="J87" s="14" t="str">
        <x:v>≥90:+3; 70–89:+2; 50–69:0; 30–49:‑2; &lt;30:‑3</x:v>
      </x:c>
      <x:c r="K87" s="14" t="str">
        <x:v>Feste WÖk-Kalibrierung</x:v>
      </x:c>
      <x:c r="L87" s="14" t="str">
        <x:v>Arbeitskalibrierung – fachlich zu validieren</x:v>
      </x:c>
      <x:c r="M87" s="14" t="str">
        <x:v>WÖk-interne Klassenlogik</x:v>
      </x:c>
      <x:c r="N87" s="14" t="str">
        <x:v>Optional/Nein</x:v>
      </x:c>
      <x:c r="O87" s="14" t="str">
        <x:v>ESRS S1; GRI 401/403/405/406</x:v>
      </x:c>
      <x:c r="P87" s="14" t="str">
        <x:v>ESRS S1, GRI 401/403/405/406, ILO</x:v>
      </x:c>
      <x:c r="Q87" s="14" t="str">
        <x:v>Mess-, Berichts- oder Managementrahmen; Schwellen sind grundsätzlich WÖk-Kalibrierungen</x:v>
      </x:c>
      <x:c r="R87" s="14" t="str">
        <x:v>Messgrundlage belegt; Schwellenkalibrierung offen</x:v>
      </x:c>
      <x:c r="S87" s="14" t="str">
        <x:v>EU-ESRS; GRI; ISO-45001; ILO-LW; ILO-CORE</x:v>
      </x:c>
      <x:c r="T87" s="14" t="str">
        <x:v>G47 Handel; K Versicherungen; M72 F&amp;E</x:v>
      </x:c>
      <x:c r="U87" s="14" t="str">
        <x:v>Legacy / nicht explizit versioniert</x:v>
      </x:c>
      <x:c r="V87" s="51" t="str"/>
      <x:c r="W87" s="14" t="str">
        <x:v>Migration auf NACE Rev. 2.1 erforderlich</x:v>
      </x:c>
      <x:c r="X87" s="14" t="str">
        <x:v>Eigene Belegschaft/Organisation; FTE, Beschäftigtengruppe und Zeitraum</x:v>
      </x:c>
      <x:c r="Y87" s="14" t="str">
        <x:v>Quote = Zähler / Nenner gemäß Quelle; in %.</x:v>
      </x:c>
      <x:c r="Z87" s="14" t="str">
        <x:v>Primärdaten bevorzugt; Sekundärdaten nur transparent und versioniert; Methode und Systemgrenze dokumentieren</x:v>
      </x:c>
      <x:c r="AA87" s="14" t="str">
        <x:v>Limited Assurance; risikobasiert höhere Prüftiefe</x:v>
      </x:c>
      <x:c r="AB87" s="14" t="str">
        <x:v>Strukturell nutzbar; Schwellen fachlich zu validieren</x:v>
      </x:c>
      <x:c r="AC87" s="14" t="str">
        <x:v>Mittel</x:v>
      </x:c>
      <x:c r="AD87" s="14" t="str">
        <x:v>Vollständige fünfstufige numerische Regel.</x:v>
      </x:c>
      <x:c r="AE87" s="14" t="str">
        <x:v>v1.4</x:v>
      </x:c>
      <x:c r="AF87" s="52" t="str">
        <x:v>2026-08-16</x:v>
      </x:c>
      <x:c r="AG87" s="52"/>
    </x:row>
    <x:row r="88" ht="42" customHeight="1">
      <x:c r="A88" s="14" t="str">
        <x:v>WOK-S-127</x:v>
      </x:c>
      <x:c r="B88" s="14" t="str">
        <x:v>SDG 4 – Bildung</x:v>
      </x:c>
      <x:c r="C88" s="14" t="str">
        <x:v>4.4</x:v>
      </x:c>
      <x:c r="D88" s="14" t="str">
        <x:v>Weiterbildung &amp; Future Skills</x:v>
      </x:c>
      <x:c r="E88" s="14" t="str">
        <x:v>Weiterbildung &amp; Future Skills – LTIFR</x:v>
      </x:c>
      <x:c r="F88" s="14" t="str">
        <x:v>Arbeitsunfälle pro Mio Stunden</x:v>
      </x:c>
      <x:c r="G88" s="14" t="str">
        <x:v>Unfälle/Mio Std.</x:v>
      </x:c>
      <x:c r="H88" s="14" t="str">
        <x:v>lower_is_better</x:v>
      </x:c>
      <x:c r="I88" s="14" t="str">
        <x:v>R02</x:v>
      </x:c>
      <x:c r="J88" s="14" t="str">
        <x:v>0:+3; ≤1:+2; ≤3:0; ≤5:‑2; &gt;5:‑3</x:v>
      </x:c>
      <x:c r="K88" s="14" t="str">
        <x:v>Feste WÖk-Kalibrierung</x:v>
      </x:c>
      <x:c r="L88" s="14" t="str">
        <x:v>Arbeitskalibrierung – fachlich zu validieren</x:v>
      </x:c>
      <x:c r="M88" s="14" t="str">
        <x:v>WÖk-interne Klassenlogik</x:v>
      </x:c>
      <x:c r="N88" s="14" t="str">
        <x:v>Optional/Nein</x:v>
      </x:c>
      <x:c r="O88" s="14" t="str">
        <x:v>ESRS S1; GRI 401/403/405/406</x:v>
      </x:c>
      <x:c r="P88" s="14" t="str">
        <x:v>ESRS S1, GRI 401/403/405/406, ILO</x:v>
      </x:c>
      <x:c r="Q88" s="14" t="str">
        <x:v>Mess-, Berichts- oder Managementrahmen; Schwellen sind grundsätzlich WÖk-Kalibrierungen</x:v>
      </x:c>
      <x:c r="R88" s="14" t="str">
        <x:v>Messgrundlage belegt; Schwellenkalibrierung offen</x:v>
      </x:c>
      <x:c r="S88" s="14" t="str">
        <x:v>EU-ESRS; GRI; ISO-45001; ILO-LW; ILO-CORE</x:v>
      </x:c>
      <x:c r="T88" s="14" t="str">
        <x:v>G47 Handel; K Versicherungen; M72 F&amp;E</x:v>
      </x:c>
      <x:c r="U88" s="14" t="str">
        <x:v>Legacy / nicht explizit versioniert</x:v>
      </x:c>
      <x:c r="V88" s="51" t="str"/>
      <x:c r="W88" s="14" t="str">
        <x:v>Migration auf NACE Rev. 2.1 erforderlich</x:v>
      </x:c>
      <x:c r="X88" s="14" t="str">
        <x:v>Eigene Belegschaft/Organisation; FTE, Beschäftigtengruppe und Zeitraum</x:v>
      </x:c>
      <x:c r="Y88" s="14" t="str">
        <x:v>LTIFR = Unfälle mit Ausfallzeit / 1 Mio. Std. (ILO/GRI 403).</x:v>
      </x:c>
      <x:c r="Z88" s="14" t="str">
        <x:v>Primärdaten bevorzugt; Sekundärdaten nur transparent und versioniert; Methode und Systemgrenze dokumentieren</x:v>
      </x:c>
      <x:c r="AA88" s="14" t="str">
        <x:v>Limited Assurance; risikobasiert höhere Prüftiefe</x:v>
      </x:c>
      <x:c r="AB88" s="14" t="str">
        <x:v>Strukturell nutzbar; Schwellen fachlich zu validieren</x:v>
      </x:c>
      <x:c r="AC88" s="14" t="str">
        <x:v>Mittel</x:v>
      </x:c>
      <x:c r="AD88" s="14" t="str">
        <x:v>Vollständige fünfstufige numerische Regel.</x:v>
      </x:c>
      <x:c r="AE88" s="14" t="str">
        <x:v>v1.4</x:v>
      </x:c>
      <x:c r="AF88" s="52" t="str">
        <x:v>2026-08-16</x:v>
      </x:c>
      <x:c r="AG88" s="52"/>
    </x:row>
    <x:row r="89" ht="42" customHeight="1">
      <x:c r="A89" s="14" t="str">
        <x:v>WOK-S-128</x:v>
      </x:c>
      <x:c r="B89" s="14" t="str">
        <x:v>SDG 4 – Bildung</x:v>
      </x:c>
      <x:c r="C89" s="14" t="str">
        <x:v>4.3</x:v>
      </x:c>
      <x:c r="D89" s="14" t="str">
        <x:v>Ausbildungsquote/Praktika</x:v>
      </x:c>
      <x:c r="E89" s="14" t="str">
        <x:v>Ausbildungsquote/Praktika – Living Wage</x:v>
      </x:c>
      <x:c r="F89" s="14" t="str">
        <x:v>Abdeckung Lebenslohn</x:v>
      </x:c>
      <x:c r="G89" s="14" t="str">
        <x:v>% Beschäftigte</x:v>
      </x:c>
      <x:c r="H89" s="14" t="str">
        <x:v>higher_is_better</x:v>
      </x:c>
      <x:c r="I89" s="14" t="str">
        <x:v>R27</x:v>
      </x:c>
      <x:c r="J89" s="14" t="str">
        <x:v>≥95:+3; 80–94:+2; 60–79:0; 40–59:‑2; &lt;40:‑3</x:v>
      </x:c>
      <x:c r="K89" s="14" t="str">
        <x:v>Feste WÖk-Kalibrierung</x:v>
      </x:c>
      <x:c r="L89" s="14" t="str">
        <x:v>Arbeitskalibrierung – fachlich zu validieren</x:v>
      </x:c>
      <x:c r="M89" s="14" t="str">
        <x:v>WÖk-interne Klassenlogik</x:v>
      </x:c>
      <x:c r="N89" s="14" t="str">
        <x:v>Optional/Nein</x:v>
      </x:c>
      <x:c r="O89" s="14" t="str">
        <x:v>ESRS S1; GRI 401/403/405/406</x:v>
      </x:c>
      <x:c r="P89" s="14" t="str">
        <x:v>ESRS S1, GRI 401/403/405/406, ILO</x:v>
      </x:c>
      <x:c r="Q89" s="14" t="str">
        <x:v>Mess-, Berichts- oder Managementrahmen; Schwellen sind grundsätzlich WÖk-Kalibrierungen</x:v>
      </x:c>
      <x:c r="R89" s="14" t="str">
        <x:v>Messgrundlage belegt; Schwellenkalibrierung offen</x:v>
      </x:c>
      <x:c r="S89" s="14" t="str">
        <x:v>EU-ESRS; GRI; ISO-45001; ILO-LW; ILO-CORE</x:v>
      </x:c>
      <x:c r="T89" s="14" t="str">
        <x:v>G47 Handel; K Versicherungen; M72 F&amp;E</x:v>
      </x:c>
      <x:c r="U89" s="14" t="str">
        <x:v>Legacy / nicht explizit versioniert</x:v>
      </x:c>
      <x:c r="V89" s="51" t="str"/>
      <x:c r="W89" s="14" t="str">
        <x:v>Migration auf NACE Rev. 2.1 erforderlich</x:v>
      </x:c>
      <x:c r="X89" s="14" t="str">
        <x:v>Eigene Belegschaft/Organisation; FTE, Beschäftigtengruppe und Zeitraum</x:v>
      </x:c>
      <x:c r="Y89" s="14" t="str">
        <x:v>Anteil Beschäftigte ≥ Living Wage (zertifizierte Methodik).</x:v>
      </x:c>
      <x:c r="Z89" s="14" t="str">
        <x:v>Primärdaten bevorzugt; Sekundärdaten nur transparent und versioniert; Methode und Systemgrenze dokumentieren</x:v>
      </x:c>
      <x:c r="AA89" s="14" t="str">
        <x:v>Limited Assurance; risikobasiert höhere Prüftiefe</x:v>
      </x:c>
      <x:c r="AB89" s="14" t="str">
        <x:v>Strukturell nutzbar; Schwellen fachlich zu validieren</x:v>
      </x:c>
      <x:c r="AC89" s="14" t="str">
        <x:v>Mittel</x:v>
      </x:c>
      <x:c r="AD89" s="14" t="str">
        <x:v>Vollständige fünfstufige numerische Regel.</x:v>
      </x:c>
      <x:c r="AE89" s="14" t="str">
        <x:v>v1.4</x:v>
      </x:c>
      <x:c r="AF89" s="52" t="str">
        <x:v>2026-08-16</x:v>
      </x:c>
      <x:c r="AG89" s="52"/>
    </x:row>
    <x:row r="90" ht="42" customHeight="1">
      <x:c r="A90" s="14" t="str">
        <x:v>WOK-S-129</x:v>
      </x:c>
      <x:c r="B90" s="14" t="str">
        <x:v>SDG 4 – Bildung</x:v>
      </x:c>
      <x:c r="C90" s="14" t="str">
        <x:v>4.3</x:v>
      </x:c>
      <x:c r="D90" s="14" t="str">
        <x:v>Ausbildungsquote/Praktika</x:v>
      </x:c>
      <x:c r="E90" s="14" t="str">
        <x:v>Ausbildungsquote/Praktika – Tarifbindung</x:v>
      </x:c>
      <x:c r="F90" s="14" t="str">
        <x:v>Beschäftigte unter Kollektivvertrag</x:v>
      </x:c>
      <x:c r="G90" s="14" t="str">
        <x:v>%</x:v>
      </x:c>
      <x:c r="H90" s="14" t="str">
        <x:v>higher_is_better</x:v>
      </x:c>
      <x:c r="I90" s="14" t="str">
        <x:v>R26</x:v>
      </x:c>
      <x:c r="J90" s="14" t="str">
        <x:v>≥90:+3; 70–89:+2; 50–69:0; 30–49:‑2; &lt;30:‑3</x:v>
      </x:c>
      <x:c r="K90" s="14" t="str">
        <x:v>Feste WÖk-Kalibrierung</x:v>
      </x:c>
      <x:c r="L90" s="14" t="str">
        <x:v>Arbeitskalibrierung – fachlich zu validieren</x:v>
      </x:c>
      <x:c r="M90" s="14" t="str">
        <x:v>WÖk-interne Klassenlogik</x:v>
      </x:c>
      <x:c r="N90" s="14" t="str">
        <x:v>Optional/Nein</x:v>
      </x:c>
      <x:c r="O90" s="14" t="str">
        <x:v>ESRS S1; GRI 401/403/405/406</x:v>
      </x:c>
      <x:c r="P90" s="14" t="str">
        <x:v>ESRS S1, GRI 401/403/405/406, ILO</x:v>
      </x:c>
      <x:c r="Q90" s="14" t="str">
        <x:v>Mess-, Berichts- oder Managementrahmen; Schwellen sind grundsätzlich WÖk-Kalibrierungen</x:v>
      </x:c>
      <x:c r="R90" s="14" t="str">
        <x:v>Messgrundlage belegt; Schwellenkalibrierung offen</x:v>
      </x:c>
      <x:c r="S90" s="14" t="str">
        <x:v>EU-ESRS; GRI; ISO-45001; ILO-LW; ILO-CORE</x:v>
      </x:c>
      <x:c r="T90" s="14" t="str">
        <x:v>G47 Handel; K Versicherungen; M72 F&amp;E</x:v>
      </x:c>
      <x:c r="U90" s="14" t="str">
        <x:v>Legacy / nicht explizit versioniert</x:v>
      </x:c>
      <x:c r="V90" s="51" t="str"/>
      <x:c r="W90" s="14" t="str">
        <x:v>Migration auf NACE Rev. 2.1 erforderlich</x:v>
      </x:c>
      <x:c r="X90" s="14" t="str">
        <x:v>Eigene Belegschaft/Organisation; FTE, Beschäftigtengruppe und Zeitraum</x:v>
      </x:c>
      <x:c r="Y90" s="14" t="str">
        <x:v>Quote = Zähler / Nenner gemäß Quelle; in %.</x:v>
      </x:c>
      <x:c r="Z90" s="14" t="str">
        <x:v>Primärdaten bevorzugt; Sekundärdaten nur transparent und versioniert; Methode und Systemgrenze dokumentieren</x:v>
      </x:c>
      <x:c r="AA90" s="14" t="str">
        <x:v>Limited Assurance; risikobasiert höhere Prüftiefe</x:v>
      </x:c>
      <x:c r="AB90" s="14" t="str">
        <x:v>Strukturell nutzbar; Schwellen fachlich zu validieren</x:v>
      </x:c>
      <x:c r="AC90" s="14" t="str">
        <x:v>Mittel</x:v>
      </x:c>
      <x:c r="AD90" s="14" t="str">
        <x:v>Vollständige fünfstufige numerische Regel.</x:v>
      </x:c>
      <x:c r="AE90" s="14" t="str">
        <x:v>v1.4</x:v>
      </x:c>
      <x:c r="AF90" s="52" t="str">
        <x:v>2026-08-16</x:v>
      </x:c>
      <x:c r="AG90" s="52"/>
    </x:row>
    <x:row r="91" ht="42" customHeight="1">
      <x:c r="A91" s="14" t="str">
        <x:v>WOK-S-130</x:v>
      </x:c>
      <x:c r="B91" s="14" t="str">
        <x:v>SDG 4 – Bildung</x:v>
      </x:c>
      <x:c r="C91" s="14" t="str">
        <x:v>4.3</x:v>
      </x:c>
      <x:c r="D91" s="14" t="str">
        <x:v>Ausbildungsquote/Praktika</x:v>
      </x:c>
      <x:c r="E91" s="14" t="str">
        <x:v>Ausbildungsquote/Praktika – LTIFR</x:v>
      </x:c>
      <x:c r="F91" s="14" t="str">
        <x:v>Arbeitsunfälle pro Mio Stunden</x:v>
      </x:c>
      <x:c r="G91" s="14" t="str">
        <x:v>Unfälle/Mio Std.</x:v>
      </x:c>
      <x:c r="H91" s="14" t="str">
        <x:v>lower_is_better</x:v>
      </x:c>
      <x:c r="I91" s="14" t="str">
        <x:v>R02</x:v>
      </x:c>
      <x:c r="J91" s="14" t="str">
        <x:v>0:+3; ≤1:+2; ≤3:0; ≤5:‑2; &gt;5:‑3</x:v>
      </x:c>
      <x:c r="K91" s="14" t="str">
        <x:v>Feste WÖk-Kalibrierung</x:v>
      </x:c>
      <x:c r="L91" s="14" t="str">
        <x:v>Arbeitskalibrierung – fachlich zu validieren</x:v>
      </x:c>
      <x:c r="M91" s="14" t="str">
        <x:v>WÖk-interne Klassenlogik</x:v>
      </x:c>
      <x:c r="N91" s="14" t="str">
        <x:v>Optional/Nein</x:v>
      </x:c>
      <x:c r="O91" s="14" t="str">
        <x:v>ESRS S1; GRI 401/403/405/406</x:v>
      </x:c>
      <x:c r="P91" s="14" t="str">
        <x:v>ESRS S1, GRI 401/403/405/406, ILO</x:v>
      </x:c>
      <x:c r="Q91" s="14" t="str">
        <x:v>Mess-, Berichts- oder Managementrahmen; Schwellen sind grundsätzlich WÖk-Kalibrierungen</x:v>
      </x:c>
      <x:c r="R91" s="14" t="str">
        <x:v>Messgrundlage belegt; Schwellenkalibrierung offen</x:v>
      </x:c>
      <x:c r="S91" s="14" t="str">
        <x:v>EU-ESRS; GRI; ISO-45001; ILO-LW; ILO-CORE</x:v>
      </x:c>
      <x:c r="T91" s="14" t="str">
        <x:v>G47 Handel; K Versicherungen; M72 F&amp;E</x:v>
      </x:c>
      <x:c r="U91" s="14" t="str">
        <x:v>Legacy / nicht explizit versioniert</x:v>
      </x:c>
      <x:c r="V91" s="51" t="str"/>
      <x:c r="W91" s="14" t="str">
        <x:v>Migration auf NACE Rev. 2.1 erforderlich</x:v>
      </x:c>
      <x:c r="X91" s="14" t="str">
        <x:v>Eigene Belegschaft/Organisation; FTE, Beschäftigtengruppe und Zeitraum</x:v>
      </x:c>
      <x:c r="Y91" s="14" t="str">
        <x:v>LTIFR = Unfälle mit Ausfallzeit / 1 Mio. Std. (ILO/GRI 403).</x:v>
      </x:c>
      <x:c r="Z91" s="14" t="str">
        <x:v>Primärdaten bevorzugt; Sekundärdaten nur transparent und versioniert; Methode und Systemgrenze dokumentieren</x:v>
      </x:c>
      <x:c r="AA91" s="14" t="str">
        <x:v>Limited Assurance; risikobasiert höhere Prüftiefe</x:v>
      </x:c>
      <x:c r="AB91" s="14" t="str">
        <x:v>Strukturell nutzbar; Schwellen fachlich zu validieren</x:v>
      </x:c>
      <x:c r="AC91" s="14" t="str">
        <x:v>Mittel</x:v>
      </x:c>
      <x:c r="AD91" s="14" t="str">
        <x:v>Vollständige fünfstufige numerische Regel.</x:v>
      </x:c>
      <x:c r="AE91" s="14" t="str">
        <x:v>v1.4</x:v>
      </x:c>
      <x:c r="AF91" s="52" t="str">
        <x:v>2026-08-16</x:v>
      </x:c>
      <x:c r="AG91" s="52"/>
    </x:row>
    <x:row r="92" ht="42" customHeight="1">
      <x:c r="A92" s="14" t="str">
        <x:v>WOK-SYS-107</x:v>
      </x:c>
      <x:c r="B92" s="14" t="str">
        <x:v>SDG 4 – Bildung</x:v>
      </x:c>
      <x:c r="C92" s="14" t="str">
        <x:v>4.7</x:v>
      </x:c>
      <x:c r="D92" s="14" t="str">
        <x:v>Open Access / Open Science</x:v>
      </x:c>
      <x:c r="E92" s="14" t="str">
        <x:v>Open Access / Open Science – Index</x:v>
      </x:c>
      <x:c r="F92" s="14" t="str">
        <x:v>umsatzgewichteter Index (z. B. Demokratie/Rule of Law)</x:v>
      </x:c>
      <x:c r="G92" s="14" t="str">
        <x:v>0–1</x:v>
      </x:c>
      <x:c r="H92" s="14" t="str">
        <x:v>higher_is_better</x:v>
      </x:c>
      <x:c r="I92" s="14" t="str">
        <x:v>R15</x:v>
      </x:c>
      <x:c r="J92" s="14" t="str">
        <x:v>≥0,8:+3; 0,7–0,79:+2; 0,6–0,69:0; 0,5–0,59:‑2; &lt;0,5:‑3</x:v>
      </x:c>
      <x:c r="K92" s="14" t="str">
        <x:v>Feste WÖk-Kalibrierung</x:v>
      </x:c>
      <x:c r="L92" s="14" t="str">
        <x:v>Arbeitskalibrierung – fachlich zu validieren</x:v>
      </x:c>
      <x:c r="M92" s="14" t="str">
        <x:v>WÖk-interne Klassenlogik</x:v>
      </x:c>
      <x:c r="N92" s="14" t="str">
        <x:v>Optional/Nein</x:v>
      </x:c>
      <x:c r="O92" s="14" t="str">
        <x:v>SROI/SDG17</x:v>
      </x:c>
      <x:c r="P92" s="14" t="str">
        <x:v>SDG 16/17, WJP, V‑Dem</x:v>
      </x:c>
      <x:c r="Q92" s="14" t="str">
        <x:v>Methodischer Platzhalter; konkrete Fach- und Primärdatenquelle erforderlich</x:v>
      </x:c>
      <x:c r="R92" s="14" t="str">
        <x:v>Platzhalter – fachliche Operationalisierung offen</x:v>
      </x:c>
      <x:c r="S92" s="14" t="str">
        <x:v>INT-WOEK-TSROI; SVI-SROI; UN-SDG</x:v>
      </x:c>
      <x:c r="T92" s="14" t="str">
        <x:v>G47 Handel; K Versicherungen; M72 F&amp;E</x:v>
      </x:c>
      <x:c r="U92" s="14" t="str">
        <x:v>Legacy / nicht explizit versioniert</x:v>
      </x:c>
      <x:c r="V92" s="51" t="str"/>
      <x:c r="W92" s="14" t="str">
        <x:v>Migration auf NACE Rev. 2.1 erforderlich</x:v>
      </x:c>
      <x:c r="X92" s="14" t="str">
        <x:v>Programm/Portfolio/Systemraum; Empfängergruppe, Region und Zeitraum explizit definieren</x:v>
      </x:c>
      <x:c r="Y92" s="14" t="str">
        <x:v>Siehe Quelle: Definition gemäß Standard (ESRS/GRI/Taxonomie/ISO).</x:v>
      </x:c>
      <x:c r="Z92" s="14" t="str">
        <x:v>Primärdaten bevorzugt; Sekundärdaten nur transparent und versioniert; Methode und Systemgrenze dokumentieren</x:v>
      </x:c>
      <x:c r="AA92" s="14" t="str">
        <x:v>Limited Assurance; risikobasiert höhere Prüftiefe</x:v>
      </x:c>
      <x:c r="AB92" s="14" t="str">
        <x:v>Fachlogik nicht abschließend operationalisiert</x:v>
      </x:c>
      <x:c r="AC92" s="14" t="str">
        <x:v>Kritisch</x:v>
      </x:c>
      <x:c r="AD92" s="14" t="str">
        <x:v>SROI/SDG 17 ist keine hinreichend konkrete Mess- oder Schwellenquelle. Vollständige fünfstufige numerische Regel.</x:v>
      </x:c>
      <x:c r="AE92" s="14" t="str">
        <x:v>v1.4</x:v>
      </x:c>
      <x:c r="AF92" s="52" t="str">
        <x:v>2026-08-16</x:v>
      </x:c>
      <x:c r="AG92" s="52"/>
    </x:row>
    <x:row r="93" ht="42" customHeight="1">
      <x:c r="A93" s="14" t="str">
        <x:v>WOK-SYS-108</x:v>
      </x:c>
      <x:c r="B93" s="14" t="str">
        <x:v>SDG 4 – Bildung</x:v>
      </x:c>
      <x:c r="C93" s="14" t="str">
        <x:v>4.7</x:v>
      </x:c>
      <x:c r="D93" s="14" t="str">
        <x:v>Open Access / Open Science</x:v>
      </x:c>
      <x:c r="E93" s="14" t="str">
        <x:v>Open Access / Open Science – Exposure</x:v>
      </x:c>
      <x:c r="F93" s="14" t="str">
        <x:v>Umsatz in Hochrisikoländern</x:v>
      </x:c>
      <x:c r="G93" s="14" t="str">
        <x:v>%</x:v>
      </x:c>
      <x:c r="H93" s="14" t="str">
        <x:v>lower_is_better</x:v>
      </x:c>
      <x:c r="I93" s="14" t="str">
        <x:v>R13</x:v>
      </x:c>
      <x:c r="J93" s="14" t="str">
        <x:v>≤5:+3; 6–10:+2; 11–20:0; 21–30:‑2; &gt;30:‑3</x:v>
      </x:c>
      <x:c r="K93" s="14" t="str">
        <x:v>Feste WÖk-Kalibrierung</x:v>
      </x:c>
      <x:c r="L93" s="14" t="str">
        <x:v>Arbeitskalibrierung – fachlich zu validieren</x:v>
      </x:c>
      <x:c r="M93" s="14" t="str">
        <x:v>WÖk-interne Klassenlogik</x:v>
      </x:c>
      <x:c r="N93" s="14" t="str">
        <x:v>Optional/Nein</x:v>
      </x:c>
      <x:c r="O93" s="14" t="str">
        <x:v>SROI/SDG17</x:v>
      </x:c>
      <x:c r="P93" s="14" t="str">
        <x:v>SROI/SDG17</x:v>
      </x:c>
      <x:c r="Q93" s="14" t="str">
        <x:v>Methodischer Platzhalter; konkrete Fach- und Primärdatenquelle erforderlich</x:v>
      </x:c>
      <x:c r="R93" s="14" t="str">
        <x:v>Platzhalter – fachliche Operationalisierung offen</x:v>
      </x:c>
      <x:c r="S93" s="14" t="str">
        <x:v>INT-WOEK-TSROI; SVI-SROI; UN-SDG</x:v>
      </x:c>
      <x:c r="T93" s="14" t="str">
        <x:v>G47 Handel; K Versicherungen; M72 F&amp;E</x:v>
      </x:c>
      <x:c r="U93" s="14" t="str">
        <x:v>Legacy / nicht explizit versioniert</x:v>
      </x:c>
      <x:c r="V93" s="51" t="str"/>
      <x:c r="W93" s="14" t="str">
        <x:v>Migration auf NACE Rev. 2.1 erforderlich</x:v>
      </x:c>
      <x:c r="X93" s="14" t="str">
        <x:v>Programm/Portfolio/Systemraum; Empfängergruppe, Region und Zeitraum explizit definieren</x:v>
      </x:c>
      <x:c r="Y93" s="14" t="str">
        <x:v>Siehe Quelle: Definition gemäß Standard (ESRS/GRI/Taxonomie/ISO).</x:v>
      </x:c>
      <x:c r="Z93" s="14" t="str">
        <x:v>Primärdaten bevorzugt; Sekundärdaten nur transparent und versioniert; Methode und Systemgrenze dokumentieren</x:v>
      </x:c>
      <x:c r="AA93" s="14" t="str">
        <x:v>Limited Assurance; risikobasiert höhere Prüftiefe</x:v>
      </x:c>
      <x:c r="AB93" s="14" t="str">
        <x:v>Fachlogik nicht abschließend operationalisiert</x:v>
      </x:c>
      <x:c r="AC93" s="14" t="str">
        <x:v>Kritisch</x:v>
      </x:c>
      <x:c r="AD93" s="14" t="str">
        <x:v>SROI/SDG 17 ist keine hinreichend konkrete Mess- oder Schwellenquelle. Vollständige fünfstufige numerische Regel.</x:v>
      </x:c>
      <x:c r="AE93" s="14" t="str">
        <x:v>v1.4</x:v>
      </x:c>
      <x:c r="AF93" s="52" t="str">
        <x:v>2026-08-16</x:v>
      </x:c>
      <x:c r="AG93" s="52"/>
    </x:row>
    <x:row r="94" ht="42" customHeight="1">
      <x:c r="A94" s="14" t="str">
        <x:v>WOK-SYS-109</x:v>
      </x:c>
      <x:c r="B94" s="14" t="str">
        <x:v>SDG 4 – Bildung</x:v>
      </x:c>
      <x:c r="C94" s="14" t="str">
        <x:v>4.7</x:v>
      </x:c>
      <x:c r="D94" s="14" t="str">
        <x:v>Open Access / Open Science</x:v>
      </x:c>
      <x:c r="E94" s="14" t="str">
        <x:v>Open Access / Open Science – Kooperationen</x:v>
      </x:c>
      <x:c r="F94" s="14" t="str">
        <x:v>aktive, evaluierte Partnerschaften/Jahr</x:v>
      </x:c>
      <x:c r="G94" s="14" t="str">
        <x:v>#/Jahr</x:v>
      </x:c>
      <x:c r="H94" s="14" t="str">
        <x:v>higher_is_better</x:v>
      </x:c>
      <x:c r="I94" s="14" t="str">
        <x:v>R20</x:v>
      </x:c>
      <x:c r="J94" s="14" t="str">
        <x:v>≥5:+3; 3–4:+2; 1–2:0; 0:‑2</x:v>
      </x:c>
      <x:c r="K94" s="14" t="str">
        <x:v>Feste WÖk-Grobkalibrierung</x:v>
      </x:c>
      <x:c r="L94" s="14" t="str">
        <x:v>Klasse −3 nur für negative/unzulässige Werte ergänzt</x:v>
      </x:c>
      <x:c r="M94" s="14" t="str">
        <x:v>WÖk-interne Grobkalibrierung</x:v>
      </x:c>
      <x:c r="N94" s="14" t="str">
        <x:v>Optional/Nein</x:v>
      </x:c>
      <x:c r="O94" s="14" t="str">
        <x:v>SROI/SDG17</x:v>
      </x:c>
      <x:c r="P94" s="14" t="str">
        <x:v>SDG 16/17, WJP, V‑Dem</x:v>
      </x:c>
      <x:c r="Q94" s="14" t="str">
        <x:v>Methodischer Platzhalter; konkrete Fach- und Primärdatenquelle erforderlich</x:v>
      </x:c>
      <x:c r="R94" s="14" t="str">
        <x:v>Platzhalter – fachliche Operationalisierung offen</x:v>
      </x:c>
      <x:c r="S94" s="14" t="str">
        <x:v>INT-WOEK-TSROI; SVI-SROI; UN-SDG</x:v>
      </x:c>
      <x:c r="T94" s="14" t="str">
        <x:v>G47 Handel; K Versicherungen; M72 F&amp;E</x:v>
      </x:c>
      <x:c r="U94" s="14" t="str">
        <x:v>Legacy / nicht explizit versioniert</x:v>
      </x:c>
      <x:c r="V94" s="51" t="str"/>
      <x:c r="W94" s="14" t="str">
        <x:v>Migration auf NACE Rev. 2.1 erforderlich</x:v>
      </x:c>
      <x:c r="X94" s="14" t="str">
        <x:v>Programm/Portfolio/Systemraum; Empfängergruppe, Region und Zeitraum explizit definieren</x:v>
      </x:c>
      <x:c r="Y94" s="14" t="str">
        <x:v>Siehe Quelle: Definition gemäß Standard (ESRS/GRI/Taxonomie/ISO).</x:v>
      </x:c>
      <x:c r="Z94" s="14" t="str">
        <x:v>Primärdaten bevorzugt; Sekundärdaten nur transparent und versioniert; Methode und Systemgrenze dokumentieren</x:v>
      </x:c>
      <x:c r="AA94" s="14" t="str">
        <x:v>Limited Assurance; risikobasiert höhere Prüftiefe</x:v>
      </x:c>
      <x:c r="AB94" s="14" t="str">
        <x:v>Fachlogik nicht abschließend operationalisiert</x:v>
      </x:c>
      <x:c r="AC94" s="14" t="str">
        <x:v>Kritisch</x:v>
      </x:c>
      <x:c r="AD94" s="14" t="str">
        <x:v>SROI/SDG 17 ist keine hinreichend konkrete Mess- oder Schwellenquelle. Für sachlogisch nichtnegative Zählwerte ist 0 die schlechteste reguläre Klasse (−2).</x:v>
      </x:c>
      <x:c r="AE94" s="14" t="str">
        <x:v>v1.4</x:v>
      </x:c>
      <x:c r="AF94" s="52" t="str">
        <x:v>2026-08-16</x:v>
      </x:c>
      <x:c r="AG94" s="52"/>
    </x:row>
    <x:row r="95" ht="42" customHeight="1">
      <x:c r="A95" s="14" t="str">
        <x:v>WOK-G-116</x:v>
      </x:c>
      <x:c r="B95" s="14" t="str">
        <x:v>SDG 4 – Bildung</x:v>
      </x:c>
      <x:c r="C95" s="14" t="str">
        <x:v>4.5</x:v>
      </x:c>
      <x:c r="D95" s="14" t="str">
        <x:v>Gleichberechtigter Zugang</x:v>
      </x:c>
      <x:c r="E95" s="14" t="str">
        <x:v>Gleichberechtigter Zugang – Antikorruption</x:v>
      </x:c>
      <x:c r="F95" s="14" t="str">
        <x:v>Bestätigte Fälle/1.000 FTE</x:v>
      </x:c>
      <x:c r="G95" s="14" t="str">
        <x:v>Fälle/1.000 FTE</x:v>
      </x:c>
      <x:c r="H95" s="14" t="str">
        <x:v>lower_is_better</x:v>
      </x:c>
      <x:c r="I95" s="14" t="str">
        <x:v>R01</x:v>
      </x:c>
      <x:c r="J95" s="14" t="str">
        <x:v>0:+3; ≤0,2:+2; ≤0,5:0; ≤1:‑2; &gt;1:‑3</x:v>
      </x:c>
      <x:c r="K95" s="14" t="str">
        <x:v>Feste WÖk-Kalibrierung</x:v>
      </x:c>
      <x:c r="L95" s="14" t="str">
        <x:v>Arbeitskalibrierung – fachlich zu validieren</x:v>
      </x:c>
      <x:c r="M95" s="14" t="str">
        <x:v>WÖk-interne Klassenlogik</x:v>
      </x:c>
      <x:c r="N95" s="14" t="str">
        <x:v>Optional/Nein</x:v>
      </x:c>
      <x:c r="O95" s="14" t="str">
        <x:v>ESRS G1; GRI 205/207</x:v>
      </x:c>
      <x:c r="P95" s="14" t="str">
        <x:v>ESRS G1, GRI 205/207, OECD Anti‑Bribery</x:v>
      </x:c>
      <x:c r="Q95" s="14" t="str">
        <x:v>Mess-, Berichts- oder Managementrahmen; Schwellen sind grundsätzlich WÖk-Kalibrierungen</x:v>
      </x:c>
      <x:c r="R95" s="14" t="str">
        <x:v>Messgrundlage belegt; Schwellenkalibrierung offen</x:v>
      </x:c>
      <x:c r="S95" s="14" t="str">
        <x:v>EU-ESRS; GRI; OECD-AB</x:v>
      </x:c>
      <x:c r="T95" s="14" t="str">
        <x:v>G47 Handel; K Versicherungen; M72 F&amp;E</x:v>
      </x:c>
      <x:c r="U95" s="14" t="str">
        <x:v>Legacy / nicht explizit versioniert</x:v>
      </x:c>
      <x:c r="V95" s="51" t="str"/>
      <x:c r="W95" s="14" t="str">
        <x:v>Migration auf NACE Rev. 2.1 erforderlich</x:v>
      </x:c>
      <x:c r="X95" s="14" t="str">
        <x:v>Organisation/Governance; konsolidierter Kreis und relevante Rechtseinheiten</x:v>
      </x:c>
      <x:c r="Y95" s="14" t="str">
        <x:v>Siehe Quelle: Definition gemäß Standard (ESRS/GRI/Taxonomie/ISO).</x:v>
      </x:c>
      <x:c r="Z95" s="14" t="str">
        <x:v>Primärdaten bevorzugt; Sekundärdaten nur transparent und versioniert; Methode und Systemgrenze dokumentieren</x:v>
      </x:c>
      <x:c r="AA95" s="14" t="str">
        <x:v>Limited Assurance; risikobasiert höhere Prüftiefe</x:v>
      </x:c>
      <x:c r="AB95" s="14" t="str">
        <x:v>Strukturell nutzbar; Schwellen fachlich zu validieren</x:v>
      </x:c>
      <x:c r="AC95" s="14" t="str">
        <x:v>Mittel</x:v>
      </x:c>
      <x:c r="AD95" s="14" t="str">
        <x:v>Vollständige fünfstufige numerische Regel.</x:v>
      </x:c>
      <x:c r="AE95" s="14" t="str">
        <x:v>v1.4</x:v>
      </x:c>
      <x:c r="AF95" s="52" t="str">
        <x:v>2026-08-16</x:v>
      </x:c>
      <x:c r="AG95" s="52"/>
    </x:row>
    <x:row r="96" ht="42" customHeight="1">
      <x:c r="A96" s="14" t="str">
        <x:v>WOK-G-117</x:v>
      </x:c>
      <x:c r="B96" s="14" t="str">
        <x:v>SDG 4 – Bildung</x:v>
      </x:c>
      <x:c r="C96" s="14" t="str">
        <x:v>4.5</x:v>
      </x:c>
      <x:c r="D96" s="14" t="str">
        <x:v>Gleichberechtigter Zugang</x:v>
      </x:c>
      <x:c r="E96" s="14" t="str">
        <x:v>Gleichberechtigter Zugang – Whistleblowing</x:v>
      </x:c>
      <x:c r="F96" s="14" t="str">
        <x:v>Wirksamkeits‑Score</x:v>
      </x:c>
      <x:c r="G96" s="14" t="str">
        <x:v>0–1</x:v>
      </x:c>
      <x:c r="H96" s="14" t="str">
        <x:v>higher_is_better</x:v>
      </x:c>
      <x:c r="I96" s="14" t="str">
        <x:v>R16</x:v>
      </x:c>
      <x:c r="J96" s="14" t="str">
        <x:v>≥0,9:+3; 0,75–0,89:+2; 0,6–0,74:0; 0,4–0,59:‑2; &lt;0,4:‑3</x:v>
      </x:c>
      <x:c r="K96" s="14" t="str">
        <x:v>Feste WÖk-Kalibrierung</x:v>
      </x:c>
      <x:c r="L96" s="14" t="str">
        <x:v>Arbeitskalibrierung – fachlich zu validieren</x:v>
      </x:c>
      <x:c r="M96" s="14" t="str">
        <x:v>WÖk-interne Klassenlogik</x:v>
      </x:c>
      <x:c r="N96" s="14" t="str">
        <x:v>Optional/Nein</x:v>
      </x:c>
      <x:c r="O96" s="14" t="str">
        <x:v>ESRS G1; GRI 205/207</x:v>
      </x:c>
      <x:c r="P96" s="14" t="str">
        <x:v>ESRS G1, GRI 205/207, OECD Anti‑Bribery</x:v>
      </x:c>
      <x:c r="Q96" s="14" t="str">
        <x:v>Mess-, Berichts- oder Managementrahmen; Schwellen sind grundsätzlich WÖk-Kalibrierungen</x:v>
      </x:c>
      <x:c r="R96" s="14" t="str">
        <x:v>Messgrundlage belegt; Schwellenkalibrierung offen</x:v>
      </x:c>
      <x:c r="S96" s="14" t="str">
        <x:v>EU-ESRS; GRI; OECD-AB</x:v>
      </x:c>
      <x:c r="T96" s="14" t="str">
        <x:v>G47 Handel; K Versicherungen; M72 F&amp;E</x:v>
      </x:c>
      <x:c r="U96" s="14" t="str">
        <x:v>Legacy / nicht explizit versioniert</x:v>
      </x:c>
      <x:c r="V96" s="51" t="str"/>
      <x:c r="W96" s="14" t="str">
        <x:v>Migration auf NACE Rev. 2.1 erforderlich</x:v>
      </x:c>
      <x:c r="X96" s="14" t="str">
        <x:v>Organisation/Governance; konsolidierter Kreis und relevante Rechtseinheiten</x:v>
      </x:c>
      <x:c r="Y96" s="14" t="str">
        <x:v>Siehe Quelle: Definition gemäß Standard (ESRS/GRI/Taxonomie/ISO).</x:v>
      </x:c>
      <x:c r="Z96" s="14" t="str">
        <x:v>Primärdaten bevorzugt; Sekundärdaten nur transparent und versioniert; Methode und Systemgrenze dokumentieren</x:v>
      </x:c>
      <x:c r="AA96" s="14" t="str">
        <x:v>Limited Assurance; risikobasiert höhere Prüftiefe</x:v>
      </x:c>
      <x:c r="AB96" s="14" t="str">
        <x:v>Strukturell nutzbar; Schwellen fachlich zu validieren</x:v>
      </x:c>
      <x:c r="AC96" s="14" t="str">
        <x:v>Mittel</x:v>
      </x:c>
      <x:c r="AD96" s="14" t="str">
        <x:v>Vollständige fünfstufige numerische Regel.</x:v>
      </x:c>
      <x:c r="AE96" s="14" t="str">
        <x:v>v1.4</x:v>
      </x:c>
      <x:c r="AF96" s="52" t="str">
        <x:v>2026-08-16</x:v>
      </x:c>
      <x:c r="AG96" s="52"/>
    </x:row>
    <x:row r="97" ht="42" customHeight="1">
      <x:c r="A97" s="14" t="str">
        <x:v>WOK-G-118</x:v>
      </x:c>
      <x:c r="B97" s="14" t="str">
        <x:v>SDG 4 – Bildung</x:v>
      </x:c>
      <x:c r="C97" s="14" t="str">
        <x:v>4.5</x:v>
      </x:c>
      <x:c r="D97" s="14" t="str">
        <x:v>Gleichberechtigter Zugang</x:v>
      </x:c>
      <x:c r="E97" s="14" t="str">
        <x:v>Gleichberechtigter Zugang – Steuertransparenz</x:v>
      </x:c>
      <x:c r="F97" s="14" t="str">
        <x:v>CbCR‑Offenlegung</x:v>
      </x:c>
      <x:c r="G97" s="14" t="str">
        <x:v>0–1</x:v>
      </x:c>
      <x:c r="H97" s="14" t="str">
        <x:v>higher_is_better</x:v>
      </x:c>
      <x:c r="I97" s="14" t="str">
        <x:v>R08</x:v>
      </x:c>
      <x:c r="J97" s="14" t="str">
        <x:v>vollständig:+3; teilweise:+2; minimal:0; schlecht:‑2</x:v>
      </x:c>
      <x:c r="K97" s="14" t="str">
        <x:v>Qualitativ</x:v>
      </x:c>
      <x:c r="L97" s="14" t="str">
        <x:v>Assurance und Kriterienkatalog erforderlich</x:v>
      </x:c>
      <x:c r="M97" s="14" t="str">
        <x:v>WÖk-interne Kategorien</x:v>
      </x:c>
      <x:c r="N97" s="14" t="str">
        <x:v>Optional/Nein</x:v>
      </x:c>
      <x:c r="O97" s="14" t="str">
        <x:v>ESRS G1; GRI 205/207</x:v>
      </x:c>
      <x:c r="P97" s="14" t="str">
        <x:v>ESRS G1, GRI 205/207, OECD Anti‑Bribery</x:v>
      </x:c>
      <x:c r="Q97" s="14" t="str">
        <x:v>Mess-, Berichts- oder Managementrahmen; Schwellen sind grundsätzlich WÖk-Kalibrierungen</x:v>
      </x:c>
      <x:c r="R97" s="14" t="str">
        <x:v>Messgrundlage belegt; Schwellenkalibrierung offen</x:v>
      </x:c>
      <x:c r="S97" s="14" t="str">
        <x:v>EU-ESRS; GRI; OECD-AB</x:v>
      </x:c>
      <x:c r="T97" s="14" t="str">
        <x:v>G47 Handel; K Versicherungen; M72 F&amp;E</x:v>
      </x:c>
      <x:c r="U97" s="14" t="str">
        <x:v>Legacy / nicht explizit versioniert</x:v>
      </x:c>
      <x:c r="V97" s="51" t="str"/>
      <x:c r="W97" s="14" t="str">
        <x:v>Migration auf NACE Rev. 2.1 erforderlich</x:v>
      </x:c>
      <x:c r="X97" s="14" t="str">
        <x:v>Organisation/Governance; konsolidierter Kreis und relevante Rechtseinheiten</x:v>
      </x:c>
      <x:c r="Y97" s="14" t="str">
        <x:v>Siehe Quelle: Definition gemäß Standard (ESRS/GRI/Taxonomie/ISO).</x:v>
      </x:c>
      <x:c r="Z97" s="14" t="str">
        <x:v>Dokumentierter Kriterienkatalog; nachvollziehbare Evidenz; DQR A/B bevorzugt</x:v>
      </x:c>
      <x:c r="AA97" s="14" t="str">
        <x:v>Unabhängige Fachprüfung/Limited Assurance; bei roten Linien Reasonable Assurance</x:v>
      </x:c>
      <x:c r="AB97" s="14" t="str">
        <x:v>Prüfung/Parametrisierung erforderlich</x:v>
      </x:c>
      <x:c r="AC97" s="14" t="str">
        <x:v>Hoch</x:v>
      </x:c>
      <x:c r="AD97" s="14" t="str">
        <x:v>Die Kategorie −3 fehlt; Vollständigkeit und Wirksamkeit sind feldspezifisch zu definieren.</x:v>
      </x:c>
      <x:c r="AE97" s="14" t="str">
        <x:v>v1.4</x:v>
      </x:c>
      <x:c r="AF97" s="52" t="str">
        <x:v>2026-08-16</x:v>
      </x:c>
      <x:c r="AG97" s="52"/>
    </x:row>
    <x:row r="98" ht="42" customHeight="1">
      <x:c r="A98" s="14" t="str">
        <x:v>WOK-RE-104</x:v>
      </x:c>
      <x:c r="B98" s="14" t="str">
        <x:v>SDG 4 – Bildung</x:v>
      </x:c>
      <x:c r="C98" s="14" t="str">
        <x:v>4.a</x:v>
      </x:c>
      <x:c r="D98" s="14" t="str">
        <x:v>Lernorte &amp; Infrastruktur</x:v>
      </x:c>
      <x:c r="E98" s="14" t="str">
        <x:v>Lernorte &amp; Infrastruktur – Betriebsenergie</x:v>
      </x:c>
      <x:c r="F98" s="14" t="str">
        <x:v>Endenergiebedarf</x:v>
      </x:c>
      <x:c r="G98" s="14" t="str">
        <x:v>kWh/m²a</x:v>
      </x:c>
      <x:c r="H98" s="14" t="str">
        <x:v>lower_is_better</x:v>
      </x:c>
      <x:c r="I98" s="14" t="str">
        <x:v>R05</x:v>
      </x:c>
      <x:c r="J98" s="14" t="str">
        <x:v>Top 15%:+3; +15–30%:+2; +31–60%:0; &gt;+60%:‑2/‑3</x:v>
      </x:c>
      <x:c r="K98" s="14" t="str">
        <x:v>Benchmarkabhängig</x:v>
      </x:c>
      <x:c r="L98" s="14" t="str">
        <x:v>Validierter Benchmark fehlt</x:v>
      </x:c>
      <x:c r="M98" s="14" t="str">
        <x:v>Branche/Region/Technologie</x:v>
      </x:c>
      <x:c r="N98" s="14" t="str">
        <x:v>Ja</x:v>
      </x:c>
      <x:c r="O98" s="14" t="str">
        <x:v>EPBD; EN 15978</x:v>
      </x:c>
      <x:c r="P98" s="14" t="str">
        <x:v>ESRS E1, ISO 50001 (EnMS), ISO/IEC 30134‑2 (PUE), EU EPBD</x:v>
      </x:c>
      <x:c r="Q98" s="14" t="str">
        <x:v>Mess-/Methodenrahmen; aktiver Branchen-/Regional-/Technologiebenchmark separat erforderlich</x:v>
      </x:c>
      <x:c r="R98" s="14" t="str">
        <x:v>Teilbelegt – Benchmarkquelle fehlt</x:v>
      </x:c>
      <x:c r="S98" s="14" t="str">
        <x:v>EU-EPBD; CEN-15978</x:v>
      </x:c>
      <x:c r="T98" s="14" t="str">
        <x:v>L68 Immobilien; F41/F42 Bau</x:v>
      </x:c>
      <x:c r="U98" s="14" t="str">
        <x:v>Legacy / nicht explizit versioniert</x:v>
      </x:c>
      <x:c r="V98" s="51" t="str"/>
      <x:c r="W98" s="14" t="str">
        <x:v>Migration auf NACE Rev. 2.1 erforderlich</x:v>
      </x:c>
      <x:c r="X98" s="14" t="str">
        <x:v>Gebäude/Standort; Betrieb plus relevante Lebenszyklusmodule</x:v>
      </x:c>
      <x:c r="Y98" s="14" t="str">
        <x:v>Siehe Quelle: Definition gemäß Standard (ESRS/GRI/Taxonomie/ISO).</x:v>
      </x:c>
      <x:c r="Z98" s="14" t="str">
        <x:v>Primärdaten plus repräsentativer, versionierter Benchmarkdatensatz; Stichprobe und Population offenlegen</x:v>
      </x:c>
      <x:c r="AA98" s="14" t="str">
        <x:v>Messwert-Assurance und unabhängige Benchmark-Governance</x:v>
      </x:c>
      <x:c r="AB98" s="14" t="str">
        <x:v>Prüfung/Parametrisierung erforderlich</x:v>
      </x:c>
      <x:c r="AC98" s="14" t="str">
        <x:v>Hoch</x:v>
      </x:c>
      <x:c r="AD98" s="14" t="str">
        <x:v>Die Grenze &gt;+60 % ist derzeit nicht eindeutig in −2/−3 aufgelöst.</x:v>
      </x:c>
      <x:c r="AE98" s="14" t="str">
        <x:v>v1.4</x:v>
      </x:c>
      <x:c r="AF98" s="52" t="str">
        <x:v>2026-08-16</x:v>
      </x:c>
      <x:c r="AG98" s="52"/>
    </x:row>
    <x:row r="99" ht="42" customHeight="1">
      <x:c r="A99" s="14" t="str">
        <x:v>WOK-RE-105</x:v>
      </x:c>
      <x:c r="B99" s="14" t="str">
        <x:v>SDG 4 – Bildung</x:v>
      </x:c>
      <x:c r="C99" s="14" t="str">
        <x:v>4.a</x:v>
      </x:c>
      <x:c r="D99" s="14" t="str">
        <x:v>Lernorte &amp; Infrastruktur</x:v>
      </x:c>
      <x:c r="E99" s="14" t="str">
        <x:v>Lernorte &amp; Infrastruktur – Graue Emissionen</x:v>
      </x:c>
      <x:c r="F99" s="14" t="str">
        <x:v>Embodied Carbon (A1–A3)</x:v>
      </x:c>
      <x:c r="G99" s="14" t="str">
        <x:v>kg CO₂e/m²</x:v>
      </x:c>
      <x:c r="H99" s="14" t="str">
        <x:v>lower_is_better</x:v>
      </x:c>
      <x:c r="I99" s="14" t="str">
        <x:v>R06</x:v>
      </x:c>
      <x:c r="J99" s="14" t="str">
        <x:v>Top‑10%:+3; Mittel:0; &gt;150%:‑2; &gt;250%:‑3</x:v>
      </x:c>
      <x:c r="K99" s="14" t="str">
        <x:v>Benchmarkabhängig</x:v>
      </x:c>
      <x:c r="L99" s="14" t="str">
        <x:v>Validierter Benchmark fehlt</x:v>
      </x:c>
      <x:c r="M99" s="14" t="str">
        <x:v>Branche/Region/Technologie</x:v>
      </x:c>
      <x:c r="N99" s="14" t="str">
        <x:v>Ja</x:v>
      </x:c>
      <x:c r="O99" s="14" t="str">
        <x:v>EN 15978/ISO 14067</x:v>
      </x:c>
      <x:c r="P99" s="14" t="str">
        <x:v>ESRS E1, GHG Protocol (Corporate/Scope 1–3), ISO 14064/14067</x:v>
      </x:c>
      <x:c r="Q99" s="14" t="str">
        <x:v>Mess-/Methodenrahmen; aktiver Branchen-/Regional-/Technologiebenchmark separat erforderlich</x:v>
      </x:c>
      <x:c r="R99" s="14" t="str">
        <x:v>Teilbelegt – Benchmarkquelle fehlt</x:v>
      </x:c>
      <x:c r="S99" s="14" t="str">
        <x:v>CEN-15978; ISO-14067</x:v>
      </x:c>
      <x:c r="T99" s="14" t="str">
        <x:v>L68 Immobilien; F41/F42 Bau</x:v>
      </x:c>
      <x:c r="U99" s="14" t="str">
        <x:v>Legacy / nicht explizit versioniert</x:v>
      </x:c>
      <x:c r="V99" s="51" t="str"/>
      <x:c r="W99" s="14" t="str">
        <x:v>Migration auf NACE Rev. 2.1 erforderlich</x:v>
      </x:c>
      <x:c r="X99" s="14" t="str">
        <x:v>Gebäude/Standort; Betrieb plus relevante Lebenszyklusmodule</x:v>
      </x:c>
      <x:c r="Y99" s="14" t="str">
        <x:v>Embodied Carbon gem. EN 15978 (A1–A3 ggf. A4–A5); kg CO₂e/m².</x:v>
      </x:c>
      <x:c r="Z99" s="14" t="str">
        <x:v>Primärdaten plus repräsentativer, versionierter Benchmarkdatensatz; Stichprobe und Population offenlegen</x:v>
      </x:c>
      <x:c r="AA99" s="14" t="str">
        <x:v>Messwert-Assurance und unabhängige Benchmark-Governance</x:v>
      </x:c>
      <x:c r="AB99" s="14" t="str">
        <x:v>Prüfung/Parametrisierung erforderlich</x:v>
      </x:c>
      <x:c r="AC99" s="14" t="str">
        <x:v>Hoch</x:v>
      </x:c>
      <x:c r="AD99" s="14" t="str">
        <x:v>Top-10-Prozent, Mittelwert, 150 % und 250 % müssen aus einer dokumentierten Grundgesamtheit stammen.</x:v>
      </x:c>
      <x:c r="AE99" s="14" t="str">
        <x:v>v1.4</x:v>
      </x:c>
      <x:c r="AF99" s="52" t="str">
        <x:v>2026-08-16</x:v>
      </x:c>
      <x:c r="AG99" s="52"/>
    </x:row>
    <x:row r="100" ht="42" customHeight="1">
      <x:c r="A100" s="14" t="str">
        <x:v>WOK-RE-106</x:v>
      </x:c>
      <x:c r="B100" s="14" t="str">
        <x:v>SDG 4 – Bildung</x:v>
      </x:c>
      <x:c r="C100" s="14" t="str">
        <x:v>4.a</x:v>
      </x:c>
      <x:c r="D100" s="14" t="str">
        <x:v>Lernorte &amp; Infrastruktur</x:v>
      </x:c>
      <x:c r="E100" s="14" t="str">
        <x:v>Lernorte &amp; Infrastruktur – ÖPNV‑Erreichbarkeit</x:v>
      </x:c>
      <x:c r="F100" s="14" t="str">
        <x:v>Transit‑Score</x:v>
      </x:c>
      <x:c r="G100" s="14" t="str">
        <x:v>0–1</x:v>
      </x:c>
      <x:c r="H100" s="14" t="str">
        <x:v>higher_is_better</x:v>
      </x:c>
      <x:c r="I100" s="14" t="str">
        <x:v>R14</x:v>
      </x:c>
      <x:c r="J100" s="14" t="str">
        <x:v>≥0,8:+3; 0,6–0,79:+2; 0,4–0,59:0; 0,2–0,39:‑2; &lt;0,2:‑3</x:v>
      </x:c>
      <x:c r="K100" s="14" t="str">
        <x:v>Feste WÖk-Kalibrierung</x:v>
      </x:c>
      <x:c r="L100" s="14" t="str">
        <x:v>Arbeitskalibrierung – fachlich zu validieren</x:v>
      </x:c>
      <x:c r="M100" s="14" t="str">
        <x:v>WÖk-interne Klassenlogik</x:v>
      </x:c>
      <x:c r="N100" s="14" t="str">
        <x:v>Optional/Nein</x:v>
      </x:c>
      <x:c r="O100" s="14" t="str">
        <x:v>Stadt/GIS</x:v>
      </x:c>
      <x:c r="P100" s="14" t="str">
        <x:v>Stadt/GIS</x:v>
      </x:c>
      <x:c r="Q100" s="14" t="str">
        <x:v>Lokale Primärdaten; Datenhalter, Layer, Zeitraum und Methodik je Fall ergänzen</x:v>
      </x:c>
      <x:c r="R100" s="14" t="str">
        <x:v>Platzhalter – konkrete Datenquelle fehlt</x:v>
      </x:c>
      <x:c r="S100" s="14" t="str">
        <x:v>DATA-GIS</x:v>
      </x:c>
      <x:c r="T100" s="14" t="str">
        <x:v>L68 Immobilien; F41/F42 Bau</x:v>
      </x:c>
      <x:c r="U100" s="14" t="str">
        <x:v>Legacy / nicht explizit versioniert</x:v>
      </x:c>
      <x:c r="V100" s="51" t="str"/>
      <x:c r="W100" s="14" t="str">
        <x:v>Migration auf NACE Rev. 2.1 erforderlich</x:v>
      </x:c>
      <x:c r="X100" s="14" t="str">
        <x:v>Gebäude/Standort; Betrieb plus relevante Lebenszyklusmodule</x:v>
      </x:c>
      <x:c r="Y100" s="14" t="str">
        <x:v>Siehe Quelle: Definition gemäß Standard (ESRS/GRI/Taxonomie/ISO).</x:v>
      </x:c>
      <x:c r="Z100" s="14" t="str">
        <x:v>Primärdaten oder qualitätsgesicherte Sekundärdaten; Methode, Zeitraum und Systemgrenze dokumentieren</x:v>
      </x:c>
      <x:c r="AA100" s="14" t="str">
        <x:v>Limited Assurance; bei materieller Steuerwirkung risikobasiert vertiefen</x:v>
      </x:c>
      <x:c r="AB100" s="14" t="str">
        <x:v>Produktspezifische bzw. lokale Prüfung erforderlich</x:v>
      </x:c>
      <x:c r="AC100" s="14" t="str">
        <x:v>Hoch</x:v>
      </x:c>
      <x:c r="AD100" s="14" t="str">
        <x:v>Konkreten Datenhalter, GIS-Layer, Stichtag und Methodik ergänzen. Vollständige fünfstufige numerische Regel.</x:v>
      </x:c>
      <x:c r="AE100" s="14" t="str">
        <x:v>v1.4</x:v>
      </x:c>
      <x:c r="AF100" s="52" t="str">
        <x:v>2026-08-16</x:v>
      </x:c>
      <x:c r="AG100" s="52"/>
    </x:row>
    <x:row r="101" ht="42" customHeight="1">
      <x:c r="A101" s="14" t="str">
        <x:v>WOK-P-107</x:v>
      </x:c>
      <x:c r="B101" s="14" t="str">
        <x:v>SDG 4 – Bildung</x:v>
      </x:c>
      <x:c r="C101" s="14" t="str">
        <x:v>4.1</x:v>
      </x:c>
      <x:c r="D101" s="14" t="str">
        <x:v>Bildungs‑Produkte (Safety/Accessibility)</x:v>
      </x:c>
      <x:c r="E101" s="14" t="str">
        <x:v>Bildungs‑Produkte (Safety/Accessibility) – PCF</x:v>
      </x:c>
      <x:c r="F101" s="14" t="str">
        <x:v>CO₂‑Fußabdruck pro Einheit</x:v>
      </x:c>
      <x:c r="G101" s="14" t="str">
        <x:v>kg CO₂e/Einheit</x:v>
      </x:c>
      <x:c r="H101" s="14" t="str">
        <x:v>lower_is_better</x:v>
      </x:c>
      <x:c r="I101" s="14" t="str">
        <x:v>R07</x:v>
      </x:c>
      <x:c r="J101" s="14" t="str">
        <x:v>Top‑10%:+3; ±Benchmark:0; &gt;150%:‑2; &gt;250%:‑3</x:v>
      </x:c>
      <x:c r="K101" s="14" t="str">
        <x:v>Benchmarkabhängig</x:v>
      </x:c>
      <x:c r="L101" s="14" t="str">
        <x:v>Validierter Benchmark fehlt</x:v>
      </x:c>
      <x:c r="M101" s="14" t="str">
        <x:v>Produktgruppe/Region/Technologie</x:v>
      </x:c>
      <x:c r="N101" s="14" t="str">
        <x:v>Ja</x:v>
      </x:c>
      <x:c r="O101" s="14" t="str">
        <x:v>ISO 14067; ESRS E5; GRI 306/301; WEEE/VerpackG</x:v>
      </x:c>
      <x:c r="P101" s="14" t="str">
        <x:v>ISO 14067/14040/44 (LCA/PCF), PEF/EF 3.1, EU Reparierbarkeitsindex</x:v>
      </x:c>
      <x:c r="Q101" s="14" t="str">
        <x:v>Mess-/Methodenrahmen; aktiver Branchen-/Regional-/Technologiebenchmark separat erforderlich</x:v>
      </x:c>
      <x:c r="R101" s="14" t="str">
        <x:v>Teilbelegt – Benchmarkquelle fehlt</x:v>
      </x:c>
      <x:c r="S101" s="14" t="str">
        <x:v>ISO-14067; EU-ESRS; GRI; EU-WEEE; DE-VERPACKG; EU-PPWR</x:v>
      </x:c>
      <x:c r="T101" s="14" t="str">
        <x:v>G47 Handel; K Versicherungen; M72 F&amp;E</x:v>
      </x:c>
      <x:c r="U101" s="14" t="str">
        <x:v>Legacy / nicht explizit versioniert</x:v>
      </x:c>
      <x:c r="V101" s="51" t="str"/>
      <x:c r="W101" s="14" t="str">
        <x:v>Migration auf NACE Rev. 2.1 erforderlich</x:v>
      </x:c>
      <x:c r="X101" s="14" t="str">
        <x:v>Produkt/Funktionseinheit; Lebenszyklusgrenze mindestens cradle-to-gate, bei Nutzungs-/End-of-Life-Relevanz cradle-to-grave</x:v>
      </x:c>
      <x:c r="Y101" s="14" t="str">
        <x:v>PCF gemäß ISO 14067/PEF; Well‑to‑Gate + Nutzung falls zutreffend.</x:v>
      </x:c>
      <x:c r="Z101" s="14" t="str">
        <x:v>Primärdaten plus repräsentativer, versionierter Benchmarkdatensatz; Stichprobe und Population offenlegen</x:v>
      </x:c>
      <x:c r="AA101" s="14" t="str">
        <x:v>Messwert-Assurance und unabhängige Benchmark-Governance</x:v>
      </x:c>
      <x:c r="AB101" s="14" t="str">
        <x:v>Prüfung/Parametrisierung erforderlich</x:v>
      </x:c>
      <x:c r="AC101" s="14" t="str">
        <x:v>Hoch</x:v>
      </x:c>
      <x:c r="AD101" s="14" t="str">
        <x:v>Produktspezifische Referenzpopulation erforderlich.</x:v>
      </x:c>
      <x:c r="AE101" s="14" t="str">
        <x:v>v1.4</x:v>
      </x:c>
      <x:c r="AF101" s="52" t="str">
        <x:v>2026-08-16</x:v>
      </x:c>
      <x:c r="AG101" s="52"/>
    </x:row>
    <x:row r="102" ht="42" customHeight="1">
      <x:c r="A102" s="14" t="str">
        <x:v>WOK-P-108</x:v>
      </x:c>
      <x:c r="B102" s="14" t="str">
        <x:v>SDG 4 – Bildung</x:v>
      </x:c>
      <x:c r="C102" s="14" t="str">
        <x:v>4.1</x:v>
      </x:c>
      <x:c r="D102" s="14" t="str">
        <x:v>Bildungs‑Produkte (Safety/Accessibility)</x:v>
      </x:c>
      <x:c r="E102" s="14" t="str">
        <x:v>Bildungs‑Produkte (Safety/Accessibility) – Reparierbarkeit</x:v>
      </x:c>
      <x:c r="F102" s="14" t="str">
        <x:v>Reparierbarkeitsindex</x:v>
      </x:c>
      <x:c r="G102" s="14" t="str">
        <x:v>Score 0–10</x:v>
      </x:c>
      <x:c r="H102" s="14" t="str">
        <x:v>higher_is_better</x:v>
      </x:c>
      <x:c r="I102" s="14" t="str">
        <x:v>R24</x:v>
      </x:c>
      <x:c r="J102" s="14" t="str">
        <x:v>≥8:+3; 6–7,9:+2; 4–5,9:0; 2–3,9:‑2; &lt;2:‑3</x:v>
      </x:c>
      <x:c r="K102" s="14" t="str">
        <x:v>Produktspezifische Indexkalibrierung</x:v>
      </x:c>
      <x:c r="L102" s="14" t="str">
        <x:v>Indexsystem und Produktgruppe müssen ausgewiesen werden</x:v>
      </x:c>
      <x:c r="M102" s="14" t="str">
        <x:v>FR-/EU-Reparierbarkeitssystem je Produktgruppe</x:v>
      </x:c>
      <x:c r="N102" s="14" t="str">
        <x:v>Optional/Nein</x:v>
      </x:c>
      <x:c r="O102" s="14" t="str">
        <x:v>EU/FR Index</x:v>
      </x:c>
      <x:c r="P102" s="14" t="str">
        <x:v>ISO 14067/14040/44 (LCA/PCF), PEF/EF 3.1, EU Reparierbarkeitsindex</x:v>
      </x:c>
      <x:c r="Q102" s="14" t="str">
        <x:v>Produktspezifischer Rechts-/Indexrahmen; System und Produktgruppe explizit auswählen</x:v>
      </x:c>
      <x:c r="R102" s="14" t="str">
        <x:v>Teilbelegt – produktspezifisch zu validieren</x:v>
      </x:c>
      <x:c r="S102" s="14" t="str">
        <x:v>FR-REPAIR; EU-REPAIR; EU-ESPR</x:v>
      </x:c>
      <x:c r="T102" s="14" t="str">
        <x:v>G47 Handel; K Versicherungen; M72 F&amp;E</x:v>
      </x:c>
      <x:c r="U102" s="14" t="str">
        <x:v>Legacy / nicht explizit versioniert</x:v>
      </x:c>
      <x:c r="V102" s="51" t="str"/>
      <x:c r="W102" s="14" t="str">
        <x:v>Migration auf NACE Rev. 2.1 erforderlich</x:v>
      </x:c>
      <x:c r="X102" s="14" t="str">
        <x:v>Produkt/Funktionseinheit; Lebenszyklusgrenze mindestens cradle-to-gate, bei Nutzungs-/End-of-Life-Relevanz cradle-to-grave</x:v>
      </x:c>
      <x:c r="Y102" s="14" t="str">
        <x:v>EU/FR‑Reparierbarkeitsindex: Zerlegbarkeit, Ersatzteile, Doku.</x:v>
      </x:c>
      <x:c r="Z102" s="14" t="str">
        <x:v>Primärdaten oder qualitätsgesicherte Sekundärdaten; Methode, Zeitraum und Systemgrenze dokumentieren</x:v>
      </x:c>
      <x:c r="AA102" s="14" t="str">
        <x:v>Limited Assurance; bei materieller Steuerwirkung risikobasiert vertiefen</x:v>
      </x:c>
      <x:c r="AB102" s="14" t="str">
        <x:v>Produktspezifische bzw. lokale Prüfung erforderlich</x:v>
      </x:c>
      <x:c r="AC102" s="14" t="str">
        <x:v>Hoch</x:v>
      </x:c>
      <x:c r="AD102" s="14" t="str">
        <x:v>Indexsystem, Produktgruppe und Rechtsstand festlegen. Französischer Index und EU-Score sind nicht pauschal austauschbar.</x:v>
      </x:c>
      <x:c r="AE102" s="14" t="str">
        <x:v>v1.4</x:v>
      </x:c>
      <x:c r="AF102" s="52" t="str">
        <x:v>2026-08-16</x:v>
      </x:c>
      <x:c r="AG102" s="52"/>
    </x:row>
    <x:row r="103" ht="42" customHeight="1">
      <x:c r="A103" s="14" t="str">
        <x:v>WOK-P-109</x:v>
      </x:c>
      <x:c r="B103" s="14" t="str">
        <x:v>SDG 4 – Bildung</x:v>
      </x:c>
      <x:c r="C103" s="14" t="str">
        <x:v>4.1</x:v>
      </x:c>
      <x:c r="D103" s="14" t="str">
        <x:v>Bildungs‑Produkte (Safety/Accessibility)</x:v>
      </x:c>
      <x:c r="E103" s="14" t="str">
        <x:v>Bildungs‑Produkte (Safety/Accessibility) – Rücknahme/Recycling</x:v>
      </x:c>
      <x:c r="F103" s="14" t="str">
        <x:v>Rücknahme‑/Recyclingquote</x:v>
      </x:c>
      <x:c r="G103" s="14" t="str">
        <x:v>%</x:v>
      </x:c>
      <x:c r="H103" s="14" t="str">
        <x:v>higher_is_better</x:v>
      </x:c>
      <x:c r="I103" s="14" t="str">
        <x:v>R22</x:v>
      </x:c>
      <x:c r="J103" s="14" t="str">
        <x:v>≥70:+3; 50–69:+2; 30–49:0; 15–29:‑2; &lt;15:‑3</x:v>
      </x:c>
      <x:c r="K103" s="14" t="str">
        <x:v>Feste WÖk-Kalibrierung</x:v>
      </x:c>
      <x:c r="L103" s="14" t="str">
        <x:v>Arbeitskalibrierung – fachlich zu validieren</x:v>
      </x:c>
      <x:c r="M103" s="14" t="str">
        <x:v>WÖk-interne Klassenlogik</x:v>
      </x:c>
      <x:c r="N103" s="14" t="str">
        <x:v>Optional/Nein</x:v>
      </x:c>
      <x:c r="O103" s="14" t="str">
        <x:v>ESRS E5; GRI 306/301; WEEE/VerpackG</x:v>
      </x:c>
      <x:c r="P103" s="14" t="str">
        <x:v>ESRS E5, GRI 306, WEEE/VerpackG</x:v>
      </x:c>
      <x:c r="Q103" s="14" t="str">
        <x:v>Mess-, Berichts- oder Managementrahmen; Schwellen sind grundsätzlich WÖk-Kalibrierungen</x:v>
      </x:c>
      <x:c r="R103" s="14" t="str">
        <x:v>Messgrundlage belegt; Schwellenkalibrierung offen</x:v>
      </x:c>
      <x:c r="S103" s="14" t="str">
        <x:v>EU-ESRS; GRI; EU-WEEE; DE-VERPACKG; EU-PPWR</x:v>
      </x:c>
      <x:c r="T103" s="14" t="str">
        <x:v>G47 Handel; K Versicherungen; M72 F&amp;E</x:v>
      </x:c>
      <x:c r="U103" s="14" t="str">
        <x:v>Legacy / nicht explizit versioniert</x:v>
      </x:c>
      <x:c r="V103" s="51" t="str"/>
      <x:c r="W103" s="14" t="str">
        <x:v>Migration auf NACE Rev. 2.1 erforderlich</x:v>
      </x:c>
      <x:c r="X103" s="14" t="str">
        <x:v>Produkt/Funktionseinheit; Lebenszyklusgrenze mindestens cradle-to-gate, bei Nutzungs-/End-of-Life-Relevanz cradle-to-grave</x:v>
      </x:c>
      <x:c r="Y103" s="14" t="str">
        <x:v>Siehe Quelle: Definition gemäß Standard (ESRS/GRI/Taxonomie/ISO).</x:v>
      </x:c>
      <x:c r="Z103" s="14" t="str">
        <x:v>Primärdaten bevorzugt; Sekundärdaten nur transparent und versioniert; Methode und Systemgrenze dokumentieren</x:v>
      </x:c>
      <x:c r="AA103" s="14" t="str">
        <x:v>Limited Assurance; risikobasiert höhere Prüftiefe</x:v>
      </x:c>
      <x:c r="AB103" s="14" t="str">
        <x:v>Strukturell nutzbar; Schwellen fachlich zu validieren</x:v>
      </x:c>
      <x:c r="AC103" s="14" t="str">
        <x:v>Mittel</x:v>
      </x:c>
      <x:c r="AD103" s="14" t="str">
        <x:v>Vollständige fünfstufige numerische Regel.</x:v>
      </x:c>
      <x:c r="AE103" s="14" t="str">
        <x:v>v1.4</x:v>
      </x:c>
      <x:c r="AF103" s="52" t="str">
        <x:v>2026-08-16</x:v>
      </x:c>
      <x:c r="AG103" s="52"/>
    </x:row>
    <x:row r="104" ht="42" customHeight="1">
      <x:c r="A104" s="14" t="str">
        <x:v>WOK-SYS-110</x:v>
      </x:c>
      <x:c r="B104" s="14" t="str">
        <x:v>SDG 4 – Bildung</x:v>
      </x:c>
      <x:c r="C104" s="14" t="str">
        <x:v>4.7</x:v>
      </x:c>
      <x:c r="D104" s="14" t="str">
        <x:v>Bildungspartnerschaften</x:v>
      </x:c>
      <x:c r="E104" s="14" t="str">
        <x:v>Bildungspartnerschaften – Index</x:v>
      </x:c>
      <x:c r="F104" s="14" t="str">
        <x:v>umsatzgewichteter Index (z. B. Demokratie/Rule of Law)</x:v>
      </x:c>
      <x:c r="G104" s="14" t="str">
        <x:v>0–1</x:v>
      </x:c>
      <x:c r="H104" s="14" t="str">
        <x:v>higher_is_better</x:v>
      </x:c>
      <x:c r="I104" s="14" t="str">
        <x:v>R15</x:v>
      </x:c>
      <x:c r="J104" s="14" t="str">
        <x:v>≥0,8:+3; 0,7–0,79:+2; 0,6–0,69:0; 0,5–0,59:‑2; &lt;0,5:‑3</x:v>
      </x:c>
      <x:c r="K104" s="14" t="str">
        <x:v>Feste WÖk-Kalibrierung</x:v>
      </x:c>
      <x:c r="L104" s="14" t="str">
        <x:v>Arbeitskalibrierung – fachlich zu validieren</x:v>
      </x:c>
      <x:c r="M104" s="14" t="str">
        <x:v>WÖk-interne Klassenlogik</x:v>
      </x:c>
      <x:c r="N104" s="14" t="str">
        <x:v>Optional/Nein</x:v>
      </x:c>
      <x:c r="O104" s="14" t="str">
        <x:v>SROI/SDG17</x:v>
      </x:c>
      <x:c r="P104" s="14" t="str">
        <x:v>SDG 16/17, WJP, V‑Dem</x:v>
      </x:c>
      <x:c r="Q104" s="14" t="str">
        <x:v>Methodischer Platzhalter; konkrete Fach- und Primärdatenquelle erforderlich</x:v>
      </x:c>
      <x:c r="R104" s="14" t="str">
        <x:v>Platzhalter – fachliche Operationalisierung offen</x:v>
      </x:c>
      <x:c r="S104" s="14" t="str">
        <x:v>INT-WOEK-TSROI; SVI-SROI; UN-SDG</x:v>
      </x:c>
      <x:c r="T104" s="14" t="str">
        <x:v>G47 Handel; K Versicherungen; M72 F&amp;E</x:v>
      </x:c>
      <x:c r="U104" s="14" t="str">
        <x:v>Legacy / nicht explizit versioniert</x:v>
      </x:c>
      <x:c r="V104" s="51" t="str"/>
      <x:c r="W104" s="14" t="str">
        <x:v>Migration auf NACE Rev. 2.1 erforderlich</x:v>
      </x:c>
      <x:c r="X104" s="14" t="str">
        <x:v>Programm/Portfolio/Systemraum; Empfängergruppe, Region und Zeitraum explizit definieren</x:v>
      </x:c>
      <x:c r="Y104" s="14" t="str">
        <x:v>Siehe Quelle: Definition gemäß Standard (ESRS/GRI/Taxonomie/ISO).</x:v>
      </x:c>
      <x:c r="Z104" s="14" t="str">
        <x:v>Primärdaten bevorzugt; Sekundärdaten nur transparent und versioniert; Methode und Systemgrenze dokumentieren</x:v>
      </x:c>
      <x:c r="AA104" s="14" t="str">
        <x:v>Limited Assurance; risikobasiert höhere Prüftiefe</x:v>
      </x:c>
      <x:c r="AB104" s="14" t="str">
        <x:v>Fachlogik nicht abschließend operationalisiert</x:v>
      </x:c>
      <x:c r="AC104" s="14" t="str">
        <x:v>Kritisch</x:v>
      </x:c>
      <x:c r="AD104" s="14" t="str">
        <x:v>SROI/SDG 17 ist keine hinreichend konkrete Mess- oder Schwellenquelle. Vollständige fünfstufige numerische Regel.</x:v>
      </x:c>
      <x:c r="AE104" s="14" t="str">
        <x:v>v1.4</x:v>
      </x:c>
      <x:c r="AF104" s="52" t="str">
        <x:v>2026-08-16</x:v>
      </x:c>
      <x:c r="AG104" s="52"/>
    </x:row>
    <x:row r="105" ht="42" customHeight="1">
      <x:c r="A105" s="14" t="str">
        <x:v>WOK-SYS-111</x:v>
      </x:c>
      <x:c r="B105" s="14" t="str">
        <x:v>SDG 4 – Bildung</x:v>
      </x:c>
      <x:c r="C105" s="14" t="str">
        <x:v>4.7</x:v>
      </x:c>
      <x:c r="D105" s="14" t="str">
        <x:v>Bildungspartnerschaften</x:v>
      </x:c>
      <x:c r="E105" s="14" t="str">
        <x:v>Bildungspartnerschaften – Exposure</x:v>
      </x:c>
      <x:c r="F105" s="14" t="str">
        <x:v>Umsatz in Hochrisikoländern</x:v>
      </x:c>
      <x:c r="G105" s="14" t="str">
        <x:v>%</x:v>
      </x:c>
      <x:c r="H105" s="14" t="str">
        <x:v>lower_is_better</x:v>
      </x:c>
      <x:c r="I105" s="14" t="str">
        <x:v>R13</x:v>
      </x:c>
      <x:c r="J105" s="14" t="str">
        <x:v>≤5:+3; 6–10:+2; 11–20:0; 21–30:‑2; &gt;30:‑3</x:v>
      </x:c>
      <x:c r="K105" s="14" t="str">
        <x:v>Feste WÖk-Kalibrierung</x:v>
      </x:c>
      <x:c r="L105" s="14" t="str">
        <x:v>Arbeitskalibrierung – fachlich zu validieren</x:v>
      </x:c>
      <x:c r="M105" s="14" t="str">
        <x:v>WÖk-interne Klassenlogik</x:v>
      </x:c>
      <x:c r="N105" s="14" t="str">
        <x:v>Optional/Nein</x:v>
      </x:c>
      <x:c r="O105" s="14" t="str">
        <x:v>SROI/SDG17</x:v>
      </x:c>
      <x:c r="P105" s="14" t="str">
        <x:v>SDG 16/17, WJP, V‑Dem</x:v>
      </x:c>
      <x:c r="Q105" s="14" t="str">
        <x:v>Methodischer Platzhalter; konkrete Fach- und Primärdatenquelle erforderlich</x:v>
      </x:c>
      <x:c r="R105" s="14" t="str">
        <x:v>Platzhalter – fachliche Operationalisierung offen</x:v>
      </x:c>
      <x:c r="S105" s="14" t="str">
        <x:v>INT-WOEK-TSROI; SVI-SROI; UN-SDG</x:v>
      </x:c>
      <x:c r="T105" s="14" t="str">
        <x:v>G47 Handel; K Versicherungen; M72 F&amp;E</x:v>
      </x:c>
      <x:c r="U105" s="14" t="str">
        <x:v>Legacy / nicht explizit versioniert</x:v>
      </x:c>
      <x:c r="V105" s="51" t="str"/>
      <x:c r="W105" s="14" t="str">
        <x:v>Migration auf NACE Rev. 2.1 erforderlich</x:v>
      </x:c>
      <x:c r="X105" s="14" t="str">
        <x:v>Programm/Portfolio/Systemraum; Empfängergruppe, Region und Zeitraum explizit definieren</x:v>
      </x:c>
      <x:c r="Y105" s="14" t="str">
        <x:v>Siehe Quelle: Definition gemäß Standard (ESRS/GRI/Taxonomie/ISO).</x:v>
      </x:c>
      <x:c r="Z105" s="14" t="str">
        <x:v>Primärdaten bevorzugt; Sekundärdaten nur transparent und versioniert; Methode und Systemgrenze dokumentieren</x:v>
      </x:c>
      <x:c r="AA105" s="14" t="str">
        <x:v>Limited Assurance; risikobasiert höhere Prüftiefe</x:v>
      </x:c>
      <x:c r="AB105" s="14" t="str">
        <x:v>Fachlogik nicht abschließend operationalisiert</x:v>
      </x:c>
      <x:c r="AC105" s="14" t="str">
        <x:v>Kritisch</x:v>
      </x:c>
      <x:c r="AD105" s="14" t="str">
        <x:v>SROI/SDG 17 ist keine hinreichend konkrete Mess- oder Schwellenquelle. Vollständige fünfstufige numerische Regel.</x:v>
      </x:c>
      <x:c r="AE105" s="14" t="str">
        <x:v>v1.4</x:v>
      </x:c>
      <x:c r="AF105" s="52" t="str">
        <x:v>2026-08-16</x:v>
      </x:c>
      <x:c r="AG105" s="52"/>
    </x:row>
    <x:row r="106" ht="42" customHeight="1">
      <x:c r="A106" s="14" t="str">
        <x:v>WOK-SYS-112</x:v>
      </x:c>
      <x:c r="B106" s="14" t="str">
        <x:v>SDG 4 – Bildung</x:v>
      </x:c>
      <x:c r="C106" s="14" t="str">
        <x:v>4.7</x:v>
      </x:c>
      <x:c r="D106" s="14" t="str">
        <x:v>Bildungspartnerschaften</x:v>
      </x:c>
      <x:c r="E106" s="14" t="str">
        <x:v>Bildungspartnerschaften – Kooperationen</x:v>
      </x:c>
      <x:c r="F106" s="14" t="str">
        <x:v>aktive, evaluierte Partnerschaften/Jahr</x:v>
      </x:c>
      <x:c r="G106" s="14" t="str">
        <x:v>#/Jahr</x:v>
      </x:c>
      <x:c r="H106" s="14" t="str">
        <x:v>higher_is_better</x:v>
      </x:c>
      <x:c r="I106" s="14" t="str">
        <x:v>R20</x:v>
      </x:c>
      <x:c r="J106" s="14" t="str">
        <x:v>≥5:+3; 3–4:+2; 1–2:0; 0:‑2</x:v>
      </x:c>
      <x:c r="K106" s="14" t="str">
        <x:v>Feste WÖk-Grobkalibrierung</x:v>
      </x:c>
      <x:c r="L106" s="14" t="str">
        <x:v>Klasse −3 nur für negative/unzulässige Werte ergänzt</x:v>
      </x:c>
      <x:c r="M106" s="14" t="str">
        <x:v>WÖk-interne Grobkalibrierung</x:v>
      </x:c>
      <x:c r="N106" s="14" t="str">
        <x:v>Optional/Nein</x:v>
      </x:c>
      <x:c r="O106" s="14" t="str">
        <x:v>SROI/SDG17</x:v>
      </x:c>
      <x:c r="P106" s="14" t="str">
        <x:v>SDG 16/17, WJP, V‑Dem</x:v>
      </x:c>
      <x:c r="Q106" s="14" t="str">
        <x:v>Methodischer Platzhalter; konkrete Fach- und Primärdatenquelle erforderlich</x:v>
      </x:c>
      <x:c r="R106" s="14" t="str">
        <x:v>Platzhalter – fachliche Operationalisierung offen</x:v>
      </x:c>
      <x:c r="S106" s="14" t="str">
        <x:v>INT-WOEK-TSROI; SVI-SROI; UN-SDG</x:v>
      </x:c>
      <x:c r="T106" s="14" t="str">
        <x:v>G47 Handel; K Versicherungen; M72 F&amp;E</x:v>
      </x:c>
      <x:c r="U106" s="14" t="str">
        <x:v>Legacy / nicht explizit versioniert</x:v>
      </x:c>
      <x:c r="V106" s="51" t="str"/>
      <x:c r="W106" s="14" t="str">
        <x:v>Migration auf NACE Rev. 2.1 erforderlich</x:v>
      </x:c>
      <x:c r="X106" s="14" t="str">
        <x:v>Programm/Portfolio/Systemraum; Empfängergruppe, Region und Zeitraum explizit definieren</x:v>
      </x:c>
      <x:c r="Y106" s="14" t="str">
        <x:v>Siehe Quelle: Definition gemäß Standard (ESRS/GRI/Taxonomie/ISO).</x:v>
      </x:c>
      <x:c r="Z106" s="14" t="str">
        <x:v>Primärdaten bevorzugt; Sekundärdaten nur transparent und versioniert; Methode und Systemgrenze dokumentieren</x:v>
      </x:c>
      <x:c r="AA106" s="14" t="str">
        <x:v>Limited Assurance; risikobasiert höhere Prüftiefe</x:v>
      </x:c>
      <x:c r="AB106" s="14" t="str">
        <x:v>Fachlogik nicht abschließend operationalisiert</x:v>
      </x:c>
      <x:c r="AC106" s="14" t="str">
        <x:v>Kritisch</x:v>
      </x:c>
      <x:c r="AD106" s="14" t="str">
        <x:v>SROI/SDG 17 ist keine hinreichend konkrete Mess- oder Schwellenquelle. Für sachlogisch nichtnegative Zählwerte ist 0 die schlechteste reguläre Klasse (−2).</x:v>
      </x:c>
      <x:c r="AE106" s="14" t="str">
        <x:v>v1.4</x:v>
      </x:c>
      <x:c r="AF106" s="52" t="str">
        <x:v>2026-08-16</x:v>
      </x:c>
      <x:c r="AG106" s="52"/>
    </x:row>
    <x:row r="107" ht="42" customHeight="1">
      <x:c r="A107" s="14" t="str">
        <x:v>WOK-S-131</x:v>
      </x:c>
      <x:c r="B107" s="14" t="str">
        <x:v>SDG 4 – Bildung</x:v>
      </x:c>
      <x:c r="C107" s="14" t="str">
        <x:v>4.4</x:v>
      </x:c>
      <x:c r="D107" s="14" t="str">
        <x:v>Digital Literacy Training</x:v>
      </x:c>
      <x:c r="E107" s="14" t="str">
        <x:v>Digital Literacy Training – Living Wage</x:v>
      </x:c>
      <x:c r="F107" s="14" t="str">
        <x:v>Abdeckung Lebenslohn</x:v>
      </x:c>
      <x:c r="G107" s="14" t="str">
        <x:v>% Beschäftigte</x:v>
      </x:c>
      <x:c r="H107" s="14" t="str">
        <x:v>higher_is_better</x:v>
      </x:c>
      <x:c r="I107" s="14" t="str">
        <x:v>R27</x:v>
      </x:c>
      <x:c r="J107" s="14" t="str">
        <x:v>≥95:+3; 80–94:+2; 60–79:0; 40–59:‑2; &lt;40:‑3</x:v>
      </x:c>
      <x:c r="K107" s="14" t="str">
        <x:v>Feste WÖk-Kalibrierung</x:v>
      </x:c>
      <x:c r="L107" s="14" t="str">
        <x:v>Arbeitskalibrierung – fachlich zu validieren</x:v>
      </x:c>
      <x:c r="M107" s="14" t="str">
        <x:v>WÖk-interne Klassenlogik</x:v>
      </x:c>
      <x:c r="N107" s="14" t="str">
        <x:v>Optional/Nein</x:v>
      </x:c>
      <x:c r="O107" s="14" t="str">
        <x:v>ESRS S1; GRI 401/403/405/406</x:v>
      </x:c>
      <x:c r="P107" s="14" t="str">
        <x:v>ESRS S1, GRI 401/403/405/406, ILO</x:v>
      </x:c>
      <x:c r="Q107" s="14" t="str">
        <x:v>Mess-, Berichts- oder Managementrahmen; Schwellen sind grundsätzlich WÖk-Kalibrierungen</x:v>
      </x:c>
      <x:c r="R107" s="14" t="str">
        <x:v>Messgrundlage belegt; Schwellenkalibrierung offen</x:v>
      </x:c>
      <x:c r="S107" s="14" t="str">
        <x:v>EU-ESRS; GRI; ISO-45001; ILO-LW; ILO-CORE</x:v>
      </x:c>
      <x:c r="T107" s="14" t="str">
        <x:v>G47 Handel; K Versicherungen; M72 F&amp;E</x:v>
      </x:c>
      <x:c r="U107" s="14" t="str">
        <x:v>Legacy / nicht explizit versioniert</x:v>
      </x:c>
      <x:c r="V107" s="51" t="str"/>
      <x:c r="W107" s="14" t="str">
        <x:v>Migration auf NACE Rev. 2.1 erforderlich</x:v>
      </x:c>
      <x:c r="X107" s="14" t="str">
        <x:v>Eigene Belegschaft/Organisation; FTE, Beschäftigtengruppe und Zeitraum</x:v>
      </x:c>
      <x:c r="Y107" s="14" t="str">
        <x:v>Anteil Beschäftigte ≥ Living Wage (zertifizierte Methodik).</x:v>
      </x:c>
      <x:c r="Z107" s="14" t="str">
        <x:v>Primärdaten bevorzugt; Sekundärdaten nur transparent und versioniert; Methode und Systemgrenze dokumentieren</x:v>
      </x:c>
      <x:c r="AA107" s="14" t="str">
        <x:v>Limited Assurance; risikobasiert höhere Prüftiefe</x:v>
      </x:c>
      <x:c r="AB107" s="14" t="str">
        <x:v>Strukturell nutzbar; Schwellen fachlich zu validieren</x:v>
      </x:c>
      <x:c r="AC107" s="14" t="str">
        <x:v>Mittel</x:v>
      </x:c>
      <x:c r="AD107" s="14" t="str">
        <x:v>Vollständige fünfstufige numerische Regel.</x:v>
      </x:c>
      <x:c r="AE107" s="14" t="str">
        <x:v>v1.4</x:v>
      </x:c>
      <x:c r="AF107" s="52" t="str">
        <x:v>2026-08-16</x:v>
      </x:c>
      <x:c r="AG107" s="52"/>
    </x:row>
    <x:row r="108" ht="42" customHeight="1">
      <x:c r="A108" s="14" t="str">
        <x:v>WOK-S-132</x:v>
      </x:c>
      <x:c r="B108" s="14" t="str">
        <x:v>SDG 4 – Bildung</x:v>
      </x:c>
      <x:c r="C108" s="14" t="str">
        <x:v>4.4</x:v>
      </x:c>
      <x:c r="D108" s="14" t="str">
        <x:v>Digital Literacy Training</x:v>
      </x:c>
      <x:c r="E108" s="14" t="str">
        <x:v>Digital Literacy Training – Tarifbindung</x:v>
      </x:c>
      <x:c r="F108" s="14" t="str">
        <x:v>Beschäftigte unter Kollektivvertrag</x:v>
      </x:c>
      <x:c r="G108" s="14" t="str">
        <x:v>%</x:v>
      </x:c>
      <x:c r="H108" s="14" t="str">
        <x:v>higher_is_better</x:v>
      </x:c>
      <x:c r="I108" s="14" t="str">
        <x:v>R26</x:v>
      </x:c>
      <x:c r="J108" s="14" t="str">
        <x:v>≥90:+3; 70–89:+2; 50–69:0; 30–49:‑2; &lt;30:‑3</x:v>
      </x:c>
      <x:c r="K108" s="14" t="str">
        <x:v>Feste WÖk-Kalibrierung</x:v>
      </x:c>
      <x:c r="L108" s="14" t="str">
        <x:v>Arbeitskalibrierung – fachlich zu validieren</x:v>
      </x:c>
      <x:c r="M108" s="14" t="str">
        <x:v>WÖk-interne Klassenlogik</x:v>
      </x:c>
      <x:c r="N108" s="14" t="str">
        <x:v>Optional/Nein</x:v>
      </x:c>
      <x:c r="O108" s="14" t="str">
        <x:v>ESRS S1; GRI 401/403/405/406</x:v>
      </x:c>
      <x:c r="P108" s="14" t="str">
        <x:v>ESRS S1, GRI 401/403/405/406, ILO</x:v>
      </x:c>
      <x:c r="Q108" s="14" t="str">
        <x:v>Mess-, Berichts- oder Managementrahmen; Schwellen sind grundsätzlich WÖk-Kalibrierungen</x:v>
      </x:c>
      <x:c r="R108" s="14" t="str">
        <x:v>Messgrundlage belegt; Schwellenkalibrierung offen</x:v>
      </x:c>
      <x:c r="S108" s="14" t="str">
        <x:v>EU-ESRS; GRI; ISO-45001; ILO-LW; ILO-CORE</x:v>
      </x:c>
      <x:c r="T108" s="14" t="str">
        <x:v>G47 Handel; K Versicherungen; M72 F&amp;E</x:v>
      </x:c>
      <x:c r="U108" s="14" t="str">
        <x:v>Legacy / nicht explizit versioniert</x:v>
      </x:c>
      <x:c r="V108" s="51" t="str"/>
      <x:c r="W108" s="14" t="str">
        <x:v>Migration auf NACE Rev. 2.1 erforderlich</x:v>
      </x:c>
      <x:c r="X108" s="14" t="str">
        <x:v>Eigene Belegschaft/Organisation; FTE, Beschäftigtengruppe und Zeitraum</x:v>
      </x:c>
      <x:c r="Y108" s="14" t="str">
        <x:v>Quote = Zähler / Nenner gemäß Quelle; in %.</x:v>
      </x:c>
      <x:c r="Z108" s="14" t="str">
        <x:v>Primärdaten bevorzugt; Sekundärdaten nur transparent und versioniert; Methode und Systemgrenze dokumentieren</x:v>
      </x:c>
      <x:c r="AA108" s="14" t="str">
        <x:v>Limited Assurance; risikobasiert höhere Prüftiefe</x:v>
      </x:c>
      <x:c r="AB108" s="14" t="str">
        <x:v>Strukturell nutzbar; Schwellen fachlich zu validieren</x:v>
      </x:c>
      <x:c r="AC108" s="14" t="str">
        <x:v>Mittel</x:v>
      </x:c>
      <x:c r="AD108" s="14" t="str">
        <x:v>Vollständige fünfstufige numerische Regel.</x:v>
      </x:c>
      <x:c r="AE108" s="14" t="str">
        <x:v>v1.4</x:v>
      </x:c>
      <x:c r="AF108" s="52" t="str">
        <x:v>2026-08-16</x:v>
      </x:c>
      <x:c r="AG108" s="52"/>
    </x:row>
    <x:row r="109" ht="42" customHeight="1">
      <x:c r="A109" s="14" t="str">
        <x:v>WOK-S-133</x:v>
      </x:c>
      <x:c r="B109" s="14" t="str">
        <x:v>SDG 4 – Bildung</x:v>
      </x:c>
      <x:c r="C109" s="14" t="str">
        <x:v>4.4</x:v>
      </x:c>
      <x:c r="D109" s="14" t="str">
        <x:v>Digital Literacy Training</x:v>
      </x:c>
      <x:c r="E109" s="14" t="str">
        <x:v>Digital Literacy Training – LTIFR</x:v>
      </x:c>
      <x:c r="F109" s="14" t="str">
        <x:v>Arbeitsunfälle pro Mio Stunden</x:v>
      </x:c>
      <x:c r="G109" s="14" t="str">
        <x:v>Unfälle/Mio Std.</x:v>
      </x:c>
      <x:c r="H109" s="14" t="str">
        <x:v>lower_is_better</x:v>
      </x:c>
      <x:c r="I109" s="14" t="str">
        <x:v>R02</x:v>
      </x:c>
      <x:c r="J109" s="14" t="str">
        <x:v>0:+3; ≤1:+2; ≤3:0; ≤5:‑2; &gt;5:‑3</x:v>
      </x:c>
      <x:c r="K109" s="14" t="str">
        <x:v>Feste WÖk-Kalibrierung</x:v>
      </x:c>
      <x:c r="L109" s="14" t="str">
        <x:v>Arbeitskalibrierung – fachlich zu validieren</x:v>
      </x:c>
      <x:c r="M109" s="14" t="str">
        <x:v>WÖk-interne Klassenlogik</x:v>
      </x:c>
      <x:c r="N109" s="14" t="str">
        <x:v>Optional/Nein</x:v>
      </x:c>
      <x:c r="O109" s="14" t="str">
        <x:v>ESRS S1; GRI 401/403/405/406</x:v>
      </x:c>
      <x:c r="P109" s="14" t="str">
        <x:v>ESRS S1, GRI 401/403/405/406, ILO</x:v>
      </x:c>
      <x:c r="Q109" s="14" t="str">
        <x:v>Mess-, Berichts- oder Managementrahmen; Schwellen sind grundsätzlich WÖk-Kalibrierungen</x:v>
      </x:c>
      <x:c r="R109" s="14" t="str">
        <x:v>Messgrundlage belegt; Schwellenkalibrierung offen</x:v>
      </x:c>
      <x:c r="S109" s="14" t="str">
        <x:v>EU-ESRS; GRI; ISO-45001; ILO-LW; ILO-CORE</x:v>
      </x:c>
      <x:c r="T109" s="14" t="str">
        <x:v>G47 Handel; K Versicherungen; M72 F&amp;E</x:v>
      </x:c>
      <x:c r="U109" s="14" t="str">
        <x:v>Legacy / nicht explizit versioniert</x:v>
      </x:c>
      <x:c r="V109" s="51" t="str"/>
      <x:c r="W109" s="14" t="str">
        <x:v>Migration auf NACE Rev. 2.1 erforderlich</x:v>
      </x:c>
      <x:c r="X109" s="14" t="str">
        <x:v>Eigene Belegschaft/Organisation; FTE, Beschäftigtengruppe und Zeitraum</x:v>
      </x:c>
      <x:c r="Y109" s="14" t="str">
        <x:v>LTIFR = Unfälle mit Ausfallzeit / 1 Mio. Std. (ILO/GRI 403).</x:v>
      </x:c>
      <x:c r="Z109" s="14" t="str">
        <x:v>Primärdaten bevorzugt; Sekundärdaten nur transparent und versioniert; Methode und Systemgrenze dokumentieren</x:v>
      </x:c>
      <x:c r="AA109" s="14" t="str">
        <x:v>Limited Assurance; risikobasiert höhere Prüftiefe</x:v>
      </x:c>
      <x:c r="AB109" s="14" t="str">
        <x:v>Strukturell nutzbar; Schwellen fachlich zu validieren</x:v>
      </x:c>
      <x:c r="AC109" s="14" t="str">
        <x:v>Mittel</x:v>
      </x:c>
      <x:c r="AD109" s="14" t="str">
        <x:v>Vollständige fünfstufige numerische Regel.</x:v>
      </x:c>
      <x:c r="AE109" s="14" t="str">
        <x:v>v1.4</x:v>
      </x:c>
      <x:c r="AF109" s="52" t="str">
        <x:v>2026-08-16</x:v>
      </x:c>
      <x:c r="AG109" s="52"/>
    </x:row>
    <x:row r="110" ht="42" customHeight="1">
      <x:c r="A110" s="14" t="str">
        <x:v>WOK-G-119</x:v>
      </x:c>
      <x:c r="B110" s="14" t="str">
        <x:v>SDG 4 – Bildung</x:v>
      </x:c>
      <x:c r="C110" s="14" t="str">
        <x:v>4.7</x:v>
      </x:c>
      <x:c r="D110" s="14" t="str">
        <x:v>Academic Integrity</x:v>
      </x:c>
      <x:c r="E110" s="14" t="str">
        <x:v>Academic Integrity – Antikorruption</x:v>
      </x:c>
      <x:c r="F110" s="14" t="str">
        <x:v>Bestätigte Fälle/1.000 FTE</x:v>
      </x:c>
      <x:c r="G110" s="14" t="str">
        <x:v>Fälle/1.000 FTE</x:v>
      </x:c>
      <x:c r="H110" s="14" t="str">
        <x:v>lower_is_better</x:v>
      </x:c>
      <x:c r="I110" s="14" t="str">
        <x:v>R01</x:v>
      </x:c>
      <x:c r="J110" s="14" t="str">
        <x:v>0:+3; ≤0,2:+2; ≤0,5:0; ≤1:‑2; &gt;1:‑3</x:v>
      </x:c>
      <x:c r="K110" s="14" t="str">
        <x:v>Feste WÖk-Kalibrierung</x:v>
      </x:c>
      <x:c r="L110" s="14" t="str">
        <x:v>Arbeitskalibrierung – fachlich zu validieren</x:v>
      </x:c>
      <x:c r="M110" s="14" t="str">
        <x:v>WÖk-interne Klassenlogik</x:v>
      </x:c>
      <x:c r="N110" s="14" t="str">
        <x:v>Optional/Nein</x:v>
      </x:c>
      <x:c r="O110" s="14" t="str">
        <x:v>ESRS G1; GRI 205/207</x:v>
      </x:c>
      <x:c r="P110" s="14" t="str">
        <x:v>ESRS G1, GRI 205/207, OECD Anti‑Bribery</x:v>
      </x:c>
      <x:c r="Q110" s="14" t="str">
        <x:v>Mess-, Berichts- oder Managementrahmen; Schwellen sind grundsätzlich WÖk-Kalibrierungen</x:v>
      </x:c>
      <x:c r="R110" s="14" t="str">
        <x:v>Messgrundlage belegt; Schwellenkalibrierung offen</x:v>
      </x:c>
      <x:c r="S110" s="14" t="str">
        <x:v>EU-ESRS; GRI; OECD-AB</x:v>
      </x:c>
      <x:c r="T110" s="14" t="str">
        <x:v>G47 Handel; K Versicherungen; M72 F&amp;E</x:v>
      </x:c>
      <x:c r="U110" s="14" t="str">
        <x:v>Legacy / nicht explizit versioniert</x:v>
      </x:c>
      <x:c r="V110" s="51" t="str"/>
      <x:c r="W110" s="14" t="str">
        <x:v>Migration auf NACE Rev. 2.1 erforderlich</x:v>
      </x:c>
      <x:c r="X110" s="14" t="str">
        <x:v>Organisation/Governance; konsolidierter Kreis und relevante Rechtseinheiten</x:v>
      </x:c>
      <x:c r="Y110" s="14" t="str">
        <x:v>Siehe Quelle: Definition gemäß Standard (ESRS/GRI/Taxonomie/ISO).</x:v>
      </x:c>
      <x:c r="Z110" s="14" t="str">
        <x:v>Primärdaten bevorzugt; Sekundärdaten nur transparent und versioniert; Methode und Systemgrenze dokumentieren</x:v>
      </x:c>
      <x:c r="AA110" s="14" t="str">
        <x:v>Limited Assurance; risikobasiert höhere Prüftiefe</x:v>
      </x:c>
      <x:c r="AB110" s="14" t="str">
        <x:v>Strukturell nutzbar; Schwellen fachlich zu validieren</x:v>
      </x:c>
      <x:c r="AC110" s="14" t="str">
        <x:v>Mittel</x:v>
      </x:c>
      <x:c r="AD110" s="14" t="str">
        <x:v>Vollständige fünfstufige numerische Regel.</x:v>
      </x:c>
      <x:c r="AE110" s="14" t="str">
        <x:v>v1.4</x:v>
      </x:c>
      <x:c r="AF110" s="52" t="str">
        <x:v>2026-08-16</x:v>
      </x:c>
      <x:c r="AG110" s="52"/>
    </x:row>
    <x:row r="111" ht="42" customHeight="1">
      <x:c r="A111" s="14" t="str">
        <x:v>WOK-G-120</x:v>
      </x:c>
      <x:c r="B111" s="14" t="str">
        <x:v>SDG 4 – Bildung</x:v>
      </x:c>
      <x:c r="C111" s="14" t="str">
        <x:v>4.7</x:v>
      </x:c>
      <x:c r="D111" s="14" t="str">
        <x:v>Academic Integrity</x:v>
      </x:c>
      <x:c r="E111" s="14" t="str">
        <x:v>Academic Integrity – Whistleblowing</x:v>
      </x:c>
      <x:c r="F111" s="14" t="str">
        <x:v>Wirksamkeits‑Score</x:v>
      </x:c>
      <x:c r="G111" s="14" t="str">
        <x:v>0–1</x:v>
      </x:c>
      <x:c r="H111" s="14" t="str">
        <x:v>higher_is_better</x:v>
      </x:c>
      <x:c r="I111" s="14" t="str">
        <x:v>R16</x:v>
      </x:c>
      <x:c r="J111" s="14" t="str">
        <x:v>≥0,9:+3; 0,75–0,89:+2; 0,6–0,74:0; 0,4–0,59:‑2; &lt;0,4:‑3</x:v>
      </x:c>
      <x:c r="K111" s="14" t="str">
        <x:v>Feste WÖk-Kalibrierung</x:v>
      </x:c>
      <x:c r="L111" s="14" t="str">
        <x:v>Arbeitskalibrierung – fachlich zu validieren</x:v>
      </x:c>
      <x:c r="M111" s="14" t="str">
        <x:v>WÖk-interne Klassenlogik</x:v>
      </x:c>
      <x:c r="N111" s="14" t="str">
        <x:v>Optional/Nein</x:v>
      </x:c>
      <x:c r="O111" s="14" t="str">
        <x:v>ESRS G1; GRI 205/207</x:v>
      </x:c>
      <x:c r="P111" s="14" t="str">
        <x:v>ESRS G1, GRI 205/207, OECD Anti‑Bribery</x:v>
      </x:c>
      <x:c r="Q111" s="14" t="str">
        <x:v>Mess-, Berichts- oder Managementrahmen; Schwellen sind grundsätzlich WÖk-Kalibrierungen</x:v>
      </x:c>
      <x:c r="R111" s="14" t="str">
        <x:v>Messgrundlage belegt; Schwellenkalibrierung offen</x:v>
      </x:c>
      <x:c r="S111" s="14" t="str">
        <x:v>EU-ESRS; GRI; OECD-AB</x:v>
      </x:c>
      <x:c r="T111" s="14" t="str">
        <x:v>G47 Handel; K Versicherungen; M72 F&amp;E</x:v>
      </x:c>
      <x:c r="U111" s="14" t="str">
        <x:v>Legacy / nicht explizit versioniert</x:v>
      </x:c>
      <x:c r="V111" s="51" t="str"/>
      <x:c r="W111" s="14" t="str">
        <x:v>Migration auf NACE Rev. 2.1 erforderlich</x:v>
      </x:c>
      <x:c r="X111" s="14" t="str">
        <x:v>Organisation/Governance; konsolidierter Kreis und relevante Rechtseinheiten</x:v>
      </x:c>
      <x:c r="Y111" s="14" t="str">
        <x:v>Siehe Quelle: Definition gemäß Standard (ESRS/GRI/Taxonomie/ISO).</x:v>
      </x:c>
      <x:c r="Z111" s="14" t="str">
        <x:v>Primärdaten bevorzugt; Sekundärdaten nur transparent und versioniert; Methode und Systemgrenze dokumentieren</x:v>
      </x:c>
      <x:c r="AA111" s="14" t="str">
        <x:v>Limited Assurance; risikobasiert höhere Prüftiefe</x:v>
      </x:c>
      <x:c r="AB111" s="14" t="str">
        <x:v>Strukturell nutzbar; Schwellen fachlich zu validieren</x:v>
      </x:c>
      <x:c r="AC111" s="14" t="str">
        <x:v>Mittel</x:v>
      </x:c>
      <x:c r="AD111" s="14" t="str">
        <x:v>Vollständige fünfstufige numerische Regel.</x:v>
      </x:c>
      <x:c r="AE111" s="14" t="str">
        <x:v>v1.4</x:v>
      </x:c>
      <x:c r="AF111" s="52" t="str">
        <x:v>2026-08-16</x:v>
      </x:c>
      <x:c r="AG111" s="52"/>
    </x:row>
    <x:row r="112" ht="42" customHeight="1">
      <x:c r="A112" s="14" t="str">
        <x:v>WOK-G-121</x:v>
      </x:c>
      <x:c r="B112" s="14" t="str">
        <x:v>SDG 4 – Bildung</x:v>
      </x:c>
      <x:c r="C112" s="14" t="str">
        <x:v>4.7</x:v>
      </x:c>
      <x:c r="D112" s="14" t="str">
        <x:v>Academic Integrity</x:v>
      </x:c>
      <x:c r="E112" s="14" t="str">
        <x:v>Academic Integrity – Steuertransparenz</x:v>
      </x:c>
      <x:c r="F112" s="14" t="str">
        <x:v>CbCR‑Offenlegung</x:v>
      </x:c>
      <x:c r="G112" s="14" t="str">
        <x:v>0–1</x:v>
      </x:c>
      <x:c r="H112" s="14" t="str">
        <x:v>higher_is_better</x:v>
      </x:c>
      <x:c r="I112" s="14" t="str">
        <x:v>R08</x:v>
      </x:c>
      <x:c r="J112" s="14" t="str">
        <x:v>vollständig:+3; teilweise:+2; minimal:0; schlecht:‑2</x:v>
      </x:c>
      <x:c r="K112" s="14" t="str">
        <x:v>Qualitativ</x:v>
      </x:c>
      <x:c r="L112" s="14" t="str">
        <x:v>Assurance und Kriterienkatalog erforderlich</x:v>
      </x:c>
      <x:c r="M112" s="14" t="str">
        <x:v>WÖk-interne Kategorien</x:v>
      </x:c>
      <x:c r="N112" s="14" t="str">
        <x:v>Optional/Nein</x:v>
      </x:c>
      <x:c r="O112" s="14" t="str">
        <x:v>ESRS G1; GRI 205/207</x:v>
      </x:c>
      <x:c r="P112" s="14" t="str">
        <x:v>ESRS G1, GRI 205/207, OECD Anti‑Bribery</x:v>
      </x:c>
      <x:c r="Q112" s="14" t="str">
        <x:v>Mess-, Berichts- oder Managementrahmen; Schwellen sind grundsätzlich WÖk-Kalibrierungen</x:v>
      </x:c>
      <x:c r="R112" s="14" t="str">
        <x:v>Messgrundlage belegt; Schwellenkalibrierung offen</x:v>
      </x:c>
      <x:c r="S112" s="14" t="str">
        <x:v>EU-ESRS; GRI; OECD-AB</x:v>
      </x:c>
      <x:c r="T112" s="14" t="str">
        <x:v>G47 Handel; K Versicherungen; M72 F&amp;E</x:v>
      </x:c>
      <x:c r="U112" s="14" t="str">
        <x:v>Legacy / nicht explizit versioniert</x:v>
      </x:c>
      <x:c r="V112" s="51" t="str"/>
      <x:c r="W112" s="14" t="str">
        <x:v>Migration auf NACE Rev. 2.1 erforderlich</x:v>
      </x:c>
      <x:c r="X112" s="14" t="str">
        <x:v>Organisation/Governance; konsolidierter Kreis und relevante Rechtseinheiten</x:v>
      </x:c>
      <x:c r="Y112" s="14" t="str">
        <x:v>Siehe Quelle: Definition gemäß Standard (ESRS/GRI/Taxonomie/ISO).</x:v>
      </x:c>
      <x:c r="Z112" s="14" t="str">
        <x:v>Dokumentierter Kriterienkatalog; nachvollziehbare Evidenz; DQR A/B bevorzugt</x:v>
      </x:c>
      <x:c r="AA112" s="14" t="str">
        <x:v>Unabhängige Fachprüfung/Limited Assurance; bei roten Linien Reasonable Assurance</x:v>
      </x:c>
      <x:c r="AB112" s="14" t="str">
        <x:v>Prüfung/Parametrisierung erforderlich</x:v>
      </x:c>
      <x:c r="AC112" s="14" t="str">
        <x:v>Hoch</x:v>
      </x:c>
      <x:c r="AD112" s="14" t="str">
        <x:v>Die Kategorie −3 fehlt; Vollständigkeit und Wirksamkeit sind feldspezifisch zu definieren.</x:v>
      </x:c>
      <x:c r="AE112" s="14" t="str">
        <x:v>v1.4</x:v>
      </x:c>
      <x:c r="AF112" s="52" t="str">
        <x:v>2026-08-16</x:v>
      </x:c>
      <x:c r="AG112" s="52"/>
    </x:row>
    <x:row r="113" ht="42" customHeight="1">
      <x:c r="A113" s="14" t="str">
        <x:v>WOK-S-134</x:v>
      </x:c>
      <x:c r="B113" s="14" t="str">
        <x:v>SDG 5 – Gleichstellung</x:v>
      </x:c>
      <x:c r="C113" s="14" t="str">
        <x:v>5.1</x:v>
      </x:c>
      <x:c r="D113" s="14" t="str">
        <x:v>Gender Pay Gap</x:v>
      </x:c>
      <x:c r="E113" s="14" t="str">
        <x:v>Gender Pay Gap – Gender Pay Gap</x:v>
      </x:c>
      <x:c r="F113" s="14" t="str">
        <x:v>Bereinigter Lohnunterschied</x:v>
      </x:c>
      <x:c r="G113" s="14" t="str">
        <x:v>%</x:v>
      </x:c>
      <x:c r="H113" s="14" t="str">
        <x:v>lower_is_better</x:v>
      </x:c>
      <x:c r="I113" s="14" t="str">
        <x:v>R11</x:v>
      </x:c>
      <x:c r="J113" s="14" t="str">
        <x:v>≤2:+3; ≤5:+2; ≤8:0; &gt;8:‑2/‑3</x:v>
      </x:c>
      <x:c r="K113" s="14" t="str">
        <x:v>Unvollständige Grenzauflösung</x:v>
      </x:c>
      <x:c r="L113" s="14" t="str">
        <x:v>Grenze zwischen −2 und −3 offen</x:v>
      </x:c>
      <x:c r="M113" s="14" t="str">
        <x:v>WÖk-Arbeitskalibrierung</x:v>
      </x:c>
      <x:c r="N113" s="14" t="str">
        <x:v>Optional/Nein</x:v>
      </x:c>
      <x:c r="O113" s="14" t="str">
        <x:v>ESRS S1; GRI 401/403/405/406</x:v>
      </x:c>
      <x:c r="P113" s="14" t="str">
        <x:v>ESRS S1, GRI 401/403/405/406, ILO</x:v>
      </x:c>
      <x:c r="Q113" s="14" t="str">
        <x:v>Mess-, Berichts- oder Managementrahmen; Schwellen sind grundsätzlich WÖk-Kalibrierungen</x:v>
      </x:c>
      <x:c r="R113" s="14" t="str">
        <x:v>Messgrundlage belegt; Schwellenkalibrierung offen</x:v>
      </x:c>
      <x:c r="S113" s="14" t="str">
        <x:v>EU-ESRS; GRI; ISO-45001; ILO-LW; ILO-CORE</x:v>
      </x:c>
      <x:c r="T113" s="14" t="str">
        <x:v>G47 Handel; K Versicherungen; M72 F&amp;E</x:v>
      </x:c>
      <x:c r="U113" s="14" t="str">
        <x:v>Legacy / nicht explizit versioniert</x:v>
      </x:c>
      <x:c r="V113" s="51" t="str"/>
      <x:c r="W113" s="14" t="str">
        <x:v>Migration auf NACE Rev. 2.1 erforderlich</x:v>
      </x:c>
      <x:c r="X113" s="14" t="str">
        <x:v>Eigene Belegschaft/Organisation; FTE, Beschäftigtengruppe und Zeitraum</x:v>
      </x:c>
      <x:c r="Y113" s="14" t="str">
        <x:v>Bereinigter Gender Pay Gap gem. ESRS S1 / GRI 405.</x:v>
      </x:c>
      <x:c r="Z113" s="14" t="str">
        <x:v>Primärdaten oder qualitätsgesicherte Sekundärdaten; Methode, Zeitraum und Systemgrenze dokumentieren</x:v>
      </x:c>
      <x:c r="AA113" s="14" t="str">
        <x:v>Limited Assurance; bei materieller Steuerwirkung risikobasiert vertiefen</x:v>
      </x:c>
      <x:c r="AB113" s="14" t="str">
        <x:v>Prüfung/Parametrisierung erforderlich</x:v>
      </x:c>
      <x:c r="AC113" s="14" t="str">
        <x:v>Hoch</x:v>
      </x:c>
      <x:c r="AD113" s="14" t="str">
        <x:v>Werte &gt;8 werden bis zur Fachentscheidung konservativ mit −2 bewertet; manuelle Verschärfung über Assurance möglich.</x:v>
      </x:c>
      <x:c r="AE113" s="14" t="str">
        <x:v>v1.4</x:v>
      </x:c>
      <x:c r="AF113" s="52" t="str">
        <x:v>2026-08-16</x:v>
      </x:c>
      <x:c r="AG113" s="52"/>
    </x:row>
    <x:row r="114" ht="42" customHeight="1">
      <x:c r="A114" s="14" t="str">
        <x:v>WOK-S-135</x:v>
      </x:c>
      <x:c r="B114" s="14" t="str">
        <x:v>SDG 5 – Gleichstellung</x:v>
      </x:c>
      <x:c r="C114" s="14" t="str">
        <x:v>5.1</x:v>
      </x:c>
      <x:c r="D114" s="14" t="str">
        <x:v>Gender Pay Gap</x:v>
      </x:c>
      <x:c r="E114" s="14" t="str">
        <x:v>Gender Pay Gap – Führung Diversität</x:v>
      </x:c>
      <x:c r="F114" s="14" t="str">
        <x:v>Frauenanteil Leitungsorgane</x:v>
      </x:c>
      <x:c r="G114" s="14" t="str">
        <x:v>%</x:v>
      </x:c>
      <x:c r="H114" s="14" t="str">
        <x:v>higher_is_better</x:v>
      </x:c>
      <x:c r="I114" s="14" t="str">
        <x:v>R18</x:v>
      </x:c>
      <x:c r="J114" s="14" t="str">
        <x:v>≥50:+3; ≥40:+2; ≥30:0; &lt;30:‑2/‑3</x:v>
      </x:c>
      <x:c r="K114" s="14" t="str">
        <x:v>Unvollständige Grenzauflösung</x:v>
      </x:c>
      <x:c r="L114" s="14" t="str">
        <x:v>Grenze zwischen −2 und −3 offen</x:v>
      </x:c>
      <x:c r="M114" s="14" t="str">
        <x:v>WÖk-Arbeitskalibrierung</x:v>
      </x:c>
      <x:c r="N114" s="14" t="str">
        <x:v>Optional/Nein</x:v>
      </x:c>
      <x:c r="O114" s="14" t="str">
        <x:v>ESRS G1; GRI 205/207</x:v>
      </x:c>
      <x:c r="P114" s="14" t="str">
        <x:v>ESRS G1; GRI 205/207</x:v>
      </x:c>
      <x:c r="Q114" s="14" t="str">
        <x:v>Mess-, Berichts- oder Managementrahmen; Schwellen sind grundsätzlich WÖk-Kalibrierungen</x:v>
      </x:c>
      <x:c r="R114" s="14" t="str">
        <x:v>Messgrundlage belegt; Schwellenkalibrierung offen</x:v>
      </x:c>
      <x:c r="S114" s="14" t="str">
        <x:v>EU-ESRS; GRI; OECD-AB</x:v>
      </x:c>
      <x:c r="T114" s="14" t="str">
        <x:v>G47 Handel; K Versicherungen; M72 F&amp;E</x:v>
      </x:c>
      <x:c r="U114" s="14" t="str">
        <x:v>Legacy / nicht explizit versioniert</x:v>
      </x:c>
      <x:c r="V114" s="51" t="str"/>
      <x:c r="W114" s="14" t="str">
        <x:v>Migration auf NACE Rev. 2.1 erforderlich</x:v>
      </x:c>
      <x:c r="X114" s="14" t="str">
        <x:v>Eigene Belegschaft/Organisation; FTE, Beschäftigtengruppe und Zeitraum</x:v>
      </x:c>
      <x:c r="Y114" s="14" t="str">
        <x:v>Bereinigter Gender Pay Gap gem. ESRS S1 / GRI 405.</x:v>
      </x:c>
      <x:c r="Z114" s="14" t="str">
        <x:v>Primärdaten oder qualitätsgesicherte Sekundärdaten; Methode, Zeitraum und Systemgrenze dokumentieren</x:v>
      </x:c>
      <x:c r="AA114" s="14" t="str">
        <x:v>Limited Assurance; bei materieller Steuerwirkung risikobasiert vertiefen</x:v>
      </x:c>
      <x:c r="AB114" s="14" t="str">
        <x:v>Prüfung/Parametrisierung erforderlich</x:v>
      </x:c>
      <x:c r="AC114" s="14" t="str">
        <x:v>Hoch</x:v>
      </x:c>
      <x:c r="AD114" s="14" t="str">
        <x:v>Werte &lt;30 werden bis zur Fachentscheidung mit −2 bewertet; manuelle Verschärfung über Assurance möglich.</x:v>
      </x:c>
      <x:c r="AE114" s="14" t="str">
        <x:v>v1.4</x:v>
      </x:c>
      <x:c r="AF114" s="52" t="str">
        <x:v>2026-08-16</x:v>
      </x:c>
      <x:c r="AG114" s="52"/>
    </x:row>
    <x:row r="115" ht="42" customHeight="1">
      <x:c r="A115" s="14" t="str">
        <x:v>WOK-S-136</x:v>
      </x:c>
      <x:c r="B115" s="14" t="str">
        <x:v>SDG 5 – Gleichstellung</x:v>
      </x:c>
      <x:c r="C115" s="14" t="str">
        <x:v>5.1</x:v>
      </x:c>
      <x:c r="D115" s="14" t="str">
        <x:v>Gender Pay Gap</x:v>
      </x:c>
      <x:c r="E115" s="14" t="str">
        <x:v>Gender Pay Gap – Inklusion</x:v>
      </x:c>
      <x:c r="F115" s="14" t="str">
        <x:v>Beschäftigte mit Behinderung</x:v>
      </x:c>
      <x:c r="G115" s="14" t="str">
        <x:v>%</x:v>
      </x:c>
      <x:c r="H115" s="14" t="str">
        <x:v>higher_is_better</x:v>
      </x:c>
      <x:c r="I115" s="14" t="str">
        <x:v>R21</x:v>
      </x:c>
      <x:c r="J115" s="14" t="str">
        <x:v>≥6:+3; 4–5,9:+2; 2–3,9:0; 1–1,9:‑2; &lt;1:‑3</x:v>
      </x:c>
      <x:c r="K115" s="14" t="str">
        <x:v>Feste WÖk-Kalibrierung</x:v>
      </x:c>
      <x:c r="L115" s="14" t="str">
        <x:v>Arbeitskalibrierung – fachlich zu validieren</x:v>
      </x:c>
      <x:c r="M115" s="14" t="str">
        <x:v>WÖk-interne Klassenlogik</x:v>
      </x:c>
      <x:c r="N115" s="14" t="str">
        <x:v>Optional/Nein</x:v>
      </x:c>
      <x:c r="O115" s="14" t="str">
        <x:v>ESRS S1; GRI 401/403/405/406</x:v>
      </x:c>
      <x:c r="P115" s="14" t="str">
        <x:v>ESRS S1, GRI 401/403/405/406, ILO</x:v>
      </x:c>
      <x:c r="Q115" s="14" t="str">
        <x:v>Mess-, Berichts- oder Managementrahmen; Schwellen sind grundsätzlich WÖk-Kalibrierungen</x:v>
      </x:c>
      <x:c r="R115" s="14" t="str">
        <x:v>Messgrundlage belegt; Schwellenkalibrierung offen</x:v>
      </x:c>
      <x:c r="S115" s="14" t="str">
        <x:v>EU-ESRS; GRI; ISO-45001; ILO-LW; ILO-CORE</x:v>
      </x:c>
      <x:c r="T115" s="14" t="str">
        <x:v>G47 Handel; K Versicherungen; M72 F&amp;E</x:v>
      </x:c>
      <x:c r="U115" s="14" t="str">
        <x:v>Legacy / nicht explizit versioniert</x:v>
      </x:c>
      <x:c r="V115" s="51" t="str"/>
      <x:c r="W115" s="14" t="str">
        <x:v>Migration auf NACE Rev. 2.1 erforderlich</x:v>
      </x:c>
      <x:c r="X115" s="14" t="str">
        <x:v>Eigene Belegschaft/Organisation; FTE, Beschäftigtengruppe und Zeitraum</x:v>
      </x:c>
      <x:c r="Y115" s="14" t="str">
        <x:v>Bereinigter Gender Pay Gap gem. ESRS S1 / GRI 405.</x:v>
      </x:c>
      <x:c r="Z115" s="14" t="str">
        <x:v>Primärdaten bevorzugt; Sekundärdaten nur transparent und versioniert; Methode und Systemgrenze dokumentieren</x:v>
      </x:c>
      <x:c r="AA115" s="14" t="str">
        <x:v>Limited Assurance; risikobasiert höhere Prüftiefe</x:v>
      </x:c>
      <x:c r="AB115" s="14" t="str">
        <x:v>Strukturell nutzbar; Schwellen fachlich zu validieren</x:v>
      </x:c>
      <x:c r="AC115" s="14" t="str">
        <x:v>Mittel</x:v>
      </x:c>
      <x:c r="AD115" s="14" t="str">
        <x:v>Vollständige fünfstufige numerische Regel.</x:v>
      </x:c>
      <x:c r="AE115" s="14" t="str">
        <x:v>v1.4</x:v>
      </x:c>
      <x:c r="AF115" s="52" t="str">
        <x:v>2026-08-16</x:v>
      </x:c>
      <x:c r="AG115" s="52"/>
    </x:row>
    <x:row r="116" ht="42" customHeight="1">
      <x:c r="A116" s="14" t="str">
        <x:v>WOK-G-122</x:v>
      </x:c>
      <x:c r="B116" s="14" t="str">
        <x:v>SDG 5 – Gleichstellung</x:v>
      </x:c>
      <x:c r="C116" s="14" t="str">
        <x:v>5.5</x:v>
      </x:c>
      <x:c r="D116" s="14" t="str">
        <x:v>Diversität in Führung</x:v>
      </x:c>
      <x:c r="E116" s="14" t="str">
        <x:v>Diversität in Führung – Gender Pay Gap</x:v>
      </x:c>
      <x:c r="F116" s="14" t="str">
        <x:v>Bereinigter Lohnunterschied</x:v>
      </x:c>
      <x:c r="G116" s="14" t="str">
        <x:v>%</x:v>
      </x:c>
      <x:c r="H116" s="14" t="str">
        <x:v>lower_is_better</x:v>
      </x:c>
      <x:c r="I116" s="14" t="str">
        <x:v>R11</x:v>
      </x:c>
      <x:c r="J116" s="14" t="str">
        <x:v>≤2:+3; ≤5:+2; ≤8:0; &gt;8:‑2/‑3</x:v>
      </x:c>
      <x:c r="K116" s="14" t="str">
        <x:v>Unvollständige Grenzauflösung</x:v>
      </x:c>
      <x:c r="L116" s="14" t="str">
        <x:v>Grenze zwischen −2 und −3 offen</x:v>
      </x:c>
      <x:c r="M116" s="14" t="str">
        <x:v>WÖk-Arbeitskalibrierung</x:v>
      </x:c>
      <x:c r="N116" s="14" t="str">
        <x:v>Optional/Nein</x:v>
      </x:c>
      <x:c r="O116" s="14" t="str">
        <x:v>ESRS S1; GRI 401/403/405/406</x:v>
      </x:c>
      <x:c r="P116" s="14" t="str">
        <x:v>ESRS S1, GRI 401/403/405/406, ILO</x:v>
      </x:c>
      <x:c r="Q116" s="14" t="str">
        <x:v>Mess-, Berichts- oder Managementrahmen; Schwellen sind grundsätzlich WÖk-Kalibrierungen</x:v>
      </x:c>
      <x:c r="R116" s="14" t="str">
        <x:v>Messgrundlage belegt; Schwellenkalibrierung offen</x:v>
      </x:c>
      <x:c r="S116" s="14" t="str">
        <x:v>EU-ESRS; GRI; ISO-45001; ILO-LW; ILO-CORE</x:v>
      </x:c>
      <x:c r="T116" s="14" t="str">
        <x:v>G47 Handel; K Versicherungen; M72 F&amp;E</x:v>
      </x:c>
      <x:c r="U116" s="14" t="str">
        <x:v>Legacy / nicht explizit versioniert</x:v>
      </x:c>
      <x:c r="V116" s="51" t="str"/>
      <x:c r="W116" s="14" t="str">
        <x:v>Migration auf NACE Rev. 2.1 erforderlich</x:v>
      </x:c>
      <x:c r="X116" s="14" t="str">
        <x:v>Organisation/Governance; konsolidierter Kreis und relevante Rechtseinheiten</x:v>
      </x:c>
      <x:c r="Y116" s="14" t="str">
        <x:v>Bereinigter Gender Pay Gap gem. ESRS S1 / GRI 405.</x:v>
      </x:c>
      <x:c r="Z116" s="14" t="str">
        <x:v>Primärdaten oder qualitätsgesicherte Sekundärdaten; Methode, Zeitraum und Systemgrenze dokumentieren</x:v>
      </x:c>
      <x:c r="AA116" s="14" t="str">
        <x:v>Limited Assurance; bei materieller Steuerwirkung risikobasiert vertiefen</x:v>
      </x:c>
      <x:c r="AB116" s="14" t="str">
        <x:v>Prüfung/Parametrisierung erforderlich</x:v>
      </x:c>
      <x:c r="AC116" s="14" t="str">
        <x:v>Hoch</x:v>
      </x:c>
      <x:c r="AD116" s="14" t="str">
        <x:v>Werte &gt;8 werden bis zur Fachentscheidung konservativ mit −2 bewertet; manuelle Verschärfung über Assurance möglich.</x:v>
      </x:c>
      <x:c r="AE116" s="14" t="str">
        <x:v>v1.4</x:v>
      </x:c>
      <x:c r="AF116" s="52" t="str">
        <x:v>2026-08-16</x:v>
      </x:c>
      <x:c r="AG116" s="52"/>
    </x:row>
    <x:row r="117" ht="42" customHeight="1">
      <x:c r="A117" s="14" t="str">
        <x:v>WOK-G-123</x:v>
      </x:c>
      <x:c r="B117" s="14" t="str">
        <x:v>SDG 5 – Gleichstellung</x:v>
      </x:c>
      <x:c r="C117" s="14" t="str">
        <x:v>5.5</x:v>
      </x:c>
      <x:c r="D117" s="14" t="str">
        <x:v>Diversität in Führung</x:v>
      </x:c>
      <x:c r="E117" s="14" t="str">
        <x:v>Diversität in Führung – Führung Diversität</x:v>
      </x:c>
      <x:c r="F117" s="14" t="str">
        <x:v>Frauenanteil Leitungsorgane</x:v>
      </x:c>
      <x:c r="G117" s="14" t="str">
        <x:v>%</x:v>
      </x:c>
      <x:c r="H117" s="14" t="str">
        <x:v>higher_is_better</x:v>
      </x:c>
      <x:c r="I117" s="14" t="str">
        <x:v>R18</x:v>
      </x:c>
      <x:c r="J117" s="14" t="str">
        <x:v>≥50:+3; ≥40:+2; ≥30:0; &lt;30:‑2/‑3</x:v>
      </x:c>
      <x:c r="K117" s="14" t="str">
        <x:v>Unvollständige Grenzauflösung</x:v>
      </x:c>
      <x:c r="L117" s="14" t="str">
        <x:v>Grenze zwischen −2 und −3 offen</x:v>
      </x:c>
      <x:c r="M117" s="14" t="str">
        <x:v>WÖk-Arbeitskalibrierung</x:v>
      </x:c>
      <x:c r="N117" s="14" t="str">
        <x:v>Optional/Nein</x:v>
      </x:c>
      <x:c r="O117" s="14" t="str">
        <x:v>ESRS G1; GRI 205/207</x:v>
      </x:c>
      <x:c r="P117" s="14" t="str">
        <x:v>ESRS G1; GRI 205/207</x:v>
      </x:c>
      <x:c r="Q117" s="14" t="str">
        <x:v>Mess-, Berichts- oder Managementrahmen; Schwellen sind grundsätzlich WÖk-Kalibrierungen</x:v>
      </x:c>
      <x:c r="R117" s="14" t="str">
        <x:v>Messgrundlage belegt; Schwellenkalibrierung offen</x:v>
      </x:c>
      <x:c r="S117" s="14" t="str">
        <x:v>EU-ESRS; GRI; OECD-AB</x:v>
      </x:c>
      <x:c r="T117" s="14" t="str">
        <x:v>G47 Handel; K Versicherungen; M72 F&amp;E</x:v>
      </x:c>
      <x:c r="U117" s="14" t="str">
        <x:v>Legacy / nicht explizit versioniert</x:v>
      </x:c>
      <x:c r="V117" s="51" t="str"/>
      <x:c r="W117" s="14" t="str">
        <x:v>Migration auf NACE Rev. 2.1 erforderlich</x:v>
      </x:c>
      <x:c r="X117" s="14" t="str">
        <x:v>Organisation/Governance; konsolidierter Kreis und relevante Rechtseinheiten</x:v>
      </x:c>
      <x:c r="Y117" s="14" t="str">
        <x:v>Quote = Zähler / Nenner gemäß Quelle; in %.</x:v>
      </x:c>
      <x:c r="Z117" s="14" t="str">
        <x:v>Primärdaten oder qualitätsgesicherte Sekundärdaten; Methode, Zeitraum und Systemgrenze dokumentieren</x:v>
      </x:c>
      <x:c r="AA117" s="14" t="str">
        <x:v>Limited Assurance; bei materieller Steuerwirkung risikobasiert vertiefen</x:v>
      </x:c>
      <x:c r="AB117" s="14" t="str">
        <x:v>Prüfung/Parametrisierung erforderlich</x:v>
      </x:c>
      <x:c r="AC117" s="14" t="str">
        <x:v>Hoch</x:v>
      </x:c>
      <x:c r="AD117" s="14" t="str">
        <x:v>Werte &lt;30 werden bis zur Fachentscheidung mit −2 bewertet; manuelle Verschärfung über Assurance möglich.</x:v>
      </x:c>
      <x:c r="AE117" s="14" t="str">
        <x:v>v1.4</x:v>
      </x:c>
      <x:c r="AF117" s="52" t="str">
        <x:v>2026-08-16</x:v>
      </x:c>
      <x:c r="AG117" s="52"/>
    </x:row>
    <x:row r="118" ht="42" customHeight="1">
      <x:c r="A118" s="14" t="str">
        <x:v>WOK-G-124</x:v>
      </x:c>
      <x:c r="B118" s="14" t="str">
        <x:v>SDG 5 – Gleichstellung</x:v>
      </x:c>
      <x:c r="C118" s="14" t="str">
        <x:v>5.5</x:v>
      </x:c>
      <x:c r="D118" s="14" t="str">
        <x:v>Diversität in Führung</x:v>
      </x:c>
      <x:c r="E118" s="14" t="str">
        <x:v>Diversität in Führung – Inklusion</x:v>
      </x:c>
      <x:c r="F118" s="14" t="str">
        <x:v>Beschäftigte mit Behinderung</x:v>
      </x:c>
      <x:c r="G118" s="14" t="str">
        <x:v>%</x:v>
      </x:c>
      <x:c r="H118" s="14" t="str">
        <x:v>higher_is_better</x:v>
      </x:c>
      <x:c r="I118" s="14" t="str">
        <x:v>R21</x:v>
      </x:c>
      <x:c r="J118" s="14" t="str">
        <x:v>≥6:+3; 4–5,9:+2; 2–3,9:0; 1–1,9:‑2; &lt;1:‑3</x:v>
      </x:c>
      <x:c r="K118" s="14" t="str">
        <x:v>Feste WÖk-Kalibrierung</x:v>
      </x:c>
      <x:c r="L118" s="14" t="str">
        <x:v>Arbeitskalibrierung – fachlich zu validieren</x:v>
      </x:c>
      <x:c r="M118" s="14" t="str">
        <x:v>WÖk-interne Klassenlogik</x:v>
      </x:c>
      <x:c r="N118" s="14" t="str">
        <x:v>Optional/Nein</x:v>
      </x:c>
      <x:c r="O118" s="14" t="str">
        <x:v>ESRS S1; GRI 401/403/405/406</x:v>
      </x:c>
      <x:c r="P118" s="14" t="str">
        <x:v>ESRS S1, GRI 401/403/405/406, ILO</x:v>
      </x:c>
      <x:c r="Q118" s="14" t="str">
        <x:v>Mess-, Berichts- oder Managementrahmen; Schwellen sind grundsätzlich WÖk-Kalibrierungen</x:v>
      </x:c>
      <x:c r="R118" s="14" t="str">
        <x:v>Messgrundlage belegt; Schwellenkalibrierung offen</x:v>
      </x:c>
      <x:c r="S118" s="14" t="str">
        <x:v>EU-ESRS; GRI; ISO-45001; ILO-LW; ILO-CORE</x:v>
      </x:c>
      <x:c r="T118" s="14" t="str">
        <x:v>G47 Handel; K Versicherungen; M72 F&amp;E</x:v>
      </x:c>
      <x:c r="U118" s="14" t="str">
        <x:v>Legacy / nicht explizit versioniert</x:v>
      </x:c>
      <x:c r="V118" s="51" t="str"/>
      <x:c r="W118" s="14" t="str">
        <x:v>Migration auf NACE Rev. 2.1 erforderlich</x:v>
      </x:c>
      <x:c r="X118" s="14" t="str">
        <x:v>Organisation/Governance; konsolidierter Kreis und relevante Rechtseinheiten</x:v>
      </x:c>
      <x:c r="Y118" s="14" t="str">
        <x:v>Quote = Zähler / Nenner gemäß Quelle; in %.</x:v>
      </x:c>
      <x:c r="Z118" s="14" t="str">
        <x:v>Primärdaten bevorzugt; Sekundärdaten nur transparent und versioniert; Methode und Systemgrenze dokumentieren</x:v>
      </x:c>
      <x:c r="AA118" s="14" t="str">
        <x:v>Limited Assurance; risikobasiert höhere Prüftiefe</x:v>
      </x:c>
      <x:c r="AB118" s="14" t="str">
        <x:v>Strukturell nutzbar; Schwellen fachlich zu validieren</x:v>
      </x:c>
      <x:c r="AC118" s="14" t="str">
        <x:v>Mittel</x:v>
      </x:c>
      <x:c r="AD118" s="14" t="str">
        <x:v>Vollständige fünfstufige numerische Regel.</x:v>
      </x:c>
      <x:c r="AE118" s="14" t="str">
        <x:v>v1.4</x:v>
      </x:c>
      <x:c r="AF118" s="52" t="str">
        <x:v>2026-08-16</x:v>
      </x:c>
      <x:c r="AG118" s="52"/>
    </x:row>
    <x:row r="119" ht="42" customHeight="1">
      <x:c r="A119" s="14" t="str">
        <x:v>WOK-S-137</x:v>
      </x:c>
      <x:c r="B119" s="14" t="str">
        <x:v>SDG 5 – Gleichstellung</x:v>
      </x:c>
      <x:c r="C119" s="14" t="str">
        <x:v>5.2</x:v>
      </x:c>
      <x:c r="D119" s="14" t="str">
        <x:v>Antidiskriminierung &amp; Fälle</x:v>
      </x:c>
      <x:c r="E119" s="14" t="str">
        <x:v>Antidiskriminierung &amp; Fälle – Gender Pay Gap</x:v>
      </x:c>
      <x:c r="F119" s="14" t="str">
        <x:v>Bereinigter Lohnunterschied</x:v>
      </x:c>
      <x:c r="G119" s="14" t="str">
        <x:v>%</x:v>
      </x:c>
      <x:c r="H119" s="14" t="str">
        <x:v>lower_is_better</x:v>
      </x:c>
      <x:c r="I119" s="14" t="str">
        <x:v>R11</x:v>
      </x:c>
      <x:c r="J119" s="14" t="str">
        <x:v>≤2:+3; ≤5:+2; ≤8:0; &gt;8:‑2/‑3</x:v>
      </x:c>
      <x:c r="K119" s="14" t="str">
        <x:v>Unvollständige Grenzauflösung</x:v>
      </x:c>
      <x:c r="L119" s="14" t="str">
        <x:v>Grenze zwischen −2 und −3 offen</x:v>
      </x:c>
      <x:c r="M119" s="14" t="str">
        <x:v>WÖk-Arbeitskalibrierung</x:v>
      </x:c>
      <x:c r="N119" s="14" t="str">
        <x:v>Optional/Nein</x:v>
      </x:c>
      <x:c r="O119" s="14" t="str">
        <x:v>ESRS S1; GRI 401/403/405/406</x:v>
      </x:c>
      <x:c r="P119" s="14" t="str">
        <x:v>ESRS S1, GRI 401/403/405/406, ILO</x:v>
      </x:c>
      <x:c r="Q119" s="14" t="str">
        <x:v>Mess-, Berichts- oder Managementrahmen; Schwellen sind grundsätzlich WÖk-Kalibrierungen</x:v>
      </x:c>
      <x:c r="R119" s="14" t="str">
        <x:v>Messgrundlage belegt; Schwellenkalibrierung offen</x:v>
      </x:c>
      <x:c r="S119" s="14" t="str">
        <x:v>EU-ESRS; GRI; ISO-45001; ILO-LW; ILO-CORE</x:v>
      </x:c>
      <x:c r="T119" s="14" t="str">
        <x:v>G47 Handel; K Versicherungen; M72 F&amp;E</x:v>
      </x:c>
      <x:c r="U119" s="14" t="str">
        <x:v>Legacy / nicht explizit versioniert</x:v>
      </x:c>
      <x:c r="V119" s="51" t="str"/>
      <x:c r="W119" s="14" t="str">
        <x:v>Migration auf NACE Rev. 2.1 erforderlich</x:v>
      </x:c>
      <x:c r="X119" s="14" t="str">
        <x:v>Eigene Belegschaft/Organisation; FTE, Beschäftigtengruppe und Zeitraum</x:v>
      </x:c>
      <x:c r="Y119" s="14" t="str">
        <x:v>Bereinigter Gender Pay Gap gem. ESRS S1 / GRI 405.</x:v>
      </x:c>
      <x:c r="Z119" s="14" t="str">
        <x:v>Primärdaten oder qualitätsgesicherte Sekundärdaten; Methode, Zeitraum und Systemgrenze dokumentieren</x:v>
      </x:c>
      <x:c r="AA119" s="14" t="str">
        <x:v>Limited Assurance; bei materieller Steuerwirkung risikobasiert vertiefen</x:v>
      </x:c>
      <x:c r="AB119" s="14" t="str">
        <x:v>Prüfung/Parametrisierung erforderlich</x:v>
      </x:c>
      <x:c r="AC119" s="14" t="str">
        <x:v>Hoch</x:v>
      </x:c>
      <x:c r="AD119" s="14" t="str">
        <x:v>Werte &gt;8 werden bis zur Fachentscheidung konservativ mit −2 bewertet; manuelle Verschärfung über Assurance möglich.</x:v>
      </x:c>
      <x:c r="AE119" s="14" t="str">
        <x:v>v1.4</x:v>
      </x:c>
      <x:c r="AF119" s="52" t="str">
        <x:v>2026-08-16</x:v>
      </x:c>
      <x:c r="AG119" s="52"/>
    </x:row>
    <x:row r="120" ht="42" customHeight="1">
      <x:c r="A120" s="14" t="str">
        <x:v>WOK-S-138</x:v>
      </x:c>
      <x:c r="B120" s="14" t="str">
        <x:v>SDG 5 – Gleichstellung</x:v>
      </x:c>
      <x:c r="C120" s="14" t="str">
        <x:v>5.2</x:v>
      </x:c>
      <x:c r="D120" s="14" t="str">
        <x:v>Antidiskriminierung &amp; Fälle</x:v>
      </x:c>
      <x:c r="E120" s="14" t="str">
        <x:v>Antidiskriminierung &amp; Fälle – Führung Diversität</x:v>
      </x:c>
      <x:c r="F120" s="14" t="str">
        <x:v>Frauenanteil Leitungsorgane</x:v>
      </x:c>
      <x:c r="G120" s="14" t="str">
        <x:v>%</x:v>
      </x:c>
      <x:c r="H120" s="14" t="str">
        <x:v>higher_is_better</x:v>
      </x:c>
      <x:c r="I120" s="14" t="str">
        <x:v>R18</x:v>
      </x:c>
      <x:c r="J120" s="14" t="str">
        <x:v>≥50:+3; ≥40:+2; ≥30:0; &lt;30:‑2/‑3</x:v>
      </x:c>
      <x:c r="K120" s="14" t="str">
        <x:v>Unvollständige Grenzauflösung</x:v>
      </x:c>
      <x:c r="L120" s="14" t="str">
        <x:v>Grenze zwischen −2 und −3 offen</x:v>
      </x:c>
      <x:c r="M120" s="14" t="str">
        <x:v>WÖk-Arbeitskalibrierung</x:v>
      </x:c>
      <x:c r="N120" s="14" t="str">
        <x:v>Optional/Nein</x:v>
      </x:c>
      <x:c r="O120" s="14" t="str">
        <x:v>ESRS G1; GRI 205/207</x:v>
      </x:c>
      <x:c r="P120" s="14" t="str">
        <x:v>ESRS G1; GRI 205/207</x:v>
      </x:c>
      <x:c r="Q120" s="14" t="str">
        <x:v>Mess-, Berichts- oder Managementrahmen; Schwellen sind grundsätzlich WÖk-Kalibrierungen</x:v>
      </x:c>
      <x:c r="R120" s="14" t="str">
        <x:v>Messgrundlage belegt; Schwellenkalibrierung offen</x:v>
      </x:c>
      <x:c r="S120" s="14" t="str">
        <x:v>EU-ESRS; GRI; OECD-AB</x:v>
      </x:c>
      <x:c r="T120" s="14" t="str">
        <x:v>G47 Handel; K Versicherungen; M72 F&amp;E</x:v>
      </x:c>
      <x:c r="U120" s="14" t="str">
        <x:v>Legacy / nicht explizit versioniert</x:v>
      </x:c>
      <x:c r="V120" s="51" t="str"/>
      <x:c r="W120" s="14" t="str">
        <x:v>Migration auf NACE Rev. 2.1 erforderlich</x:v>
      </x:c>
      <x:c r="X120" s="14" t="str">
        <x:v>Eigene Belegschaft/Organisation; FTE, Beschäftigtengruppe und Zeitraum</x:v>
      </x:c>
      <x:c r="Y120" s="14" t="str">
        <x:v>Quote = Zähler / Nenner gemäß Quelle; in %.</x:v>
      </x:c>
      <x:c r="Z120" s="14" t="str">
        <x:v>Primärdaten oder qualitätsgesicherte Sekundärdaten; Methode, Zeitraum und Systemgrenze dokumentieren</x:v>
      </x:c>
      <x:c r="AA120" s="14" t="str">
        <x:v>Limited Assurance; bei materieller Steuerwirkung risikobasiert vertiefen</x:v>
      </x:c>
      <x:c r="AB120" s="14" t="str">
        <x:v>Prüfung/Parametrisierung erforderlich</x:v>
      </x:c>
      <x:c r="AC120" s="14" t="str">
        <x:v>Hoch</x:v>
      </x:c>
      <x:c r="AD120" s="14" t="str">
        <x:v>Werte &lt;30 werden bis zur Fachentscheidung mit −2 bewertet; manuelle Verschärfung über Assurance möglich.</x:v>
      </x:c>
      <x:c r="AE120" s="14" t="str">
        <x:v>v1.4</x:v>
      </x:c>
      <x:c r="AF120" s="52" t="str">
        <x:v>2026-08-16</x:v>
      </x:c>
      <x:c r="AG120" s="52"/>
    </x:row>
    <x:row r="121" ht="42" customHeight="1">
      <x:c r="A121" s="14" t="str">
        <x:v>WOK-S-139</x:v>
      </x:c>
      <x:c r="B121" s="14" t="str">
        <x:v>SDG 5 – Gleichstellung</x:v>
      </x:c>
      <x:c r="C121" s="14" t="str">
        <x:v>5.2</x:v>
      </x:c>
      <x:c r="D121" s="14" t="str">
        <x:v>Antidiskriminierung &amp; Fälle</x:v>
      </x:c>
      <x:c r="E121" s="14" t="str">
        <x:v>Antidiskriminierung &amp; Fälle – Inklusion</x:v>
      </x:c>
      <x:c r="F121" s="14" t="str">
        <x:v>Beschäftigte mit Behinderung</x:v>
      </x:c>
      <x:c r="G121" s="14" t="str">
        <x:v>%</x:v>
      </x:c>
      <x:c r="H121" s="14" t="str">
        <x:v>higher_is_better</x:v>
      </x:c>
      <x:c r="I121" s="14" t="str">
        <x:v>R21</x:v>
      </x:c>
      <x:c r="J121" s="14" t="str">
        <x:v>≥6:+3; 4–5,9:+2; 2–3,9:0; 1–1,9:‑2; &lt;1:‑3</x:v>
      </x:c>
      <x:c r="K121" s="14" t="str">
        <x:v>Feste WÖk-Kalibrierung</x:v>
      </x:c>
      <x:c r="L121" s="14" t="str">
        <x:v>Arbeitskalibrierung – fachlich zu validieren</x:v>
      </x:c>
      <x:c r="M121" s="14" t="str">
        <x:v>WÖk-interne Klassenlogik</x:v>
      </x:c>
      <x:c r="N121" s="14" t="str">
        <x:v>Optional/Nein</x:v>
      </x:c>
      <x:c r="O121" s="14" t="str">
        <x:v>ESRS S1; GRI 401/403/405/406</x:v>
      </x:c>
      <x:c r="P121" s="14" t="str">
        <x:v>ESRS S1, GRI 401/403/405/406, ILO</x:v>
      </x:c>
      <x:c r="Q121" s="14" t="str">
        <x:v>Mess-, Berichts- oder Managementrahmen; Schwellen sind grundsätzlich WÖk-Kalibrierungen</x:v>
      </x:c>
      <x:c r="R121" s="14" t="str">
        <x:v>Messgrundlage belegt; Schwellenkalibrierung offen</x:v>
      </x:c>
      <x:c r="S121" s="14" t="str">
        <x:v>EU-ESRS; GRI; ISO-45001; ILO-LW; ILO-CORE</x:v>
      </x:c>
      <x:c r="T121" s="14" t="str">
        <x:v>G47 Handel; K Versicherungen; M72 F&amp;E</x:v>
      </x:c>
      <x:c r="U121" s="14" t="str">
        <x:v>Legacy / nicht explizit versioniert</x:v>
      </x:c>
      <x:c r="V121" s="51" t="str"/>
      <x:c r="W121" s="14" t="str">
        <x:v>Migration auf NACE Rev. 2.1 erforderlich</x:v>
      </x:c>
      <x:c r="X121" s="14" t="str">
        <x:v>Eigene Belegschaft/Organisation; FTE, Beschäftigtengruppe und Zeitraum</x:v>
      </x:c>
      <x:c r="Y121" s="14" t="str">
        <x:v>Quote = Zähler / Nenner gemäß Quelle; in %.</x:v>
      </x:c>
      <x:c r="Z121" s="14" t="str">
        <x:v>Primärdaten bevorzugt; Sekundärdaten nur transparent und versioniert; Methode und Systemgrenze dokumentieren</x:v>
      </x:c>
      <x:c r="AA121" s="14" t="str">
        <x:v>Limited Assurance; risikobasiert höhere Prüftiefe</x:v>
      </x:c>
      <x:c r="AB121" s="14" t="str">
        <x:v>Strukturell nutzbar; Schwellen fachlich zu validieren</x:v>
      </x:c>
      <x:c r="AC121" s="14" t="str">
        <x:v>Mittel</x:v>
      </x:c>
      <x:c r="AD121" s="14" t="str">
        <x:v>Vollständige fünfstufige numerische Regel.</x:v>
      </x:c>
      <x:c r="AE121" s="14" t="str">
        <x:v>v1.4</x:v>
      </x:c>
      <x:c r="AF121" s="52" t="str">
        <x:v>2026-08-16</x:v>
      </x:c>
      <x:c r="AG121" s="52"/>
    </x:row>
    <x:row r="122" ht="42" customHeight="1">
      <x:c r="A122" s="14" t="str">
        <x:v>WOK-S-140</x:v>
      </x:c>
      <x:c r="B122" s="14" t="str">
        <x:v>SDG 5 – Gleichstellung</x:v>
      </x:c>
      <x:c r="C122" s="14" t="str">
        <x:v>5.4</x:v>
      </x:c>
      <x:c r="D122" s="14" t="str">
        <x:v>Vereinbarkeit &amp; Care</x:v>
      </x:c>
      <x:c r="E122" s="14" t="str">
        <x:v>Vereinbarkeit &amp; Care – Living Wage</x:v>
      </x:c>
      <x:c r="F122" s="14" t="str">
        <x:v>Abdeckung Lebenslohn</x:v>
      </x:c>
      <x:c r="G122" s="14" t="str">
        <x:v>% Beschäftigte</x:v>
      </x:c>
      <x:c r="H122" s="14" t="str">
        <x:v>higher_is_better</x:v>
      </x:c>
      <x:c r="I122" s="14" t="str">
        <x:v>R27</x:v>
      </x:c>
      <x:c r="J122" s="14" t="str">
        <x:v>≥95:+3; 80–94:+2; 60–79:0; 40–59:‑2; &lt;40:‑3</x:v>
      </x:c>
      <x:c r="K122" s="14" t="str">
        <x:v>Feste WÖk-Kalibrierung</x:v>
      </x:c>
      <x:c r="L122" s="14" t="str">
        <x:v>Arbeitskalibrierung – fachlich zu validieren</x:v>
      </x:c>
      <x:c r="M122" s="14" t="str">
        <x:v>WÖk-interne Klassenlogik</x:v>
      </x:c>
      <x:c r="N122" s="14" t="str">
        <x:v>Optional/Nein</x:v>
      </x:c>
      <x:c r="O122" s="14" t="str">
        <x:v>ESRS S1; GRI 401/403/405/406</x:v>
      </x:c>
      <x:c r="P122" s="14" t="str">
        <x:v>ESRS S1, GRI 401/403/405/406, ILO</x:v>
      </x:c>
      <x:c r="Q122" s="14" t="str">
        <x:v>Mess-, Berichts- oder Managementrahmen; Schwellen sind grundsätzlich WÖk-Kalibrierungen</x:v>
      </x:c>
      <x:c r="R122" s="14" t="str">
        <x:v>Messgrundlage belegt; Schwellenkalibrierung offen</x:v>
      </x:c>
      <x:c r="S122" s="14" t="str">
        <x:v>EU-ESRS; GRI; ISO-45001; ILO-LW; ILO-CORE</x:v>
      </x:c>
      <x:c r="T122" s="14" t="str">
        <x:v>G47 Handel; K Versicherungen; M72 F&amp;E</x:v>
      </x:c>
      <x:c r="U122" s="14" t="str">
        <x:v>Legacy / nicht explizit versioniert</x:v>
      </x:c>
      <x:c r="V122" s="51" t="str"/>
      <x:c r="W122" s="14" t="str">
        <x:v>Migration auf NACE Rev. 2.1 erforderlich</x:v>
      </x:c>
      <x:c r="X122" s="14" t="str">
        <x:v>Eigene Belegschaft/Organisation; FTE, Beschäftigtengruppe und Zeitraum</x:v>
      </x:c>
      <x:c r="Y122" s="14" t="str">
        <x:v>Anteil Beschäftigte ≥ Living Wage (zertifizierte Methodik).</x:v>
      </x:c>
      <x:c r="Z122" s="14" t="str">
        <x:v>Primärdaten bevorzugt; Sekundärdaten nur transparent und versioniert; Methode und Systemgrenze dokumentieren</x:v>
      </x:c>
      <x:c r="AA122" s="14" t="str">
        <x:v>Limited Assurance; risikobasiert höhere Prüftiefe</x:v>
      </x:c>
      <x:c r="AB122" s="14" t="str">
        <x:v>Strukturell nutzbar; Schwellen fachlich zu validieren</x:v>
      </x:c>
      <x:c r="AC122" s="14" t="str">
        <x:v>Mittel</x:v>
      </x:c>
      <x:c r="AD122" s="14" t="str">
        <x:v>Vollständige fünfstufige numerische Regel.</x:v>
      </x:c>
      <x:c r="AE122" s="14" t="str">
        <x:v>v1.4</x:v>
      </x:c>
      <x:c r="AF122" s="52" t="str">
        <x:v>2026-08-16</x:v>
      </x:c>
      <x:c r="AG122" s="52"/>
    </x:row>
    <x:row r="123" ht="42" customHeight="1">
      <x:c r="A123" s="14" t="str">
        <x:v>WOK-S-141</x:v>
      </x:c>
      <x:c r="B123" s="14" t="str">
        <x:v>SDG 5 – Gleichstellung</x:v>
      </x:c>
      <x:c r="C123" s="14" t="str">
        <x:v>5.4</x:v>
      </x:c>
      <x:c r="D123" s="14" t="str">
        <x:v>Vereinbarkeit &amp; Care</x:v>
      </x:c>
      <x:c r="E123" s="14" t="str">
        <x:v>Vereinbarkeit &amp; Care – Tarifbindung</x:v>
      </x:c>
      <x:c r="F123" s="14" t="str">
        <x:v>Beschäftigte unter Kollektivvertrag</x:v>
      </x:c>
      <x:c r="G123" s="14" t="str">
        <x:v>%</x:v>
      </x:c>
      <x:c r="H123" s="14" t="str">
        <x:v>higher_is_better</x:v>
      </x:c>
      <x:c r="I123" s="14" t="str">
        <x:v>R26</x:v>
      </x:c>
      <x:c r="J123" s="14" t="str">
        <x:v>≥90:+3; 70–89:+2; 50–69:0; 30–49:‑2; &lt;30:‑3</x:v>
      </x:c>
      <x:c r="K123" s="14" t="str">
        <x:v>Feste WÖk-Kalibrierung</x:v>
      </x:c>
      <x:c r="L123" s="14" t="str">
        <x:v>Arbeitskalibrierung – fachlich zu validieren</x:v>
      </x:c>
      <x:c r="M123" s="14" t="str">
        <x:v>WÖk-interne Klassenlogik</x:v>
      </x:c>
      <x:c r="N123" s="14" t="str">
        <x:v>Optional/Nein</x:v>
      </x:c>
      <x:c r="O123" s="14" t="str">
        <x:v>ESRS S1; GRI 401/403/405/406</x:v>
      </x:c>
      <x:c r="P123" s="14" t="str">
        <x:v>ESRS S1, GRI 401/403/405/406, ILO</x:v>
      </x:c>
      <x:c r="Q123" s="14" t="str">
        <x:v>Mess-, Berichts- oder Managementrahmen; Schwellen sind grundsätzlich WÖk-Kalibrierungen</x:v>
      </x:c>
      <x:c r="R123" s="14" t="str">
        <x:v>Messgrundlage belegt; Schwellenkalibrierung offen</x:v>
      </x:c>
      <x:c r="S123" s="14" t="str">
        <x:v>EU-ESRS; GRI; ISO-45001; ILO-LW; ILO-CORE</x:v>
      </x:c>
      <x:c r="T123" s="14" t="str">
        <x:v>G47 Handel; K Versicherungen; M72 F&amp;E</x:v>
      </x:c>
      <x:c r="U123" s="14" t="str">
        <x:v>Legacy / nicht explizit versioniert</x:v>
      </x:c>
      <x:c r="V123" s="51" t="str"/>
      <x:c r="W123" s="14" t="str">
        <x:v>Migration auf NACE Rev. 2.1 erforderlich</x:v>
      </x:c>
      <x:c r="X123" s="14" t="str">
        <x:v>Eigene Belegschaft/Organisation; FTE, Beschäftigtengruppe und Zeitraum</x:v>
      </x:c>
      <x:c r="Y123" s="14" t="str">
        <x:v>Quote = Zähler / Nenner gemäß Quelle; in %.</x:v>
      </x:c>
      <x:c r="Z123" s="14" t="str">
        <x:v>Primärdaten bevorzugt; Sekundärdaten nur transparent und versioniert; Methode und Systemgrenze dokumentieren</x:v>
      </x:c>
      <x:c r="AA123" s="14" t="str">
        <x:v>Limited Assurance; risikobasiert höhere Prüftiefe</x:v>
      </x:c>
      <x:c r="AB123" s="14" t="str">
        <x:v>Strukturell nutzbar; Schwellen fachlich zu validieren</x:v>
      </x:c>
      <x:c r="AC123" s="14" t="str">
        <x:v>Mittel</x:v>
      </x:c>
      <x:c r="AD123" s="14" t="str">
        <x:v>Vollständige fünfstufige numerische Regel.</x:v>
      </x:c>
      <x:c r="AE123" s="14" t="str">
        <x:v>v1.4</x:v>
      </x:c>
      <x:c r="AF123" s="52" t="str">
        <x:v>2026-08-16</x:v>
      </x:c>
      <x:c r="AG123" s="52"/>
    </x:row>
    <x:row r="124" ht="42" customHeight="1">
      <x:c r="A124" s="14" t="str">
        <x:v>WOK-S-142</x:v>
      </x:c>
      <x:c r="B124" s="14" t="str">
        <x:v>SDG 5 – Gleichstellung</x:v>
      </x:c>
      <x:c r="C124" s="14" t="str">
        <x:v>5.4</x:v>
      </x:c>
      <x:c r="D124" s="14" t="str">
        <x:v>Vereinbarkeit &amp; Care</x:v>
      </x:c>
      <x:c r="E124" s="14" t="str">
        <x:v>Vereinbarkeit &amp; Care – LTIFR</x:v>
      </x:c>
      <x:c r="F124" s="14" t="str">
        <x:v>Arbeitsunfälle pro Mio Stunden</x:v>
      </x:c>
      <x:c r="G124" s="14" t="str">
        <x:v>Unfälle/Mio Std.</x:v>
      </x:c>
      <x:c r="H124" s="14" t="str">
        <x:v>lower_is_better</x:v>
      </x:c>
      <x:c r="I124" s="14" t="str">
        <x:v>R02</x:v>
      </x:c>
      <x:c r="J124" s="14" t="str">
        <x:v>0:+3; ≤1:+2; ≤3:0; ≤5:‑2; &gt;5:‑3</x:v>
      </x:c>
      <x:c r="K124" s="14" t="str">
        <x:v>Feste WÖk-Kalibrierung</x:v>
      </x:c>
      <x:c r="L124" s="14" t="str">
        <x:v>Arbeitskalibrierung – fachlich zu validieren</x:v>
      </x:c>
      <x:c r="M124" s="14" t="str">
        <x:v>WÖk-interne Klassenlogik</x:v>
      </x:c>
      <x:c r="N124" s="14" t="str">
        <x:v>Optional/Nein</x:v>
      </x:c>
      <x:c r="O124" s="14" t="str">
        <x:v>ESRS S1; GRI 401/403/405/406</x:v>
      </x:c>
      <x:c r="P124" s="14" t="str">
        <x:v>ESRS S1, GRI 401/403/405/406, ILO</x:v>
      </x:c>
      <x:c r="Q124" s="14" t="str">
        <x:v>Mess-, Berichts- oder Managementrahmen; Schwellen sind grundsätzlich WÖk-Kalibrierungen</x:v>
      </x:c>
      <x:c r="R124" s="14" t="str">
        <x:v>Messgrundlage belegt; Schwellenkalibrierung offen</x:v>
      </x:c>
      <x:c r="S124" s="14" t="str">
        <x:v>EU-ESRS; GRI; ISO-45001; ILO-LW; ILO-CORE</x:v>
      </x:c>
      <x:c r="T124" s="14" t="str">
        <x:v>G47 Handel; K Versicherungen; M72 F&amp;E</x:v>
      </x:c>
      <x:c r="U124" s="14" t="str">
        <x:v>Legacy / nicht explizit versioniert</x:v>
      </x:c>
      <x:c r="V124" s="51" t="str"/>
      <x:c r="W124" s="14" t="str">
        <x:v>Migration auf NACE Rev. 2.1 erforderlich</x:v>
      </x:c>
      <x:c r="X124" s="14" t="str">
        <x:v>Eigene Belegschaft/Organisation; FTE, Beschäftigtengruppe und Zeitraum</x:v>
      </x:c>
      <x:c r="Y124" s="14" t="str">
        <x:v>LTIFR = Unfälle mit Ausfallzeit / 1 Mio. Std. (ILO/GRI 403).</x:v>
      </x:c>
      <x:c r="Z124" s="14" t="str">
        <x:v>Primärdaten bevorzugt; Sekundärdaten nur transparent und versioniert; Methode und Systemgrenze dokumentieren</x:v>
      </x:c>
      <x:c r="AA124" s="14" t="str">
        <x:v>Limited Assurance; risikobasiert höhere Prüftiefe</x:v>
      </x:c>
      <x:c r="AB124" s="14" t="str">
        <x:v>Strukturell nutzbar; Schwellen fachlich zu validieren</x:v>
      </x:c>
      <x:c r="AC124" s="14" t="str">
        <x:v>Mittel</x:v>
      </x:c>
      <x:c r="AD124" s="14" t="str">
        <x:v>Vollständige fünfstufige numerische Regel.</x:v>
      </x:c>
      <x:c r="AE124" s="14" t="str">
        <x:v>v1.4</x:v>
      </x:c>
      <x:c r="AF124" s="52" t="str">
        <x:v>2026-08-16</x:v>
      </x:c>
      <x:c r="AG124" s="52"/>
    </x:row>
    <x:row r="125" ht="42" customHeight="1">
      <x:c r="A125" s="14" t="str">
        <x:v>WOK-SC-107</x:v>
      </x:c>
      <x:c r="B125" s="14" t="str">
        <x:v>SDG 5 – Gleichstellung</x:v>
      </x:c>
      <x:c r="C125" s="14" t="str">
        <x:v>5.b</x:v>
      </x:c>
      <x:c r="D125" s="14" t="str">
        <x:v>Frauen in Lieferkette</x:v>
      </x:c>
      <x:c r="E125" s="14" t="str">
        <x:v>Frauen in Lieferkette – ESG‑Spend‑Coverage</x:v>
      </x:c>
      <x:c r="F125" s="14" t="str">
        <x:v>Anteil verifizierter ESG‑Daten am Spend</x:v>
      </x:c>
      <x:c r="G125" s="14" t="str">
        <x:v>%</x:v>
      </x:c>
      <x:c r="H125" s="14" t="str">
        <x:v>higher_is_better</x:v>
      </x:c>
      <x:c r="I125" s="14" t="str">
        <x:v>R26</x:v>
      </x:c>
      <x:c r="J125" s="14" t="str">
        <x:v>≥90:+3; 70–89:+2; 50–69:0; 30–49:‑2; &lt;30:‑3</x:v>
      </x:c>
      <x:c r="K125" s="14" t="str">
        <x:v>Feste WÖk-Kalibrierung</x:v>
      </x:c>
      <x:c r="L125" s="14" t="str">
        <x:v>Arbeitskalibrierung – fachlich zu validieren</x:v>
      </x:c>
      <x:c r="M125" s="14" t="str">
        <x:v>WÖk-interne Klassenlogik</x:v>
      </x:c>
      <x:c r="N125" s="14" t="str">
        <x:v>Optional/Nein</x:v>
      </x:c>
      <x:c r="O125" s="14" t="str">
        <x:v>ESRS S2; GRI 308/414/408/409</x:v>
      </x:c>
      <x:c r="P125" s="14" t="str">
        <x:v>ESRS S2, GRI 308/414, OECD Due Diligence</x:v>
      </x:c>
      <x:c r="Q125" s="14" t="str">
        <x:v>Mess-, Berichts- oder Managementrahmen; Schwellen sind grundsätzlich WÖk-Kalibrierungen</x:v>
      </x:c>
      <x:c r="R125" s="14" t="str">
        <x:v>Messgrundlage belegt; Schwellenkalibrierung offen</x:v>
      </x:c>
      <x:c r="S125" s="14" t="str">
        <x:v>EU-ESRS; GRI; OECD-DD; ILO-CORE</x:v>
      </x:c>
      <x:c r="T125" s="14" t="str">
        <x:v>C20 Chemie; C24 Stahl; C29 Fahrzeuge</x:v>
      </x:c>
      <x:c r="U125" s="14" t="str">
        <x:v>Legacy / nicht explizit versioniert</x:v>
      </x:c>
      <x:c r="V125" s="51" t="str"/>
      <x:c r="W125" s="14" t="str">
        <x:v>Migration auf NACE Rev. 2.1 erforderlich</x:v>
      </x:c>
      <x:c r="X125" s="14" t="str">
        <x:v>Vorgelagerte Lieferkette; relevante Tier-Stufen und Beschaffungsvolumen</x:v>
      </x:c>
      <x:c r="Y125" s="14" t="str">
        <x:v>Quote = Zähler / Nenner gemäß Quelle; in %.</x:v>
      </x:c>
      <x:c r="Z125" s="14" t="str">
        <x:v>Primärdaten bevorzugt; Sekundärdaten nur transparent und versioniert; Methode und Systemgrenze dokumentieren</x:v>
      </x:c>
      <x:c r="AA125" s="14" t="str">
        <x:v>Limited Assurance; risikobasiert höhere Prüftiefe</x:v>
      </x:c>
      <x:c r="AB125" s="14" t="str">
        <x:v>Strukturell nutzbar; Schwellen fachlich zu validieren</x:v>
      </x:c>
      <x:c r="AC125" s="14" t="str">
        <x:v>Mittel</x:v>
      </x:c>
      <x:c r="AD125" s="14" t="str">
        <x:v>Vollständige fünfstufige numerische Regel.</x:v>
      </x:c>
      <x:c r="AE125" s="14" t="str">
        <x:v>v1.4</x:v>
      </x:c>
      <x:c r="AF125" s="52" t="str">
        <x:v>2026-08-16</x:v>
      </x:c>
      <x:c r="AG125" s="52"/>
    </x:row>
    <x:row r="126" ht="42" customHeight="1">
      <x:c r="A126" s="14" t="str">
        <x:v>WOK-SC-108</x:v>
      </x:c>
      <x:c r="B126" s="14" t="str">
        <x:v>SDG 5 – Gleichstellung</x:v>
      </x:c>
      <x:c r="C126" s="14" t="str">
        <x:v>5.b</x:v>
      </x:c>
      <x:c r="D126" s="14" t="str">
        <x:v>Frauen in Lieferkette</x:v>
      </x:c>
      <x:c r="E126" s="14" t="str">
        <x:v>Frauen in Lieferkette – Kinder/Zwangsarbeit</x:v>
      </x:c>
      <x:c r="F126" s="14" t="str">
        <x:v>Audits ohne Verstöße</x:v>
      </x:c>
      <x:c r="G126" s="14" t="str">
        <x:v>% Lieferanten</x:v>
      </x:c>
      <x:c r="H126" s="14" t="str">
        <x:v>higher_is_better</x:v>
      </x:c>
      <x:c r="I126" s="14" t="str">
        <x:v>R28</x:v>
      </x:c>
      <x:c r="J126" s="14" t="str">
        <x:v>≥98:+3; 90–97:+2; 75–89:0; 50–74:‑2; &lt;50:‑3</x:v>
      </x:c>
      <x:c r="K126" s="14" t="str">
        <x:v>Feste WÖk-Kalibrierung</x:v>
      </x:c>
      <x:c r="L126" s="14" t="str">
        <x:v>Arbeitskalibrierung – fachlich zu validieren</x:v>
      </x:c>
      <x:c r="M126" s="14" t="str">
        <x:v>WÖk-interne Klassenlogik</x:v>
      </x:c>
      <x:c r="N126" s="14" t="str">
        <x:v>Optional/Nein</x:v>
      </x:c>
      <x:c r="O126" s="14" t="str">
        <x:v>ESRS S2; GRI 308/414/408/409</x:v>
      </x:c>
      <x:c r="P126" s="14" t="str">
        <x:v>ESRS S2, GRI 308/414, OECD Due Diligence</x:v>
      </x:c>
      <x:c r="Q126" s="14" t="str">
        <x:v>Mess-, Berichts- oder Managementrahmen; Schwellen sind grundsätzlich WÖk-Kalibrierungen</x:v>
      </x:c>
      <x:c r="R126" s="14" t="str">
        <x:v>Messgrundlage belegt; Schwellenkalibrierung offen</x:v>
      </x:c>
      <x:c r="S126" s="14" t="str">
        <x:v>EU-ESRS; GRI; OECD-DD; ILO-CORE</x:v>
      </x:c>
      <x:c r="T126" s="14" t="str">
        <x:v>C20 Chemie; C24 Stahl; C29 Fahrzeuge</x:v>
      </x:c>
      <x:c r="U126" s="14" t="str">
        <x:v>Legacy / nicht explizit versioniert</x:v>
      </x:c>
      <x:c r="V126" s="51" t="str"/>
      <x:c r="W126" s="14" t="str">
        <x:v>Migration auf NACE Rev. 2.1 erforderlich</x:v>
      </x:c>
      <x:c r="X126" s="14" t="str">
        <x:v>Vorgelagerte Lieferkette; relevante Tier-Stufen und Beschaffungsvolumen</x:v>
      </x:c>
      <x:c r="Y126" s="14" t="str">
        <x:v>Quote = Zähler / Nenner gemäß Quelle; in %.</x:v>
      </x:c>
      <x:c r="Z126" s="14" t="str">
        <x:v>Primärdaten bevorzugt; Sekundärdaten nur transparent und versioniert; Methode und Systemgrenze dokumentieren</x:v>
      </x:c>
      <x:c r="AA126" s="14" t="str">
        <x:v>Limited Assurance; risikobasiert höhere Prüftiefe</x:v>
      </x:c>
      <x:c r="AB126" s="14" t="str">
        <x:v>Strukturell nutzbar; Schwellen fachlich zu validieren</x:v>
      </x:c>
      <x:c r="AC126" s="14" t="str">
        <x:v>Mittel</x:v>
      </x:c>
      <x:c r="AD126" s="14" t="str">
        <x:v>Vollständige fünfstufige numerische Regel.</x:v>
      </x:c>
      <x:c r="AE126" s="14" t="str">
        <x:v>v1.4</x:v>
      </x:c>
      <x:c r="AF126" s="52" t="str">
        <x:v>2026-08-16</x:v>
      </x:c>
      <x:c r="AG126" s="52"/>
    </x:row>
    <x:row r="127" ht="42" customHeight="1">
      <x:c r="A127" s="14" t="str">
        <x:v>WOK-SC-109</x:v>
      </x:c>
      <x:c r="B127" s="14" t="str">
        <x:v>SDG 5 – Gleichstellung</x:v>
      </x:c>
      <x:c r="C127" s="14" t="str">
        <x:v>5.b</x:v>
      </x:c>
      <x:c r="D127" s="14" t="str">
        <x:v>Frauen in Lieferkette</x:v>
      </x:c>
      <x:c r="E127" s="14" t="str">
        <x:v>Frauen in Lieferkette – Scope‑3 Daten</x:v>
      </x:c>
      <x:c r="F127" s="14" t="str">
        <x:v>Primärdaten‑Abdeckung</x:v>
      </x:c>
      <x:c r="G127" s="14" t="str">
        <x:v>% Kategorien</x:v>
      </x:c>
      <x:c r="H127" s="14" t="str">
        <x:v>higher_is_better</x:v>
      </x:c>
      <x:c r="I127" s="14" t="str">
        <x:v>R23</x:v>
      </x:c>
      <x:c r="J127" s="14" t="str">
        <x:v>≥80:+3; 60–79:+2; 40–59:0; 20–39:‑2; &lt;20:‑3</x:v>
      </x:c>
      <x:c r="K127" s="14" t="str">
        <x:v>Feste WÖk-Kalibrierung</x:v>
      </x:c>
      <x:c r="L127" s="14" t="str">
        <x:v>Arbeitskalibrierung – fachlich zu validieren</x:v>
      </x:c>
      <x:c r="M127" s="14" t="str">
        <x:v>WÖk-interne Klassenlogik</x:v>
      </x:c>
      <x:c r="N127" s="14" t="str">
        <x:v>Optional/Nein</x:v>
      </x:c>
      <x:c r="O127" s="14" t="str">
        <x:v>ESRS E1; GHG Protocol</x:v>
      </x:c>
      <x:c r="P127" s="14" t="str">
        <x:v>ESRS E1, GHG Protocol (Corporate/Scope 1–3), ISO 14064/14067</x:v>
      </x:c>
      <x:c r="Q127" s="14" t="str">
        <x:v>Mess-, Berichts- oder Managementrahmen; Schwellen sind grundsätzlich WÖk-Kalibrierungen</x:v>
      </x:c>
      <x:c r="R127" s="14" t="str">
        <x:v>Messgrundlage belegt; Schwellenkalibrierung offen</x:v>
      </x:c>
      <x:c r="S127" s="14" t="str">
        <x:v>EU-ESRS; GHG-CORP; GHG-S3; GHG-PROD</x:v>
      </x:c>
      <x:c r="T127" s="14" t="str">
        <x:v>C20 Chemie; C24 Stahl; C29 Fahrzeuge</x:v>
      </x:c>
      <x:c r="U127" s="14" t="str">
        <x:v>Legacy / nicht explizit versioniert</x:v>
      </x:c>
      <x:c r="V127" s="51" t="str"/>
      <x:c r="W127" s="14" t="str">
        <x:v>Migration auf NACE Rev. 2.1 erforderlich</x:v>
      </x:c>
      <x:c r="X127" s="14" t="str">
        <x:v>Vorgelagerte Lieferkette; relevante Tier-Stufen und Beschaffungsvolumen</x:v>
      </x:c>
      <x:c r="Y127" s="14" t="str">
        <x:v>Quote = Zähler / Nenner gemäß Quelle; in %.</x:v>
      </x:c>
      <x:c r="Z127" s="14" t="str">
        <x:v>Primärdaten bevorzugt; Sekundärdaten nur transparent und versioniert; Methode und Systemgrenze dokumentieren</x:v>
      </x:c>
      <x:c r="AA127" s="14" t="str">
        <x:v>Limited Assurance; risikobasiert höhere Prüftiefe</x:v>
      </x:c>
      <x:c r="AB127" s="14" t="str">
        <x:v>Strukturell nutzbar; Schwellen fachlich zu validieren</x:v>
      </x:c>
      <x:c r="AC127" s="14" t="str">
        <x:v>Mittel</x:v>
      </x:c>
      <x:c r="AD127" s="14" t="str">
        <x:v>Vollständige fünfstufige numerische Regel.</x:v>
      </x:c>
      <x:c r="AE127" s="14" t="str">
        <x:v>v1.4</x:v>
      </x:c>
      <x:c r="AF127" s="52" t="str">
        <x:v>2026-08-16</x:v>
      </x:c>
      <x:c r="AG127" s="52"/>
    </x:row>
    <x:row r="128" ht="42" customHeight="1">
      <x:c r="A128" s="14" t="str">
        <x:v>WOK-G-125</x:v>
      </x:c>
      <x:c r="B128" s="14" t="str">
        <x:v>SDG 5 – Gleichstellung</x:v>
      </x:c>
      <x:c r="C128" s="14" t="str">
        <x:v>5.c</x:v>
      </x:c>
      <x:c r="D128" s="14" t="str">
        <x:v>Gleichstellungs‑Governance</x:v>
      </x:c>
      <x:c r="E128" s="14" t="str">
        <x:v>Gleichstellungs‑Governance – Antikorruption</x:v>
      </x:c>
      <x:c r="F128" s="14" t="str">
        <x:v>Bestätigte Fälle/1.000 FTE</x:v>
      </x:c>
      <x:c r="G128" s="14" t="str">
        <x:v>Fälle/1.000 FTE</x:v>
      </x:c>
      <x:c r="H128" s="14" t="str">
        <x:v>lower_is_better</x:v>
      </x:c>
      <x:c r="I128" s="14" t="str">
        <x:v>R01</x:v>
      </x:c>
      <x:c r="J128" s="14" t="str">
        <x:v>0:+3; ≤0,2:+2; ≤0,5:0; ≤1:‑2; &gt;1:‑3</x:v>
      </x:c>
      <x:c r="K128" s="14" t="str">
        <x:v>Feste WÖk-Kalibrierung</x:v>
      </x:c>
      <x:c r="L128" s="14" t="str">
        <x:v>Arbeitskalibrierung – fachlich zu validieren</x:v>
      </x:c>
      <x:c r="M128" s="14" t="str">
        <x:v>WÖk-interne Klassenlogik</x:v>
      </x:c>
      <x:c r="N128" s="14" t="str">
        <x:v>Optional/Nein</x:v>
      </x:c>
      <x:c r="O128" s="14" t="str">
        <x:v>ESRS G1; GRI 205/207</x:v>
      </x:c>
      <x:c r="P128" s="14" t="str">
        <x:v>ESRS G1, GRI 205/207, OECD Anti‑Bribery</x:v>
      </x:c>
      <x:c r="Q128" s="14" t="str">
        <x:v>Mess-, Berichts- oder Managementrahmen; Schwellen sind grundsätzlich WÖk-Kalibrierungen</x:v>
      </x:c>
      <x:c r="R128" s="14" t="str">
        <x:v>Messgrundlage belegt; Schwellenkalibrierung offen</x:v>
      </x:c>
      <x:c r="S128" s="14" t="str">
        <x:v>EU-ESRS; GRI; OECD-AB</x:v>
      </x:c>
      <x:c r="T128" s="14" t="str">
        <x:v>G47 Handel; K Versicherungen; M72 F&amp;E</x:v>
      </x:c>
      <x:c r="U128" s="14" t="str">
        <x:v>Legacy / nicht explizit versioniert</x:v>
      </x:c>
      <x:c r="V128" s="51" t="str"/>
      <x:c r="W128" s="14" t="str">
        <x:v>Migration auf NACE Rev. 2.1 erforderlich</x:v>
      </x:c>
      <x:c r="X128" s="14" t="str">
        <x:v>Organisation/Governance; konsolidierter Kreis und relevante Rechtseinheiten</x:v>
      </x:c>
      <x:c r="Y128" s="14" t="str">
        <x:v>Siehe Quelle: Definition gemäß Standard (ESRS/GRI/Taxonomie/ISO).</x:v>
      </x:c>
      <x:c r="Z128" s="14" t="str">
        <x:v>Primärdaten bevorzugt; Sekundärdaten nur transparent und versioniert; Methode und Systemgrenze dokumentieren</x:v>
      </x:c>
      <x:c r="AA128" s="14" t="str">
        <x:v>Limited Assurance; risikobasiert höhere Prüftiefe</x:v>
      </x:c>
      <x:c r="AB128" s="14" t="str">
        <x:v>Strukturell nutzbar; Schwellen fachlich zu validieren</x:v>
      </x:c>
      <x:c r="AC128" s="14" t="str">
        <x:v>Mittel</x:v>
      </x:c>
      <x:c r="AD128" s="14" t="str">
        <x:v>Vollständige fünfstufige numerische Regel.</x:v>
      </x:c>
      <x:c r="AE128" s="14" t="str">
        <x:v>v1.4</x:v>
      </x:c>
      <x:c r="AF128" s="52" t="str">
        <x:v>2026-08-16</x:v>
      </x:c>
      <x:c r="AG128" s="52"/>
    </x:row>
    <x:row r="129" ht="42" customHeight="1">
      <x:c r="A129" s="14" t="str">
        <x:v>WOK-G-126</x:v>
      </x:c>
      <x:c r="B129" s="14" t="str">
        <x:v>SDG 5 – Gleichstellung</x:v>
      </x:c>
      <x:c r="C129" s="14" t="str">
        <x:v>5.c</x:v>
      </x:c>
      <x:c r="D129" s="14" t="str">
        <x:v>Gleichstellungs‑Governance</x:v>
      </x:c>
      <x:c r="E129" s="14" t="str">
        <x:v>Gleichstellungs‑Governance – Whistleblowing</x:v>
      </x:c>
      <x:c r="F129" s="14" t="str">
        <x:v>Wirksamkeits‑Score</x:v>
      </x:c>
      <x:c r="G129" s="14" t="str">
        <x:v>0–1</x:v>
      </x:c>
      <x:c r="H129" s="14" t="str">
        <x:v>higher_is_better</x:v>
      </x:c>
      <x:c r="I129" s="14" t="str">
        <x:v>R16</x:v>
      </x:c>
      <x:c r="J129" s="14" t="str">
        <x:v>≥0,9:+3; 0,75–0,89:+2; 0,6–0,74:0; 0,4–0,59:‑2; &lt;0,4:‑3</x:v>
      </x:c>
      <x:c r="K129" s="14" t="str">
        <x:v>Feste WÖk-Kalibrierung</x:v>
      </x:c>
      <x:c r="L129" s="14" t="str">
        <x:v>Arbeitskalibrierung – fachlich zu validieren</x:v>
      </x:c>
      <x:c r="M129" s="14" t="str">
        <x:v>WÖk-interne Klassenlogik</x:v>
      </x:c>
      <x:c r="N129" s="14" t="str">
        <x:v>Optional/Nein</x:v>
      </x:c>
      <x:c r="O129" s="14" t="str">
        <x:v>ESRS G1; GRI 205/207</x:v>
      </x:c>
      <x:c r="P129" s="14" t="str">
        <x:v>ESRS G1, GRI 205/207, OECD Anti‑Bribery</x:v>
      </x:c>
      <x:c r="Q129" s="14" t="str">
        <x:v>Mess-, Berichts- oder Managementrahmen; Schwellen sind grundsätzlich WÖk-Kalibrierungen</x:v>
      </x:c>
      <x:c r="R129" s="14" t="str">
        <x:v>Messgrundlage belegt; Schwellenkalibrierung offen</x:v>
      </x:c>
      <x:c r="S129" s="14" t="str">
        <x:v>EU-ESRS; GRI; OECD-AB</x:v>
      </x:c>
      <x:c r="T129" s="14" t="str">
        <x:v>G47 Handel; K Versicherungen; M72 F&amp;E</x:v>
      </x:c>
      <x:c r="U129" s="14" t="str">
        <x:v>Legacy / nicht explizit versioniert</x:v>
      </x:c>
      <x:c r="V129" s="51" t="str"/>
      <x:c r="W129" s="14" t="str">
        <x:v>Migration auf NACE Rev. 2.1 erforderlich</x:v>
      </x:c>
      <x:c r="X129" s="14" t="str">
        <x:v>Organisation/Governance; konsolidierter Kreis und relevante Rechtseinheiten</x:v>
      </x:c>
      <x:c r="Y129" s="14" t="str">
        <x:v>Siehe Quelle: Definition gemäß Standard (ESRS/GRI/Taxonomie/ISO).</x:v>
      </x:c>
      <x:c r="Z129" s="14" t="str">
        <x:v>Primärdaten bevorzugt; Sekundärdaten nur transparent und versioniert; Methode und Systemgrenze dokumentieren</x:v>
      </x:c>
      <x:c r="AA129" s="14" t="str">
        <x:v>Limited Assurance; risikobasiert höhere Prüftiefe</x:v>
      </x:c>
      <x:c r="AB129" s="14" t="str">
        <x:v>Strukturell nutzbar; Schwellen fachlich zu validieren</x:v>
      </x:c>
      <x:c r="AC129" s="14" t="str">
        <x:v>Mittel</x:v>
      </x:c>
      <x:c r="AD129" s="14" t="str">
        <x:v>Vollständige fünfstufige numerische Regel.</x:v>
      </x:c>
      <x:c r="AE129" s="14" t="str">
        <x:v>v1.4</x:v>
      </x:c>
      <x:c r="AF129" s="52" t="str">
        <x:v>2026-08-16</x:v>
      </x:c>
      <x:c r="AG129" s="52"/>
    </x:row>
    <x:row r="130" ht="42" customHeight="1">
      <x:c r="A130" s="14" t="str">
        <x:v>WOK-G-127</x:v>
      </x:c>
      <x:c r="B130" s="14" t="str">
        <x:v>SDG 5 – Gleichstellung</x:v>
      </x:c>
      <x:c r="C130" s="14" t="str">
        <x:v>5.c</x:v>
      </x:c>
      <x:c r="D130" s="14" t="str">
        <x:v>Gleichstellungs‑Governance</x:v>
      </x:c>
      <x:c r="E130" s="14" t="str">
        <x:v>Gleichstellungs‑Governance – Steuertransparenz</x:v>
      </x:c>
      <x:c r="F130" s="14" t="str">
        <x:v>CbCR‑Offenlegung</x:v>
      </x:c>
      <x:c r="G130" s="14" t="str">
        <x:v>0–1</x:v>
      </x:c>
      <x:c r="H130" s="14" t="str">
        <x:v>higher_is_better</x:v>
      </x:c>
      <x:c r="I130" s="14" t="str">
        <x:v>R08</x:v>
      </x:c>
      <x:c r="J130" s="14" t="str">
        <x:v>vollständig:+3; teilweise:+2; minimal:0; schlecht:‑2</x:v>
      </x:c>
      <x:c r="K130" s="14" t="str">
        <x:v>Qualitativ</x:v>
      </x:c>
      <x:c r="L130" s="14" t="str">
        <x:v>Assurance und Kriterienkatalog erforderlich</x:v>
      </x:c>
      <x:c r="M130" s="14" t="str">
        <x:v>WÖk-interne Kategorien</x:v>
      </x:c>
      <x:c r="N130" s="14" t="str">
        <x:v>Optional/Nein</x:v>
      </x:c>
      <x:c r="O130" s="14" t="str">
        <x:v>ESRS G1; GRI 205/207</x:v>
      </x:c>
      <x:c r="P130" s="14" t="str">
        <x:v>ESRS G1, GRI 205/207, OECD Anti‑Bribery</x:v>
      </x:c>
      <x:c r="Q130" s="14" t="str">
        <x:v>Mess-, Berichts- oder Managementrahmen; Schwellen sind grundsätzlich WÖk-Kalibrierungen</x:v>
      </x:c>
      <x:c r="R130" s="14" t="str">
        <x:v>Messgrundlage belegt; Schwellenkalibrierung offen</x:v>
      </x:c>
      <x:c r="S130" s="14" t="str">
        <x:v>EU-ESRS; GRI; OECD-AB</x:v>
      </x:c>
      <x:c r="T130" s="14" t="str">
        <x:v>G47 Handel; K Versicherungen; M72 F&amp;E</x:v>
      </x:c>
      <x:c r="U130" s="14" t="str">
        <x:v>Legacy / nicht explizit versioniert</x:v>
      </x:c>
      <x:c r="V130" s="51" t="str"/>
      <x:c r="W130" s="14" t="str">
        <x:v>Migration auf NACE Rev. 2.1 erforderlich</x:v>
      </x:c>
      <x:c r="X130" s="14" t="str">
        <x:v>Organisation/Governance; konsolidierter Kreis und relevante Rechtseinheiten</x:v>
      </x:c>
      <x:c r="Y130" s="14" t="str">
        <x:v>Siehe Quelle: Definition gemäß Standard (ESRS/GRI/Taxonomie/ISO).</x:v>
      </x:c>
      <x:c r="Z130" s="14" t="str">
        <x:v>Dokumentierter Kriterienkatalog; nachvollziehbare Evidenz; DQR A/B bevorzugt</x:v>
      </x:c>
      <x:c r="AA130" s="14" t="str">
        <x:v>Unabhängige Fachprüfung/Limited Assurance; bei roten Linien Reasonable Assurance</x:v>
      </x:c>
      <x:c r="AB130" s="14" t="str">
        <x:v>Prüfung/Parametrisierung erforderlich</x:v>
      </x:c>
      <x:c r="AC130" s="14" t="str">
        <x:v>Hoch</x:v>
      </x:c>
      <x:c r="AD130" s="14" t="str">
        <x:v>Die Kategorie −3 fehlt; Vollständigkeit und Wirksamkeit sind feldspezifisch zu definieren.</x:v>
      </x:c>
      <x:c r="AE130" s="14" t="str">
        <x:v>v1.4</x:v>
      </x:c>
      <x:c r="AF130" s="52" t="str">
        <x:v>2026-08-16</x:v>
      </x:c>
      <x:c r="AG130" s="52"/>
    </x:row>
    <x:row r="131" ht="42" customHeight="1">
      <x:c r="A131" s="14" t="str">
        <x:v>WOK-SYS-113</x:v>
      </x:c>
      <x:c r="B131" s="14" t="str">
        <x:v>SDG 5 – Gleichstellung</x:v>
      </x:c>
      <x:c r="C131" s="14" t="str">
        <x:v>5.5</x:v>
      </x:c>
      <x:c r="D131" s="14" t="str">
        <x:v>Kulturwandel &amp; Vorbilder</x:v>
      </x:c>
      <x:c r="E131" s="14" t="str">
        <x:v>Kulturwandel &amp; Vorbilder – Index</x:v>
      </x:c>
      <x:c r="F131" s="14" t="str">
        <x:v>umsatzgewichteter Index (z. B. Demokratie/Rule of Law)</x:v>
      </x:c>
      <x:c r="G131" s="14" t="str">
        <x:v>0–1</x:v>
      </x:c>
      <x:c r="H131" s="14" t="str">
        <x:v>higher_is_better</x:v>
      </x:c>
      <x:c r="I131" s="14" t="str">
        <x:v>R15</x:v>
      </x:c>
      <x:c r="J131" s="14" t="str">
        <x:v>≥0,8:+3; 0,7–0,79:+2; 0,6–0,69:0; 0,5–0,59:‑2; &lt;0,5:‑3</x:v>
      </x:c>
      <x:c r="K131" s="14" t="str">
        <x:v>Feste WÖk-Kalibrierung</x:v>
      </x:c>
      <x:c r="L131" s="14" t="str">
        <x:v>Arbeitskalibrierung – fachlich zu validieren</x:v>
      </x:c>
      <x:c r="M131" s="14" t="str">
        <x:v>WÖk-interne Klassenlogik</x:v>
      </x:c>
      <x:c r="N131" s="14" t="str">
        <x:v>Optional/Nein</x:v>
      </x:c>
      <x:c r="O131" s="14" t="str">
        <x:v>SROI/SDG17</x:v>
      </x:c>
      <x:c r="P131" s="14" t="str">
        <x:v>SDG 16/17, WJP, V‑Dem</x:v>
      </x:c>
      <x:c r="Q131" s="14" t="str">
        <x:v>Methodischer Platzhalter; konkrete Fach- und Primärdatenquelle erforderlich</x:v>
      </x:c>
      <x:c r="R131" s="14" t="str">
        <x:v>Platzhalter – fachliche Operationalisierung offen</x:v>
      </x:c>
      <x:c r="S131" s="14" t="str">
        <x:v>INT-WOEK-TSROI; SVI-SROI; UN-SDG</x:v>
      </x:c>
      <x:c r="T131" s="14" t="str">
        <x:v>G47 Handel; K Versicherungen; M72 F&amp;E</x:v>
      </x:c>
      <x:c r="U131" s="14" t="str">
        <x:v>Legacy / nicht explizit versioniert</x:v>
      </x:c>
      <x:c r="V131" s="51" t="str"/>
      <x:c r="W131" s="14" t="str">
        <x:v>Migration auf NACE Rev. 2.1 erforderlich</x:v>
      </x:c>
      <x:c r="X131" s="14" t="str">
        <x:v>Programm/Portfolio/Systemraum; Empfängergruppe, Region und Zeitraum explizit definieren</x:v>
      </x:c>
      <x:c r="Y131" s="14" t="str">
        <x:v>Siehe Quelle: Definition gemäß Standard (ESRS/GRI/Taxonomie/ISO).</x:v>
      </x:c>
      <x:c r="Z131" s="14" t="str">
        <x:v>Primärdaten bevorzugt; Sekundärdaten nur transparent und versioniert; Methode und Systemgrenze dokumentieren</x:v>
      </x:c>
      <x:c r="AA131" s="14" t="str">
        <x:v>Limited Assurance; risikobasiert höhere Prüftiefe</x:v>
      </x:c>
      <x:c r="AB131" s="14" t="str">
        <x:v>Fachlogik nicht abschließend operationalisiert</x:v>
      </x:c>
      <x:c r="AC131" s="14" t="str">
        <x:v>Kritisch</x:v>
      </x:c>
      <x:c r="AD131" s="14" t="str">
        <x:v>SROI/SDG 17 ist keine hinreichend konkrete Mess- oder Schwellenquelle. Vollständige fünfstufige numerische Regel.</x:v>
      </x:c>
      <x:c r="AE131" s="14" t="str">
        <x:v>v1.4</x:v>
      </x:c>
      <x:c r="AF131" s="52" t="str">
        <x:v>2026-08-16</x:v>
      </x:c>
      <x:c r="AG131" s="52"/>
    </x:row>
    <x:row r="132" ht="42" customHeight="1">
      <x:c r="A132" s="14" t="str">
        <x:v>WOK-SYS-114</x:v>
      </x:c>
      <x:c r="B132" s="14" t="str">
        <x:v>SDG 5 – Gleichstellung</x:v>
      </x:c>
      <x:c r="C132" s="14" t="str">
        <x:v>5.5</x:v>
      </x:c>
      <x:c r="D132" s="14" t="str">
        <x:v>Kulturwandel &amp; Vorbilder</x:v>
      </x:c>
      <x:c r="E132" s="14" t="str">
        <x:v>Kulturwandel &amp; Vorbilder – Exposure</x:v>
      </x:c>
      <x:c r="F132" s="14" t="str">
        <x:v>Umsatz in Hochrisikoländern</x:v>
      </x:c>
      <x:c r="G132" s="14" t="str">
        <x:v>%</x:v>
      </x:c>
      <x:c r="H132" s="14" t="str">
        <x:v>lower_is_better</x:v>
      </x:c>
      <x:c r="I132" s="14" t="str">
        <x:v>R13</x:v>
      </x:c>
      <x:c r="J132" s="14" t="str">
        <x:v>≤5:+3; 6–10:+2; 11–20:0; 21–30:‑2; &gt;30:‑3</x:v>
      </x:c>
      <x:c r="K132" s="14" t="str">
        <x:v>Feste WÖk-Kalibrierung</x:v>
      </x:c>
      <x:c r="L132" s="14" t="str">
        <x:v>Arbeitskalibrierung – fachlich zu validieren</x:v>
      </x:c>
      <x:c r="M132" s="14" t="str">
        <x:v>WÖk-interne Klassenlogik</x:v>
      </x:c>
      <x:c r="N132" s="14" t="str">
        <x:v>Optional/Nein</x:v>
      </x:c>
      <x:c r="O132" s="14" t="str">
        <x:v>SROI/SDG17</x:v>
      </x:c>
      <x:c r="P132" s="14" t="str">
        <x:v>SROI/SDG17</x:v>
      </x:c>
      <x:c r="Q132" s="14" t="str">
        <x:v>Methodischer Platzhalter; konkrete Fach- und Primärdatenquelle erforderlich</x:v>
      </x:c>
      <x:c r="R132" s="14" t="str">
        <x:v>Platzhalter – fachliche Operationalisierung offen</x:v>
      </x:c>
      <x:c r="S132" s="14" t="str">
        <x:v>INT-WOEK-TSROI; SVI-SROI; UN-SDG</x:v>
      </x:c>
      <x:c r="T132" s="14" t="str">
        <x:v>G47 Handel; K Versicherungen; M72 F&amp;E</x:v>
      </x:c>
      <x:c r="U132" s="14" t="str">
        <x:v>Legacy / nicht explizit versioniert</x:v>
      </x:c>
      <x:c r="V132" s="51" t="str"/>
      <x:c r="W132" s="14" t="str">
        <x:v>Migration auf NACE Rev. 2.1 erforderlich</x:v>
      </x:c>
      <x:c r="X132" s="14" t="str">
        <x:v>Programm/Portfolio/Systemraum; Empfängergruppe, Region und Zeitraum explizit definieren</x:v>
      </x:c>
      <x:c r="Y132" s="14" t="str">
        <x:v>Siehe Quelle: Definition gemäß Standard (ESRS/GRI/Taxonomie/ISO).</x:v>
      </x:c>
      <x:c r="Z132" s="14" t="str">
        <x:v>Primärdaten bevorzugt; Sekundärdaten nur transparent und versioniert; Methode und Systemgrenze dokumentieren</x:v>
      </x:c>
      <x:c r="AA132" s="14" t="str">
        <x:v>Limited Assurance; risikobasiert höhere Prüftiefe</x:v>
      </x:c>
      <x:c r="AB132" s="14" t="str">
        <x:v>Fachlogik nicht abschließend operationalisiert</x:v>
      </x:c>
      <x:c r="AC132" s="14" t="str">
        <x:v>Kritisch</x:v>
      </x:c>
      <x:c r="AD132" s="14" t="str">
        <x:v>SROI/SDG 17 ist keine hinreichend konkrete Mess- oder Schwellenquelle. Vollständige fünfstufige numerische Regel.</x:v>
      </x:c>
      <x:c r="AE132" s="14" t="str">
        <x:v>v1.4</x:v>
      </x:c>
      <x:c r="AF132" s="52" t="str">
        <x:v>2026-08-16</x:v>
      </x:c>
      <x:c r="AG132" s="52"/>
    </x:row>
    <x:row r="133" ht="42" customHeight="1">
      <x:c r="A133" s="14" t="str">
        <x:v>WOK-SYS-115</x:v>
      </x:c>
      <x:c r="B133" s="14" t="str">
        <x:v>SDG 5 – Gleichstellung</x:v>
      </x:c>
      <x:c r="C133" s="14" t="str">
        <x:v>5.5</x:v>
      </x:c>
      <x:c r="D133" s="14" t="str">
        <x:v>Kulturwandel &amp; Vorbilder</x:v>
      </x:c>
      <x:c r="E133" s="14" t="str">
        <x:v>Kulturwandel &amp; Vorbilder – Kooperationen</x:v>
      </x:c>
      <x:c r="F133" s="14" t="str">
        <x:v>aktive, evaluierte Partnerschaften/Jahr</x:v>
      </x:c>
      <x:c r="G133" s="14" t="str">
        <x:v>#/Jahr</x:v>
      </x:c>
      <x:c r="H133" s="14" t="str">
        <x:v>higher_is_better</x:v>
      </x:c>
      <x:c r="I133" s="14" t="str">
        <x:v>R20</x:v>
      </x:c>
      <x:c r="J133" s="14" t="str">
        <x:v>≥5:+3; 3–4:+2; 1–2:0; 0:‑2</x:v>
      </x:c>
      <x:c r="K133" s="14" t="str">
        <x:v>Feste WÖk-Grobkalibrierung</x:v>
      </x:c>
      <x:c r="L133" s="14" t="str">
        <x:v>Klasse −3 nur für negative/unzulässige Werte ergänzt</x:v>
      </x:c>
      <x:c r="M133" s="14" t="str">
        <x:v>WÖk-interne Grobkalibrierung</x:v>
      </x:c>
      <x:c r="N133" s="14" t="str">
        <x:v>Optional/Nein</x:v>
      </x:c>
      <x:c r="O133" s="14" t="str">
        <x:v>SROI/SDG17</x:v>
      </x:c>
      <x:c r="P133" s="14" t="str">
        <x:v>SDG 16/17, WJP, V‑Dem</x:v>
      </x:c>
      <x:c r="Q133" s="14" t="str">
        <x:v>Methodischer Platzhalter; konkrete Fach- und Primärdatenquelle erforderlich</x:v>
      </x:c>
      <x:c r="R133" s="14" t="str">
        <x:v>Platzhalter – fachliche Operationalisierung offen</x:v>
      </x:c>
      <x:c r="S133" s="14" t="str">
        <x:v>INT-WOEK-TSROI; SVI-SROI; UN-SDG</x:v>
      </x:c>
      <x:c r="T133" s="14" t="str">
        <x:v>G47 Handel; K Versicherungen; M72 F&amp;E</x:v>
      </x:c>
      <x:c r="U133" s="14" t="str">
        <x:v>Legacy / nicht explizit versioniert</x:v>
      </x:c>
      <x:c r="V133" s="51" t="str"/>
      <x:c r="W133" s="14" t="str">
        <x:v>Migration auf NACE Rev. 2.1 erforderlich</x:v>
      </x:c>
      <x:c r="X133" s="14" t="str">
        <x:v>Programm/Portfolio/Systemraum; Empfängergruppe, Region und Zeitraum explizit definieren</x:v>
      </x:c>
      <x:c r="Y133" s="14" t="str">
        <x:v>Siehe Quelle: Definition gemäß Standard (ESRS/GRI/Taxonomie/ISO).</x:v>
      </x:c>
      <x:c r="Z133" s="14" t="str">
        <x:v>Primärdaten bevorzugt; Sekundärdaten nur transparent und versioniert; Methode und Systemgrenze dokumentieren</x:v>
      </x:c>
      <x:c r="AA133" s="14" t="str">
        <x:v>Limited Assurance; risikobasiert höhere Prüftiefe</x:v>
      </x:c>
      <x:c r="AB133" s="14" t="str">
        <x:v>Fachlogik nicht abschließend operationalisiert</x:v>
      </x:c>
      <x:c r="AC133" s="14" t="str">
        <x:v>Kritisch</x:v>
      </x:c>
      <x:c r="AD133" s="14" t="str">
        <x:v>SROI/SDG 17 ist keine hinreichend konkrete Mess- oder Schwellenquelle. Für sachlogisch nichtnegative Zählwerte ist 0 die schlechteste reguläre Klasse (−2).</x:v>
      </x:c>
      <x:c r="AE133" s="14" t="str">
        <x:v>v1.4</x:v>
      </x:c>
      <x:c r="AF133" s="52" t="str">
        <x:v>2026-08-16</x:v>
      </x:c>
      <x:c r="AG133" s="52"/>
    </x:row>
    <x:row r="134" ht="42" customHeight="1">
      <x:c r="A134" s="14" t="str">
        <x:v>WOK-S-143</x:v>
      </x:c>
      <x:c r="B134" s="14" t="str">
        <x:v>SDG 5 – Gleichstellung</x:v>
      </x:c>
      <x:c r="C134" s="14" t="str">
        <x:v>5.5</x:v>
      </x:c>
      <x:c r="D134" s="14" t="str">
        <x:v>Gender‑Training</x:v>
      </x:c>
      <x:c r="E134" s="14" t="str">
        <x:v>Gender‑Training – Living Wage</x:v>
      </x:c>
      <x:c r="F134" s="14" t="str">
        <x:v>Abdeckung Lebenslohn</x:v>
      </x:c>
      <x:c r="G134" s="14" t="str">
        <x:v>% Beschäftigte</x:v>
      </x:c>
      <x:c r="H134" s="14" t="str">
        <x:v>higher_is_better</x:v>
      </x:c>
      <x:c r="I134" s="14" t="str">
        <x:v>R27</x:v>
      </x:c>
      <x:c r="J134" s="14" t="str">
        <x:v>≥95:+3; 80–94:+2; 60–79:0; 40–59:‑2; &lt;40:‑3</x:v>
      </x:c>
      <x:c r="K134" s="14" t="str">
        <x:v>Feste WÖk-Kalibrierung</x:v>
      </x:c>
      <x:c r="L134" s="14" t="str">
        <x:v>Arbeitskalibrierung – fachlich zu validieren</x:v>
      </x:c>
      <x:c r="M134" s="14" t="str">
        <x:v>WÖk-interne Klassenlogik</x:v>
      </x:c>
      <x:c r="N134" s="14" t="str">
        <x:v>Optional/Nein</x:v>
      </x:c>
      <x:c r="O134" s="14" t="str">
        <x:v>ESRS S1; GRI 401/403/405/406</x:v>
      </x:c>
      <x:c r="P134" s="14" t="str">
        <x:v>ESRS S1, GRI 401/403/405/406, ILO</x:v>
      </x:c>
      <x:c r="Q134" s="14" t="str">
        <x:v>Mess-, Berichts- oder Managementrahmen; Schwellen sind grundsätzlich WÖk-Kalibrierungen</x:v>
      </x:c>
      <x:c r="R134" s="14" t="str">
        <x:v>Messgrundlage belegt; Schwellenkalibrierung offen</x:v>
      </x:c>
      <x:c r="S134" s="14" t="str">
        <x:v>EU-ESRS; GRI; ISO-45001; ILO-LW; ILO-CORE</x:v>
      </x:c>
      <x:c r="T134" s="14" t="str">
        <x:v>G47 Handel; K Versicherungen; M72 F&amp;E</x:v>
      </x:c>
      <x:c r="U134" s="14" t="str">
        <x:v>Legacy / nicht explizit versioniert</x:v>
      </x:c>
      <x:c r="V134" s="51" t="str"/>
      <x:c r="W134" s="14" t="str">
        <x:v>Migration auf NACE Rev. 2.1 erforderlich</x:v>
      </x:c>
      <x:c r="X134" s="14" t="str">
        <x:v>Eigene Belegschaft/Organisation; FTE, Beschäftigtengruppe und Zeitraum</x:v>
      </x:c>
      <x:c r="Y134" s="14" t="str">
        <x:v>Anteil Beschäftigte ≥ Living Wage (zertifizierte Methodik).</x:v>
      </x:c>
      <x:c r="Z134" s="14" t="str">
        <x:v>Primärdaten bevorzugt; Sekundärdaten nur transparent und versioniert; Methode und Systemgrenze dokumentieren</x:v>
      </x:c>
      <x:c r="AA134" s="14" t="str">
        <x:v>Limited Assurance; risikobasiert höhere Prüftiefe</x:v>
      </x:c>
      <x:c r="AB134" s="14" t="str">
        <x:v>Strukturell nutzbar; Schwellen fachlich zu validieren</x:v>
      </x:c>
      <x:c r="AC134" s="14" t="str">
        <x:v>Mittel</x:v>
      </x:c>
      <x:c r="AD134" s="14" t="str">
        <x:v>Vollständige fünfstufige numerische Regel.</x:v>
      </x:c>
      <x:c r="AE134" s="14" t="str">
        <x:v>v1.4</x:v>
      </x:c>
      <x:c r="AF134" s="52" t="str">
        <x:v>2026-08-16</x:v>
      </x:c>
      <x:c r="AG134" s="52"/>
    </x:row>
    <x:row r="135" ht="42" customHeight="1">
      <x:c r="A135" s="14" t="str">
        <x:v>WOK-S-144</x:v>
      </x:c>
      <x:c r="B135" s="14" t="str">
        <x:v>SDG 5 – Gleichstellung</x:v>
      </x:c>
      <x:c r="C135" s="14" t="str">
        <x:v>5.5</x:v>
      </x:c>
      <x:c r="D135" s="14" t="str">
        <x:v>Gender‑Training</x:v>
      </x:c>
      <x:c r="E135" s="14" t="str">
        <x:v>Gender‑Training – Tarifbindung</x:v>
      </x:c>
      <x:c r="F135" s="14" t="str">
        <x:v>Beschäftigte unter Kollektivvertrag</x:v>
      </x:c>
      <x:c r="G135" s="14" t="str">
        <x:v>%</x:v>
      </x:c>
      <x:c r="H135" s="14" t="str">
        <x:v>higher_is_better</x:v>
      </x:c>
      <x:c r="I135" s="14" t="str">
        <x:v>R26</x:v>
      </x:c>
      <x:c r="J135" s="14" t="str">
        <x:v>≥90:+3; 70–89:+2; 50–69:0; 30–49:‑2; &lt;30:‑3</x:v>
      </x:c>
      <x:c r="K135" s="14" t="str">
        <x:v>Feste WÖk-Kalibrierung</x:v>
      </x:c>
      <x:c r="L135" s="14" t="str">
        <x:v>Arbeitskalibrierung – fachlich zu validieren</x:v>
      </x:c>
      <x:c r="M135" s="14" t="str">
        <x:v>WÖk-interne Klassenlogik</x:v>
      </x:c>
      <x:c r="N135" s="14" t="str">
        <x:v>Optional/Nein</x:v>
      </x:c>
      <x:c r="O135" s="14" t="str">
        <x:v>ESRS S1; GRI 401/403/405/406</x:v>
      </x:c>
      <x:c r="P135" s="14" t="str">
        <x:v>ESRS S1, GRI 401/403/405/406, ILO</x:v>
      </x:c>
      <x:c r="Q135" s="14" t="str">
        <x:v>Mess-, Berichts- oder Managementrahmen; Schwellen sind grundsätzlich WÖk-Kalibrierungen</x:v>
      </x:c>
      <x:c r="R135" s="14" t="str">
        <x:v>Messgrundlage belegt; Schwellenkalibrierung offen</x:v>
      </x:c>
      <x:c r="S135" s="14" t="str">
        <x:v>EU-ESRS; GRI; ISO-45001; ILO-LW; ILO-CORE</x:v>
      </x:c>
      <x:c r="T135" s="14" t="str">
        <x:v>G47 Handel; K Versicherungen; M72 F&amp;E</x:v>
      </x:c>
      <x:c r="U135" s="14" t="str">
        <x:v>Legacy / nicht explizit versioniert</x:v>
      </x:c>
      <x:c r="V135" s="51" t="str"/>
      <x:c r="W135" s="14" t="str">
        <x:v>Migration auf NACE Rev. 2.1 erforderlich</x:v>
      </x:c>
      <x:c r="X135" s="14" t="str">
        <x:v>Eigene Belegschaft/Organisation; FTE, Beschäftigtengruppe und Zeitraum</x:v>
      </x:c>
      <x:c r="Y135" s="14" t="str">
        <x:v>Quote = Zähler / Nenner gemäß Quelle; in %.</x:v>
      </x:c>
      <x:c r="Z135" s="14" t="str">
        <x:v>Primärdaten bevorzugt; Sekundärdaten nur transparent und versioniert; Methode und Systemgrenze dokumentieren</x:v>
      </x:c>
      <x:c r="AA135" s="14" t="str">
        <x:v>Limited Assurance; risikobasiert höhere Prüftiefe</x:v>
      </x:c>
      <x:c r="AB135" s="14" t="str">
        <x:v>Strukturell nutzbar; Schwellen fachlich zu validieren</x:v>
      </x:c>
      <x:c r="AC135" s="14" t="str">
        <x:v>Mittel</x:v>
      </x:c>
      <x:c r="AD135" s="14" t="str">
        <x:v>Vollständige fünfstufige numerische Regel.</x:v>
      </x:c>
      <x:c r="AE135" s="14" t="str">
        <x:v>v1.4</x:v>
      </x:c>
      <x:c r="AF135" s="52" t="str">
        <x:v>2026-08-16</x:v>
      </x:c>
      <x:c r="AG135" s="52"/>
    </x:row>
    <x:row r="136" ht="42" customHeight="1">
      <x:c r="A136" s="14" t="str">
        <x:v>WOK-S-145</x:v>
      </x:c>
      <x:c r="B136" s="14" t="str">
        <x:v>SDG 5 – Gleichstellung</x:v>
      </x:c>
      <x:c r="C136" s="14" t="str">
        <x:v>5.5</x:v>
      </x:c>
      <x:c r="D136" s="14" t="str">
        <x:v>Gender‑Training</x:v>
      </x:c>
      <x:c r="E136" s="14" t="str">
        <x:v>Gender‑Training – LTIFR</x:v>
      </x:c>
      <x:c r="F136" s="14" t="str">
        <x:v>Arbeitsunfälle pro Mio Stunden</x:v>
      </x:c>
      <x:c r="G136" s="14" t="str">
        <x:v>Unfälle/Mio Std.</x:v>
      </x:c>
      <x:c r="H136" s="14" t="str">
        <x:v>lower_is_better</x:v>
      </x:c>
      <x:c r="I136" s="14" t="str">
        <x:v>R02</x:v>
      </x:c>
      <x:c r="J136" s="14" t="str">
        <x:v>0:+3; ≤1:+2; ≤3:0; ≤5:‑2; &gt;5:‑3</x:v>
      </x:c>
      <x:c r="K136" s="14" t="str">
        <x:v>Feste WÖk-Kalibrierung</x:v>
      </x:c>
      <x:c r="L136" s="14" t="str">
        <x:v>Arbeitskalibrierung – fachlich zu validieren</x:v>
      </x:c>
      <x:c r="M136" s="14" t="str">
        <x:v>WÖk-interne Klassenlogik</x:v>
      </x:c>
      <x:c r="N136" s="14" t="str">
        <x:v>Optional/Nein</x:v>
      </x:c>
      <x:c r="O136" s="14" t="str">
        <x:v>ESRS S1; GRI 401/403/405/406</x:v>
      </x:c>
      <x:c r="P136" s="14" t="str">
        <x:v>ESRS S1, GRI 401/403/405/406, ILO</x:v>
      </x:c>
      <x:c r="Q136" s="14" t="str">
        <x:v>Mess-, Berichts- oder Managementrahmen; Schwellen sind grundsätzlich WÖk-Kalibrierungen</x:v>
      </x:c>
      <x:c r="R136" s="14" t="str">
        <x:v>Messgrundlage belegt; Schwellenkalibrierung offen</x:v>
      </x:c>
      <x:c r="S136" s="14" t="str">
        <x:v>EU-ESRS; GRI; ISO-45001; ILO-LW; ILO-CORE</x:v>
      </x:c>
      <x:c r="T136" s="14" t="str">
        <x:v>G47 Handel; K Versicherungen; M72 F&amp;E</x:v>
      </x:c>
      <x:c r="U136" s="14" t="str">
        <x:v>Legacy / nicht explizit versioniert</x:v>
      </x:c>
      <x:c r="V136" s="51" t="str"/>
      <x:c r="W136" s="14" t="str">
        <x:v>Migration auf NACE Rev. 2.1 erforderlich</x:v>
      </x:c>
      <x:c r="X136" s="14" t="str">
        <x:v>Eigene Belegschaft/Organisation; FTE, Beschäftigtengruppe und Zeitraum</x:v>
      </x:c>
      <x:c r="Y136" s="14" t="str">
        <x:v>LTIFR = Unfälle mit Ausfallzeit / 1 Mio. Std. (ILO/GRI 403).</x:v>
      </x:c>
      <x:c r="Z136" s="14" t="str">
        <x:v>Primärdaten bevorzugt; Sekundärdaten nur transparent und versioniert; Methode und Systemgrenze dokumentieren</x:v>
      </x:c>
      <x:c r="AA136" s="14" t="str">
        <x:v>Limited Assurance; risikobasiert höhere Prüftiefe</x:v>
      </x:c>
      <x:c r="AB136" s="14" t="str">
        <x:v>Strukturell nutzbar; Schwellen fachlich zu validieren</x:v>
      </x:c>
      <x:c r="AC136" s="14" t="str">
        <x:v>Mittel</x:v>
      </x:c>
      <x:c r="AD136" s="14" t="str">
        <x:v>Vollständige fünfstufige numerische Regel.</x:v>
      </x:c>
      <x:c r="AE136" s="14" t="str">
        <x:v>v1.4</x:v>
      </x:c>
      <x:c r="AF136" s="52" t="str">
        <x:v>2026-08-16</x:v>
      </x:c>
      <x:c r="AG136" s="52"/>
    </x:row>
    <x:row r="137" ht="42" customHeight="1">
      <x:c r="A137" s="14" t="str">
        <x:v>WOK-G-128</x:v>
      </x:c>
      <x:c r="B137" s="14" t="str">
        <x:v>SDG 5 – Gleichstellung</x:v>
      </x:c>
      <x:c r="C137" s="14" t="str">
        <x:v>5.c</x:v>
      </x:c>
      <x:c r="D137" s="14" t="str">
        <x:v>Transparenz Lohnbänder</x:v>
      </x:c>
      <x:c r="E137" s="14" t="str">
        <x:v>Transparenz Lohnbänder – Antikorruption</x:v>
      </x:c>
      <x:c r="F137" s="14" t="str">
        <x:v>Bestätigte Fälle/1.000 FTE</x:v>
      </x:c>
      <x:c r="G137" s="14" t="str">
        <x:v>Fälle/1.000 FTE</x:v>
      </x:c>
      <x:c r="H137" s="14" t="str">
        <x:v>lower_is_better</x:v>
      </x:c>
      <x:c r="I137" s="14" t="str">
        <x:v>R01</x:v>
      </x:c>
      <x:c r="J137" s="14" t="str">
        <x:v>0:+3; ≤0,2:+2; ≤0,5:0; ≤1:‑2; &gt;1:‑3</x:v>
      </x:c>
      <x:c r="K137" s="14" t="str">
        <x:v>Feste WÖk-Kalibrierung</x:v>
      </x:c>
      <x:c r="L137" s="14" t="str">
        <x:v>Arbeitskalibrierung – fachlich zu validieren</x:v>
      </x:c>
      <x:c r="M137" s="14" t="str">
        <x:v>WÖk-interne Klassenlogik</x:v>
      </x:c>
      <x:c r="N137" s="14" t="str">
        <x:v>Optional/Nein</x:v>
      </x:c>
      <x:c r="O137" s="14" t="str">
        <x:v>ESRS G1; GRI 205/207</x:v>
      </x:c>
      <x:c r="P137" s="14" t="str">
        <x:v>ESRS S1, GRI 401/403/405/406, ILO</x:v>
      </x:c>
      <x:c r="Q137" s="14" t="str">
        <x:v>Mess-, Berichts- oder Managementrahmen; Schwellen sind grundsätzlich WÖk-Kalibrierungen</x:v>
      </x:c>
      <x:c r="R137" s="14" t="str">
        <x:v>Messgrundlage belegt; Schwellenkalibrierung offen</x:v>
      </x:c>
      <x:c r="S137" s="14" t="str">
        <x:v>EU-ESRS; GRI; OECD-AB</x:v>
      </x:c>
      <x:c r="T137" s="14" t="str">
        <x:v>G47 Handel; K Versicherungen; M72 F&amp;E</x:v>
      </x:c>
      <x:c r="U137" s="14" t="str">
        <x:v>Legacy / nicht explizit versioniert</x:v>
      </x:c>
      <x:c r="V137" s="51" t="str"/>
      <x:c r="W137" s="14" t="str">
        <x:v>Migration auf NACE Rev. 2.1 erforderlich</x:v>
      </x:c>
      <x:c r="X137" s="14" t="str">
        <x:v>Organisation/Governance; konsolidierter Kreis und relevante Rechtseinheiten</x:v>
      </x:c>
      <x:c r="Y137" s="14" t="str">
        <x:v>Siehe Quelle: Definition gemäß Standard (ESRS/GRI/Taxonomie/ISO).</x:v>
      </x:c>
      <x:c r="Z137" s="14" t="str">
        <x:v>Primärdaten bevorzugt; Sekundärdaten nur transparent und versioniert; Methode und Systemgrenze dokumentieren</x:v>
      </x:c>
      <x:c r="AA137" s="14" t="str">
        <x:v>Limited Assurance; risikobasiert höhere Prüftiefe</x:v>
      </x:c>
      <x:c r="AB137" s="14" t="str">
        <x:v>Strukturell nutzbar; Schwellen fachlich zu validieren</x:v>
      </x:c>
      <x:c r="AC137" s="14" t="str">
        <x:v>Mittel</x:v>
      </x:c>
      <x:c r="AD137" s="14" t="str">
        <x:v>Vollständige fünfstufige numerische Regel.</x:v>
      </x:c>
      <x:c r="AE137" s="14" t="str">
        <x:v>v1.4</x:v>
      </x:c>
      <x:c r="AF137" s="52" t="str">
        <x:v>2026-08-16</x:v>
      </x:c>
      <x:c r="AG137" s="52"/>
    </x:row>
    <x:row r="138" ht="42" customHeight="1">
      <x:c r="A138" s="14" t="str">
        <x:v>WOK-G-129</x:v>
      </x:c>
      <x:c r="B138" s="14" t="str">
        <x:v>SDG 5 – Gleichstellung</x:v>
      </x:c>
      <x:c r="C138" s="14" t="str">
        <x:v>5.c</x:v>
      </x:c>
      <x:c r="D138" s="14" t="str">
        <x:v>Transparenz Lohnbänder</x:v>
      </x:c>
      <x:c r="E138" s="14" t="str">
        <x:v>Transparenz Lohnbänder – Whistleblowing</x:v>
      </x:c>
      <x:c r="F138" s="14" t="str">
        <x:v>Wirksamkeits‑Score</x:v>
      </x:c>
      <x:c r="G138" s="14" t="str">
        <x:v>0–1</x:v>
      </x:c>
      <x:c r="H138" s="14" t="str">
        <x:v>higher_is_better</x:v>
      </x:c>
      <x:c r="I138" s="14" t="str">
        <x:v>R16</x:v>
      </x:c>
      <x:c r="J138" s="14" t="str">
        <x:v>≥0,9:+3; 0,75–0,89:+2; 0,6–0,74:0; 0,4–0,59:‑2; &lt;0,4:‑3</x:v>
      </x:c>
      <x:c r="K138" s="14" t="str">
        <x:v>Feste WÖk-Kalibrierung</x:v>
      </x:c>
      <x:c r="L138" s="14" t="str">
        <x:v>Arbeitskalibrierung – fachlich zu validieren</x:v>
      </x:c>
      <x:c r="M138" s="14" t="str">
        <x:v>WÖk-interne Klassenlogik</x:v>
      </x:c>
      <x:c r="N138" s="14" t="str">
        <x:v>Optional/Nein</x:v>
      </x:c>
      <x:c r="O138" s="14" t="str">
        <x:v>ESRS G1; GRI 205/207</x:v>
      </x:c>
      <x:c r="P138" s="14" t="str">
        <x:v>ESRS S1, GRI 401/403/405/406, ILO</x:v>
      </x:c>
      <x:c r="Q138" s="14" t="str">
        <x:v>Mess-, Berichts- oder Managementrahmen; Schwellen sind grundsätzlich WÖk-Kalibrierungen</x:v>
      </x:c>
      <x:c r="R138" s="14" t="str">
        <x:v>Messgrundlage belegt; Schwellenkalibrierung offen</x:v>
      </x:c>
      <x:c r="S138" s="14" t="str">
        <x:v>EU-ESRS; GRI; OECD-AB</x:v>
      </x:c>
      <x:c r="T138" s="14" t="str">
        <x:v>G47 Handel; K Versicherungen; M72 F&amp;E</x:v>
      </x:c>
      <x:c r="U138" s="14" t="str">
        <x:v>Legacy / nicht explizit versioniert</x:v>
      </x:c>
      <x:c r="V138" s="51" t="str"/>
      <x:c r="W138" s="14" t="str">
        <x:v>Migration auf NACE Rev. 2.1 erforderlich</x:v>
      </x:c>
      <x:c r="X138" s="14" t="str">
        <x:v>Organisation/Governance; konsolidierter Kreis und relevante Rechtseinheiten</x:v>
      </x:c>
      <x:c r="Y138" s="14" t="str">
        <x:v>Siehe Quelle: Definition gemäß Standard (ESRS/GRI/Taxonomie/ISO).</x:v>
      </x:c>
      <x:c r="Z138" s="14" t="str">
        <x:v>Primärdaten bevorzugt; Sekundärdaten nur transparent und versioniert; Methode und Systemgrenze dokumentieren</x:v>
      </x:c>
      <x:c r="AA138" s="14" t="str">
        <x:v>Limited Assurance; risikobasiert höhere Prüftiefe</x:v>
      </x:c>
      <x:c r="AB138" s="14" t="str">
        <x:v>Strukturell nutzbar; Schwellen fachlich zu validieren</x:v>
      </x:c>
      <x:c r="AC138" s="14" t="str">
        <x:v>Mittel</x:v>
      </x:c>
      <x:c r="AD138" s="14" t="str">
        <x:v>Vollständige fünfstufige numerische Regel.</x:v>
      </x:c>
      <x:c r="AE138" s="14" t="str">
        <x:v>v1.4</x:v>
      </x:c>
      <x:c r="AF138" s="52" t="str">
        <x:v>2026-08-16</x:v>
      </x:c>
      <x:c r="AG138" s="52"/>
    </x:row>
    <x:row r="139" ht="42" customHeight="1">
      <x:c r="A139" s="14" t="str">
        <x:v>WOK-G-130</x:v>
      </x:c>
      <x:c r="B139" s="14" t="str">
        <x:v>SDG 5 – Gleichstellung</x:v>
      </x:c>
      <x:c r="C139" s="14" t="str">
        <x:v>5.c</x:v>
      </x:c>
      <x:c r="D139" s="14" t="str">
        <x:v>Transparenz Lohnbänder</x:v>
      </x:c>
      <x:c r="E139" s="14" t="str">
        <x:v>Transparenz Lohnbänder – Steuertransparenz</x:v>
      </x:c>
      <x:c r="F139" s="14" t="str">
        <x:v>CbCR‑Offenlegung</x:v>
      </x:c>
      <x:c r="G139" s="14" t="str">
        <x:v>0–1</x:v>
      </x:c>
      <x:c r="H139" s="14" t="str">
        <x:v>higher_is_better</x:v>
      </x:c>
      <x:c r="I139" s="14" t="str">
        <x:v>R08</x:v>
      </x:c>
      <x:c r="J139" s="14" t="str">
        <x:v>vollständig:+3; teilweise:+2; minimal:0; schlecht:‑2</x:v>
      </x:c>
      <x:c r="K139" s="14" t="str">
        <x:v>Qualitativ</x:v>
      </x:c>
      <x:c r="L139" s="14" t="str">
        <x:v>Assurance und Kriterienkatalog erforderlich</x:v>
      </x:c>
      <x:c r="M139" s="14" t="str">
        <x:v>WÖk-interne Kategorien</x:v>
      </x:c>
      <x:c r="N139" s="14" t="str">
        <x:v>Optional/Nein</x:v>
      </x:c>
      <x:c r="O139" s="14" t="str">
        <x:v>ESRS G1; GRI 205/207</x:v>
      </x:c>
      <x:c r="P139" s="14" t="str">
        <x:v>ESRS S1, GRI 401/403/405/406, ILO</x:v>
      </x:c>
      <x:c r="Q139" s="14" t="str">
        <x:v>Mess-, Berichts- oder Managementrahmen; Schwellen sind grundsätzlich WÖk-Kalibrierungen</x:v>
      </x:c>
      <x:c r="R139" s="14" t="str">
        <x:v>Messgrundlage belegt; Schwellenkalibrierung offen</x:v>
      </x:c>
      <x:c r="S139" s="14" t="str">
        <x:v>EU-ESRS; GRI; OECD-AB</x:v>
      </x:c>
      <x:c r="T139" s="14" t="str">
        <x:v>G47 Handel; K Versicherungen; M72 F&amp;E</x:v>
      </x:c>
      <x:c r="U139" s="14" t="str">
        <x:v>Legacy / nicht explizit versioniert</x:v>
      </x:c>
      <x:c r="V139" s="51" t="str"/>
      <x:c r="W139" s="14" t="str">
        <x:v>Migration auf NACE Rev. 2.1 erforderlich</x:v>
      </x:c>
      <x:c r="X139" s="14" t="str">
        <x:v>Organisation/Governance; konsolidierter Kreis und relevante Rechtseinheiten</x:v>
      </x:c>
      <x:c r="Y139" s="14" t="str">
        <x:v>Siehe Quelle: Definition gemäß Standard (ESRS/GRI/Taxonomie/ISO).</x:v>
      </x:c>
      <x:c r="Z139" s="14" t="str">
        <x:v>Dokumentierter Kriterienkatalog; nachvollziehbare Evidenz; DQR A/B bevorzugt</x:v>
      </x:c>
      <x:c r="AA139" s="14" t="str">
        <x:v>Unabhängige Fachprüfung/Limited Assurance; bei roten Linien Reasonable Assurance</x:v>
      </x:c>
      <x:c r="AB139" s="14" t="str">
        <x:v>Prüfung/Parametrisierung erforderlich</x:v>
      </x:c>
      <x:c r="AC139" s="14" t="str">
        <x:v>Hoch</x:v>
      </x:c>
      <x:c r="AD139" s="14" t="str">
        <x:v>Die Kategorie −3 fehlt; Vollständigkeit und Wirksamkeit sind feldspezifisch zu definieren.</x:v>
      </x:c>
      <x:c r="AE139" s="14" t="str">
        <x:v>v1.4</x:v>
      </x:c>
      <x:c r="AF139" s="52" t="str">
        <x:v>2026-08-16</x:v>
      </x:c>
      <x:c r="AG139" s="52"/>
    </x:row>
    <x:row r="140" ht="42" customHeight="1">
      <x:c r="A140" s="14" t="str">
        <x:v>WOK-E-122</x:v>
      </x:c>
      <x:c r="B140" s="14" t="str">
        <x:v>SDG 6 – Wasser</x:v>
      </x:c>
      <x:c r="C140" s="14" t="str">
        <x:v>6.4</x:v>
      </x:c>
      <x:c r="D140" s="14" t="str">
        <x:v>Wasserentnahme (WSI)</x:v>
      </x:c>
      <x:c r="E140" s="14" t="str">
        <x:v>Wasserentnahme (WSI) – Entnahme (WSI)</x:v>
      </x:c>
      <x:c r="F140" s="14" t="str">
        <x:v>Wasserentnahme × Wasserstressindex</x:v>
      </x:c>
      <x:c r="G140" s="14" t="str">
        <x:v>m³*WSI</x:v>
      </x:c>
      <x:c r="H140" s="14" t="str">
        <x:v>lower_is_better</x:v>
      </x:c>
      <x:c r="I140" s="14" t="str">
        <x:v>R06</x:v>
      </x:c>
      <x:c r="J140" s="14" t="str">
        <x:v>Top‑10%:+3; Mittel:0; &gt;150%:‑2; &gt;250%:‑3</x:v>
      </x:c>
      <x:c r="K140" s="14" t="str">
        <x:v>Benchmarkabhängig</x:v>
      </x:c>
      <x:c r="L140" s="14" t="str">
        <x:v>Validierter Benchmark fehlt</x:v>
      </x:c>
      <x:c r="M140" s="14" t="str">
        <x:v>Branche/Region/Technologie</x:v>
      </x:c>
      <x:c r="N140" s="14" t="str">
        <x:v>Ja</x:v>
      </x:c>
      <x:c r="O140" s="14" t="str">
        <x:v>ESRS E3; WRI Aqueduct</x:v>
      </x:c>
      <x:c r="P140" s="14" t="str">
        <x:v>ESRS E3, WRI Aqueduct, ISO 14046 (Water Footprint)</x:v>
      </x:c>
      <x:c r="Q140" s="14" t="str">
        <x:v>Mess-/Methodenrahmen; aktiver Branchen-/Regional-/Technologiebenchmark separat erforderlich</x:v>
      </x:c>
      <x:c r="R140" s="14" t="str">
        <x:v>Teilbelegt – Benchmarkquelle fehlt</x:v>
      </x:c>
      <x:c r="S140" s="14" t="str">
        <x:v>EU-ESRS; WRI-AQ; ISO-14046</x:v>
      </x:c>
      <x:c r="T140" s="14" t="str">
        <x:v>C20 Chemie; C24 Stahl; C29 Fahrzeuge</x:v>
      </x:c>
      <x:c r="U140" s="14" t="str">
        <x:v>Legacy / nicht explizit versioniert</x:v>
      </x:c>
      <x:c r="V140" s="51" t="str"/>
      <x:c r="W140" s="14" t="str">
        <x:v>Migration auf NACE Rev. 2.1 erforderlich</x:v>
      </x:c>
      <x:c r="X140" s="14" t="str">
        <x:v>Standort/Prozess/Aktivität; Bezugsgröße und relevante Umweltmedien</x:v>
      </x:c>
      <x:c r="Y140" s="14" t="str">
        <x:v>∑(m³ Standort × WRI‑Aqueduct‑Stressfaktor).</x:v>
      </x:c>
      <x:c r="Z140" s="14" t="str">
        <x:v>Primärdaten plus repräsentativer, versionierter Benchmarkdatensatz; Stichprobe und Population offenlegen</x:v>
      </x:c>
      <x:c r="AA140" s="14" t="str">
        <x:v>Messwert-Assurance und unabhängige Benchmark-Governance</x:v>
      </x:c>
      <x:c r="AB140" s="14" t="str">
        <x:v>Prüfung/Parametrisierung erforderlich</x:v>
      </x:c>
      <x:c r="AC140" s="14" t="str">
        <x:v>Hoch</x:v>
      </x:c>
      <x:c r="AD140" s="14" t="str">
        <x:v>Top-10-Prozent, Mittelwert, 150 % und 250 % müssen aus einer dokumentierten Grundgesamtheit stammen.</x:v>
      </x:c>
      <x:c r="AE140" s="14" t="str">
        <x:v>v1.4</x:v>
      </x:c>
      <x:c r="AF140" s="52" t="str">
        <x:v>2026-08-16</x:v>
      </x:c>
      <x:c r="AG140" s="52"/>
    </x:row>
    <x:row r="141" ht="42" customHeight="1">
      <x:c r="A141" s="14" t="str">
        <x:v>WOK-E-123</x:v>
      </x:c>
      <x:c r="B141" s="14" t="str">
        <x:v>SDG 6 – Wasser</x:v>
      </x:c>
      <x:c r="C141" s="14" t="str">
        <x:v>6.4</x:v>
      </x:c>
      <x:c r="D141" s="14" t="str">
        <x:v>Wasserentnahme (WSI)</x:v>
      </x:c>
      <x:c r="E141" s="14" t="str">
        <x:v>Wasserentnahme (WSI) – Reuse</x:v>
      </x:c>
      <x:c r="F141" s="14" t="str">
        <x:v>Anteil wiederverwendetes Prozesswasser</x:v>
      </x:c>
      <x:c r="G141" s="14" t="str">
        <x:v>%</x:v>
      </x:c>
      <x:c r="H141" s="14" t="str">
        <x:v>higher_is_better</x:v>
      </x:c>
      <x:c r="I141" s="14" t="str">
        <x:v>R25</x:v>
      </x:c>
      <x:c r="J141" s="14" t="str">
        <x:v>≥90%:+3; 70–89%:+2; 50–69%:0; 30–49%:‑2; &lt;30%:‑3</x:v>
      </x:c>
      <x:c r="K141" s="14" t="str">
        <x:v>Feste WÖk-Kalibrierung</x:v>
      </x:c>
      <x:c r="L141" s="14" t="str">
        <x:v>Arbeitskalibrierung – fachlich zu validieren</x:v>
      </x:c>
      <x:c r="M141" s="14" t="str">
        <x:v>WÖk-interne Klassenlogik</x:v>
      </x:c>
      <x:c r="N141" s="14" t="str">
        <x:v>Optional/Nein</x:v>
      </x:c>
      <x:c r="O141" s="14" t="str">
        <x:v>ESRS E3; WRI Aqueduct</x:v>
      </x:c>
      <x:c r="P141" s="14" t="str">
        <x:v>ESRS E3, WRI Aqueduct, ISO 14046 (Water Footprint)</x:v>
      </x:c>
      <x:c r="Q141" s="14" t="str">
        <x:v>Mess-, Berichts- oder Managementrahmen; Schwellen sind grundsätzlich WÖk-Kalibrierungen</x:v>
      </x:c>
      <x:c r="R141" s="14" t="str">
        <x:v>Messgrundlage belegt; Schwellenkalibrierung offen</x:v>
      </x:c>
      <x:c r="S141" s="14" t="str">
        <x:v>EU-ESRS; WRI-AQ; ISO-14046</x:v>
      </x:c>
      <x:c r="T141" s="14" t="str">
        <x:v>C20 Chemie; C24 Stahl; C29 Fahrzeuge</x:v>
      </x:c>
      <x:c r="U141" s="14" t="str">
        <x:v>Legacy / nicht explizit versioniert</x:v>
      </x:c>
      <x:c r="V141" s="51" t="str"/>
      <x:c r="W141" s="14" t="str">
        <x:v>Migration auf NACE Rev. 2.1 erforderlich</x:v>
      </x:c>
      <x:c r="X141" s="14" t="str">
        <x:v>Standort/Prozess/Aktivität; Bezugsgröße und relevante Umweltmedien</x:v>
      </x:c>
      <x:c r="Y141" s="14" t="str">
        <x:v>∑(m³ Standort × WRI‑Aqueduct‑Stressfaktor).</x:v>
      </x:c>
      <x:c r="Z141" s="14" t="str">
        <x:v>Primärdaten bevorzugt; Sekundärdaten nur transparent und versioniert; Methode und Systemgrenze dokumentieren</x:v>
      </x:c>
      <x:c r="AA141" s="14" t="str">
        <x:v>Limited Assurance; risikobasiert höhere Prüftiefe</x:v>
      </x:c>
      <x:c r="AB141" s="14" t="str">
        <x:v>Strukturell nutzbar; Schwellen fachlich zu validieren</x:v>
      </x:c>
      <x:c r="AC141" s="14" t="str">
        <x:v>Mittel</x:v>
      </x:c>
      <x:c r="AD141" s="14" t="str">
        <x:v>Vollständige fünfstufige Prozentregel.</x:v>
      </x:c>
      <x:c r="AE141" s="14" t="str">
        <x:v>v1.4</x:v>
      </x:c>
      <x:c r="AF141" s="52" t="str">
        <x:v>2026-08-16</x:v>
      </x:c>
      <x:c r="AG141" s="52"/>
    </x:row>
    <x:row r="142" ht="42" customHeight="1">
      <x:c r="A142" s="14" t="str">
        <x:v>WOK-E-124</x:v>
      </x:c>
      <x:c r="B142" s="14" t="str">
        <x:v>SDG 6 – Wasser</x:v>
      </x:c>
      <x:c r="C142" s="14" t="str">
        <x:v>6.4</x:v>
      </x:c>
      <x:c r="D142" s="14" t="str">
        <x:v>Wasserentnahme (WSI)</x:v>
      </x:c>
      <x:c r="E142" s="14" t="str">
        <x:v>Wasserentnahme (WSI) – Abwasserqualität</x:v>
      </x:c>
      <x:c r="F142" s="14" t="str">
        <x:v>Messwert in Prozent des jeweils anwendbaren Rechts- oder Genehmigungsgrenzwerts</x:v>
      </x:c>
      <x:c r="G142" s="14" t="str">
        <x:v>% des Grenzwerts</x:v>
      </x:c>
      <x:c r="H142" s="14" t="str">
        <x:v>lower_is_better</x:v>
      </x:c>
      <x:c r="I142" s="14" t="str">
        <x:v>R12</x:v>
      </x:c>
      <x:c r="J142" s="14" t="str">
        <x:v>≤50% Grenzwert:+3; ≤75%:+2; ≤100%:0; 101–120%:‑2; &gt;120%:‑3</x:v>
      </x:c>
      <x:c r="K142" s="14" t="str">
        <x:v>Rechts-/Genehmigungsgrenze</x:v>
      </x:c>
      <x:c r="L142" s="14" t="str">
        <x:v>Rechtsfundstelle je Fall erforderlich</x:v>
      </x:c>
      <x:c r="M142" s="14" t="str">
        <x:v>Jeweils anwendbare Rechtsnorm/Genehmigung</x:v>
      </x:c>
      <x:c r="N142" s="14" t="str">
        <x:v>Optional/Nein</x:v>
      </x:c>
      <x:c r="O142" s="14" t="str">
        <x:v>ESRS E3; WRI Aqueduct</x:v>
      </x:c>
      <x:c r="P142" s="14" t="str">
        <x:v>ESRS E3, WRI Aqueduct, ISO 14046 (Water Footprint)</x:v>
      </x:c>
      <x:c r="Q142" s="14" t="str">
        <x:v>Mess-/Berichtsrahmen; konkrete Rechts- oder Genehmigungsfundstelle je Fall erforderlich</x:v>
      </x:c>
      <x:c r="R142" s="14" t="str">
        <x:v>Teilbelegt – Rechtsfundstelle je Messung fehlt</x:v>
      </x:c>
      <x:c r="S142" s="14" t="str">
        <x:v>EU-ESRS; WRI-AQ; ISO-14046</x:v>
      </x:c>
      <x:c r="T142" s="14" t="str">
        <x:v>C20 Chemie; C24 Stahl; C29 Fahrzeuge</x:v>
      </x:c>
      <x:c r="U142" s="14" t="str">
        <x:v>Legacy / nicht explizit versioniert</x:v>
      </x:c>
      <x:c r="V142" s="51" t="str"/>
      <x:c r="W142" s="14" t="str">
        <x:v>Migration auf NACE Rev. 2.1 erforderlich</x:v>
      </x:c>
      <x:c r="X142" s="14" t="str">
        <x:v>Standort/Prozess/Aktivität; Bezugsgröße und relevante Umweltmedien</x:v>
      </x:c>
      <x:c r="Y142" s="14" t="str">
        <x:v>Grenzwertquote = Messwert / anwendbarer Grenzwert × 100; Fundstelle, Einheit, Messpunkt und Zeitraum nachweisen.</x:v>
      </x:c>
      <x:c r="Z142" s="14" t="str">
        <x:v>Kalibrierter Messwert; Rechtsfundstelle, Grenzwert, Einheit, Messpunkt und Zeitraum</x:v>
      </x:c>
      <x:c r="AA142" s="14" t="str">
        <x:v>Behördlicher/akkreditierter Nachweis oder unabhängige Prüfung</x:v>
      </x:c>
      <x:c r="AB142" s="14" t="str">
        <x:v>Prüfung/Parametrisierung erforderlich</x:v>
      </x:c>
      <x:c r="AC142" s="14" t="str">
        <x:v>Hoch</x:v>
      </x:c>
      <x:c r="AD142" s="14" t="str">
        <x:v>Nicht der absolute Messwert, sondern Messwert ÷ Grenzwert × 100 wird bewertet.</x:v>
      </x:c>
      <x:c r="AE142" s="14" t="str">
        <x:v>v1.4</x:v>
      </x:c>
      <x:c r="AF142" s="52" t="str">
        <x:v>2026-08-16</x:v>
      </x:c>
      <x:c r="AG142" s="52"/>
    </x:row>
    <x:row r="143" ht="42" customHeight="1">
      <x:c r="A143" s="14" t="str">
        <x:v>WOK-E-125</x:v>
      </x:c>
      <x:c r="B143" s="14" t="str">
        <x:v>SDG 6 – Wasser</x:v>
      </x:c>
      <x:c r="C143" s="14" t="str">
        <x:v>6.3</x:v>
      </x:c>
      <x:c r="D143" s="14" t="str">
        <x:v>Abwasserqualität</x:v>
      </x:c>
      <x:c r="E143" s="14" t="str">
        <x:v>Abwasserqualität – Entnahme (WSI)</x:v>
      </x:c>
      <x:c r="F143" s="14" t="str">
        <x:v>Wasserentnahme × Wasserstressindex</x:v>
      </x:c>
      <x:c r="G143" s="14" t="str">
        <x:v>m³*WSI</x:v>
      </x:c>
      <x:c r="H143" s="14" t="str">
        <x:v>lower_is_better</x:v>
      </x:c>
      <x:c r="I143" s="14" t="str">
        <x:v>R06</x:v>
      </x:c>
      <x:c r="J143" s="14" t="str">
        <x:v>Top‑10%:+3; Mittel:0; &gt;150%:‑2; &gt;250%:‑3</x:v>
      </x:c>
      <x:c r="K143" s="14" t="str">
        <x:v>Benchmarkabhängig</x:v>
      </x:c>
      <x:c r="L143" s="14" t="str">
        <x:v>Validierter Benchmark fehlt</x:v>
      </x:c>
      <x:c r="M143" s="14" t="str">
        <x:v>Branche/Region/Technologie</x:v>
      </x:c>
      <x:c r="N143" s="14" t="str">
        <x:v>Ja</x:v>
      </x:c>
      <x:c r="O143" s="14" t="str">
        <x:v>ESRS E3; WRI Aqueduct</x:v>
      </x:c>
      <x:c r="P143" s="14" t="str">
        <x:v>ESRS E3, WRI Aqueduct, ISO 14046 (Water Footprint)</x:v>
      </x:c>
      <x:c r="Q143" s="14" t="str">
        <x:v>Mess-/Methodenrahmen; aktiver Branchen-/Regional-/Technologiebenchmark separat erforderlich</x:v>
      </x:c>
      <x:c r="R143" s="14" t="str">
        <x:v>Teilbelegt – Benchmarkquelle fehlt</x:v>
      </x:c>
      <x:c r="S143" s="14" t="str">
        <x:v>EU-ESRS; WRI-AQ; ISO-14046</x:v>
      </x:c>
      <x:c r="T143" s="14" t="str">
        <x:v>C20 Chemie; C24 Stahl; C29 Fahrzeuge</x:v>
      </x:c>
      <x:c r="U143" s="14" t="str">
        <x:v>Legacy / nicht explizit versioniert</x:v>
      </x:c>
      <x:c r="V143" s="51" t="str"/>
      <x:c r="W143" s="14" t="str">
        <x:v>Migration auf NACE Rev. 2.1 erforderlich</x:v>
      </x:c>
      <x:c r="X143" s="14" t="str">
        <x:v>Standort/Prozess/Aktivität; Bezugsgröße und relevante Umweltmedien</x:v>
      </x:c>
      <x:c r="Y143" s="14" t="str">
        <x:v>∑(m³ Standort × WRI‑Aqueduct‑Stressfaktor).</x:v>
      </x:c>
      <x:c r="Z143" s="14" t="str">
        <x:v>Primärdaten plus repräsentativer, versionierter Benchmarkdatensatz; Stichprobe und Population offenlegen</x:v>
      </x:c>
      <x:c r="AA143" s="14" t="str">
        <x:v>Messwert-Assurance und unabhängige Benchmark-Governance</x:v>
      </x:c>
      <x:c r="AB143" s="14" t="str">
        <x:v>Prüfung/Parametrisierung erforderlich</x:v>
      </x:c>
      <x:c r="AC143" s="14" t="str">
        <x:v>Hoch</x:v>
      </x:c>
      <x:c r="AD143" s="14" t="str">
        <x:v>Top-10-Prozent, Mittelwert, 150 % und 250 % müssen aus einer dokumentierten Grundgesamtheit stammen.</x:v>
      </x:c>
      <x:c r="AE143" s="14" t="str">
        <x:v>v1.4</x:v>
      </x:c>
      <x:c r="AF143" s="52" t="str">
        <x:v>2026-08-16</x:v>
      </x:c>
      <x:c r="AG143" s="52"/>
    </x:row>
    <x:row r="144" ht="42" customHeight="1">
      <x:c r="A144" s="14" t="str">
        <x:v>WOK-E-126</x:v>
      </x:c>
      <x:c r="B144" s="14" t="str">
        <x:v>SDG 6 – Wasser</x:v>
      </x:c>
      <x:c r="C144" s="14" t="str">
        <x:v>6.3</x:v>
      </x:c>
      <x:c r="D144" s="14" t="str">
        <x:v>Abwasserqualität</x:v>
      </x:c>
      <x:c r="E144" s="14" t="str">
        <x:v>Abwasserqualität – Reuse</x:v>
      </x:c>
      <x:c r="F144" s="14" t="str">
        <x:v>Anteil wiederverwendetes Prozesswasser</x:v>
      </x:c>
      <x:c r="G144" s="14" t="str">
        <x:v>%</x:v>
      </x:c>
      <x:c r="H144" s="14" t="str">
        <x:v>higher_is_better</x:v>
      </x:c>
      <x:c r="I144" s="14" t="str">
        <x:v>R25</x:v>
      </x:c>
      <x:c r="J144" s="14" t="str">
        <x:v>≥90%:+3; 70–89%:+2; 50–69%:0; 30–49%:‑2; &lt;30%:‑3</x:v>
      </x:c>
      <x:c r="K144" s="14" t="str">
        <x:v>Feste WÖk-Kalibrierung</x:v>
      </x:c>
      <x:c r="L144" s="14" t="str">
        <x:v>Arbeitskalibrierung – fachlich zu validieren</x:v>
      </x:c>
      <x:c r="M144" s="14" t="str">
        <x:v>WÖk-interne Klassenlogik</x:v>
      </x:c>
      <x:c r="N144" s="14" t="str">
        <x:v>Optional/Nein</x:v>
      </x:c>
      <x:c r="O144" s="14" t="str">
        <x:v>ESRS E3; WRI Aqueduct</x:v>
      </x:c>
      <x:c r="P144" s="14" t="str">
        <x:v>ESRS E3, WRI Aqueduct, ISO 14046 (Water Footprint)</x:v>
      </x:c>
      <x:c r="Q144" s="14" t="str">
        <x:v>Mess-, Berichts- oder Managementrahmen; Schwellen sind grundsätzlich WÖk-Kalibrierungen</x:v>
      </x:c>
      <x:c r="R144" s="14" t="str">
        <x:v>Messgrundlage belegt; Schwellenkalibrierung offen</x:v>
      </x:c>
      <x:c r="S144" s="14" t="str">
        <x:v>EU-ESRS; WRI-AQ; ISO-14046</x:v>
      </x:c>
      <x:c r="T144" s="14" t="str">
        <x:v>C20 Chemie; C24 Stahl; C29 Fahrzeuge</x:v>
      </x:c>
      <x:c r="U144" s="14" t="str">
        <x:v>Legacy / nicht explizit versioniert</x:v>
      </x:c>
      <x:c r="V144" s="51" t="str"/>
      <x:c r="W144" s="14" t="str">
        <x:v>Migration auf NACE Rev. 2.1 erforderlich</x:v>
      </x:c>
      <x:c r="X144" s="14" t="str">
        <x:v>Standort/Prozess/Aktivität; Bezugsgröße und relevante Umweltmedien</x:v>
      </x:c>
      <x:c r="Y144" s="14" t="str">
        <x:v>Anteil Proben &gt; Grenzwert im Berichtszeitraum.</x:v>
      </x:c>
      <x:c r="Z144" s="14" t="str">
        <x:v>Primärdaten bevorzugt; Sekundärdaten nur transparent und versioniert; Methode und Systemgrenze dokumentieren</x:v>
      </x:c>
      <x:c r="AA144" s="14" t="str">
        <x:v>Limited Assurance; risikobasiert höhere Prüftiefe</x:v>
      </x:c>
      <x:c r="AB144" s="14" t="str">
        <x:v>Strukturell nutzbar; Schwellen fachlich zu validieren</x:v>
      </x:c>
      <x:c r="AC144" s="14" t="str">
        <x:v>Mittel</x:v>
      </x:c>
      <x:c r="AD144" s="14" t="str">
        <x:v>Vollständige fünfstufige Prozentregel.</x:v>
      </x:c>
      <x:c r="AE144" s="14" t="str">
        <x:v>v1.4</x:v>
      </x:c>
      <x:c r="AF144" s="52" t="str">
        <x:v>2026-08-16</x:v>
      </x:c>
      <x:c r="AG144" s="52"/>
    </x:row>
    <x:row r="145" ht="42" customHeight="1">
      <x:c r="A145" s="14" t="str">
        <x:v>WOK-E-127</x:v>
      </x:c>
      <x:c r="B145" s="14" t="str">
        <x:v>SDG 6 – Wasser</x:v>
      </x:c>
      <x:c r="C145" s="14" t="str">
        <x:v>6.3</x:v>
      </x:c>
      <x:c r="D145" s="14" t="str">
        <x:v>Abwasserqualität</x:v>
      </x:c>
      <x:c r="E145" s="14" t="str">
        <x:v>Abwasserqualität – Abwasserqualität</x:v>
      </x:c>
      <x:c r="F145" s="14" t="str">
        <x:v>Messwert in Prozent des jeweils anwendbaren Rechts- oder Genehmigungsgrenzwerts</x:v>
      </x:c>
      <x:c r="G145" s="14" t="str">
        <x:v>% des Grenzwerts</x:v>
      </x:c>
      <x:c r="H145" s="14" t="str">
        <x:v>lower_is_better</x:v>
      </x:c>
      <x:c r="I145" s="14" t="str">
        <x:v>R12</x:v>
      </x:c>
      <x:c r="J145" s="14" t="str">
        <x:v>≤50% Grenzwert:+3; ≤75%:+2; ≤100%:0; 101–120%:‑2; &gt;120%:‑3</x:v>
      </x:c>
      <x:c r="K145" s="14" t="str">
        <x:v>Rechts-/Genehmigungsgrenze</x:v>
      </x:c>
      <x:c r="L145" s="14" t="str">
        <x:v>Rechtsfundstelle je Fall erforderlich</x:v>
      </x:c>
      <x:c r="M145" s="14" t="str">
        <x:v>Jeweils anwendbare Rechtsnorm/Genehmigung</x:v>
      </x:c>
      <x:c r="N145" s="14" t="str">
        <x:v>Optional/Nein</x:v>
      </x:c>
      <x:c r="O145" s="14" t="str">
        <x:v>ESRS E3; WRI Aqueduct</x:v>
      </x:c>
      <x:c r="P145" s="14" t="str">
        <x:v>ESRS E3, WRI Aqueduct, ISO 14046 (Water Footprint)</x:v>
      </x:c>
      <x:c r="Q145" s="14" t="str">
        <x:v>Mess-/Berichtsrahmen; konkrete Rechts- oder Genehmigungsfundstelle je Fall erforderlich</x:v>
      </x:c>
      <x:c r="R145" s="14" t="str">
        <x:v>Teilbelegt – Rechtsfundstelle je Messung fehlt</x:v>
      </x:c>
      <x:c r="S145" s="14" t="str">
        <x:v>EU-ESRS; WRI-AQ; ISO-14046</x:v>
      </x:c>
      <x:c r="T145" s="14" t="str">
        <x:v>C20 Chemie; C24 Stahl; C29 Fahrzeuge</x:v>
      </x:c>
      <x:c r="U145" s="14" t="str">
        <x:v>Legacy / nicht explizit versioniert</x:v>
      </x:c>
      <x:c r="V145" s="51" t="str"/>
      <x:c r="W145" s="14" t="str">
        <x:v>Migration auf NACE Rev. 2.1 erforderlich</x:v>
      </x:c>
      <x:c r="X145" s="14" t="str">
        <x:v>Standort/Prozess/Aktivität; Bezugsgröße und relevante Umweltmedien</x:v>
      </x:c>
      <x:c r="Y145" s="14" t="str">
        <x:v>Grenzwertquote = Messwert / anwendbarer Grenzwert × 100; Fundstelle, Einheit, Messpunkt und Zeitraum nachweisen.</x:v>
      </x:c>
      <x:c r="Z145" s="14" t="str">
        <x:v>Kalibrierter Messwert; Rechtsfundstelle, Grenzwert, Einheit, Messpunkt und Zeitraum</x:v>
      </x:c>
      <x:c r="AA145" s="14" t="str">
        <x:v>Behördlicher/akkreditierter Nachweis oder unabhängige Prüfung</x:v>
      </x:c>
      <x:c r="AB145" s="14" t="str">
        <x:v>Prüfung/Parametrisierung erforderlich</x:v>
      </x:c>
      <x:c r="AC145" s="14" t="str">
        <x:v>Hoch</x:v>
      </x:c>
      <x:c r="AD145" s="14" t="str">
        <x:v>Nicht der absolute Messwert, sondern Messwert ÷ Grenzwert × 100 wird bewertet.</x:v>
      </x:c>
      <x:c r="AE145" s="14" t="str">
        <x:v>v1.4</x:v>
      </x:c>
      <x:c r="AF145" s="52" t="str">
        <x:v>2026-08-16</x:v>
      </x:c>
      <x:c r="AG145" s="52"/>
    </x:row>
    <x:row r="146" ht="42" customHeight="1">
      <x:c r="A146" s="14" t="str">
        <x:v>WOK-E-128</x:v>
      </x:c>
      <x:c r="B146" s="14" t="str">
        <x:v>SDG 6 – Wasser</x:v>
      </x:c>
      <x:c r="C146" s="14" t="str">
        <x:v>6.5</x:v>
      </x:c>
      <x:c r="D146" s="14" t="str">
        <x:v>Wasser‑Reuse/Closed Loop</x:v>
      </x:c>
      <x:c r="E146" s="14" t="str">
        <x:v>Wasser‑Reuse/Closed Loop – Entnahme (WSI)</x:v>
      </x:c>
      <x:c r="F146" s="14" t="str">
        <x:v>Wasserentnahme × Wasserstressindex</x:v>
      </x:c>
      <x:c r="G146" s="14" t="str">
        <x:v>m³*WSI</x:v>
      </x:c>
      <x:c r="H146" s="14" t="str">
        <x:v>lower_is_better</x:v>
      </x:c>
      <x:c r="I146" s="14" t="str">
        <x:v>R06</x:v>
      </x:c>
      <x:c r="J146" s="14" t="str">
        <x:v>Top‑10%:+3; Mittel:0; &gt;150%:‑2; &gt;250%:‑3</x:v>
      </x:c>
      <x:c r="K146" s="14" t="str">
        <x:v>Benchmarkabhängig</x:v>
      </x:c>
      <x:c r="L146" s="14" t="str">
        <x:v>Validierter Benchmark fehlt</x:v>
      </x:c>
      <x:c r="M146" s="14" t="str">
        <x:v>Branche/Region/Technologie</x:v>
      </x:c>
      <x:c r="N146" s="14" t="str">
        <x:v>Ja</x:v>
      </x:c>
      <x:c r="O146" s="14" t="str">
        <x:v>ESRS E3; WRI Aqueduct</x:v>
      </x:c>
      <x:c r="P146" s="14" t="str">
        <x:v>ESRS E3, WRI Aqueduct, ISO 14046 (Water Footprint)</x:v>
      </x:c>
      <x:c r="Q146" s="14" t="str">
        <x:v>Mess-/Methodenrahmen; aktiver Branchen-/Regional-/Technologiebenchmark separat erforderlich</x:v>
      </x:c>
      <x:c r="R146" s="14" t="str">
        <x:v>Teilbelegt – Benchmarkquelle fehlt</x:v>
      </x:c>
      <x:c r="S146" s="14" t="str">
        <x:v>EU-ESRS; WRI-AQ; ISO-14046</x:v>
      </x:c>
      <x:c r="T146" s="14" t="str">
        <x:v>C20 Chemie; C24 Stahl; C29 Fahrzeuge</x:v>
      </x:c>
      <x:c r="U146" s="14" t="str">
        <x:v>Legacy / nicht explizit versioniert</x:v>
      </x:c>
      <x:c r="V146" s="51" t="str"/>
      <x:c r="W146" s="14" t="str">
        <x:v>Migration auf NACE Rev. 2.1 erforderlich</x:v>
      </x:c>
      <x:c r="X146" s="14" t="str">
        <x:v>Standort/Prozess/Aktivität; Bezugsgröße und relevante Umweltmedien</x:v>
      </x:c>
      <x:c r="Y146" s="14" t="str">
        <x:v>∑(m³ Standort × WRI‑Aqueduct‑Stressfaktor).</x:v>
      </x:c>
      <x:c r="Z146" s="14" t="str">
        <x:v>Primärdaten plus repräsentativer, versionierter Benchmarkdatensatz; Stichprobe und Population offenlegen</x:v>
      </x:c>
      <x:c r="AA146" s="14" t="str">
        <x:v>Messwert-Assurance und unabhängige Benchmark-Governance</x:v>
      </x:c>
      <x:c r="AB146" s="14" t="str">
        <x:v>Prüfung/Parametrisierung erforderlich</x:v>
      </x:c>
      <x:c r="AC146" s="14" t="str">
        <x:v>Hoch</x:v>
      </x:c>
      <x:c r="AD146" s="14" t="str">
        <x:v>Top-10-Prozent, Mittelwert, 150 % und 250 % müssen aus einer dokumentierten Grundgesamtheit stammen.</x:v>
      </x:c>
      <x:c r="AE146" s="14" t="str">
        <x:v>v1.4</x:v>
      </x:c>
      <x:c r="AF146" s="52" t="str">
        <x:v>2026-08-16</x:v>
      </x:c>
      <x:c r="AG146" s="52"/>
    </x:row>
    <x:row r="147" ht="42" customHeight="1">
      <x:c r="A147" s="14" t="str">
        <x:v>WOK-E-129</x:v>
      </x:c>
      <x:c r="B147" s="14" t="str">
        <x:v>SDG 6 – Wasser</x:v>
      </x:c>
      <x:c r="C147" s="14" t="str">
        <x:v>6.5</x:v>
      </x:c>
      <x:c r="D147" s="14" t="str">
        <x:v>Wasser‑Reuse/Closed Loop</x:v>
      </x:c>
      <x:c r="E147" s="14" t="str">
        <x:v>Wasser‑Reuse/Closed Loop – Reuse</x:v>
      </x:c>
      <x:c r="F147" s="14" t="str">
        <x:v>Anteil wiederverwendetes Prozesswasser</x:v>
      </x:c>
      <x:c r="G147" s="14" t="str">
        <x:v>%</x:v>
      </x:c>
      <x:c r="H147" s="14" t="str">
        <x:v>higher_is_better</x:v>
      </x:c>
      <x:c r="I147" s="14" t="str">
        <x:v>R25</x:v>
      </x:c>
      <x:c r="J147" s="14" t="str">
        <x:v>≥90%:+3; 70–89%:+2; 50–69%:0; 30–49%:‑2; &lt;30%:‑3</x:v>
      </x:c>
      <x:c r="K147" s="14" t="str">
        <x:v>Feste WÖk-Kalibrierung</x:v>
      </x:c>
      <x:c r="L147" s="14" t="str">
        <x:v>Arbeitskalibrierung – fachlich zu validieren</x:v>
      </x:c>
      <x:c r="M147" s="14" t="str">
        <x:v>WÖk-interne Klassenlogik</x:v>
      </x:c>
      <x:c r="N147" s="14" t="str">
        <x:v>Optional/Nein</x:v>
      </x:c>
      <x:c r="O147" s="14" t="str">
        <x:v>ESRS E3; WRI Aqueduct</x:v>
      </x:c>
      <x:c r="P147" s="14" t="str">
        <x:v>ESRS E3, WRI Aqueduct, ISO 14046 (Water Footprint)</x:v>
      </x:c>
      <x:c r="Q147" s="14" t="str">
        <x:v>Mess-, Berichts- oder Managementrahmen; Schwellen sind grundsätzlich WÖk-Kalibrierungen</x:v>
      </x:c>
      <x:c r="R147" s="14" t="str">
        <x:v>Messgrundlage belegt; Schwellenkalibrierung offen</x:v>
      </x:c>
      <x:c r="S147" s="14" t="str">
        <x:v>EU-ESRS; WRI-AQ; ISO-14046</x:v>
      </x:c>
      <x:c r="T147" s="14" t="str">
        <x:v>C20 Chemie; C24 Stahl; C29 Fahrzeuge</x:v>
      </x:c>
      <x:c r="U147" s="14" t="str">
        <x:v>Legacy / nicht explizit versioniert</x:v>
      </x:c>
      <x:c r="V147" s="51" t="str"/>
      <x:c r="W147" s="14" t="str">
        <x:v>Migration auf NACE Rev. 2.1 erforderlich</x:v>
      </x:c>
      <x:c r="X147" s="14" t="str">
        <x:v>Standort/Prozess/Aktivität; Bezugsgröße und relevante Umweltmedien</x:v>
      </x:c>
      <x:c r="Y147" s="14" t="str">
        <x:v>Quote = Zähler / Nenner gemäß Quelle; in %.</x:v>
      </x:c>
      <x:c r="Z147" s="14" t="str">
        <x:v>Primärdaten bevorzugt; Sekundärdaten nur transparent und versioniert; Methode und Systemgrenze dokumentieren</x:v>
      </x:c>
      <x:c r="AA147" s="14" t="str">
        <x:v>Limited Assurance; risikobasiert höhere Prüftiefe</x:v>
      </x:c>
      <x:c r="AB147" s="14" t="str">
        <x:v>Strukturell nutzbar; Schwellen fachlich zu validieren</x:v>
      </x:c>
      <x:c r="AC147" s="14" t="str">
        <x:v>Mittel</x:v>
      </x:c>
      <x:c r="AD147" s="14" t="str">
        <x:v>Vollständige fünfstufige Prozentregel.</x:v>
      </x:c>
      <x:c r="AE147" s="14" t="str">
        <x:v>v1.4</x:v>
      </x:c>
      <x:c r="AF147" s="52" t="str">
        <x:v>2026-08-16</x:v>
      </x:c>
      <x:c r="AG147" s="52"/>
    </x:row>
    <x:row r="148" ht="42" customHeight="1">
      <x:c r="A148" s="14" t="str">
        <x:v>WOK-E-130</x:v>
      </x:c>
      <x:c r="B148" s="14" t="str">
        <x:v>SDG 6 – Wasser</x:v>
      </x:c>
      <x:c r="C148" s="14" t="str">
        <x:v>6.5</x:v>
      </x:c>
      <x:c r="D148" s="14" t="str">
        <x:v>Wasser‑Reuse/Closed Loop</x:v>
      </x:c>
      <x:c r="E148" s="14" t="str">
        <x:v>Wasser‑Reuse/Closed Loop – Abwasserqualität</x:v>
      </x:c>
      <x:c r="F148" s="14" t="str">
        <x:v>Messwert in Prozent des jeweils anwendbaren Rechts- oder Genehmigungsgrenzwerts</x:v>
      </x:c>
      <x:c r="G148" s="14" t="str">
        <x:v>% des Grenzwerts</x:v>
      </x:c>
      <x:c r="H148" s="14" t="str">
        <x:v>lower_is_better</x:v>
      </x:c>
      <x:c r="I148" s="14" t="str">
        <x:v>R12</x:v>
      </x:c>
      <x:c r="J148" s="14" t="str">
        <x:v>≤50% Grenzwert:+3; ≤75%:+2; ≤100%:0; 101–120%:‑2; &gt;120%:‑3</x:v>
      </x:c>
      <x:c r="K148" s="14" t="str">
        <x:v>Rechts-/Genehmigungsgrenze</x:v>
      </x:c>
      <x:c r="L148" s="14" t="str">
        <x:v>Rechtsfundstelle je Fall erforderlich</x:v>
      </x:c>
      <x:c r="M148" s="14" t="str">
        <x:v>Jeweils anwendbare Rechtsnorm/Genehmigung</x:v>
      </x:c>
      <x:c r="N148" s="14" t="str">
        <x:v>Optional/Nein</x:v>
      </x:c>
      <x:c r="O148" s="14" t="str">
        <x:v>ESRS E3; WRI Aqueduct</x:v>
      </x:c>
      <x:c r="P148" s="14" t="str">
        <x:v>ESRS E3, WRI Aqueduct, ISO 14046 (Water Footprint)</x:v>
      </x:c>
      <x:c r="Q148" s="14" t="str">
        <x:v>Mess-/Berichtsrahmen; konkrete Rechts- oder Genehmigungsfundstelle je Fall erforderlich</x:v>
      </x:c>
      <x:c r="R148" s="14" t="str">
        <x:v>Teilbelegt – Rechtsfundstelle je Messung fehlt</x:v>
      </x:c>
      <x:c r="S148" s="14" t="str">
        <x:v>EU-ESRS; WRI-AQ; ISO-14046</x:v>
      </x:c>
      <x:c r="T148" s="14" t="str">
        <x:v>C20 Chemie; C24 Stahl; C29 Fahrzeuge</x:v>
      </x:c>
      <x:c r="U148" s="14" t="str">
        <x:v>Legacy / nicht explizit versioniert</x:v>
      </x:c>
      <x:c r="V148" s="51" t="str"/>
      <x:c r="W148" s="14" t="str">
        <x:v>Migration auf NACE Rev. 2.1 erforderlich</x:v>
      </x:c>
      <x:c r="X148" s="14" t="str">
        <x:v>Standort/Prozess/Aktivität; Bezugsgröße und relevante Umweltmedien</x:v>
      </x:c>
      <x:c r="Y148" s="14" t="str">
        <x:v>Grenzwertquote = Messwert / anwendbarer Grenzwert × 100; Fundstelle, Einheit, Messpunkt und Zeitraum nachweisen.</x:v>
      </x:c>
      <x:c r="Z148" s="14" t="str">
        <x:v>Kalibrierter Messwert; Rechtsfundstelle, Grenzwert, Einheit, Messpunkt und Zeitraum</x:v>
      </x:c>
      <x:c r="AA148" s="14" t="str">
        <x:v>Behördlicher/akkreditierter Nachweis oder unabhängige Prüfung</x:v>
      </x:c>
      <x:c r="AB148" s="14" t="str">
        <x:v>Prüfung/Parametrisierung erforderlich</x:v>
      </x:c>
      <x:c r="AC148" s="14" t="str">
        <x:v>Hoch</x:v>
      </x:c>
      <x:c r="AD148" s="14" t="str">
        <x:v>Nicht der absolute Messwert, sondern Messwert ÷ Grenzwert × 100 wird bewertet.</x:v>
      </x:c>
      <x:c r="AE148" s="14" t="str">
        <x:v>v1.4</x:v>
      </x:c>
      <x:c r="AF148" s="52" t="str">
        <x:v>2026-08-16</x:v>
      </x:c>
      <x:c r="AG148" s="52"/>
    </x:row>
    <x:row r="149" ht="42" customHeight="1">
      <x:c r="A149" s="14" t="str">
        <x:v>WOK-SC-110</x:v>
      </x:c>
      <x:c r="B149" s="14" t="str">
        <x:v>SDG 6 – Wasser</x:v>
      </x:c>
      <x:c r="C149" s="14" t="str">
        <x:v>6.4</x:v>
      </x:c>
      <x:c r="D149" s="14" t="str">
        <x:v>Wasser in Lieferkette</x:v>
      </x:c>
      <x:c r="E149" s="14" t="str">
        <x:v>Wasser in Lieferkette – ESG‑Spend‑Coverage</x:v>
      </x:c>
      <x:c r="F149" s="14" t="str">
        <x:v>Anteil verifizierter ESG‑Daten am Spend</x:v>
      </x:c>
      <x:c r="G149" s="14" t="str">
        <x:v>%</x:v>
      </x:c>
      <x:c r="H149" s="14" t="str">
        <x:v>higher_is_better</x:v>
      </x:c>
      <x:c r="I149" s="14" t="str">
        <x:v>R26</x:v>
      </x:c>
      <x:c r="J149" s="14" t="str">
        <x:v>≥90:+3; 70–89:+2; 50–69:0; 30–49:‑2; &lt;30:‑3</x:v>
      </x:c>
      <x:c r="K149" s="14" t="str">
        <x:v>Feste WÖk-Kalibrierung</x:v>
      </x:c>
      <x:c r="L149" s="14" t="str">
        <x:v>Arbeitskalibrierung – fachlich zu validieren</x:v>
      </x:c>
      <x:c r="M149" s="14" t="str">
        <x:v>WÖk-interne Klassenlogik</x:v>
      </x:c>
      <x:c r="N149" s="14" t="str">
        <x:v>Optional/Nein</x:v>
      </x:c>
      <x:c r="O149" s="14" t="str">
        <x:v>ESRS S2; GRI 308/414/408/409</x:v>
      </x:c>
      <x:c r="P149" s="14" t="str">
        <x:v>ESRS E3, WRI Aqueduct, ISO 14046 (Water Footprint)</x:v>
      </x:c>
      <x:c r="Q149" s="14" t="str">
        <x:v>Mess-, Berichts- oder Managementrahmen; Schwellen sind grundsätzlich WÖk-Kalibrierungen</x:v>
      </x:c>
      <x:c r="R149" s="14" t="str">
        <x:v>Messgrundlage belegt; Schwellenkalibrierung offen</x:v>
      </x:c>
      <x:c r="S149" s="14" t="str">
        <x:v>EU-ESRS; GRI; OECD-DD; ILO-CORE</x:v>
      </x:c>
      <x:c r="T149" s="14" t="str">
        <x:v>C20 Chemie; C24 Stahl; C29 Fahrzeuge</x:v>
      </x:c>
      <x:c r="U149" s="14" t="str">
        <x:v>Legacy / nicht explizit versioniert</x:v>
      </x:c>
      <x:c r="V149" s="51" t="str"/>
      <x:c r="W149" s="14" t="str">
        <x:v>Migration auf NACE Rev. 2.1 erforderlich</x:v>
      </x:c>
      <x:c r="X149" s="14" t="str">
        <x:v>Vorgelagerte Lieferkette; relevante Tier-Stufen und Beschaffungsvolumen</x:v>
      </x:c>
      <x:c r="Y149" s="14" t="str">
        <x:v>Quote = Zähler / Nenner gemäß Quelle; in %.</x:v>
      </x:c>
      <x:c r="Z149" s="14" t="str">
        <x:v>Primärdaten bevorzugt; Sekundärdaten nur transparent und versioniert; Methode und Systemgrenze dokumentieren</x:v>
      </x:c>
      <x:c r="AA149" s="14" t="str">
        <x:v>Limited Assurance; risikobasiert höhere Prüftiefe</x:v>
      </x:c>
      <x:c r="AB149" s="14" t="str">
        <x:v>Strukturell nutzbar; Schwellen fachlich zu validieren</x:v>
      </x:c>
      <x:c r="AC149" s="14" t="str">
        <x:v>Mittel</x:v>
      </x:c>
      <x:c r="AD149" s="14" t="str">
        <x:v>Vollständige fünfstufige numerische Regel.</x:v>
      </x:c>
      <x:c r="AE149" s="14" t="str">
        <x:v>v1.4</x:v>
      </x:c>
      <x:c r="AF149" s="52" t="str">
        <x:v>2026-08-16</x:v>
      </x:c>
      <x:c r="AG149" s="52"/>
    </x:row>
    <x:row r="150" ht="42" customHeight="1">
      <x:c r="A150" s="14" t="str">
        <x:v>WOK-SC-111</x:v>
      </x:c>
      <x:c r="B150" s="14" t="str">
        <x:v>SDG 6 – Wasser</x:v>
      </x:c>
      <x:c r="C150" s="14" t="str">
        <x:v>6.4</x:v>
      </x:c>
      <x:c r="D150" s="14" t="str">
        <x:v>Wasser in Lieferkette</x:v>
      </x:c>
      <x:c r="E150" s="14" t="str">
        <x:v>Wasser in Lieferkette – Kinder/Zwangsarbeit</x:v>
      </x:c>
      <x:c r="F150" s="14" t="str">
        <x:v>Audits ohne Verstöße</x:v>
      </x:c>
      <x:c r="G150" s="14" t="str">
        <x:v>% Lieferanten</x:v>
      </x:c>
      <x:c r="H150" s="14" t="str">
        <x:v>higher_is_better</x:v>
      </x:c>
      <x:c r="I150" s="14" t="str">
        <x:v>R28</x:v>
      </x:c>
      <x:c r="J150" s="14" t="str">
        <x:v>≥98:+3; 90–97:+2; 75–89:0; 50–74:‑2; &lt;50:‑3</x:v>
      </x:c>
      <x:c r="K150" s="14" t="str">
        <x:v>Feste WÖk-Kalibrierung</x:v>
      </x:c>
      <x:c r="L150" s="14" t="str">
        <x:v>Arbeitskalibrierung – fachlich zu validieren</x:v>
      </x:c>
      <x:c r="M150" s="14" t="str">
        <x:v>WÖk-interne Klassenlogik</x:v>
      </x:c>
      <x:c r="N150" s="14" t="str">
        <x:v>Optional/Nein</x:v>
      </x:c>
      <x:c r="O150" s="14" t="str">
        <x:v>ESRS S2; GRI 308/414/408/409</x:v>
      </x:c>
      <x:c r="P150" s="14" t="str">
        <x:v>ESRS E3, WRI Aqueduct, ISO 14046 (Water Footprint)</x:v>
      </x:c>
      <x:c r="Q150" s="14" t="str">
        <x:v>Mess-, Berichts- oder Managementrahmen; Schwellen sind grundsätzlich WÖk-Kalibrierungen</x:v>
      </x:c>
      <x:c r="R150" s="14" t="str">
        <x:v>Messgrundlage belegt; Schwellenkalibrierung offen</x:v>
      </x:c>
      <x:c r="S150" s="14" t="str">
        <x:v>EU-ESRS; GRI; OECD-DD; ILO-CORE</x:v>
      </x:c>
      <x:c r="T150" s="14" t="str">
        <x:v>C20 Chemie; C24 Stahl; C29 Fahrzeuge</x:v>
      </x:c>
      <x:c r="U150" s="14" t="str">
        <x:v>Legacy / nicht explizit versioniert</x:v>
      </x:c>
      <x:c r="V150" s="51" t="str"/>
      <x:c r="W150" s="14" t="str">
        <x:v>Migration auf NACE Rev. 2.1 erforderlich</x:v>
      </x:c>
      <x:c r="X150" s="14" t="str">
        <x:v>Vorgelagerte Lieferkette; relevante Tier-Stufen und Beschaffungsvolumen</x:v>
      </x:c>
      <x:c r="Y150" s="14" t="str">
        <x:v>Quote = Zähler / Nenner gemäß Quelle; in %.</x:v>
      </x:c>
      <x:c r="Z150" s="14" t="str">
        <x:v>Primärdaten bevorzugt; Sekundärdaten nur transparent und versioniert; Methode und Systemgrenze dokumentieren</x:v>
      </x:c>
      <x:c r="AA150" s="14" t="str">
        <x:v>Limited Assurance; risikobasiert höhere Prüftiefe</x:v>
      </x:c>
      <x:c r="AB150" s="14" t="str">
        <x:v>Strukturell nutzbar; Schwellen fachlich zu validieren</x:v>
      </x:c>
      <x:c r="AC150" s="14" t="str">
        <x:v>Mittel</x:v>
      </x:c>
      <x:c r="AD150" s="14" t="str">
        <x:v>Vollständige fünfstufige numerische Regel.</x:v>
      </x:c>
      <x:c r="AE150" s="14" t="str">
        <x:v>v1.4</x:v>
      </x:c>
      <x:c r="AF150" s="52" t="str">
        <x:v>2026-08-16</x:v>
      </x:c>
      <x:c r="AG150" s="52"/>
    </x:row>
    <x:row r="151" ht="42" customHeight="1">
      <x:c r="A151" s="14" t="str">
        <x:v>WOK-SC-112</x:v>
      </x:c>
      <x:c r="B151" s="14" t="str">
        <x:v>SDG 6 – Wasser</x:v>
      </x:c>
      <x:c r="C151" s="14" t="str">
        <x:v>6.4</x:v>
      </x:c>
      <x:c r="D151" s="14" t="str">
        <x:v>Wasser in Lieferkette</x:v>
      </x:c>
      <x:c r="E151" s="14" t="str">
        <x:v>Wasser in Lieferkette – Scope‑3 Daten</x:v>
      </x:c>
      <x:c r="F151" s="14" t="str">
        <x:v>Primärdaten‑Abdeckung</x:v>
      </x:c>
      <x:c r="G151" s="14" t="str">
        <x:v>% Kategorien</x:v>
      </x:c>
      <x:c r="H151" s="14" t="str">
        <x:v>higher_is_better</x:v>
      </x:c>
      <x:c r="I151" s="14" t="str">
        <x:v>R23</x:v>
      </x:c>
      <x:c r="J151" s="14" t="str">
        <x:v>≥80:+3; 60–79:+2; 40–59:0; 20–39:‑2; &lt;20:‑3</x:v>
      </x:c>
      <x:c r="K151" s="14" t="str">
        <x:v>Feste WÖk-Kalibrierung</x:v>
      </x:c>
      <x:c r="L151" s="14" t="str">
        <x:v>Arbeitskalibrierung – fachlich zu validieren</x:v>
      </x:c>
      <x:c r="M151" s="14" t="str">
        <x:v>WÖk-interne Klassenlogik</x:v>
      </x:c>
      <x:c r="N151" s="14" t="str">
        <x:v>Optional/Nein</x:v>
      </x:c>
      <x:c r="O151" s="14" t="str">
        <x:v>ESRS E1; GHG Protocol</x:v>
      </x:c>
      <x:c r="P151" s="14" t="str">
        <x:v>ESRS E1, GHG Protocol (Corporate/Scope 1–3), ISO 14064/14067</x:v>
      </x:c>
      <x:c r="Q151" s="14" t="str">
        <x:v>Mess-, Berichts- oder Managementrahmen; Schwellen sind grundsätzlich WÖk-Kalibrierungen</x:v>
      </x:c>
      <x:c r="R151" s="14" t="str">
        <x:v>Messgrundlage belegt; Schwellenkalibrierung offen</x:v>
      </x:c>
      <x:c r="S151" s="14" t="str">
        <x:v>EU-ESRS; GHG-CORP; GHG-S3; GHG-PROD</x:v>
      </x:c>
      <x:c r="T151" s="14" t="str">
        <x:v>C20 Chemie; C24 Stahl; C29 Fahrzeuge</x:v>
      </x:c>
      <x:c r="U151" s="14" t="str">
        <x:v>Legacy / nicht explizit versioniert</x:v>
      </x:c>
      <x:c r="V151" s="51" t="str"/>
      <x:c r="W151" s="14" t="str">
        <x:v>Migration auf NACE Rev. 2.1 erforderlich</x:v>
      </x:c>
      <x:c r="X151" s="14" t="str">
        <x:v>Vorgelagerte Lieferkette; relevante Tier-Stufen und Beschaffungsvolumen</x:v>
      </x:c>
      <x:c r="Y151" s="14" t="str">
        <x:v>Quote = Zähler / Nenner gemäß Quelle; in %.</x:v>
      </x:c>
      <x:c r="Z151" s="14" t="str">
        <x:v>Primärdaten bevorzugt; Sekundärdaten nur transparent und versioniert; Methode und Systemgrenze dokumentieren</x:v>
      </x:c>
      <x:c r="AA151" s="14" t="str">
        <x:v>Limited Assurance; risikobasiert höhere Prüftiefe</x:v>
      </x:c>
      <x:c r="AB151" s="14" t="str">
        <x:v>Strukturell nutzbar; Schwellen fachlich zu validieren</x:v>
      </x:c>
      <x:c r="AC151" s="14" t="str">
        <x:v>Mittel</x:v>
      </x:c>
      <x:c r="AD151" s="14" t="str">
        <x:v>Vollständige fünfstufige numerische Regel.</x:v>
      </x:c>
      <x:c r="AE151" s="14" t="str">
        <x:v>v1.4</x:v>
      </x:c>
      <x:c r="AF151" s="52" t="str">
        <x:v>2026-08-16</x:v>
      </x:c>
      <x:c r="AG151" s="52"/>
    </x:row>
    <x:row r="152" ht="42" customHeight="1">
      <x:c r="A152" s="14" t="str">
        <x:v>WOK-RE-107</x:v>
      </x:c>
      <x:c r="B152" s="14" t="str">
        <x:v>SDG 6 – Wasser</x:v>
      </x:c>
      <x:c r="C152" s="14" t="str">
        <x:v>6.4</x:v>
      </x:c>
      <x:c r="D152" s="14" t="str">
        <x:v>Wasser‑Effizienz Gebäude</x:v>
      </x:c>
      <x:c r="E152" s="14" t="str">
        <x:v>Wasser‑Effizienz Gebäude – Betriebsenergie</x:v>
      </x:c>
      <x:c r="F152" s="14" t="str">
        <x:v>Endenergiebedarf</x:v>
      </x:c>
      <x:c r="G152" s="14" t="str">
        <x:v>kWh/m²a</x:v>
      </x:c>
      <x:c r="H152" s="14" t="str">
        <x:v>lower_is_better</x:v>
      </x:c>
      <x:c r="I152" s="14" t="str">
        <x:v>R05</x:v>
      </x:c>
      <x:c r="J152" s="14" t="str">
        <x:v>Top 15%:+3; +15–30%:+2; +31–60%:0; &gt;+60%:‑2/‑3</x:v>
      </x:c>
      <x:c r="K152" s="14" t="str">
        <x:v>Benchmarkabhängig</x:v>
      </x:c>
      <x:c r="L152" s="14" t="str">
        <x:v>Validierter Benchmark fehlt</x:v>
      </x:c>
      <x:c r="M152" s="14" t="str">
        <x:v>Branche/Region/Technologie</x:v>
      </x:c>
      <x:c r="N152" s="14" t="str">
        <x:v>Ja</x:v>
      </x:c>
      <x:c r="O152" s="14" t="str">
        <x:v>EPBD; EN 15978</x:v>
      </x:c>
      <x:c r="P152" s="14" t="str">
        <x:v>ESRS E1, ISO 50001 (EnMS), ISO/IEC 30134‑2 (PUE), EU EPBD</x:v>
      </x:c>
      <x:c r="Q152" s="14" t="str">
        <x:v>Mess-/Methodenrahmen; aktiver Branchen-/Regional-/Technologiebenchmark separat erforderlich</x:v>
      </x:c>
      <x:c r="R152" s="14" t="str">
        <x:v>Teilbelegt – Benchmarkquelle fehlt</x:v>
      </x:c>
      <x:c r="S152" s="14" t="str">
        <x:v>EU-EPBD; CEN-15978</x:v>
      </x:c>
      <x:c r="T152" s="14" t="str">
        <x:v>L68 Immobilien; F41/F42 Bau</x:v>
      </x:c>
      <x:c r="U152" s="14" t="str">
        <x:v>Legacy / nicht explizit versioniert</x:v>
      </x:c>
      <x:c r="V152" s="51" t="str"/>
      <x:c r="W152" s="14" t="str">
        <x:v>Migration auf NACE Rev. 2.1 erforderlich</x:v>
      </x:c>
      <x:c r="X152" s="14" t="str">
        <x:v>Gebäude/Standort; Betrieb plus relevante Lebenszyklusmodule</x:v>
      </x:c>
      <x:c r="Y152" s="14" t="str">
        <x:v>Siehe Quelle: Definition gemäß Standard (ESRS/GRI/Taxonomie/ISO).</x:v>
      </x:c>
      <x:c r="Z152" s="14" t="str">
        <x:v>Primärdaten plus repräsentativer, versionierter Benchmarkdatensatz; Stichprobe und Population offenlegen</x:v>
      </x:c>
      <x:c r="AA152" s="14" t="str">
        <x:v>Messwert-Assurance und unabhängige Benchmark-Governance</x:v>
      </x:c>
      <x:c r="AB152" s="14" t="str">
        <x:v>Prüfung/Parametrisierung erforderlich</x:v>
      </x:c>
      <x:c r="AC152" s="14" t="str">
        <x:v>Hoch</x:v>
      </x:c>
      <x:c r="AD152" s="14" t="str">
        <x:v>Die Grenze &gt;+60 % ist derzeit nicht eindeutig in −2/−3 aufgelöst.</x:v>
      </x:c>
      <x:c r="AE152" s="14" t="str">
        <x:v>v1.4</x:v>
      </x:c>
      <x:c r="AF152" s="52" t="str">
        <x:v>2026-08-16</x:v>
      </x:c>
      <x:c r="AG152" s="52"/>
    </x:row>
    <x:row r="153" ht="42" customHeight="1">
      <x:c r="A153" s="14" t="str">
        <x:v>WOK-RE-108</x:v>
      </x:c>
      <x:c r="B153" s="14" t="str">
        <x:v>SDG 6 – Wasser</x:v>
      </x:c>
      <x:c r="C153" s="14" t="str">
        <x:v>6.4</x:v>
      </x:c>
      <x:c r="D153" s="14" t="str">
        <x:v>Wasser‑Effizienz Gebäude</x:v>
      </x:c>
      <x:c r="E153" s="14" t="str">
        <x:v>Wasser‑Effizienz Gebäude – Graue Emissionen</x:v>
      </x:c>
      <x:c r="F153" s="14" t="str">
        <x:v>Embodied Carbon (A1–A3)</x:v>
      </x:c>
      <x:c r="G153" s="14" t="str">
        <x:v>kg CO₂e/m²</x:v>
      </x:c>
      <x:c r="H153" s="14" t="str">
        <x:v>lower_is_better</x:v>
      </x:c>
      <x:c r="I153" s="14" t="str">
        <x:v>R06</x:v>
      </x:c>
      <x:c r="J153" s="14" t="str">
        <x:v>Top‑10%:+3; Mittel:0; &gt;150%:‑2; &gt;250%:‑3</x:v>
      </x:c>
      <x:c r="K153" s="14" t="str">
        <x:v>Benchmarkabhängig</x:v>
      </x:c>
      <x:c r="L153" s="14" t="str">
        <x:v>Validierter Benchmark fehlt</x:v>
      </x:c>
      <x:c r="M153" s="14" t="str">
        <x:v>Branche/Region/Technologie</x:v>
      </x:c>
      <x:c r="N153" s="14" t="str">
        <x:v>Ja</x:v>
      </x:c>
      <x:c r="O153" s="14" t="str">
        <x:v>EN 15978/ISO 14067</x:v>
      </x:c>
      <x:c r="P153" s="14" t="str">
        <x:v>ESRS E1, GHG Protocol (Corporate/Scope 1–3), ISO 14064/14067</x:v>
      </x:c>
      <x:c r="Q153" s="14" t="str">
        <x:v>Mess-/Methodenrahmen; aktiver Branchen-/Regional-/Technologiebenchmark separat erforderlich</x:v>
      </x:c>
      <x:c r="R153" s="14" t="str">
        <x:v>Teilbelegt – Benchmarkquelle fehlt</x:v>
      </x:c>
      <x:c r="S153" s="14" t="str">
        <x:v>CEN-15978; ISO-14067</x:v>
      </x:c>
      <x:c r="T153" s="14" t="str">
        <x:v>L68 Immobilien; F41/F42 Bau</x:v>
      </x:c>
      <x:c r="U153" s="14" t="str">
        <x:v>Legacy / nicht explizit versioniert</x:v>
      </x:c>
      <x:c r="V153" s="51" t="str"/>
      <x:c r="W153" s="14" t="str">
        <x:v>Migration auf NACE Rev. 2.1 erforderlich</x:v>
      </x:c>
      <x:c r="X153" s="14" t="str">
        <x:v>Gebäude/Standort; Betrieb plus relevante Lebenszyklusmodule</x:v>
      </x:c>
      <x:c r="Y153" s="14" t="str">
        <x:v>Embodied Carbon gem. EN 15978 (A1–A3 ggf. A4–A5); kg CO₂e/m².</x:v>
      </x:c>
      <x:c r="Z153" s="14" t="str">
        <x:v>Primärdaten plus repräsentativer, versionierter Benchmarkdatensatz; Stichprobe und Population offenlegen</x:v>
      </x:c>
      <x:c r="AA153" s="14" t="str">
        <x:v>Messwert-Assurance und unabhängige Benchmark-Governance</x:v>
      </x:c>
      <x:c r="AB153" s="14" t="str">
        <x:v>Prüfung/Parametrisierung erforderlich</x:v>
      </x:c>
      <x:c r="AC153" s="14" t="str">
        <x:v>Hoch</x:v>
      </x:c>
      <x:c r="AD153" s="14" t="str">
        <x:v>Top-10-Prozent, Mittelwert, 150 % und 250 % müssen aus einer dokumentierten Grundgesamtheit stammen.</x:v>
      </x:c>
      <x:c r="AE153" s="14" t="str">
        <x:v>v1.4</x:v>
      </x:c>
      <x:c r="AF153" s="52" t="str">
        <x:v>2026-08-16</x:v>
      </x:c>
      <x:c r="AG153" s="52"/>
    </x:row>
    <x:row r="154" ht="42" customHeight="1">
      <x:c r="A154" s="14" t="str">
        <x:v>WOK-RE-109</x:v>
      </x:c>
      <x:c r="B154" s="14" t="str">
        <x:v>SDG 6 – Wasser</x:v>
      </x:c>
      <x:c r="C154" s="14" t="str">
        <x:v>6.4</x:v>
      </x:c>
      <x:c r="D154" s="14" t="str">
        <x:v>Wasser‑Effizienz Gebäude</x:v>
      </x:c>
      <x:c r="E154" s="14" t="str">
        <x:v>Wasser‑Effizienz Gebäude – ÖPNV‑Erreichbarkeit</x:v>
      </x:c>
      <x:c r="F154" s="14" t="str">
        <x:v>Transit‑Score</x:v>
      </x:c>
      <x:c r="G154" s="14" t="str">
        <x:v>0–1</x:v>
      </x:c>
      <x:c r="H154" s="14" t="str">
        <x:v>higher_is_better</x:v>
      </x:c>
      <x:c r="I154" s="14" t="str">
        <x:v>R14</x:v>
      </x:c>
      <x:c r="J154" s="14" t="str">
        <x:v>≥0,8:+3; 0,6–0,79:+2; 0,4–0,59:0; 0,2–0,39:‑2; &lt;0,2:‑3</x:v>
      </x:c>
      <x:c r="K154" s="14" t="str">
        <x:v>Feste WÖk-Kalibrierung</x:v>
      </x:c>
      <x:c r="L154" s="14" t="str">
        <x:v>Arbeitskalibrierung – fachlich zu validieren</x:v>
      </x:c>
      <x:c r="M154" s="14" t="str">
        <x:v>WÖk-interne Klassenlogik</x:v>
      </x:c>
      <x:c r="N154" s="14" t="str">
        <x:v>Optional/Nein</x:v>
      </x:c>
      <x:c r="O154" s="14" t="str">
        <x:v>Stadt/GIS</x:v>
      </x:c>
      <x:c r="P154" s="14" t="str">
        <x:v>ESRS E1, ISO 50001 (EnMS), ISO/IEC 30134‑2 (PUE), EU EPBD</x:v>
      </x:c>
      <x:c r="Q154" s="14" t="str">
        <x:v>Lokale Primärdaten; Datenhalter, Layer, Zeitraum und Methodik je Fall ergänzen</x:v>
      </x:c>
      <x:c r="R154" s="14" t="str">
        <x:v>Platzhalter – konkrete Datenquelle fehlt</x:v>
      </x:c>
      <x:c r="S154" s="14" t="str">
        <x:v>DATA-GIS</x:v>
      </x:c>
      <x:c r="T154" s="14" t="str">
        <x:v>L68 Immobilien; F41/F42 Bau</x:v>
      </x:c>
      <x:c r="U154" s="14" t="str">
        <x:v>Legacy / nicht explizit versioniert</x:v>
      </x:c>
      <x:c r="V154" s="51" t="str"/>
      <x:c r="W154" s="14" t="str">
        <x:v>Migration auf NACE Rev. 2.1 erforderlich</x:v>
      </x:c>
      <x:c r="X154" s="14" t="str">
        <x:v>Gebäude/Standort; Betrieb plus relevante Lebenszyklusmodule</x:v>
      </x:c>
      <x:c r="Y154" s="14" t="str">
        <x:v>Siehe Quelle: Definition gemäß Standard (ESRS/GRI/Taxonomie/ISO).</x:v>
      </x:c>
      <x:c r="Z154" s="14" t="str">
        <x:v>Primärdaten oder qualitätsgesicherte Sekundärdaten; Methode, Zeitraum und Systemgrenze dokumentieren</x:v>
      </x:c>
      <x:c r="AA154" s="14" t="str">
        <x:v>Limited Assurance; bei materieller Steuerwirkung risikobasiert vertiefen</x:v>
      </x:c>
      <x:c r="AB154" s="14" t="str">
        <x:v>Produktspezifische bzw. lokale Prüfung erforderlich</x:v>
      </x:c>
      <x:c r="AC154" s="14" t="str">
        <x:v>Hoch</x:v>
      </x:c>
      <x:c r="AD154" s="14" t="str">
        <x:v>Konkreten Datenhalter, GIS-Layer, Stichtag und Methodik ergänzen. Vollständige fünfstufige numerische Regel.</x:v>
      </x:c>
      <x:c r="AE154" s="14" t="str">
        <x:v>v1.4</x:v>
      </x:c>
      <x:c r="AF154" s="52" t="str">
        <x:v>2026-08-16</x:v>
      </x:c>
      <x:c r="AG154" s="52"/>
    </x:row>
    <x:row r="155" ht="42" customHeight="1">
      <x:c r="A155" s="14" t="str">
        <x:v>WOK-P-110</x:v>
      </x:c>
      <x:c r="B155" s="14" t="str">
        <x:v>SDG 6 – Wasser</x:v>
      </x:c>
      <x:c r="C155" s="14" t="str">
        <x:v>6.4</x:v>
      </x:c>
      <x:c r="D155" s="14" t="str">
        <x:v>Wasser‑Intensität Produkte</x:v>
      </x:c>
      <x:c r="E155" s="14" t="str">
        <x:v>Wasser‑Intensität Produkte – PCF</x:v>
      </x:c>
      <x:c r="F155" s="14" t="str">
        <x:v>CO₂‑Fußabdruck pro Einheit</x:v>
      </x:c>
      <x:c r="G155" s="14" t="str">
        <x:v>kg CO₂e/Einheit</x:v>
      </x:c>
      <x:c r="H155" s="14" t="str">
        <x:v>lower_is_better</x:v>
      </x:c>
      <x:c r="I155" s="14" t="str">
        <x:v>R07</x:v>
      </x:c>
      <x:c r="J155" s="14" t="str">
        <x:v>Top‑10%:+3; ±Benchmark:0; &gt;150%:‑2; &gt;250%:‑3</x:v>
      </x:c>
      <x:c r="K155" s="14" t="str">
        <x:v>Benchmarkabhängig</x:v>
      </x:c>
      <x:c r="L155" s="14" t="str">
        <x:v>Validierter Benchmark fehlt</x:v>
      </x:c>
      <x:c r="M155" s="14" t="str">
        <x:v>Produktgruppe/Region/Technologie</x:v>
      </x:c>
      <x:c r="N155" s="14" t="str">
        <x:v>Ja</x:v>
      </x:c>
      <x:c r="O155" s="14" t="str">
        <x:v>ISO 14067; ESRS E5; GRI 306/301; WEEE/VerpackG</x:v>
      </x:c>
      <x:c r="P155" s="14" t="str">
        <x:v>ESRS E3, WRI Aqueduct, ISO 14046 (Water Footprint)</x:v>
      </x:c>
      <x:c r="Q155" s="14" t="str">
        <x:v>Mess-/Methodenrahmen; aktiver Branchen-/Regional-/Technologiebenchmark separat erforderlich</x:v>
      </x:c>
      <x:c r="R155" s="14" t="str">
        <x:v>Teilbelegt – Benchmarkquelle fehlt</x:v>
      </x:c>
      <x:c r="S155" s="14" t="str">
        <x:v>ISO-14067; EU-ESRS; GRI; EU-WEEE; DE-VERPACKG; EU-PPWR</x:v>
      </x:c>
      <x:c r="T155" s="14" t="str">
        <x:v>C20 Chemie; C24 Stahl; C29 Fahrzeuge</x:v>
      </x:c>
      <x:c r="U155" s="14" t="str">
        <x:v>Legacy / nicht explizit versioniert</x:v>
      </x:c>
      <x:c r="V155" s="51" t="str"/>
      <x:c r="W155" s="14" t="str">
        <x:v>Migration auf NACE Rev. 2.1 erforderlich</x:v>
      </x:c>
      <x:c r="X155" s="14" t="str">
        <x:v>Produkt/Funktionseinheit; Lebenszyklusgrenze mindestens cradle-to-gate, bei Nutzungs-/End-of-Life-Relevanz cradle-to-grave</x:v>
      </x:c>
      <x:c r="Y155" s="14" t="str">
        <x:v>PCF gemäß ISO 14067/PEF; Well‑to‑Gate + Nutzung falls zutreffend.</x:v>
      </x:c>
      <x:c r="Z155" s="14" t="str">
        <x:v>Primärdaten plus repräsentativer, versionierter Benchmarkdatensatz; Stichprobe und Population offenlegen</x:v>
      </x:c>
      <x:c r="AA155" s="14" t="str">
        <x:v>Messwert-Assurance und unabhängige Benchmark-Governance</x:v>
      </x:c>
      <x:c r="AB155" s="14" t="str">
        <x:v>Prüfung/Parametrisierung erforderlich</x:v>
      </x:c>
      <x:c r="AC155" s="14" t="str">
        <x:v>Hoch</x:v>
      </x:c>
      <x:c r="AD155" s="14" t="str">
        <x:v>Produktspezifische Referenzpopulation erforderlich.</x:v>
      </x:c>
      <x:c r="AE155" s="14" t="str">
        <x:v>v1.4</x:v>
      </x:c>
      <x:c r="AF155" s="52" t="str">
        <x:v>2026-08-16</x:v>
      </x:c>
      <x:c r="AG155" s="52"/>
    </x:row>
    <x:row r="156" ht="42" customHeight="1">
      <x:c r="A156" s="14" t="str">
        <x:v>WOK-P-111</x:v>
      </x:c>
      <x:c r="B156" s="14" t="str">
        <x:v>SDG 6 – Wasser</x:v>
      </x:c>
      <x:c r="C156" s="14" t="str">
        <x:v>6.4</x:v>
      </x:c>
      <x:c r="D156" s="14" t="str">
        <x:v>Wasser‑Intensität Produkte</x:v>
      </x:c>
      <x:c r="E156" s="14" t="str">
        <x:v>Wasser‑Intensität Produkte – Reparierbarkeit</x:v>
      </x:c>
      <x:c r="F156" s="14" t="str">
        <x:v>Reparierbarkeitsindex</x:v>
      </x:c>
      <x:c r="G156" s="14" t="str">
        <x:v>Score 0–10</x:v>
      </x:c>
      <x:c r="H156" s="14" t="str">
        <x:v>higher_is_better</x:v>
      </x:c>
      <x:c r="I156" s="14" t="str">
        <x:v>R24</x:v>
      </x:c>
      <x:c r="J156" s="14" t="str">
        <x:v>≥8:+3; 6–7,9:+2; 4–5,9:0; 2–3,9:‑2; &lt;2:‑3</x:v>
      </x:c>
      <x:c r="K156" s="14" t="str">
        <x:v>Produktspezifische Indexkalibrierung</x:v>
      </x:c>
      <x:c r="L156" s="14" t="str">
        <x:v>Indexsystem und Produktgruppe müssen ausgewiesen werden</x:v>
      </x:c>
      <x:c r="M156" s="14" t="str">
        <x:v>FR-/EU-Reparierbarkeitssystem je Produktgruppe</x:v>
      </x:c>
      <x:c r="N156" s="14" t="str">
        <x:v>Optional/Nein</x:v>
      </x:c>
      <x:c r="O156" s="14" t="str">
        <x:v>EU/FR Index</x:v>
      </x:c>
      <x:c r="P156" s="14" t="str">
        <x:v>ESRS E3, WRI Aqueduct, ISO 14046 (Water Footprint)</x:v>
      </x:c>
      <x:c r="Q156" s="14" t="str">
        <x:v>Produktspezifischer Rechts-/Indexrahmen; System und Produktgruppe explizit auswählen</x:v>
      </x:c>
      <x:c r="R156" s="14" t="str">
        <x:v>Teilbelegt – produktspezifisch zu validieren</x:v>
      </x:c>
      <x:c r="S156" s="14" t="str">
        <x:v>FR-REPAIR; EU-REPAIR; EU-ESPR</x:v>
      </x:c>
      <x:c r="T156" s="14" t="str">
        <x:v>C20 Chemie; C24 Stahl; C29 Fahrzeuge</x:v>
      </x:c>
      <x:c r="U156" s="14" t="str">
        <x:v>Legacy / nicht explizit versioniert</x:v>
      </x:c>
      <x:c r="V156" s="51" t="str"/>
      <x:c r="W156" s="14" t="str">
        <x:v>Migration auf NACE Rev. 2.1 erforderlich</x:v>
      </x:c>
      <x:c r="X156" s="14" t="str">
        <x:v>Produkt/Funktionseinheit; Lebenszyklusgrenze mindestens cradle-to-gate, bei Nutzungs-/End-of-Life-Relevanz cradle-to-grave</x:v>
      </x:c>
      <x:c r="Y156" s="14" t="str">
        <x:v>EU/FR‑Reparierbarkeitsindex: Zerlegbarkeit, Ersatzteile, Doku.</x:v>
      </x:c>
      <x:c r="Z156" s="14" t="str">
        <x:v>Primärdaten oder qualitätsgesicherte Sekundärdaten; Methode, Zeitraum und Systemgrenze dokumentieren</x:v>
      </x:c>
      <x:c r="AA156" s="14" t="str">
        <x:v>Limited Assurance; bei materieller Steuerwirkung risikobasiert vertiefen</x:v>
      </x:c>
      <x:c r="AB156" s="14" t="str">
        <x:v>Produktspezifische bzw. lokale Prüfung erforderlich</x:v>
      </x:c>
      <x:c r="AC156" s="14" t="str">
        <x:v>Hoch</x:v>
      </x:c>
      <x:c r="AD156" s="14" t="str">
        <x:v>Indexsystem, Produktgruppe und Rechtsstand festlegen. Französischer Index und EU-Score sind nicht pauschal austauschbar.</x:v>
      </x:c>
      <x:c r="AE156" s="14" t="str">
        <x:v>v1.4</x:v>
      </x:c>
      <x:c r="AF156" s="52" t="str">
        <x:v>2026-08-16</x:v>
      </x:c>
      <x:c r="AG156" s="52"/>
    </x:row>
    <x:row r="157" ht="42" customHeight="1">
      <x:c r="A157" s="14" t="str">
        <x:v>WOK-P-112</x:v>
      </x:c>
      <x:c r="B157" s="14" t="str">
        <x:v>SDG 6 – Wasser</x:v>
      </x:c>
      <x:c r="C157" s="14" t="str">
        <x:v>6.4</x:v>
      </x:c>
      <x:c r="D157" s="14" t="str">
        <x:v>Wasser‑Intensität Produkte</x:v>
      </x:c>
      <x:c r="E157" s="14" t="str">
        <x:v>Wasser‑Intensität Produkte – Rücknahme/Recycling</x:v>
      </x:c>
      <x:c r="F157" s="14" t="str">
        <x:v>Rücknahme‑/Recyclingquote</x:v>
      </x:c>
      <x:c r="G157" s="14" t="str">
        <x:v>%</x:v>
      </x:c>
      <x:c r="H157" s="14" t="str">
        <x:v>higher_is_better</x:v>
      </x:c>
      <x:c r="I157" s="14" t="str">
        <x:v>R22</x:v>
      </x:c>
      <x:c r="J157" s="14" t="str">
        <x:v>≥70:+3; 50–69:+2; 30–49:0; 15–29:‑2; &lt;15:‑3</x:v>
      </x:c>
      <x:c r="K157" s="14" t="str">
        <x:v>Feste WÖk-Kalibrierung</x:v>
      </x:c>
      <x:c r="L157" s="14" t="str">
        <x:v>Arbeitskalibrierung – fachlich zu validieren</x:v>
      </x:c>
      <x:c r="M157" s="14" t="str">
        <x:v>WÖk-interne Klassenlogik</x:v>
      </x:c>
      <x:c r="N157" s="14" t="str">
        <x:v>Optional/Nein</x:v>
      </x:c>
      <x:c r="O157" s="14" t="str">
        <x:v>ESRS E5; GRI 306/301; WEEE/VerpackG</x:v>
      </x:c>
      <x:c r="P157" s="14" t="str">
        <x:v>ESRS E3, WRI Aqueduct, ISO 14046 (Water Footprint)</x:v>
      </x:c>
      <x:c r="Q157" s="14" t="str">
        <x:v>Mess-, Berichts- oder Managementrahmen; Schwellen sind grundsätzlich WÖk-Kalibrierungen</x:v>
      </x:c>
      <x:c r="R157" s="14" t="str">
        <x:v>Messgrundlage belegt; Schwellenkalibrierung offen</x:v>
      </x:c>
      <x:c r="S157" s="14" t="str">
        <x:v>EU-ESRS; GRI; EU-WEEE; DE-VERPACKG; EU-PPWR</x:v>
      </x:c>
      <x:c r="T157" s="14" t="str">
        <x:v>C20 Chemie; C24 Stahl; C29 Fahrzeuge</x:v>
      </x:c>
      <x:c r="U157" s="14" t="str">
        <x:v>Legacy / nicht explizit versioniert</x:v>
      </x:c>
      <x:c r="V157" s="51" t="str"/>
      <x:c r="W157" s="14" t="str">
        <x:v>Migration auf NACE Rev. 2.1 erforderlich</x:v>
      </x:c>
      <x:c r="X157" s="14" t="str">
        <x:v>Produkt/Funktionseinheit; Lebenszyklusgrenze mindestens cradle-to-gate, bei Nutzungs-/End-of-Life-Relevanz cradle-to-grave</x:v>
      </x:c>
      <x:c r="Y157" s="14" t="str">
        <x:v>Siehe Quelle: Definition gemäß Standard (ESRS/GRI/Taxonomie/ISO).</x:v>
      </x:c>
      <x:c r="Z157" s="14" t="str">
        <x:v>Primärdaten bevorzugt; Sekundärdaten nur transparent und versioniert; Methode und Systemgrenze dokumentieren</x:v>
      </x:c>
      <x:c r="AA157" s="14" t="str">
        <x:v>Limited Assurance; risikobasiert höhere Prüftiefe</x:v>
      </x:c>
      <x:c r="AB157" s="14" t="str">
        <x:v>Strukturell nutzbar; Schwellen fachlich zu validieren</x:v>
      </x:c>
      <x:c r="AC157" s="14" t="str">
        <x:v>Mittel</x:v>
      </x:c>
      <x:c r="AD157" s="14" t="str">
        <x:v>Vollständige fünfstufige numerische Regel.</x:v>
      </x:c>
      <x:c r="AE157" s="14" t="str">
        <x:v>v1.4</x:v>
      </x:c>
      <x:c r="AF157" s="52" t="str">
        <x:v>2026-08-16</x:v>
      </x:c>
      <x:c r="AG157" s="52"/>
    </x:row>
    <x:row r="158" ht="42" customHeight="1">
      <x:c r="A158" s="14" t="str">
        <x:v>WOK-E-131</x:v>
      </x:c>
      <x:c r="B158" s="14" t="str">
        <x:v>SDG 6 – Wasser</x:v>
      </x:c>
      <x:c r="C158" s="14" t="str">
        <x:v>6.3</x:v>
      </x:c>
      <x:c r="D158" s="14" t="str">
        <x:v>Chemikalien in Wasser</x:v>
      </x:c>
      <x:c r="E158" s="14" t="str">
        <x:v>Chemikalien in Wasser – Entnahme (WSI)</x:v>
      </x:c>
      <x:c r="F158" s="14" t="str">
        <x:v>Wasserentnahme × Wasserstressindex</x:v>
      </x:c>
      <x:c r="G158" s="14" t="str">
        <x:v>m³*WSI</x:v>
      </x:c>
      <x:c r="H158" s="14" t="str">
        <x:v>lower_is_better</x:v>
      </x:c>
      <x:c r="I158" s="14" t="str">
        <x:v>R06</x:v>
      </x:c>
      <x:c r="J158" s="14" t="str">
        <x:v>Top‑10%:+3; Mittel:0; &gt;150%:‑2; &gt;250%:‑3</x:v>
      </x:c>
      <x:c r="K158" s="14" t="str">
        <x:v>Benchmarkabhängig</x:v>
      </x:c>
      <x:c r="L158" s="14" t="str">
        <x:v>Validierter Benchmark fehlt</x:v>
      </x:c>
      <x:c r="M158" s="14" t="str">
        <x:v>Branche/Region/Technologie</x:v>
      </x:c>
      <x:c r="N158" s="14" t="str">
        <x:v>Ja</x:v>
      </x:c>
      <x:c r="O158" s="14" t="str">
        <x:v>ESRS E3; WRI Aqueduct</x:v>
      </x:c>
      <x:c r="P158" s="14" t="str">
        <x:v>ESRS E3, WRI Aqueduct, ISO 14046 (Water Footprint)</x:v>
      </x:c>
      <x:c r="Q158" s="14" t="str">
        <x:v>Mess-/Methodenrahmen; aktiver Branchen-/Regional-/Technologiebenchmark separat erforderlich</x:v>
      </x:c>
      <x:c r="R158" s="14" t="str">
        <x:v>Teilbelegt – Benchmarkquelle fehlt</x:v>
      </x:c>
      <x:c r="S158" s="14" t="str">
        <x:v>EU-ESRS; WRI-AQ; ISO-14046</x:v>
      </x:c>
      <x:c r="T158" s="14" t="str">
        <x:v>C20 Chemie; C24 Stahl; C29 Fahrzeuge</x:v>
      </x:c>
      <x:c r="U158" s="14" t="str">
        <x:v>Legacy / nicht explizit versioniert</x:v>
      </x:c>
      <x:c r="V158" s="51" t="str"/>
      <x:c r="W158" s="14" t="str">
        <x:v>Migration auf NACE Rev. 2.1 erforderlich</x:v>
      </x:c>
      <x:c r="X158" s="14" t="str">
        <x:v>Standort/Prozess/Aktivität; Bezugsgröße und relevante Umweltmedien</x:v>
      </x:c>
      <x:c r="Y158" s="14" t="str">
        <x:v>∑(m³ Standort × WRI‑Aqueduct‑Stressfaktor).</x:v>
      </x:c>
      <x:c r="Z158" s="14" t="str">
        <x:v>Primärdaten plus repräsentativer, versionierter Benchmarkdatensatz; Stichprobe und Population offenlegen</x:v>
      </x:c>
      <x:c r="AA158" s="14" t="str">
        <x:v>Messwert-Assurance und unabhängige Benchmark-Governance</x:v>
      </x:c>
      <x:c r="AB158" s="14" t="str">
        <x:v>Prüfung/Parametrisierung erforderlich</x:v>
      </x:c>
      <x:c r="AC158" s="14" t="str">
        <x:v>Hoch</x:v>
      </x:c>
      <x:c r="AD158" s="14" t="str">
        <x:v>Top-10-Prozent, Mittelwert, 150 % und 250 % müssen aus einer dokumentierten Grundgesamtheit stammen.</x:v>
      </x:c>
      <x:c r="AE158" s="14" t="str">
        <x:v>v1.4</x:v>
      </x:c>
      <x:c r="AF158" s="52" t="str">
        <x:v>2026-08-16</x:v>
      </x:c>
      <x:c r="AG158" s="52"/>
    </x:row>
    <x:row r="159" ht="42" customHeight="1">
      <x:c r="A159" s="14" t="str">
        <x:v>WOK-E-132</x:v>
      </x:c>
      <x:c r="B159" s="14" t="str">
        <x:v>SDG 6 – Wasser</x:v>
      </x:c>
      <x:c r="C159" s="14" t="str">
        <x:v>6.3</x:v>
      </x:c>
      <x:c r="D159" s="14" t="str">
        <x:v>Chemikalien in Wasser</x:v>
      </x:c>
      <x:c r="E159" s="14" t="str">
        <x:v>Chemikalien in Wasser – Reuse</x:v>
      </x:c>
      <x:c r="F159" s="14" t="str">
        <x:v>Anteil wiederverwendetes Prozesswasser</x:v>
      </x:c>
      <x:c r="G159" s="14" t="str">
        <x:v>%</x:v>
      </x:c>
      <x:c r="H159" s="14" t="str">
        <x:v>higher_is_better</x:v>
      </x:c>
      <x:c r="I159" s="14" t="str">
        <x:v>R25</x:v>
      </x:c>
      <x:c r="J159" s="14" t="str">
        <x:v>≥90%:+3; 70–89%:+2; 50–69%:0; 30–49%:‑2; &lt;30%:‑3</x:v>
      </x:c>
      <x:c r="K159" s="14" t="str">
        <x:v>Feste WÖk-Kalibrierung</x:v>
      </x:c>
      <x:c r="L159" s="14" t="str">
        <x:v>Arbeitskalibrierung – fachlich zu validieren</x:v>
      </x:c>
      <x:c r="M159" s="14" t="str">
        <x:v>WÖk-interne Klassenlogik</x:v>
      </x:c>
      <x:c r="N159" s="14" t="str">
        <x:v>Optional/Nein</x:v>
      </x:c>
      <x:c r="O159" s="14" t="str">
        <x:v>ESRS E3; WRI Aqueduct</x:v>
      </x:c>
      <x:c r="P159" s="14" t="str">
        <x:v>ESRS E3, WRI Aqueduct, ISO 14046 (Water Footprint)</x:v>
      </x:c>
      <x:c r="Q159" s="14" t="str">
        <x:v>Mess-, Berichts- oder Managementrahmen; Schwellen sind grundsätzlich WÖk-Kalibrierungen</x:v>
      </x:c>
      <x:c r="R159" s="14" t="str">
        <x:v>Messgrundlage belegt; Schwellenkalibrierung offen</x:v>
      </x:c>
      <x:c r="S159" s="14" t="str">
        <x:v>EU-ESRS; WRI-AQ; ISO-14046</x:v>
      </x:c>
      <x:c r="T159" s="14" t="str">
        <x:v>C20 Chemie; C24 Stahl; C29 Fahrzeuge</x:v>
      </x:c>
      <x:c r="U159" s="14" t="str">
        <x:v>Legacy / nicht explizit versioniert</x:v>
      </x:c>
      <x:c r="V159" s="51" t="str"/>
      <x:c r="W159" s="14" t="str">
        <x:v>Migration auf NACE Rev. 2.1 erforderlich</x:v>
      </x:c>
      <x:c r="X159" s="14" t="str">
        <x:v>Standort/Prozess/Aktivität; Bezugsgröße und relevante Umweltmedien</x:v>
      </x:c>
      <x:c r="Y159" s="14" t="str">
        <x:v>Quote = Zähler / Nenner gemäß Quelle; in %.</x:v>
      </x:c>
      <x:c r="Z159" s="14" t="str">
        <x:v>Primärdaten bevorzugt; Sekundärdaten nur transparent und versioniert; Methode und Systemgrenze dokumentieren</x:v>
      </x:c>
      <x:c r="AA159" s="14" t="str">
        <x:v>Limited Assurance; risikobasiert höhere Prüftiefe</x:v>
      </x:c>
      <x:c r="AB159" s="14" t="str">
        <x:v>Strukturell nutzbar; Schwellen fachlich zu validieren</x:v>
      </x:c>
      <x:c r="AC159" s="14" t="str">
        <x:v>Mittel</x:v>
      </x:c>
      <x:c r="AD159" s="14" t="str">
        <x:v>Vollständige fünfstufige Prozentregel.</x:v>
      </x:c>
      <x:c r="AE159" s="14" t="str">
        <x:v>v1.4</x:v>
      </x:c>
      <x:c r="AF159" s="52" t="str">
        <x:v>2026-08-16</x:v>
      </x:c>
      <x:c r="AG159" s="52"/>
    </x:row>
    <x:row r="160" ht="42" customHeight="1">
      <x:c r="A160" s="14" t="str">
        <x:v>WOK-E-133</x:v>
      </x:c>
      <x:c r="B160" s="14" t="str">
        <x:v>SDG 6 – Wasser</x:v>
      </x:c>
      <x:c r="C160" s="14" t="str">
        <x:v>6.3</x:v>
      </x:c>
      <x:c r="D160" s="14" t="str">
        <x:v>Chemikalien in Wasser</x:v>
      </x:c>
      <x:c r="E160" s="14" t="str">
        <x:v>Chemikalien in Wasser – Abwasserqualität</x:v>
      </x:c>
      <x:c r="F160" s="14" t="str">
        <x:v>Messwert in Prozent des jeweils anwendbaren Rechts- oder Genehmigungsgrenzwerts</x:v>
      </x:c>
      <x:c r="G160" s="14" t="str">
        <x:v>% des Grenzwerts</x:v>
      </x:c>
      <x:c r="H160" s="14" t="str">
        <x:v>lower_is_better</x:v>
      </x:c>
      <x:c r="I160" s="14" t="str">
        <x:v>R12</x:v>
      </x:c>
      <x:c r="J160" s="14" t="str">
        <x:v>≤50% Grenzwert:+3; ≤75%:+2; ≤100%:0; 101–120%:‑2; &gt;120%:‑3</x:v>
      </x:c>
      <x:c r="K160" s="14" t="str">
        <x:v>Rechts-/Genehmigungsgrenze</x:v>
      </x:c>
      <x:c r="L160" s="14" t="str">
        <x:v>Rechtsfundstelle je Fall erforderlich</x:v>
      </x:c>
      <x:c r="M160" s="14" t="str">
        <x:v>Jeweils anwendbare Rechtsnorm/Genehmigung</x:v>
      </x:c>
      <x:c r="N160" s="14" t="str">
        <x:v>Optional/Nein</x:v>
      </x:c>
      <x:c r="O160" s="14" t="str">
        <x:v>ESRS E3; WRI Aqueduct</x:v>
      </x:c>
      <x:c r="P160" s="14" t="str">
        <x:v>ESRS E3, WRI Aqueduct, ISO 14046 (Water Footprint)</x:v>
      </x:c>
      <x:c r="Q160" s="14" t="str">
        <x:v>Mess-/Berichtsrahmen; konkrete Rechts- oder Genehmigungsfundstelle je Fall erforderlich</x:v>
      </x:c>
      <x:c r="R160" s="14" t="str">
        <x:v>Teilbelegt – Rechtsfundstelle je Messung fehlt</x:v>
      </x:c>
      <x:c r="S160" s="14" t="str">
        <x:v>EU-ESRS; WRI-AQ; ISO-14046</x:v>
      </x:c>
      <x:c r="T160" s="14" t="str">
        <x:v>C20 Chemie; C24 Stahl; C29 Fahrzeuge</x:v>
      </x:c>
      <x:c r="U160" s="14" t="str">
        <x:v>Legacy / nicht explizit versioniert</x:v>
      </x:c>
      <x:c r="V160" s="51" t="str"/>
      <x:c r="W160" s="14" t="str">
        <x:v>Migration auf NACE Rev. 2.1 erforderlich</x:v>
      </x:c>
      <x:c r="X160" s="14" t="str">
        <x:v>Standort/Prozess/Aktivität; Bezugsgröße und relevante Umweltmedien</x:v>
      </x:c>
      <x:c r="Y160" s="14" t="str">
        <x:v>Grenzwertquote = Messwert / anwendbarer Grenzwert × 100; Fundstelle, Einheit, Messpunkt und Zeitraum nachweisen.</x:v>
      </x:c>
      <x:c r="Z160" s="14" t="str">
        <x:v>Kalibrierter Messwert; Rechtsfundstelle, Grenzwert, Einheit, Messpunkt und Zeitraum</x:v>
      </x:c>
      <x:c r="AA160" s="14" t="str">
        <x:v>Behördlicher/akkreditierter Nachweis oder unabhängige Prüfung</x:v>
      </x:c>
      <x:c r="AB160" s="14" t="str">
        <x:v>Prüfung/Parametrisierung erforderlich</x:v>
      </x:c>
      <x:c r="AC160" s="14" t="str">
        <x:v>Hoch</x:v>
      </x:c>
      <x:c r="AD160" s="14" t="str">
        <x:v>Nicht der absolute Messwert, sondern Messwert ÷ Grenzwert × 100 wird bewertet.</x:v>
      </x:c>
      <x:c r="AE160" s="14" t="str">
        <x:v>v1.4</x:v>
      </x:c>
      <x:c r="AF160" s="52" t="str">
        <x:v>2026-08-16</x:v>
      </x:c>
      <x:c r="AG160" s="52"/>
    </x:row>
    <x:row r="161" ht="42" customHeight="1">
      <x:c r="A161" s="14" t="str">
        <x:v>WOK-E-134</x:v>
      </x:c>
      <x:c r="B161" s="14" t="str">
        <x:v>SDG 6 – Wasser</x:v>
      </x:c>
      <x:c r="C161" s="14" t="str">
        <x:v>6.b</x:v>
      </x:c>
      <x:c r="D161" s="14" t="str">
        <x:v>Grundwasser/Entnahme‑Reporting</x:v>
      </x:c>
      <x:c r="E161" s="14" t="str">
        <x:v>Grundwasser/Entnahme‑Reporting – Entnahme (WSI)</x:v>
      </x:c>
      <x:c r="F161" s="14" t="str">
        <x:v>Wasserentnahme × Wasserstressindex</x:v>
      </x:c>
      <x:c r="G161" s="14" t="str">
        <x:v>m³*WSI</x:v>
      </x:c>
      <x:c r="H161" s="14" t="str">
        <x:v>lower_is_better</x:v>
      </x:c>
      <x:c r="I161" s="14" t="str">
        <x:v>R06</x:v>
      </x:c>
      <x:c r="J161" s="14" t="str">
        <x:v>Top‑10%:+3; Mittel:0; &gt;150%:‑2; &gt;250%:‑3</x:v>
      </x:c>
      <x:c r="K161" s="14" t="str">
        <x:v>Benchmarkabhängig</x:v>
      </x:c>
      <x:c r="L161" s="14" t="str">
        <x:v>Validierter Benchmark fehlt</x:v>
      </x:c>
      <x:c r="M161" s="14" t="str">
        <x:v>Branche/Region/Technologie</x:v>
      </x:c>
      <x:c r="N161" s="14" t="str">
        <x:v>Ja</x:v>
      </x:c>
      <x:c r="O161" s="14" t="str">
        <x:v>ESRS E3; WRI Aqueduct</x:v>
      </x:c>
      <x:c r="P161" s="14" t="str">
        <x:v>ESRS E3, WRI Aqueduct, ISO 14046 (Water Footprint)</x:v>
      </x:c>
      <x:c r="Q161" s="14" t="str">
        <x:v>Mess-/Methodenrahmen; aktiver Branchen-/Regional-/Technologiebenchmark separat erforderlich</x:v>
      </x:c>
      <x:c r="R161" s="14" t="str">
        <x:v>Teilbelegt – Benchmarkquelle fehlt</x:v>
      </x:c>
      <x:c r="S161" s="14" t="str">
        <x:v>EU-ESRS; WRI-AQ; ISO-14046</x:v>
      </x:c>
      <x:c r="T161" s="14" t="str">
        <x:v>C20 Chemie; C24 Stahl; C29 Fahrzeuge</x:v>
      </x:c>
      <x:c r="U161" s="14" t="str">
        <x:v>Legacy / nicht explizit versioniert</x:v>
      </x:c>
      <x:c r="V161" s="51" t="str"/>
      <x:c r="W161" s="14" t="str">
        <x:v>Migration auf NACE Rev. 2.1 erforderlich</x:v>
      </x:c>
      <x:c r="X161" s="14" t="str">
        <x:v>Standort/Prozess/Aktivität; Bezugsgröße und relevante Umweltmedien</x:v>
      </x:c>
      <x:c r="Y161" s="14" t="str">
        <x:v>∑(m³ Standort × WRI‑Aqueduct‑Stressfaktor).</x:v>
      </x:c>
      <x:c r="Z161" s="14" t="str">
        <x:v>Primärdaten plus repräsentativer, versionierter Benchmarkdatensatz; Stichprobe und Population offenlegen</x:v>
      </x:c>
      <x:c r="AA161" s="14" t="str">
        <x:v>Messwert-Assurance und unabhängige Benchmark-Governance</x:v>
      </x:c>
      <x:c r="AB161" s="14" t="str">
        <x:v>Prüfung/Parametrisierung erforderlich</x:v>
      </x:c>
      <x:c r="AC161" s="14" t="str">
        <x:v>Hoch</x:v>
      </x:c>
      <x:c r="AD161" s="14" t="str">
        <x:v>Top-10-Prozent, Mittelwert, 150 % und 250 % müssen aus einer dokumentierten Grundgesamtheit stammen.</x:v>
      </x:c>
      <x:c r="AE161" s="14" t="str">
        <x:v>v1.4</x:v>
      </x:c>
      <x:c r="AF161" s="52" t="str">
        <x:v>2026-08-16</x:v>
      </x:c>
      <x:c r="AG161" s="52"/>
    </x:row>
    <x:row r="162" ht="42" customHeight="1">
      <x:c r="A162" s="14" t="str">
        <x:v>WOK-E-135</x:v>
      </x:c>
      <x:c r="B162" s="14" t="str">
        <x:v>SDG 6 – Wasser</x:v>
      </x:c>
      <x:c r="C162" s="14" t="str">
        <x:v>6.b</x:v>
      </x:c>
      <x:c r="D162" s="14" t="str">
        <x:v>Grundwasser/Entnahme‑Reporting</x:v>
      </x:c>
      <x:c r="E162" s="14" t="str">
        <x:v>Grundwasser/Entnahme‑Reporting – Reuse</x:v>
      </x:c>
      <x:c r="F162" s="14" t="str">
        <x:v>Anteil wiederverwendetes Prozesswasser</x:v>
      </x:c>
      <x:c r="G162" s="14" t="str">
        <x:v>%</x:v>
      </x:c>
      <x:c r="H162" s="14" t="str">
        <x:v>higher_is_better</x:v>
      </x:c>
      <x:c r="I162" s="14" t="str">
        <x:v>R25</x:v>
      </x:c>
      <x:c r="J162" s="14" t="str">
        <x:v>≥90%:+3; 70–89%:+2; 50–69%:0; 30–49%:‑2; &lt;30%:‑3</x:v>
      </x:c>
      <x:c r="K162" s="14" t="str">
        <x:v>Feste WÖk-Kalibrierung</x:v>
      </x:c>
      <x:c r="L162" s="14" t="str">
        <x:v>Arbeitskalibrierung – fachlich zu validieren</x:v>
      </x:c>
      <x:c r="M162" s="14" t="str">
        <x:v>WÖk-interne Klassenlogik</x:v>
      </x:c>
      <x:c r="N162" s="14" t="str">
        <x:v>Optional/Nein</x:v>
      </x:c>
      <x:c r="O162" s="14" t="str">
        <x:v>ESRS E3; WRI Aqueduct</x:v>
      </x:c>
      <x:c r="P162" s="14" t="str">
        <x:v>ESRS E3, WRI Aqueduct, ISO 14046 (Water Footprint)</x:v>
      </x:c>
      <x:c r="Q162" s="14" t="str">
        <x:v>Mess-, Berichts- oder Managementrahmen; Schwellen sind grundsätzlich WÖk-Kalibrierungen</x:v>
      </x:c>
      <x:c r="R162" s="14" t="str">
        <x:v>Messgrundlage belegt; Schwellenkalibrierung offen</x:v>
      </x:c>
      <x:c r="S162" s="14" t="str">
        <x:v>EU-ESRS; WRI-AQ; ISO-14046</x:v>
      </x:c>
      <x:c r="T162" s="14" t="str">
        <x:v>C20 Chemie; C24 Stahl; C29 Fahrzeuge</x:v>
      </x:c>
      <x:c r="U162" s="14" t="str">
        <x:v>Legacy / nicht explizit versioniert</x:v>
      </x:c>
      <x:c r="V162" s="51" t="str"/>
      <x:c r="W162" s="14" t="str">
        <x:v>Migration auf NACE Rev. 2.1 erforderlich</x:v>
      </x:c>
      <x:c r="X162" s="14" t="str">
        <x:v>Standort/Prozess/Aktivität; Bezugsgröße und relevante Umweltmedien</x:v>
      </x:c>
      <x:c r="Y162" s="14" t="str">
        <x:v>Quote = Zähler / Nenner gemäß Quelle; in %.</x:v>
      </x:c>
      <x:c r="Z162" s="14" t="str">
        <x:v>Primärdaten bevorzugt; Sekundärdaten nur transparent und versioniert; Methode und Systemgrenze dokumentieren</x:v>
      </x:c>
      <x:c r="AA162" s="14" t="str">
        <x:v>Limited Assurance; risikobasiert höhere Prüftiefe</x:v>
      </x:c>
      <x:c r="AB162" s="14" t="str">
        <x:v>Strukturell nutzbar; Schwellen fachlich zu validieren</x:v>
      </x:c>
      <x:c r="AC162" s="14" t="str">
        <x:v>Mittel</x:v>
      </x:c>
      <x:c r="AD162" s="14" t="str">
        <x:v>Vollständige fünfstufige Prozentregel.</x:v>
      </x:c>
      <x:c r="AE162" s="14" t="str">
        <x:v>v1.4</x:v>
      </x:c>
      <x:c r="AF162" s="52" t="str">
        <x:v>2026-08-16</x:v>
      </x:c>
      <x:c r="AG162" s="52"/>
    </x:row>
    <x:row r="163" ht="42" customHeight="1">
      <x:c r="A163" s="14" t="str">
        <x:v>WOK-E-136</x:v>
      </x:c>
      <x:c r="B163" s="14" t="str">
        <x:v>SDG 6 – Wasser</x:v>
      </x:c>
      <x:c r="C163" s="14" t="str">
        <x:v>6.b</x:v>
      </x:c>
      <x:c r="D163" s="14" t="str">
        <x:v>Grundwasser/Entnahme‑Reporting</x:v>
      </x:c>
      <x:c r="E163" s="14" t="str">
        <x:v>Grundwasser/Entnahme‑Reporting – Abwasserqualität</x:v>
      </x:c>
      <x:c r="F163" s="14" t="str">
        <x:v>Messwert in Prozent des jeweils anwendbaren Rechts- oder Genehmigungsgrenzwerts</x:v>
      </x:c>
      <x:c r="G163" s="14" t="str">
        <x:v>% des Grenzwerts</x:v>
      </x:c>
      <x:c r="H163" s="14" t="str">
        <x:v>lower_is_better</x:v>
      </x:c>
      <x:c r="I163" s="14" t="str">
        <x:v>R12</x:v>
      </x:c>
      <x:c r="J163" s="14" t="str">
        <x:v>≤50% Grenzwert:+3; ≤75%:+2; ≤100%:0; 101–120%:‑2; &gt;120%:‑3</x:v>
      </x:c>
      <x:c r="K163" s="14" t="str">
        <x:v>Rechts-/Genehmigungsgrenze</x:v>
      </x:c>
      <x:c r="L163" s="14" t="str">
        <x:v>Rechtsfundstelle je Fall erforderlich</x:v>
      </x:c>
      <x:c r="M163" s="14" t="str">
        <x:v>Jeweils anwendbare Rechtsnorm/Genehmigung</x:v>
      </x:c>
      <x:c r="N163" s="14" t="str">
        <x:v>Optional/Nein</x:v>
      </x:c>
      <x:c r="O163" s="14" t="str">
        <x:v>ESRS E3; WRI Aqueduct</x:v>
      </x:c>
      <x:c r="P163" s="14" t="str">
        <x:v>ESRS E3, WRI Aqueduct, ISO 14046 (Water Footprint)</x:v>
      </x:c>
      <x:c r="Q163" s="14" t="str">
        <x:v>Mess-/Berichtsrahmen; konkrete Rechts- oder Genehmigungsfundstelle je Fall erforderlich</x:v>
      </x:c>
      <x:c r="R163" s="14" t="str">
        <x:v>Teilbelegt – Rechtsfundstelle je Messung fehlt</x:v>
      </x:c>
      <x:c r="S163" s="14" t="str">
        <x:v>EU-ESRS; WRI-AQ; ISO-14046</x:v>
      </x:c>
      <x:c r="T163" s="14" t="str">
        <x:v>C20 Chemie; C24 Stahl; C29 Fahrzeuge</x:v>
      </x:c>
      <x:c r="U163" s="14" t="str">
        <x:v>Legacy / nicht explizit versioniert</x:v>
      </x:c>
      <x:c r="V163" s="51" t="str"/>
      <x:c r="W163" s="14" t="str">
        <x:v>Migration auf NACE Rev. 2.1 erforderlich</x:v>
      </x:c>
      <x:c r="X163" s="14" t="str">
        <x:v>Standort/Prozess/Aktivität; Bezugsgröße und relevante Umweltmedien</x:v>
      </x:c>
      <x:c r="Y163" s="14" t="str">
        <x:v>Grenzwertquote = Messwert / anwendbarer Grenzwert × 100; Fundstelle, Einheit, Messpunkt und Zeitraum nachweisen.</x:v>
      </x:c>
      <x:c r="Z163" s="14" t="str">
        <x:v>Kalibrierter Messwert; Rechtsfundstelle, Grenzwert, Einheit, Messpunkt und Zeitraum</x:v>
      </x:c>
      <x:c r="AA163" s="14" t="str">
        <x:v>Behördlicher/akkreditierter Nachweis oder unabhängige Prüfung</x:v>
      </x:c>
      <x:c r="AB163" s="14" t="str">
        <x:v>Prüfung/Parametrisierung erforderlich</x:v>
      </x:c>
      <x:c r="AC163" s="14" t="str">
        <x:v>Hoch</x:v>
      </x:c>
      <x:c r="AD163" s="14" t="str">
        <x:v>Nicht der absolute Messwert, sondern Messwert ÷ Grenzwert × 100 wird bewertet.</x:v>
      </x:c>
      <x:c r="AE163" s="14" t="str">
        <x:v>v1.4</x:v>
      </x:c>
      <x:c r="AF163" s="52" t="str">
        <x:v>2026-08-16</x:v>
      </x:c>
      <x:c r="AG163" s="52"/>
    </x:row>
    <x:row r="164" ht="42" customHeight="1">
      <x:c r="A164" s="14" t="str">
        <x:v>WOK-G-131</x:v>
      </x:c>
      <x:c r="B164" s="14" t="str">
        <x:v>SDG 6 – Wasser</x:v>
      </x:c>
      <x:c r="C164" s="14" t="str">
        <x:v>6.b</x:v>
      </x:c>
      <x:c r="D164" s="14" t="str">
        <x:v>Wasser‑Governance &amp; Rechte</x:v>
      </x:c>
      <x:c r="E164" s="14" t="str">
        <x:v>Wasser‑Governance &amp; Rechte – Antikorruption</x:v>
      </x:c>
      <x:c r="F164" s="14" t="str">
        <x:v>Bestätigte Fälle/1.000 FTE</x:v>
      </x:c>
      <x:c r="G164" s="14" t="str">
        <x:v>Fälle/1.000 FTE</x:v>
      </x:c>
      <x:c r="H164" s="14" t="str">
        <x:v>lower_is_better</x:v>
      </x:c>
      <x:c r="I164" s="14" t="str">
        <x:v>R01</x:v>
      </x:c>
      <x:c r="J164" s="14" t="str">
        <x:v>0:+3; ≤0,2:+2; ≤0,5:0; ≤1:‑2; &gt;1:‑3</x:v>
      </x:c>
      <x:c r="K164" s="14" t="str">
        <x:v>Feste WÖk-Kalibrierung</x:v>
      </x:c>
      <x:c r="L164" s="14" t="str">
        <x:v>Arbeitskalibrierung – fachlich zu validieren</x:v>
      </x:c>
      <x:c r="M164" s="14" t="str">
        <x:v>WÖk-interne Klassenlogik</x:v>
      </x:c>
      <x:c r="N164" s="14" t="str">
        <x:v>Optional/Nein</x:v>
      </x:c>
      <x:c r="O164" s="14" t="str">
        <x:v>ESRS G1; GRI 205/207</x:v>
      </x:c>
      <x:c r="P164" s="14" t="str">
        <x:v>ESRS E3, WRI Aqueduct, ISO 14046 (Water Footprint)</x:v>
      </x:c>
      <x:c r="Q164" s="14" t="str">
        <x:v>Mess-, Berichts- oder Managementrahmen; Schwellen sind grundsätzlich WÖk-Kalibrierungen</x:v>
      </x:c>
      <x:c r="R164" s="14" t="str">
        <x:v>Messgrundlage belegt; Schwellenkalibrierung offen</x:v>
      </x:c>
      <x:c r="S164" s="14" t="str">
        <x:v>EU-ESRS; GRI; OECD-AB</x:v>
      </x:c>
      <x:c r="T164" s="14" t="str">
        <x:v>G47 Handel; K Versicherungen; M72 F&amp;E</x:v>
      </x:c>
      <x:c r="U164" s="14" t="str">
        <x:v>Legacy / nicht explizit versioniert</x:v>
      </x:c>
      <x:c r="V164" s="51" t="str"/>
      <x:c r="W164" s="14" t="str">
        <x:v>Migration auf NACE Rev. 2.1 erforderlich</x:v>
      </x:c>
      <x:c r="X164" s="14" t="str">
        <x:v>Organisation/Governance; konsolidierter Kreis und relevante Rechtseinheiten</x:v>
      </x:c>
      <x:c r="Y164" s="14" t="str">
        <x:v>Siehe Quelle: Definition gemäß Standard (ESRS/GRI/Taxonomie/ISO).</x:v>
      </x:c>
      <x:c r="Z164" s="14" t="str">
        <x:v>Primärdaten bevorzugt; Sekundärdaten nur transparent und versioniert; Methode und Systemgrenze dokumentieren</x:v>
      </x:c>
      <x:c r="AA164" s="14" t="str">
        <x:v>Limited Assurance; risikobasiert höhere Prüftiefe</x:v>
      </x:c>
      <x:c r="AB164" s="14" t="str">
        <x:v>Strukturell nutzbar; Schwellen fachlich zu validieren</x:v>
      </x:c>
      <x:c r="AC164" s="14" t="str">
        <x:v>Mittel</x:v>
      </x:c>
      <x:c r="AD164" s="14" t="str">
        <x:v>Vollständige fünfstufige numerische Regel.</x:v>
      </x:c>
      <x:c r="AE164" s="14" t="str">
        <x:v>v1.4</x:v>
      </x:c>
      <x:c r="AF164" s="52" t="str">
        <x:v>2026-08-16</x:v>
      </x:c>
      <x:c r="AG164" s="52"/>
    </x:row>
    <x:row r="165" ht="42" customHeight="1">
      <x:c r="A165" s="14" t="str">
        <x:v>WOK-G-132</x:v>
      </x:c>
      <x:c r="B165" s="14" t="str">
        <x:v>SDG 6 – Wasser</x:v>
      </x:c>
      <x:c r="C165" s="14" t="str">
        <x:v>6.b</x:v>
      </x:c>
      <x:c r="D165" s="14" t="str">
        <x:v>Wasser‑Governance &amp; Rechte</x:v>
      </x:c>
      <x:c r="E165" s="14" t="str">
        <x:v>Wasser‑Governance &amp; Rechte – Whistleblowing</x:v>
      </x:c>
      <x:c r="F165" s="14" t="str">
        <x:v>Wirksamkeits‑Score</x:v>
      </x:c>
      <x:c r="G165" s="14" t="str">
        <x:v>0–1</x:v>
      </x:c>
      <x:c r="H165" s="14" t="str">
        <x:v>higher_is_better</x:v>
      </x:c>
      <x:c r="I165" s="14" t="str">
        <x:v>R16</x:v>
      </x:c>
      <x:c r="J165" s="14" t="str">
        <x:v>≥0,9:+3; 0,75–0,89:+2; 0,6–0,74:0; 0,4–0,59:‑2; &lt;0,4:‑3</x:v>
      </x:c>
      <x:c r="K165" s="14" t="str">
        <x:v>Feste WÖk-Kalibrierung</x:v>
      </x:c>
      <x:c r="L165" s="14" t="str">
        <x:v>Arbeitskalibrierung – fachlich zu validieren</x:v>
      </x:c>
      <x:c r="M165" s="14" t="str">
        <x:v>WÖk-interne Klassenlogik</x:v>
      </x:c>
      <x:c r="N165" s="14" t="str">
        <x:v>Optional/Nein</x:v>
      </x:c>
      <x:c r="O165" s="14" t="str">
        <x:v>ESRS G1; GRI 205/207</x:v>
      </x:c>
      <x:c r="P165" s="14" t="str">
        <x:v>ESRS E3, WRI Aqueduct, ISO 14046 (Water Footprint)</x:v>
      </x:c>
      <x:c r="Q165" s="14" t="str">
        <x:v>Mess-, Berichts- oder Managementrahmen; Schwellen sind grundsätzlich WÖk-Kalibrierungen</x:v>
      </x:c>
      <x:c r="R165" s="14" t="str">
        <x:v>Messgrundlage belegt; Schwellenkalibrierung offen</x:v>
      </x:c>
      <x:c r="S165" s="14" t="str">
        <x:v>EU-ESRS; GRI; OECD-AB</x:v>
      </x:c>
      <x:c r="T165" s="14" t="str">
        <x:v>G47 Handel; K Versicherungen; M72 F&amp;E</x:v>
      </x:c>
      <x:c r="U165" s="14" t="str">
        <x:v>Legacy / nicht explizit versioniert</x:v>
      </x:c>
      <x:c r="V165" s="51" t="str"/>
      <x:c r="W165" s="14" t="str">
        <x:v>Migration auf NACE Rev. 2.1 erforderlich</x:v>
      </x:c>
      <x:c r="X165" s="14" t="str">
        <x:v>Organisation/Governance; konsolidierter Kreis und relevante Rechtseinheiten</x:v>
      </x:c>
      <x:c r="Y165" s="14" t="str">
        <x:v>Siehe Quelle: Definition gemäß Standard (ESRS/GRI/Taxonomie/ISO).</x:v>
      </x:c>
      <x:c r="Z165" s="14" t="str">
        <x:v>Primärdaten bevorzugt; Sekundärdaten nur transparent und versioniert; Methode und Systemgrenze dokumentieren</x:v>
      </x:c>
      <x:c r="AA165" s="14" t="str">
        <x:v>Limited Assurance; risikobasiert höhere Prüftiefe</x:v>
      </x:c>
      <x:c r="AB165" s="14" t="str">
        <x:v>Strukturell nutzbar; Schwellen fachlich zu validieren</x:v>
      </x:c>
      <x:c r="AC165" s="14" t="str">
        <x:v>Mittel</x:v>
      </x:c>
      <x:c r="AD165" s="14" t="str">
        <x:v>Vollständige fünfstufige numerische Regel.</x:v>
      </x:c>
      <x:c r="AE165" s="14" t="str">
        <x:v>v1.4</x:v>
      </x:c>
      <x:c r="AF165" s="52" t="str">
        <x:v>2026-08-16</x:v>
      </x:c>
      <x:c r="AG165" s="52"/>
    </x:row>
    <x:row r="166" ht="42" customHeight="1">
      <x:c r="A166" s="14" t="str">
        <x:v>WOK-G-133</x:v>
      </x:c>
      <x:c r="B166" s="14" t="str">
        <x:v>SDG 6 – Wasser</x:v>
      </x:c>
      <x:c r="C166" s="14" t="str">
        <x:v>6.b</x:v>
      </x:c>
      <x:c r="D166" s="14" t="str">
        <x:v>Wasser‑Governance &amp; Rechte</x:v>
      </x:c>
      <x:c r="E166" s="14" t="str">
        <x:v>Wasser‑Governance &amp; Rechte – Steuertransparenz</x:v>
      </x:c>
      <x:c r="F166" s="14" t="str">
        <x:v>CbCR‑Offenlegung</x:v>
      </x:c>
      <x:c r="G166" s="14" t="str">
        <x:v>0–1</x:v>
      </x:c>
      <x:c r="H166" s="14" t="str">
        <x:v>higher_is_better</x:v>
      </x:c>
      <x:c r="I166" s="14" t="str">
        <x:v>R08</x:v>
      </x:c>
      <x:c r="J166" s="14" t="str">
        <x:v>vollständig:+3; teilweise:+2; minimal:0; schlecht:‑2</x:v>
      </x:c>
      <x:c r="K166" s="14" t="str">
        <x:v>Qualitativ</x:v>
      </x:c>
      <x:c r="L166" s="14" t="str">
        <x:v>Assurance und Kriterienkatalog erforderlich</x:v>
      </x:c>
      <x:c r="M166" s="14" t="str">
        <x:v>WÖk-interne Kategorien</x:v>
      </x:c>
      <x:c r="N166" s="14" t="str">
        <x:v>Optional/Nein</x:v>
      </x:c>
      <x:c r="O166" s="14" t="str">
        <x:v>ESRS G1; GRI 205/207</x:v>
      </x:c>
      <x:c r="P166" s="14" t="str">
        <x:v>ESRS E3, WRI Aqueduct, ISO 14046 (Water Footprint)</x:v>
      </x:c>
      <x:c r="Q166" s="14" t="str">
        <x:v>Mess-, Berichts- oder Managementrahmen; Schwellen sind grundsätzlich WÖk-Kalibrierungen</x:v>
      </x:c>
      <x:c r="R166" s="14" t="str">
        <x:v>Messgrundlage belegt; Schwellenkalibrierung offen</x:v>
      </x:c>
      <x:c r="S166" s="14" t="str">
        <x:v>EU-ESRS; GRI; OECD-AB</x:v>
      </x:c>
      <x:c r="T166" s="14" t="str">
        <x:v>G47 Handel; K Versicherungen; M72 F&amp;E</x:v>
      </x:c>
      <x:c r="U166" s="14" t="str">
        <x:v>Legacy / nicht explizit versioniert</x:v>
      </x:c>
      <x:c r="V166" s="51" t="str"/>
      <x:c r="W166" s="14" t="str">
        <x:v>Migration auf NACE Rev. 2.1 erforderlich</x:v>
      </x:c>
      <x:c r="X166" s="14" t="str">
        <x:v>Organisation/Governance; konsolidierter Kreis und relevante Rechtseinheiten</x:v>
      </x:c>
      <x:c r="Y166" s="14" t="str">
        <x:v>Siehe Quelle: Definition gemäß Standard (ESRS/GRI/Taxonomie/ISO).</x:v>
      </x:c>
      <x:c r="Z166" s="14" t="str">
        <x:v>Dokumentierter Kriterienkatalog; nachvollziehbare Evidenz; DQR A/B bevorzugt</x:v>
      </x:c>
      <x:c r="AA166" s="14" t="str">
        <x:v>Unabhängige Fachprüfung/Limited Assurance; bei roten Linien Reasonable Assurance</x:v>
      </x:c>
      <x:c r="AB166" s="14" t="str">
        <x:v>Prüfung/Parametrisierung erforderlich</x:v>
      </x:c>
      <x:c r="AC166" s="14" t="str">
        <x:v>Hoch</x:v>
      </x:c>
      <x:c r="AD166" s="14" t="str">
        <x:v>Die Kategorie −3 fehlt; Vollständigkeit und Wirksamkeit sind feldspezifisch zu definieren.</x:v>
      </x:c>
      <x:c r="AE166" s="14" t="str">
        <x:v>v1.4</x:v>
      </x:c>
      <x:c r="AF166" s="52" t="str">
        <x:v>2026-08-16</x:v>
      </x:c>
      <x:c r="AG166" s="52"/>
    </x:row>
    <x:row r="167" ht="42" customHeight="1">
      <x:c r="A167" s="14" t="str">
        <x:v>WOK-E-137</x:v>
      </x:c>
      <x:c r="B167" s="14" t="str">
        <x:v>SDG 7 – Energie</x:v>
      </x:c>
      <x:c r="C167" s="14" t="str">
        <x:v>7.2</x:v>
      </x:c>
      <x:c r="D167" s="14" t="str">
        <x:v>Erneuerbare Energien</x:v>
      </x:c>
      <x:c r="E167" s="14" t="str">
        <x:v>Erneuerbare Energien – EE‑Anteil</x:v>
      </x:c>
      <x:c r="F167" s="14" t="str">
        <x:v>Anteil erneuerbarer Energien am Strombezug</x:v>
      </x:c>
      <x:c r="G167" s="14" t="str">
        <x:v>%</x:v>
      </x:c>
      <x:c r="H167" s="14" t="str">
        <x:v>higher_is_better</x:v>
      </x:c>
      <x:c r="I167" s="14" t="str">
        <x:v>R25</x:v>
      </x:c>
      <x:c r="J167" s="14" t="str">
        <x:v>≥90%:+3; 70–89%:+2; 50–69%:0; 30–49%:‑2; &lt;30%:‑3</x:v>
      </x:c>
      <x:c r="K167" s="14" t="str">
        <x:v>Feste WÖk-Kalibrierung</x:v>
      </x:c>
      <x:c r="L167" s="14" t="str">
        <x:v>Arbeitskalibrierung – fachlich zu validieren</x:v>
      </x:c>
      <x:c r="M167" s="14" t="str">
        <x:v>WÖk-interne Klassenlogik</x:v>
      </x:c>
      <x:c r="N167" s="14" t="str">
        <x:v>Optional/Nein</x:v>
      </x:c>
      <x:c r="O167" s="14" t="str">
        <x:v>ESRS E1; GHG Protocol</x:v>
      </x:c>
      <x:c r="P167" s="14" t="str">
        <x:v>ESRS E1, ISO 50001 (EnMS), ISO/IEC 30134‑2 (PUE), EU EPBD</x:v>
      </x:c>
      <x:c r="Q167" s="14" t="str">
        <x:v>Mess-, Berichts- oder Managementrahmen; Schwellen sind grundsätzlich WÖk-Kalibrierungen</x:v>
      </x:c>
      <x:c r="R167" s="14" t="str">
        <x:v>Messgrundlage belegt; Schwellenkalibrierung offen</x:v>
      </x:c>
      <x:c r="S167" s="14" t="str">
        <x:v>EU-ESRS; GHG-CORP; GHG-S3; GHG-PROD</x:v>
      </x:c>
      <x:c r="T167" s="14" t="str">
        <x:v>C20 Chemie; C24 Stahl; C29 Fahrzeuge</x:v>
      </x:c>
      <x:c r="U167" s="14" t="str">
        <x:v>Legacy / nicht explizit versioniert</x:v>
      </x:c>
      <x:c r="V167" s="51" t="str"/>
      <x:c r="W167" s="14" t="str">
        <x:v>Migration auf NACE Rev. 2.1 erforderlich</x:v>
      </x:c>
      <x:c r="X167" s="14" t="str">
        <x:v>Standort/Prozess/Aktivität; Bezugsgröße und relevante Umweltmedien</x:v>
      </x:c>
      <x:c r="Y167" s="14" t="str">
        <x:v>EE‑Anteil = EE‑Strom (inkl. PPA/HKN) / Gesamtstrom.</x:v>
      </x:c>
      <x:c r="Z167" s="14" t="str">
        <x:v>Primärdaten bevorzugt; Sekundärdaten nur transparent und versioniert; Methode und Systemgrenze dokumentieren</x:v>
      </x:c>
      <x:c r="AA167" s="14" t="str">
        <x:v>Limited Assurance; risikobasiert höhere Prüftiefe</x:v>
      </x:c>
      <x:c r="AB167" s="14" t="str">
        <x:v>Strukturell nutzbar; Schwellen fachlich zu validieren</x:v>
      </x:c>
      <x:c r="AC167" s="14" t="str">
        <x:v>Mittel</x:v>
      </x:c>
      <x:c r="AD167" s="14" t="str">
        <x:v>Vollständige fünfstufige Prozentregel.</x:v>
      </x:c>
      <x:c r="AE167" s="14" t="str">
        <x:v>v1.4</x:v>
      </x:c>
      <x:c r="AF167" s="52" t="str">
        <x:v>2026-08-16</x:v>
      </x:c>
      <x:c r="AG167" s="52"/>
    </x:row>
    <x:row r="168" ht="42" customHeight="1">
      <x:c r="A168" s="14" t="str">
        <x:v>WOK-E-138</x:v>
      </x:c>
      <x:c r="B168" s="14" t="str">
        <x:v>SDG 7 – Energie</x:v>
      </x:c>
      <x:c r="C168" s="14" t="str">
        <x:v>7.2</x:v>
      </x:c>
      <x:c r="D168" s="14" t="str">
        <x:v>Erneuerbare Energien</x:v>
      </x:c>
      <x:c r="E168" s="14" t="str">
        <x:v>Erneuerbare Energien – Intensität</x:v>
      </x:c>
      <x:c r="F168" s="14" t="str">
        <x:v>Energie je Output/Umsatz</x:v>
      </x:c>
      <x:c r="G168" s="14" t="str">
        <x:v>kWh/€ Mio bzw. kWh/t</x:v>
      </x:c>
      <x:c r="H168" s="14" t="str">
        <x:v>lower_is_better</x:v>
      </x:c>
      <x:c r="I168" s="14" t="str">
        <x:v>R06</x:v>
      </x:c>
      <x:c r="J168" s="14" t="str">
        <x:v>Top‑10%:+3; Mittel:0; &gt;150%:‑2; &gt;250%:‑3</x:v>
      </x:c>
      <x:c r="K168" s="14" t="str">
        <x:v>Benchmarkabhängig</x:v>
      </x:c>
      <x:c r="L168" s="14" t="str">
        <x:v>Validierter Benchmark fehlt</x:v>
      </x:c>
      <x:c r="M168" s="14" t="str">
        <x:v>Branche/Region/Technologie</x:v>
      </x:c>
      <x:c r="N168" s="14" t="str">
        <x:v>Ja</x:v>
      </x:c>
      <x:c r="O168" s="14" t="str">
        <x:v>ESRS E1; GHG Protocol</x:v>
      </x:c>
      <x:c r="P168" s="14" t="str">
        <x:v>ESRS E1, ISO 50001 (EnMS), ISO/IEC 30134‑2 (PUE), EU EPBD</x:v>
      </x:c>
      <x:c r="Q168" s="14" t="str">
        <x:v>Mess-/Methodenrahmen; aktiver Branchen-/Regional-/Technologiebenchmark separat erforderlich</x:v>
      </x:c>
      <x:c r="R168" s="14" t="str">
        <x:v>Teilbelegt – Benchmarkquelle fehlt</x:v>
      </x:c>
      <x:c r="S168" s="14" t="str">
        <x:v>EU-ESRS; GHG-CORP; GHG-S3; GHG-PROD</x:v>
      </x:c>
      <x:c r="T168" s="14" t="str">
        <x:v>C20 Chemie; C24 Stahl; C29 Fahrzeuge</x:v>
      </x:c>
      <x:c r="U168" s="14" t="str">
        <x:v>Legacy / nicht explizit versioniert</x:v>
      </x:c>
      <x:c r="V168" s="51" t="str"/>
      <x:c r="W168" s="14" t="str">
        <x:v>Migration auf NACE Rev. 2.1 erforderlich</x:v>
      </x:c>
      <x:c r="X168" s="14" t="str">
        <x:v>Standort/Prozess/Aktivität; Bezugsgröße und relevante Umweltmedien</x:v>
      </x:c>
      <x:c r="Y168" s="14" t="str">
        <x:v>Siehe Quelle: Definition gemäß Standard (ESRS/GRI/Taxonomie/ISO).</x:v>
      </x:c>
      <x:c r="Z168" s="14" t="str">
        <x:v>Primärdaten plus repräsentativer, versionierter Benchmarkdatensatz; Stichprobe und Population offenlegen</x:v>
      </x:c>
      <x:c r="AA168" s="14" t="str">
        <x:v>Messwert-Assurance und unabhängige Benchmark-Governance</x:v>
      </x:c>
      <x:c r="AB168" s="14" t="str">
        <x:v>Prüfung/Parametrisierung erforderlich</x:v>
      </x:c>
      <x:c r="AC168" s="14" t="str">
        <x:v>Hoch</x:v>
      </x:c>
      <x:c r="AD168" s="14" t="str">
        <x:v>Top-10-Prozent, Mittelwert, 150 % und 250 % müssen aus einer dokumentierten Grundgesamtheit stammen.</x:v>
      </x:c>
      <x:c r="AE168" s="14" t="str">
        <x:v>v1.4</x:v>
      </x:c>
      <x:c r="AF168" s="52" t="str">
        <x:v>2026-08-16</x:v>
      </x:c>
      <x:c r="AG168" s="52"/>
    </x:row>
    <x:row r="169" ht="42" customHeight="1">
      <x:c r="A169" s="14" t="str">
        <x:v>WOK-E-139</x:v>
      </x:c>
      <x:c r="B169" s="14" t="str">
        <x:v>SDG 7 – Energie</x:v>
      </x:c>
      <x:c r="C169" s="14" t="str">
        <x:v>7.2</x:v>
      </x:c>
      <x:c r="D169" s="14" t="str">
        <x:v>Erneuerbare Energien</x:v>
      </x:c>
      <x:c r="E169" s="14" t="str">
        <x:v>Erneuerbare Energien – Effizienz (PUE)*</x:v>
      </x:c>
      <x:c r="F169" s="14" t="str">
        <x:v>Effizienz Rechenzentrum/IT‑Betrieb (falls zutreffend)</x:v>
      </x:c>
      <x:c r="G169" s="14" t="str">
        <x:v>PUE</x:v>
      </x:c>
      <x:c r="H169" s="14" t="str">
        <x:v>lower_is_better</x:v>
      </x:c>
      <x:c r="I169" s="14" t="str">
        <x:v>R09</x:v>
      </x:c>
      <x:c r="J169" s="14" t="str">
        <x:v>≤1,2:+3; 1,21–1,4:+2; 1,41–1,6:0; 1,61–1,8:‑2; &gt;1,8:‑3</x:v>
      </x:c>
      <x:c r="K169" s="14" t="str">
        <x:v>Feste WÖk-Kalibrierung</x:v>
      </x:c>
      <x:c r="L169" s="14" t="str">
        <x:v>Messstandard belegt; Klassen sind WÖk-Kalibrierung</x:v>
      </x:c>
      <x:c r="M169" s="14" t="str">
        <x:v>PUE-Messung nach ISO/IEC 30134-2; Klassen intern</x:v>
      </x:c>
      <x:c r="N169" s="14" t="str">
        <x:v>Optional/Nein</x:v>
      </x:c>
      <x:c r="O169" s="14" t="str">
        <x:v>ISO 14067/50001/45001/22301/27701/23894</x:v>
      </x:c>
      <x:c r="P169" s="14" t="str">
        <x:v>ESRS E1, ISO 50001 (EnMS), ISO/IEC 30134‑2 (PUE), EU EPBD</x:v>
      </x:c>
      <x:c r="Q169" s="14" t="str">
        <x:v>Mess-, Berichts- oder Managementrahmen; Schwellen sind grundsätzlich WÖk-Kalibrierungen</x:v>
      </x:c>
      <x:c r="R169" s="14" t="str">
        <x:v>Messgrundlage belegt; Schwellenkalibrierung offen</x:v>
      </x:c>
      <x:c r="S169" s="14" t="str">
        <x:v>ISO-14067; ISO-50001; ISO-45001; ISO-22301; ISO-27701; ISO-23894</x:v>
      </x:c>
      <x:c r="T169" s="14" t="str">
        <x:v>C20 Chemie; C24 Stahl; C29 Fahrzeuge</x:v>
      </x:c>
      <x:c r="U169" s="14" t="str">
        <x:v>Legacy / nicht explizit versioniert</x:v>
      </x:c>
      <x:c r="V169" s="51" t="str"/>
      <x:c r="W169" s="14" t="str">
        <x:v>Migration auf NACE Rev. 2.1 erforderlich</x:v>
      </x:c>
      <x:c r="X169" s="14" t="str">
        <x:v>Standort/Prozess/Aktivität; Bezugsgröße und relevante Umweltmedien</x:v>
      </x:c>
      <x:c r="Y169" s="14" t="str">
        <x:v>PUE = Gesamtstrom RZ / IT‑Last (ISO/IEC 30134‑2).</x:v>
      </x:c>
      <x:c r="Z169" s="14" t="str">
        <x:v>Primärdaten bevorzugt; Sekundärdaten nur transparent und versioniert; Methode und Systemgrenze dokumentieren</x:v>
      </x:c>
      <x:c r="AA169" s="14" t="str">
        <x:v>Limited Assurance; risikobasiert höhere Prüftiefe</x:v>
      </x:c>
      <x:c r="AB169" s="14" t="str">
        <x:v>Strukturell nutzbar; Schwellen fachlich zu validieren</x:v>
      </x:c>
      <x:c r="AC169" s="14" t="str">
        <x:v>Mittel</x:v>
      </x:c>
      <x:c r="AD169" s="14" t="str">
        <x:v>Klimazone und Rechenzentrumstyp sind bei der Validierung zu berücksichtigen.</x:v>
      </x:c>
      <x:c r="AE169" s="14" t="str">
        <x:v>v1.4</x:v>
      </x:c>
      <x:c r="AF169" s="52" t="str">
        <x:v>2026-08-16</x:v>
      </x:c>
      <x:c r="AG169" s="52"/>
    </x:row>
    <x:row r="170" ht="42" customHeight="1">
      <x:c r="A170" s="14" t="str">
        <x:v>WOK-E-140</x:v>
      </x:c>
      <x:c r="B170" s="14" t="str">
        <x:v>SDG 7 – Energie</x:v>
      </x:c>
      <x:c r="C170" s="14" t="str">
        <x:v>7.3</x:v>
      </x:c>
      <x:c r="D170" s="14" t="str">
        <x:v>Energieeffizienz</x:v>
      </x:c>
      <x:c r="E170" s="14" t="str">
        <x:v>Energieeffizienz – EE‑Anteil</x:v>
      </x:c>
      <x:c r="F170" s="14" t="str">
        <x:v>Anteil erneuerbarer Energien am Strombezug</x:v>
      </x:c>
      <x:c r="G170" s="14" t="str">
        <x:v>%</x:v>
      </x:c>
      <x:c r="H170" s="14" t="str">
        <x:v>higher_is_better</x:v>
      </x:c>
      <x:c r="I170" s="14" t="str">
        <x:v>R25</x:v>
      </x:c>
      <x:c r="J170" s="14" t="str">
        <x:v>≥90%:+3; 70–89%:+2; 50–69%:0; 30–49%:‑2; &lt;30%:‑3</x:v>
      </x:c>
      <x:c r="K170" s="14" t="str">
        <x:v>Feste WÖk-Kalibrierung</x:v>
      </x:c>
      <x:c r="L170" s="14" t="str">
        <x:v>Arbeitskalibrierung – fachlich zu validieren</x:v>
      </x:c>
      <x:c r="M170" s="14" t="str">
        <x:v>WÖk-interne Klassenlogik</x:v>
      </x:c>
      <x:c r="N170" s="14" t="str">
        <x:v>Optional/Nein</x:v>
      </x:c>
      <x:c r="O170" s="14" t="str">
        <x:v>ESRS E1; GHG Protocol</x:v>
      </x:c>
      <x:c r="P170" s="14" t="str">
        <x:v>ESRS E1, ISO 50001 (EnMS), ISO/IEC 30134‑2 (PUE), EU EPBD</x:v>
      </x:c>
      <x:c r="Q170" s="14" t="str">
        <x:v>Mess-, Berichts- oder Managementrahmen; Schwellen sind grundsätzlich WÖk-Kalibrierungen</x:v>
      </x:c>
      <x:c r="R170" s="14" t="str">
        <x:v>Messgrundlage belegt; Schwellenkalibrierung offen</x:v>
      </x:c>
      <x:c r="S170" s="14" t="str">
        <x:v>EU-ESRS; GHG-CORP; GHG-S3; GHG-PROD</x:v>
      </x:c>
      <x:c r="T170" s="14" t="str">
        <x:v>C20 Chemie; C24 Stahl; C29 Fahrzeuge</x:v>
      </x:c>
      <x:c r="U170" s="14" t="str">
        <x:v>Legacy / nicht explizit versioniert</x:v>
      </x:c>
      <x:c r="V170" s="51" t="str"/>
      <x:c r="W170" s="14" t="str">
        <x:v>Migration auf NACE Rev. 2.1 erforderlich</x:v>
      </x:c>
      <x:c r="X170" s="14" t="str">
        <x:v>Standort/Prozess/Aktivität; Bezugsgröße und relevante Umweltmedien</x:v>
      </x:c>
      <x:c r="Y170" s="14" t="str">
        <x:v>EE‑Anteil = EE‑Strom (inkl. PPA/HKN) / Gesamtstrom.</x:v>
      </x:c>
      <x:c r="Z170" s="14" t="str">
        <x:v>Primärdaten bevorzugt; Sekundärdaten nur transparent und versioniert; Methode und Systemgrenze dokumentieren</x:v>
      </x:c>
      <x:c r="AA170" s="14" t="str">
        <x:v>Limited Assurance; risikobasiert höhere Prüftiefe</x:v>
      </x:c>
      <x:c r="AB170" s="14" t="str">
        <x:v>Strukturell nutzbar; Schwellen fachlich zu validieren</x:v>
      </x:c>
      <x:c r="AC170" s="14" t="str">
        <x:v>Mittel</x:v>
      </x:c>
      <x:c r="AD170" s="14" t="str">
        <x:v>Vollständige fünfstufige Prozentregel.</x:v>
      </x:c>
      <x:c r="AE170" s="14" t="str">
        <x:v>v1.4</x:v>
      </x:c>
      <x:c r="AF170" s="52" t="str">
        <x:v>2026-08-16</x:v>
      </x:c>
      <x:c r="AG170" s="52"/>
    </x:row>
    <x:row r="171" ht="42" customHeight="1">
      <x:c r="A171" s="14" t="str">
        <x:v>WOK-E-141</x:v>
      </x:c>
      <x:c r="B171" s="14" t="str">
        <x:v>SDG 7 – Energie</x:v>
      </x:c>
      <x:c r="C171" s="14" t="str">
        <x:v>7.3</x:v>
      </x:c>
      <x:c r="D171" s="14" t="str">
        <x:v>Energieeffizienz</x:v>
      </x:c>
      <x:c r="E171" s="14" t="str">
        <x:v>Energieeffizienz – Intensität</x:v>
      </x:c>
      <x:c r="F171" s="14" t="str">
        <x:v>Energie je Output/Umsatz</x:v>
      </x:c>
      <x:c r="G171" s="14" t="str">
        <x:v>kWh/€ Mio bzw. kWh/t</x:v>
      </x:c>
      <x:c r="H171" s="14" t="str">
        <x:v>lower_is_better</x:v>
      </x:c>
      <x:c r="I171" s="14" t="str">
        <x:v>R06</x:v>
      </x:c>
      <x:c r="J171" s="14" t="str">
        <x:v>Top‑10%:+3; Mittel:0; &gt;150%:‑2; &gt;250%:‑3</x:v>
      </x:c>
      <x:c r="K171" s="14" t="str">
        <x:v>Benchmarkabhängig</x:v>
      </x:c>
      <x:c r="L171" s="14" t="str">
        <x:v>Validierter Benchmark fehlt</x:v>
      </x:c>
      <x:c r="M171" s="14" t="str">
        <x:v>Branche/Region/Technologie</x:v>
      </x:c>
      <x:c r="N171" s="14" t="str">
        <x:v>Ja</x:v>
      </x:c>
      <x:c r="O171" s="14" t="str">
        <x:v>ESRS E1; GHG Protocol</x:v>
      </x:c>
      <x:c r="P171" s="14" t="str">
        <x:v>ESRS E1, ISO 50001 (EnMS), ISO/IEC 30134‑2 (PUE), EU EPBD</x:v>
      </x:c>
      <x:c r="Q171" s="14" t="str">
        <x:v>Mess-/Methodenrahmen; aktiver Branchen-/Regional-/Technologiebenchmark separat erforderlich</x:v>
      </x:c>
      <x:c r="R171" s="14" t="str">
        <x:v>Teilbelegt – Benchmarkquelle fehlt</x:v>
      </x:c>
      <x:c r="S171" s="14" t="str">
        <x:v>EU-ESRS; GHG-CORP; GHG-S3; GHG-PROD</x:v>
      </x:c>
      <x:c r="T171" s="14" t="str">
        <x:v>C20 Chemie; C24 Stahl; C29 Fahrzeuge</x:v>
      </x:c>
      <x:c r="U171" s="14" t="str">
        <x:v>Legacy / nicht explizit versioniert</x:v>
      </x:c>
      <x:c r="V171" s="51" t="str"/>
      <x:c r="W171" s="14" t="str">
        <x:v>Migration auf NACE Rev. 2.1 erforderlich</x:v>
      </x:c>
      <x:c r="X171" s="14" t="str">
        <x:v>Standort/Prozess/Aktivität; Bezugsgröße und relevante Umweltmedien</x:v>
      </x:c>
      <x:c r="Y171" s="14" t="str">
        <x:v>Siehe Quelle: Definition gemäß Standard (ESRS/GRI/Taxonomie/ISO).</x:v>
      </x:c>
      <x:c r="Z171" s="14" t="str">
        <x:v>Primärdaten plus repräsentativer, versionierter Benchmarkdatensatz; Stichprobe und Population offenlegen</x:v>
      </x:c>
      <x:c r="AA171" s="14" t="str">
        <x:v>Messwert-Assurance und unabhängige Benchmark-Governance</x:v>
      </x:c>
      <x:c r="AB171" s="14" t="str">
        <x:v>Prüfung/Parametrisierung erforderlich</x:v>
      </x:c>
      <x:c r="AC171" s="14" t="str">
        <x:v>Hoch</x:v>
      </x:c>
      <x:c r="AD171" s="14" t="str">
        <x:v>Top-10-Prozent, Mittelwert, 150 % und 250 % müssen aus einer dokumentierten Grundgesamtheit stammen.</x:v>
      </x:c>
      <x:c r="AE171" s="14" t="str">
        <x:v>v1.4</x:v>
      </x:c>
      <x:c r="AF171" s="52" t="str">
        <x:v>2026-08-16</x:v>
      </x:c>
      <x:c r="AG171" s="52"/>
    </x:row>
    <x:row r="172" ht="42" customHeight="1">
      <x:c r="A172" s="14" t="str">
        <x:v>WOK-E-142</x:v>
      </x:c>
      <x:c r="B172" s="14" t="str">
        <x:v>SDG 7 – Energie</x:v>
      </x:c>
      <x:c r="C172" s="14" t="str">
        <x:v>7.3</x:v>
      </x:c>
      <x:c r="D172" s="14" t="str">
        <x:v>Energieeffizienz</x:v>
      </x:c>
      <x:c r="E172" s="14" t="str">
        <x:v>Energieeffizienz – Effizienz (PUE)*</x:v>
      </x:c>
      <x:c r="F172" s="14" t="str">
        <x:v>Effizienz Rechenzentrum/IT‑Betrieb (falls zutreffend)</x:v>
      </x:c>
      <x:c r="G172" s="14" t="str">
        <x:v>PUE</x:v>
      </x:c>
      <x:c r="H172" s="14" t="str">
        <x:v>lower_is_better</x:v>
      </x:c>
      <x:c r="I172" s="14" t="str">
        <x:v>R09</x:v>
      </x:c>
      <x:c r="J172" s="14" t="str">
        <x:v>≤1,2:+3; 1,21–1,4:+2; 1,41–1,6:0; 1,61–1,8:‑2; &gt;1,8:‑3</x:v>
      </x:c>
      <x:c r="K172" s="14" t="str">
        <x:v>Feste WÖk-Kalibrierung</x:v>
      </x:c>
      <x:c r="L172" s="14" t="str">
        <x:v>Messstandard belegt; Klassen sind WÖk-Kalibrierung</x:v>
      </x:c>
      <x:c r="M172" s="14" t="str">
        <x:v>PUE-Messung nach ISO/IEC 30134-2; Klassen intern</x:v>
      </x:c>
      <x:c r="N172" s="14" t="str">
        <x:v>Optional/Nein</x:v>
      </x:c>
      <x:c r="O172" s="14" t="str">
        <x:v>ISO 14067/50001/45001/22301/27701/23894</x:v>
      </x:c>
      <x:c r="P172" s="14" t="str">
        <x:v>ESRS E1, ISO 50001 (EnMS), ISO/IEC 30134‑2 (PUE), EU EPBD</x:v>
      </x:c>
      <x:c r="Q172" s="14" t="str">
        <x:v>Mess-, Berichts- oder Managementrahmen; Schwellen sind grundsätzlich WÖk-Kalibrierungen</x:v>
      </x:c>
      <x:c r="R172" s="14" t="str">
        <x:v>Messgrundlage belegt; Schwellenkalibrierung offen</x:v>
      </x:c>
      <x:c r="S172" s="14" t="str">
        <x:v>ISO-14067; ISO-50001; ISO-45001; ISO-22301; ISO-27701; ISO-23894</x:v>
      </x:c>
      <x:c r="T172" s="14" t="str">
        <x:v>C20 Chemie; C24 Stahl; C29 Fahrzeuge</x:v>
      </x:c>
      <x:c r="U172" s="14" t="str">
        <x:v>Legacy / nicht explizit versioniert</x:v>
      </x:c>
      <x:c r="V172" s="51" t="str"/>
      <x:c r="W172" s="14" t="str">
        <x:v>Migration auf NACE Rev. 2.1 erforderlich</x:v>
      </x:c>
      <x:c r="X172" s="14" t="str">
        <x:v>Standort/Prozess/Aktivität; Bezugsgröße und relevante Umweltmedien</x:v>
      </x:c>
      <x:c r="Y172" s="14" t="str">
        <x:v>PUE = Gesamtstrom RZ / IT‑Last (ISO/IEC 30134‑2).</x:v>
      </x:c>
      <x:c r="Z172" s="14" t="str">
        <x:v>Primärdaten bevorzugt; Sekundärdaten nur transparent und versioniert; Methode und Systemgrenze dokumentieren</x:v>
      </x:c>
      <x:c r="AA172" s="14" t="str">
        <x:v>Limited Assurance; risikobasiert höhere Prüftiefe</x:v>
      </x:c>
      <x:c r="AB172" s="14" t="str">
        <x:v>Strukturell nutzbar; Schwellen fachlich zu validieren</x:v>
      </x:c>
      <x:c r="AC172" s="14" t="str">
        <x:v>Mittel</x:v>
      </x:c>
      <x:c r="AD172" s="14" t="str">
        <x:v>Klimazone und Rechenzentrumstyp sind bei der Validierung zu berücksichtigen.</x:v>
      </x:c>
      <x:c r="AE172" s="14" t="str">
        <x:v>v1.4</x:v>
      </x:c>
      <x:c r="AF172" s="52" t="str">
        <x:v>2026-08-16</x:v>
      </x:c>
      <x:c r="AG172" s="52"/>
    </x:row>
    <x:row r="173" ht="42" customHeight="1">
      <x:c r="A173" s="14" t="str">
        <x:v>WOK-POL-101</x:v>
      </x:c>
      <x:c r="B173" s="14" t="str">
        <x:v>SDG 7 – Energie</x:v>
      </x:c>
      <x:c r="C173" s="14" t="str">
        <x:v>7.2</x:v>
      </x:c>
      <x:c r="D173" s="14" t="str">
        <x:v>Spezifische Emissionen Strom</x:v>
      </x:c>
      <x:c r="E173" s="14" t="str">
        <x:v>Spezifische Emissionen Strom – Spezifische Emissionen</x:v>
      </x:c>
      <x:c r="F173" s="14" t="str">
        <x:v>CO₂e je kWh (LCA)</x:v>
      </x:c>
      <x:c r="G173" s="14" t="str">
        <x:v>g CO₂e/kWh</x:v>
      </x:c>
      <x:c r="H173" s="14" t="str">
        <x:v>lower_is_better</x:v>
      </x:c>
      <x:c r="I173" s="14" t="str">
        <x:v>R10</x:v>
      </x:c>
      <x:c r="J173" s="14" t="str">
        <x:v>≤100:+3; 101–250:0; &gt;250:‑2</x:v>
      </x:c>
      <x:c r="K173" s="14" t="str">
        <x:v>Feste WÖk-Grobkalibrierung</x:v>
      </x:c>
      <x:c r="L173" s="14" t="str">
        <x:v>Klassen +2 und −3 fehlen</x:v>
      </x:c>
      <x:c r="M173" s="14" t="str">
        <x:v>WÖk-interne Grobkalibrierung</x:v>
      </x:c>
      <x:c r="N173" s="14" t="str">
        <x:v>Optional/Nein</x:v>
      </x:c>
      <x:c r="O173" s="14" t="str">
        <x:v>EU‑Taxonomie TSC/DNSH</x:v>
      </x:c>
      <x:c r="P173" s="14" t="str">
        <x:v>ESRS E1, GHG Protocol (Corporate/Scope 1–3), ISO 14064/14067</x:v>
      </x:c>
      <x:c r="Q173" s="14" t="str">
        <x:v>Mess-, Berichts- oder Managementrahmen; Schwellen sind grundsätzlich WÖk-Kalibrierungen</x:v>
      </x:c>
      <x:c r="R173" s="14" t="str">
        <x:v>Messgrundlage belegt; Schwellenkalibrierung offen</x:v>
      </x:c>
      <x:c r="S173" s="14" t="str">
        <x:v>EU-TAX</x:v>
      </x:c>
      <x:c r="T173" s="14" t="str">
        <x:v>D35 Stromerzeugung/Netze</x:v>
      </x:c>
      <x:c r="U173" s="14" t="str">
        <x:v>Legacy / nicht explizit versioniert</x:v>
      </x:c>
      <x:c r="V173" s="51" t="str"/>
      <x:c r="W173" s="14" t="str">
        <x:v>Migration auf NACE Rev. 2.1 erforderlich</x:v>
      </x:c>
      <x:c r="X173" s="14" t="str">
        <x:v>Technologie-/Aktivitätsklasse; Anlagen-, Netz- oder Flottengrenze ausweisen</x:v>
      </x:c>
      <x:c r="Y173" s="14" t="str">
        <x:v>Siehe Quelle: Definition gemäß Standard (ESRS/GRI/Taxonomie/ISO).</x:v>
      </x:c>
      <x:c r="Z173" s="14" t="str">
        <x:v>Primärdaten bevorzugt; Sekundärdaten nur transparent und versioniert; Methode und Systemgrenze dokumentieren</x:v>
      </x:c>
      <x:c r="AA173" s="14" t="str">
        <x:v>Limited Assurance; risikobasiert höhere Prüftiefe</x:v>
      </x:c>
      <x:c r="AB173" s="14" t="str">
        <x:v>Strukturell nutzbar; Schwellen fachlich zu validieren</x:v>
      </x:c>
      <x:c r="AC173" s="14" t="str">
        <x:v>Mittel</x:v>
      </x:c>
      <x:c r="AD173" s="14" t="str">
        <x:v>Automatik bildet nur die explizit vorhandenen Klassen ab.</x:v>
      </x:c>
      <x:c r="AE173" s="14" t="str">
        <x:v>v1.4</x:v>
      </x:c>
      <x:c r="AF173" s="52" t="str">
        <x:v>2026-08-16</x:v>
      </x:c>
      <x:c r="AG173" s="52"/>
    </x:row>
    <x:row r="174" ht="42" customHeight="1">
      <x:c r="A174" s="14" t="str">
        <x:v>WOK-POL-102</x:v>
      </x:c>
      <x:c r="B174" s="14" t="str">
        <x:v>SDG 7 – Energie</x:v>
      </x:c>
      <x:c r="C174" s="14" t="str">
        <x:v>7.2</x:v>
      </x:c>
      <x:c r="D174" s="14" t="str">
        <x:v>Spezifische Emissionen Strom</x:v>
      </x:c>
      <x:c r="E174" s="14" t="str">
        <x:v>Spezifische Emissionen Strom – DNSH‑Konformität</x:v>
      </x:c>
      <x:c r="F174" s="14" t="str">
        <x:v>‚Do No Significant Harm‘ erfüllt</x:v>
      </x:c>
      <x:c r="G174" s="14" t="str">
        <x:v>% Aktivitäten</x:v>
      </x:c>
      <x:c r="H174" s="14" t="str">
        <x:v>higher_is_better</x:v>
      </x:c>
      <x:c r="I174" s="14" t="str">
        <x:v>R25</x:v>
      </x:c>
      <x:c r="J174" s="14" t="str">
        <x:v>≥90%:+3; 70–89%:+2; 50–69%:0; 30–49%:‑2; &lt;30%:‑3</x:v>
      </x:c>
      <x:c r="K174" s="14" t="str">
        <x:v>Feste WÖk-Kalibrierung</x:v>
      </x:c>
      <x:c r="L174" s="14" t="str">
        <x:v>Arbeitskalibrierung – fachlich zu validieren</x:v>
      </x:c>
      <x:c r="M174" s="14" t="str">
        <x:v>WÖk-interne Klassenlogik</x:v>
      </x:c>
      <x:c r="N174" s="14" t="str">
        <x:v>Optional/Nein</x:v>
      </x:c>
      <x:c r="O174" s="14" t="str">
        <x:v>EU‑Taxonomie TSC/DNSH</x:v>
      </x:c>
      <x:c r="P174" s="14" t="str">
        <x:v>ESRS E1, GHG Protocol (Corporate/Scope 1–3), ISO 14064/14067</x:v>
      </x:c>
      <x:c r="Q174" s="14" t="str">
        <x:v>Mess-, Berichts- oder Managementrahmen; Schwellen sind grundsätzlich WÖk-Kalibrierungen</x:v>
      </x:c>
      <x:c r="R174" s="14" t="str">
        <x:v>Messgrundlage belegt; Schwellenkalibrierung offen</x:v>
      </x:c>
      <x:c r="S174" s="14" t="str">
        <x:v>EU-TAX</x:v>
      </x:c>
      <x:c r="T174" s="14" t="str">
        <x:v>D35 Stromerzeugung/Netze</x:v>
      </x:c>
      <x:c r="U174" s="14" t="str">
        <x:v>Legacy / nicht explizit versioniert</x:v>
      </x:c>
      <x:c r="V174" s="51" t="str"/>
      <x:c r="W174" s="14" t="str">
        <x:v>Migration auf NACE Rev. 2.1 erforderlich</x:v>
      </x:c>
      <x:c r="X174" s="14" t="str">
        <x:v>Technologie-/Aktivitätsklasse; Anlagen-, Netz- oder Flottengrenze ausweisen</x:v>
      </x:c>
      <x:c r="Y174" s="14" t="str">
        <x:v>EU‑Taxonomie: TSC erfüllt &amp; DNSH + MSR; Anteil konformer Aktivitäten.</x:v>
      </x:c>
      <x:c r="Z174" s="14" t="str">
        <x:v>Primärdaten bevorzugt; Sekundärdaten nur transparent und versioniert; Methode und Systemgrenze dokumentieren</x:v>
      </x:c>
      <x:c r="AA174" s="14" t="str">
        <x:v>Limited Assurance; risikobasiert höhere Prüftiefe</x:v>
      </x:c>
      <x:c r="AB174" s="14" t="str">
        <x:v>Strukturell nutzbar; Schwellen fachlich zu validieren</x:v>
      </x:c>
      <x:c r="AC174" s="14" t="str">
        <x:v>Mittel</x:v>
      </x:c>
      <x:c r="AD174" s="14" t="str">
        <x:v>Vollständige fünfstufige Prozentregel.</x:v>
      </x:c>
      <x:c r="AE174" s="14" t="str">
        <x:v>v1.4</x:v>
      </x:c>
      <x:c r="AF174" s="52" t="str">
        <x:v>2026-08-16</x:v>
      </x:c>
      <x:c r="AG174" s="52"/>
    </x:row>
    <x:row r="175" ht="42" customHeight="1">
      <x:c r="A175" s="14" t="str">
        <x:v>WOK-POL-103</x:v>
      </x:c>
      <x:c r="B175" s="14" t="str">
        <x:v>SDG 7 – Energie</x:v>
      </x:c>
      <x:c r="C175" s="14" t="str">
        <x:v>7.2</x:v>
      </x:c>
      <x:c r="D175" s="14" t="str">
        <x:v>Spezifische Emissionen Strom</x:v>
      </x:c>
      <x:c r="E175" s="14" t="str">
        <x:v>Spezifische Emissionen Strom – TSC‑Schwellen</x:v>
      </x:c>
      <x:c r="F175" s="14" t="str">
        <x:v>Anteil unter technischen TSC‑Grenzen</x:v>
      </x:c>
      <x:c r="G175" s="14" t="str">
        <x:v>% Aktivitäten</x:v>
      </x:c>
      <x:c r="H175" s="14" t="str">
        <x:v>higher_is_better</x:v>
      </x:c>
      <x:c r="I175" s="14" t="str">
        <x:v>R25</x:v>
      </x:c>
      <x:c r="J175" s="14" t="str">
        <x:v>≥90%:+3; 70–89%:+2; 50–69%:0; 30–49%:‑2; &lt;30%:‑3</x:v>
      </x:c>
      <x:c r="K175" s="14" t="str">
        <x:v>Feste WÖk-Kalibrierung</x:v>
      </x:c>
      <x:c r="L175" s="14" t="str">
        <x:v>Arbeitskalibrierung – fachlich zu validieren</x:v>
      </x:c>
      <x:c r="M175" s="14" t="str">
        <x:v>WÖk-interne Klassenlogik</x:v>
      </x:c>
      <x:c r="N175" s="14" t="str">
        <x:v>Optional/Nein</x:v>
      </x:c>
      <x:c r="O175" s="14" t="str">
        <x:v>EU‑Taxonomie TSC/DNSH</x:v>
      </x:c>
      <x:c r="P175" s="14" t="str">
        <x:v>ESRS E1, GHG Protocol (Corporate/Scope 1–3), ISO 14064/14067</x:v>
      </x:c>
      <x:c r="Q175" s="14" t="str">
        <x:v>Mess-, Berichts- oder Managementrahmen; Schwellen sind grundsätzlich WÖk-Kalibrierungen</x:v>
      </x:c>
      <x:c r="R175" s="14" t="str">
        <x:v>Messgrundlage belegt; Schwellenkalibrierung offen</x:v>
      </x:c>
      <x:c r="S175" s="14" t="str">
        <x:v>EU-TAX</x:v>
      </x:c>
      <x:c r="T175" s="14" t="str">
        <x:v>D35 Stromerzeugung/Netze</x:v>
      </x:c>
      <x:c r="U175" s="14" t="str">
        <x:v>Legacy / nicht explizit versioniert</x:v>
      </x:c>
      <x:c r="V175" s="51" t="str"/>
      <x:c r="W175" s="14" t="str">
        <x:v>Migration auf NACE Rev. 2.1 erforderlich</x:v>
      </x:c>
      <x:c r="X175" s="14" t="str">
        <x:v>Technologie-/Aktivitätsklasse; Anlagen-, Netz- oder Flottengrenze ausweisen</x:v>
      </x:c>
      <x:c r="Y175" s="14" t="str">
        <x:v>EU‑Taxonomie: TSC erfüllt &amp; DNSH + MSR; Anteil konformer Aktivitäten.</x:v>
      </x:c>
      <x:c r="Z175" s="14" t="str">
        <x:v>Primärdaten bevorzugt; Sekundärdaten nur transparent und versioniert; Methode und Systemgrenze dokumentieren</x:v>
      </x:c>
      <x:c r="AA175" s="14" t="str">
        <x:v>Limited Assurance; risikobasiert höhere Prüftiefe</x:v>
      </x:c>
      <x:c r="AB175" s="14" t="str">
        <x:v>Strukturell nutzbar; Schwellen fachlich zu validieren</x:v>
      </x:c>
      <x:c r="AC175" s="14" t="str">
        <x:v>Mittel</x:v>
      </x:c>
      <x:c r="AD175" s="14" t="str">
        <x:v>Vollständige fünfstufige Prozentregel.</x:v>
      </x:c>
      <x:c r="AE175" s="14" t="str">
        <x:v>v1.4</x:v>
      </x:c>
      <x:c r="AF175" s="52" t="str">
        <x:v>2026-08-16</x:v>
      </x:c>
      <x:c r="AG175" s="52"/>
    </x:row>
    <x:row r="176" ht="42" customHeight="1">
      <x:c r="A176" s="14" t="str">
        <x:v>WOK-P-113</x:v>
      </x:c>
      <x:c r="B176" s="14" t="str">
        <x:v>SDG 7 – Energie</x:v>
      </x:c>
      <x:c r="C176" s="14" t="str">
        <x:v>7.3</x:v>
      </x:c>
      <x:c r="D176" s="14" t="str">
        <x:v>Energieeffizienz Produkte</x:v>
      </x:c>
      <x:c r="E176" s="14" t="str">
        <x:v>Energieeffizienz Produkte – PCF</x:v>
      </x:c>
      <x:c r="F176" s="14" t="str">
        <x:v>CO₂‑Fußabdruck pro Einheit</x:v>
      </x:c>
      <x:c r="G176" s="14" t="str">
        <x:v>kg CO₂e/Einheit</x:v>
      </x:c>
      <x:c r="H176" s="14" t="str">
        <x:v>lower_is_better</x:v>
      </x:c>
      <x:c r="I176" s="14" t="str">
        <x:v>R07</x:v>
      </x:c>
      <x:c r="J176" s="14" t="str">
        <x:v>Top‑10%:+3; ±Benchmark:0; &gt;150%:‑2; &gt;250%:‑3</x:v>
      </x:c>
      <x:c r="K176" s="14" t="str">
        <x:v>Benchmarkabhängig</x:v>
      </x:c>
      <x:c r="L176" s="14" t="str">
        <x:v>Validierter Benchmark fehlt</x:v>
      </x:c>
      <x:c r="M176" s="14" t="str">
        <x:v>Produktgruppe/Region/Technologie</x:v>
      </x:c>
      <x:c r="N176" s="14" t="str">
        <x:v>Ja</x:v>
      </x:c>
      <x:c r="O176" s="14" t="str">
        <x:v>ISO 14067; ESRS E5; GRI 306/301; WEEE/VerpackG</x:v>
      </x:c>
      <x:c r="P176" s="14" t="str">
        <x:v>ESRS E1, ISO 50001 (EnMS), ISO/IEC 30134‑2 (PUE), EU EPBD</x:v>
      </x:c>
      <x:c r="Q176" s="14" t="str">
        <x:v>Mess-/Methodenrahmen; aktiver Branchen-/Regional-/Technologiebenchmark separat erforderlich</x:v>
      </x:c>
      <x:c r="R176" s="14" t="str">
        <x:v>Teilbelegt – Benchmarkquelle fehlt</x:v>
      </x:c>
      <x:c r="S176" s="14" t="str">
        <x:v>ISO-14067; EU-ESRS; GRI; EU-WEEE; DE-VERPACKG; EU-PPWR</x:v>
      </x:c>
      <x:c r="T176" s="14" t="str">
        <x:v>C20 Chemie; C24 Stahl; C29 Fahrzeuge</x:v>
      </x:c>
      <x:c r="U176" s="14" t="str">
        <x:v>Legacy / nicht explizit versioniert</x:v>
      </x:c>
      <x:c r="V176" s="51" t="str"/>
      <x:c r="W176" s="14" t="str">
        <x:v>Migration auf NACE Rev. 2.1 erforderlich</x:v>
      </x:c>
      <x:c r="X176" s="14" t="str">
        <x:v>Produkt/Funktionseinheit; Lebenszyklusgrenze mindestens cradle-to-gate, bei Nutzungs-/End-of-Life-Relevanz cradle-to-grave</x:v>
      </x:c>
      <x:c r="Y176" s="14" t="str">
        <x:v>PCF gemäß ISO 14067/PEF; Well‑to‑Gate + Nutzung falls zutreffend.</x:v>
      </x:c>
      <x:c r="Z176" s="14" t="str">
        <x:v>Primärdaten plus repräsentativer, versionierter Benchmarkdatensatz; Stichprobe und Population offenlegen</x:v>
      </x:c>
      <x:c r="AA176" s="14" t="str">
        <x:v>Messwert-Assurance und unabhängige Benchmark-Governance</x:v>
      </x:c>
      <x:c r="AB176" s="14" t="str">
        <x:v>Prüfung/Parametrisierung erforderlich</x:v>
      </x:c>
      <x:c r="AC176" s="14" t="str">
        <x:v>Hoch</x:v>
      </x:c>
      <x:c r="AD176" s="14" t="str">
        <x:v>Produktspezifische Referenzpopulation erforderlich.</x:v>
      </x:c>
      <x:c r="AE176" s="14" t="str">
        <x:v>v1.4</x:v>
      </x:c>
      <x:c r="AF176" s="52" t="str">
        <x:v>2026-08-16</x:v>
      </x:c>
      <x:c r="AG176" s="52"/>
    </x:row>
    <x:row r="177" ht="42" customHeight="1">
      <x:c r="A177" s="14" t="str">
        <x:v>WOK-P-114</x:v>
      </x:c>
      <x:c r="B177" s="14" t="str">
        <x:v>SDG 7 – Energie</x:v>
      </x:c>
      <x:c r="C177" s="14" t="str">
        <x:v>7.3</x:v>
      </x:c>
      <x:c r="D177" s="14" t="str">
        <x:v>Energieeffizienz Produkte</x:v>
      </x:c>
      <x:c r="E177" s="14" t="str">
        <x:v>Energieeffizienz Produkte – Reparierbarkeit</x:v>
      </x:c>
      <x:c r="F177" s="14" t="str">
        <x:v>Reparierbarkeitsindex</x:v>
      </x:c>
      <x:c r="G177" s="14" t="str">
        <x:v>Score 0–10</x:v>
      </x:c>
      <x:c r="H177" s="14" t="str">
        <x:v>higher_is_better</x:v>
      </x:c>
      <x:c r="I177" s="14" t="str">
        <x:v>R24</x:v>
      </x:c>
      <x:c r="J177" s="14" t="str">
        <x:v>≥8:+3; 6–7,9:+2; 4–5,9:0; 2–3,9:‑2; &lt;2:‑3</x:v>
      </x:c>
      <x:c r="K177" s="14" t="str">
        <x:v>Produktspezifische Indexkalibrierung</x:v>
      </x:c>
      <x:c r="L177" s="14" t="str">
        <x:v>Indexsystem und Produktgruppe müssen ausgewiesen werden</x:v>
      </x:c>
      <x:c r="M177" s="14" t="str">
        <x:v>FR-/EU-Reparierbarkeitssystem je Produktgruppe</x:v>
      </x:c>
      <x:c r="N177" s="14" t="str">
        <x:v>Optional/Nein</x:v>
      </x:c>
      <x:c r="O177" s="14" t="str">
        <x:v>EU/FR Index</x:v>
      </x:c>
      <x:c r="P177" s="14" t="str">
        <x:v>ESRS E1, ISO 50001 (EnMS), ISO/IEC 30134‑2 (PUE), EU EPBD</x:v>
      </x:c>
      <x:c r="Q177" s="14" t="str">
        <x:v>Produktspezifischer Rechts-/Indexrahmen; System und Produktgruppe explizit auswählen</x:v>
      </x:c>
      <x:c r="R177" s="14" t="str">
        <x:v>Teilbelegt – produktspezifisch zu validieren</x:v>
      </x:c>
      <x:c r="S177" s="14" t="str">
        <x:v>FR-REPAIR; EU-REPAIR; EU-ESPR</x:v>
      </x:c>
      <x:c r="T177" s="14" t="str">
        <x:v>C20 Chemie; C24 Stahl; C29 Fahrzeuge</x:v>
      </x:c>
      <x:c r="U177" s="14" t="str">
        <x:v>Legacy / nicht explizit versioniert</x:v>
      </x:c>
      <x:c r="V177" s="51" t="str"/>
      <x:c r="W177" s="14" t="str">
        <x:v>Migration auf NACE Rev. 2.1 erforderlich</x:v>
      </x:c>
      <x:c r="X177" s="14" t="str">
        <x:v>Produkt/Funktionseinheit; Lebenszyklusgrenze mindestens cradle-to-gate, bei Nutzungs-/End-of-Life-Relevanz cradle-to-grave</x:v>
      </x:c>
      <x:c r="Y177" s="14" t="str">
        <x:v>EU/FR‑Reparierbarkeitsindex: Zerlegbarkeit, Ersatzteile, Doku.</x:v>
      </x:c>
      <x:c r="Z177" s="14" t="str">
        <x:v>Primärdaten oder qualitätsgesicherte Sekundärdaten; Methode, Zeitraum und Systemgrenze dokumentieren</x:v>
      </x:c>
      <x:c r="AA177" s="14" t="str">
        <x:v>Limited Assurance; bei materieller Steuerwirkung risikobasiert vertiefen</x:v>
      </x:c>
      <x:c r="AB177" s="14" t="str">
        <x:v>Produktspezifische bzw. lokale Prüfung erforderlich</x:v>
      </x:c>
      <x:c r="AC177" s="14" t="str">
        <x:v>Hoch</x:v>
      </x:c>
      <x:c r="AD177" s="14" t="str">
        <x:v>Indexsystem, Produktgruppe und Rechtsstand festlegen. Französischer Index und EU-Score sind nicht pauschal austauschbar.</x:v>
      </x:c>
      <x:c r="AE177" s="14" t="str">
        <x:v>v1.4</x:v>
      </x:c>
      <x:c r="AF177" s="52" t="str">
        <x:v>2026-08-16</x:v>
      </x:c>
      <x:c r="AG177" s="52"/>
    </x:row>
    <x:row r="178" ht="42" customHeight="1">
      <x:c r="A178" s="14" t="str">
        <x:v>WOK-P-115</x:v>
      </x:c>
      <x:c r="B178" s="14" t="str">
        <x:v>SDG 7 – Energie</x:v>
      </x:c>
      <x:c r="C178" s="14" t="str">
        <x:v>7.3</x:v>
      </x:c>
      <x:c r="D178" s="14" t="str">
        <x:v>Energieeffizienz Produkte</x:v>
      </x:c>
      <x:c r="E178" s="14" t="str">
        <x:v>Energieeffizienz Produkte – Rücknahme/Recycling</x:v>
      </x:c>
      <x:c r="F178" s="14" t="str">
        <x:v>Rücknahme‑/Recyclingquote</x:v>
      </x:c>
      <x:c r="G178" s="14" t="str">
        <x:v>%</x:v>
      </x:c>
      <x:c r="H178" s="14" t="str">
        <x:v>higher_is_better</x:v>
      </x:c>
      <x:c r="I178" s="14" t="str">
        <x:v>R22</x:v>
      </x:c>
      <x:c r="J178" s="14" t="str">
        <x:v>≥70:+3; 50–69:+2; 30–49:0; 15–29:‑2; &lt;15:‑3</x:v>
      </x:c>
      <x:c r="K178" s="14" t="str">
        <x:v>Feste WÖk-Kalibrierung</x:v>
      </x:c>
      <x:c r="L178" s="14" t="str">
        <x:v>Arbeitskalibrierung – fachlich zu validieren</x:v>
      </x:c>
      <x:c r="M178" s="14" t="str">
        <x:v>WÖk-interne Klassenlogik</x:v>
      </x:c>
      <x:c r="N178" s="14" t="str">
        <x:v>Optional/Nein</x:v>
      </x:c>
      <x:c r="O178" s="14" t="str">
        <x:v>ESRS E5; GRI 306/301; WEEE/VerpackG</x:v>
      </x:c>
      <x:c r="P178" s="14" t="str">
        <x:v>ESRS E1, ISO 50001 (EnMS), ISO/IEC 30134‑2 (PUE), EU EPBD</x:v>
      </x:c>
      <x:c r="Q178" s="14" t="str">
        <x:v>Mess-, Berichts- oder Managementrahmen; Schwellen sind grundsätzlich WÖk-Kalibrierungen</x:v>
      </x:c>
      <x:c r="R178" s="14" t="str">
        <x:v>Messgrundlage belegt; Schwellenkalibrierung offen</x:v>
      </x:c>
      <x:c r="S178" s="14" t="str">
        <x:v>EU-ESRS; GRI; EU-WEEE; DE-VERPACKG; EU-PPWR</x:v>
      </x:c>
      <x:c r="T178" s="14" t="str">
        <x:v>C20 Chemie; C24 Stahl; C29 Fahrzeuge</x:v>
      </x:c>
      <x:c r="U178" s="14" t="str">
        <x:v>Legacy / nicht explizit versioniert</x:v>
      </x:c>
      <x:c r="V178" s="51" t="str"/>
      <x:c r="W178" s="14" t="str">
        <x:v>Migration auf NACE Rev. 2.1 erforderlich</x:v>
      </x:c>
      <x:c r="X178" s="14" t="str">
        <x:v>Produkt/Funktionseinheit; Lebenszyklusgrenze mindestens cradle-to-gate, bei Nutzungs-/End-of-Life-Relevanz cradle-to-grave</x:v>
      </x:c>
      <x:c r="Y178" s="14" t="str">
        <x:v>Siehe Quelle: Definition gemäß Standard (ESRS/GRI/Taxonomie/ISO).</x:v>
      </x:c>
      <x:c r="Z178" s="14" t="str">
        <x:v>Primärdaten bevorzugt; Sekundärdaten nur transparent und versioniert; Methode und Systemgrenze dokumentieren</x:v>
      </x:c>
      <x:c r="AA178" s="14" t="str">
        <x:v>Limited Assurance; risikobasiert höhere Prüftiefe</x:v>
      </x:c>
      <x:c r="AB178" s="14" t="str">
        <x:v>Strukturell nutzbar; Schwellen fachlich zu validieren</x:v>
      </x:c>
      <x:c r="AC178" s="14" t="str">
        <x:v>Mittel</x:v>
      </x:c>
      <x:c r="AD178" s="14" t="str">
        <x:v>Vollständige fünfstufige numerische Regel.</x:v>
      </x:c>
      <x:c r="AE178" s="14" t="str">
        <x:v>v1.4</x:v>
      </x:c>
      <x:c r="AF178" s="52" t="str">
        <x:v>2026-08-16</x:v>
      </x:c>
      <x:c r="AG178" s="52"/>
    </x:row>
    <x:row r="179" ht="42" customHeight="1">
      <x:c r="A179" s="14" t="str">
        <x:v>WOK-RE-110</x:v>
      </x:c>
      <x:c r="B179" s="14" t="str">
        <x:v>SDG 7 – Energie</x:v>
      </x:c>
      <x:c r="C179" s="14" t="str">
        <x:v>7.3</x:v>
      </x:c>
      <x:c r="D179" s="14" t="str">
        <x:v>Gebäude‑Energieperformance</x:v>
      </x:c>
      <x:c r="E179" s="14" t="str">
        <x:v>Gebäude‑Energieperformance – Betriebsenergie</x:v>
      </x:c>
      <x:c r="F179" s="14" t="str">
        <x:v>Endenergiebedarf</x:v>
      </x:c>
      <x:c r="G179" s="14" t="str">
        <x:v>kWh/m²a</x:v>
      </x:c>
      <x:c r="H179" s="14" t="str">
        <x:v>lower_is_better</x:v>
      </x:c>
      <x:c r="I179" s="14" t="str">
        <x:v>R05</x:v>
      </x:c>
      <x:c r="J179" s="14" t="str">
        <x:v>Top 15%:+3; +15–30%:+2; +31–60%:0; &gt;+60%:‑2/‑3</x:v>
      </x:c>
      <x:c r="K179" s="14" t="str">
        <x:v>Benchmarkabhängig</x:v>
      </x:c>
      <x:c r="L179" s="14" t="str">
        <x:v>Validierter Benchmark fehlt</x:v>
      </x:c>
      <x:c r="M179" s="14" t="str">
        <x:v>Branche/Region/Technologie</x:v>
      </x:c>
      <x:c r="N179" s="14" t="str">
        <x:v>Ja</x:v>
      </x:c>
      <x:c r="O179" s="14" t="str">
        <x:v>EPBD; EN 15978</x:v>
      </x:c>
      <x:c r="P179" s="14" t="str">
        <x:v>ESRS E1, ISO 50001 (EnMS), ISO/IEC 30134‑2 (PUE), EU EPBD</x:v>
      </x:c>
      <x:c r="Q179" s="14" t="str">
        <x:v>Mess-/Methodenrahmen; aktiver Branchen-/Regional-/Technologiebenchmark separat erforderlich</x:v>
      </x:c>
      <x:c r="R179" s="14" t="str">
        <x:v>Teilbelegt – Benchmarkquelle fehlt</x:v>
      </x:c>
      <x:c r="S179" s="14" t="str">
        <x:v>EU-EPBD; CEN-15978</x:v>
      </x:c>
      <x:c r="T179" s="14" t="str">
        <x:v>L68 Immobilien; F41/F42 Bau</x:v>
      </x:c>
      <x:c r="U179" s="14" t="str">
        <x:v>Legacy / nicht explizit versioniert</x:v>
      </x:c>
      <x:c r="V179" s="51" t="str"/>
      <x:c r="W179" s="14" t="str">
        <x:v>Migration auf NACE Rev. 2.1 erforderlich</x:v>
      </x:c>
      <x:c r="X179" s="14" t="str">
        <x:v>Gebäude/Standort; Betrieb plus relevante Lebenszyklusmodule</x:v>
      </x:c>
      <x:c r="Y179" s="14" t="str">
        <x:v>Siehe Quelle: Definition gemäß Standard (ESRS/GRI/Taxonomie/ISO).</x:v>
      </x:c>
      <x:c r="Z179" s="14" t="str">
        <x:v>Primärdaten plus repräsentativer, versionierter Benchmarkdatensatz; Stichprobe und Population offenlegen</x:v>
      </x:c>
      <x:c r="AA179" s="14" t="str">
        <x:v>Messwert-Assurance und unabhängige Benchmark-Governance</x:v>
      </x:c>
      <x:c r="AB179" s="14" t="str">
        <x:v>Prüfung/Parametrisierung erforderlich</x:v>
      </x:c>
      <x:c r="AC179" s="14" t="str">
        <x:v>Hoch</x:v>
      </x:c>
      <x:c r="AD179" s="14" t="str">
        <x:v>Die Grenze &gt;+60 % ist derzeit nicht eindeutig in −2/−3 aufgelöst.</x:v>
      </x:c>
      <x:c r="AE179" s="14" t="str">
        <x:v>v1.4</x:v>
      </x:c>
      <x:c r="AF179" s="52" t="str">
        <x:v>2026-08-16</x:v>
      </x:c>
      <x:c r="AG179" s="52"/>
    </x:row>
    <x:row r="180" ht="42" customHeight="1">
      <x:c r="A180" s="14" t="str">
        <x:v>WOK-RE-111</x:v>
      </x:c>
      <x:c r="B180" s="14" t="str">
        <x:v>SDG 7 – Energie</x:v>
      </x:c>
      <x:c r="C180" s="14" t="str">
        <x:v>7.3</x:v>
      </x:c>
      <x:c r="D180" s="14" t="str">
        <x:v>Gebäude‑Energieperformance</x:v>
      </x:c>
      <x:c r="E180" s="14" t="str">
        <x:v>Gebäude‑Energieperformance – Graue Emissionen</x:v>
      </x:c>
      <x:c r="F180" s="14" t="str">
        <x:v>Embodied Carbon (A1–A3)</x:v>
      </x:c>
      <x:c r="G180" s="14" t="str">
        <x:v>kg CO₂e/m²</x:v>
      </x:c>
      <x:c r="H180" s="14" t="str">
        <x:v>lower_is_better</x:v>
      </x:c>
      <x:c r="I180" s="14" t="str">
        <x:v>R06</x:v>
      </x:c>
      <x:c r="J180" s="14" t="str">
        <x:v>Top‑10%:+3; Mittel:0; &gt;150%:‑2; &gt;250%:‑3</x:v>
      </x:c>
      <x:c r="K180" s="14" t="str">
        <x:v>Benchmarkabhängig</x:v>
      </x:c>
      <x:c r="L180" s="14" t="str">
        <x:v>Validierter Benchmark fehlt</x:v>
      </x:c>
      <x:c r="M180" s="14" t="str">
        <x:v>Branche/Region/Technologie</x:v>
      </x:c>
      <x:c r="N180" s="14" t="str">
        <x:v>Ja</x:v>
      </x:c>
      <x:c r="O180" s="14" t="str">
        <x:v>EN 15978/ISO 14067</x:v>
      </x:c>
      <x:c r="P180" s="14" t="str">
        <x:v>ESRS E1, GHG Protocol (Corporate/Scope 1–3), ISO 14064/14067</x:v>
      </x:c>
      <x:c r="Q180" s="14" t="str">
        <x:v>Mess-/Methodenrahmen; aktiver Branchen-/Regional-/Technologiebenchmark separat erforderlich</x:v>
      </x:c>
      <x:c r="R180" s="14" t="str">
        <x:v>Teilbelegt – Benchmarkquelle fehlt</x:v>
      </x:c>
      <x:c r="S180" s="14" t="str">
        <x:v>CEN-15978; ISO-14067</x:v>
      </x:c>
      <x:c r="T180" s="14" t="str">
        <x:v>L68 Immobilien; F41/F42 Bau</x:v>
      </x:c>
      <x:c r="U180" s="14" t="str">
        <x:v>Legacy / nicht explizit versioniert</x:v>
      </x:c>
      <x:c r="V180" s="51" t="str"/>
      <x:c r="W180" s="14" t="str">
        <x:v>Migration auf NACE Rev. 2.1 erforderlich</x:v>
      </x:c>
      <x:c r="X180" s="14" t="str">
        <x:v>Gebäude/Standort; Betrieb plus relevante Lebenszyklusmodule</x:v>
      </x:c>
      <x:c r="Y180" s="14" t="str">
        <x:v>Embodied Carbon gem. EN 15978 (A1–A3 ggf. A4–A5); kg CO₂e/m².</x:v>
      </x:c>
      <x:c r="Z180" s="14" t="str">
        <x:v>Primärdaten plus repräsentativer, versionierter Benchmarkdatensatz; Stichprobe und Population offenlegen</x:v>
      </x:c>
      <x:c r="AA180" s="14" t="str">
        <x:v>Messwert-Assurance und unabhängige Benchmark-Governance</x:v>
      </x:c>
      <x:c r="AB180" s="14" t="str">
        <x:v>Prüfung/Parametrisierung erforderlich</x:v>
      </x:c>
      <x:c r="AC180" s="14" t="str">
        <x:v>Hoch</x:v>
      </x:c>
      <x:c r="AD180" s="14" t="str">
        <x:v>Top-10-Prozent, Mittelwert, 150 % und 250 % müssen aus einer dokumentierten Grundgesamtheit stammen.</x:v>
      </x:c>
      <x:c r="AE180" s="14" t="str">
        <x:v>v1.4</x:v>
      </x:c>
      <x:c r="AF180" s="52" t="str">
        <x:v>2026-08-16</x:v>
      </x:c>
      <x:c r="AG180" s="52"/>
    </x:row>
    <x:row r="181" ht="42" customHeight="1">
      <x:c r="A181" s="14" t="str">
        <x:v>WOK-RE-112</x:v>
      </x:c>
      <x:c r="B181" s="14" t="str">
        <x:v>SDG 7 – Energie</x:v>
      </x:c>
      <x:c r="C181" s="14" t="str">
        <x:v>7.3</x:v>
      </x:c>
      <x:c r="D181" s="14" t="str">
        <x:v>Gebäude‑Energieperformance</x:v>
      </x:c>
      <x:c r="E181" s="14" t="str">
        <x:v>Gebäude‑Energieperformance – ÖPNV‑Erreichbarkeit</x:v>
      </x:c>
      <x:c r="F181" s="14" t="str">
        <x:v>Transit‑Score</x:v>
      </x:c>
      <x:c r="G181" s="14" t="str">
        <x:v>0–1</x:v>
      </x:c>
      <x:c r="H181" s="14" t="str">
        <x:v>higher_is_better</x:v>
      </x:c>
      <x:c r="I181" s="14" t="str">
        <x:v>R14</x:v>
      </x:c>
      <x:c r="J181" s="14" t="str">
        <x:v>≥0,8:+3; 0,6–0,79:+2; 0,4–0,59:0; 0,2–0,39:‑2; &lt;0,2:‑3</x:v>
      </x:c>
      <x:c r="K181" s="14" t="str">
        <x:v>Feste WÖk-Kalibrierung</x:v>
      </x:c>
      <x:c r="L181" s="14" t="str">
        <x:v>Arbeitskalibrierung – fachlich zu validieren</x:v>
      </x:c>
      <x:c r="M181" s="14" t="str">
        <x:v>WÖk-interne Klassenlogik</x:v>
      </x:c>
      <x:c r="N181" s="14" t="str">
        <x:v>Optional/Nein</x:v>
      </x:c>
      <x:c r="O181" s="14" t="str">
        <x:v>Stadt/GIS</x:v>
      </x:c>
      <x:c r="P181" s="14" t="str">
        <x:v>ESRS E1, ISO 50001 (EnMS), ISO/IEC 30134‑2 (PUE), EU EPBD</x:v>
      </x:c>
      <x:c r="Q181" s="14" t="str">
        <x:v>Lokale Primärdaten; Datenhalter, Layer, Zeitraum und Methodik je Fall ergänzen</x:v>
      </x:c>
      <x:c r="R181" s="14" t="str">
        <x:v>Platzhalter – konkrete Datenquelle fehlt</x:v>
      </x:c>
      <x:c r="S181" s="14" t="str">
        <x:v>DATA-GIS</x:v>
      </x:c>
      <x:c r="T181" s="14" t="str">
        <x:v>L68 Immobilien; F41/F42 Bau</x:v>
      </x:c>
      <x:c r="U181" s="14" t="str">
        <x:v>Legacy / nicht explizit versioniert</x:v>
      </x:c>
      <x:c r="V181" s="51" t="str"/>
      <x:c r="W181" s="14" t="str">
        <x:v>Migration auf NACE Rev. 2.1 erforderlich</x:v>
      </x:c>
      <x:c r="X181" s="14" t="str">
        <x:v>Gebäude/Standort; Betrieb plus relevante Lebenszyklusmodule</x:v>
      </x:c>
      <x:c r="Y181" s="14" t="str">
        <x:v>Siehe Quelle: Definition gemäß Standard (ESRS/GRI/Taxonomie/ISO).</x:v>
      </x:c>
      <x:c r="Z181" s="14" t="str">
        <x:v>Primärdaten oder qualitätsgesicherte Sekundärdaten; Methode, Zeitraum und Systemgrenze dokumentieren</x:v>
      </x:c>
      <x:c r="AA181" s="14" t="str">
        <x:v>Limited Assurance; bei materieller Steuerwirkung risikobasiert vertiefen</x:v>
      </x:c>
      <x:c r="AB181" s="14" t="str">
        <x:v>Produktspezifische bzw. lokale Prüfung erforderlich</x:v>
      </x:c>
      <x:c r="AC181" s="14" t="str">
        <x:v>Hoch</x:v>
      </x:c>
      <x:c r="AD181" s="14" t="str">
        <x:v>Konkreten Datenhalter, GIS-Layer, Stichtag und Methodik ergänzen. Vollständige fünfstufige numerische Regel.</x:v>
      </x:c>
      <x:c r="AE181" s="14" t="str">
        <x:v>v1.4</x:v>
      </x:c>
      <x:c r="AF181" s="52" t="str">
        <x:v>2026-08-16</x:v>
      </x:c>
      <x:c r="AG181" s="52"/>
    </x:row>
    <x:row r="182" ht="42" customHeight="1">
      <x:c r="A182" s="14" t="str">
        <x:v>WOK-SYS-116</x:v>
      </x:c>
      <x:c r="B182" s="14" t="str">
        <x:v>SDG 7 – Energie</x:v>
      </x:c>
      <x:c r="C182" s="14" t="str">
        <x:v>7.1</x:v>
      </x:c>
      <x:c r="D182" s="14" t="str">
        <x:v>Energie‑Armut adressieren</x:v>
      </x:c>
      <x:c r="E182" s="14" t="str">
        <x:v>Energie‑Armut adressieren – Index</x:v>
      </x:c>
      <x:c r="F182" s="14" t="str">
        <x:v>umsatzgewichteter Index (z. B. Demokratie/Rule of Law)</x:v>
      </x:c>
      <x:c r="G182" s="14" t="str">
        <x:v>0–1</x:v>
      </x:c>
      <x:c r="H182" s="14" t="str">
        <x:v>higher_is_better</x:v>
      </x:c>
      <x:c r="I182" s="14" t="str">
        <x:v>R15</x:v>
      </x:c>
      <x:c r="J182" s="14" t="str">
        <x:v>≥0,8:+3; 0,7–0,79:+2; 0,6–0,69:0; 0,5–0,59:‑2; &lt;0,5:‑3</x:v>
      </x:c>
      <x:c r="K182" s="14" t="str">
        <x:v>Feste WÖk-Kalibrierung</x:v>
      </x:c>
      <x:c r="L182" s="14" t="str">
        <x:v>Arbeitskalibrierung – fachlich zu validieren</x:v>
      </x:c>
      <x:c r="M182" s="14" t="str">
        <x:v>WÖk-interne Klassenlogik</x:v>
      </x:c>
      <x:c r="N182" s="14" t="str">
        <x:v>Optional/Nein</x:v>
      </x:c>
      <x:c r="O182" s="14" t="str">
        <x:v>SROI/SDG17</x:v>
      </x:c>
      <x:c r="P182" s="14" t="str">
        <x:v>ESRS E1, ISO 50001 (EnMS), ISO/IEC 30134‑2 (PUE), EU EPBD</x:v>
      </x:c>
      <x:c r="Q182" s="14" t="str">
        <x:v>Methodischer Platzhalter; konkrete Fach- und Primärdatenquelle erforderlich</x:v>
      </x:c>
      <x:c r="R182" s="14" t="str">
        <x:v>Platzhalter – fachliche Operationalisierung offen</x:v>
      </x:c>
      <x:c r="S182" s="14" t="str">
        <x:v>INT-WOEK-TSROI; SVI-SROI; UN-SDG</x:v>
      </x:c>
      <x:c r="T182" s="14" t="str">
        <x:v>G47 Handel; K Versicherungen; M72 F&amp;E</x:v>
      </x:c>
      <x:c r="U182" s="14" t="str">
        <x:v>Legacy / nicht explizit versioniert</x:v>
      </x:c>
      <x:c r="V182" s="51" t="str"/>
      <x:c r="W182" s="14" t="str">
        <x:v>Migration auf NACE Rev. 2.1 erforderlich</x:v>
      </x:c>
      <x:c r="X182" s="14" t="str">
        <x:v>Programm/Portfolio/Systemraum; Empfängergruppe, Region und Zeitraum explizit definieren</x:v>
      </x:c>
      <x:c r="Y182" s="14" t="str">
        <x:v>Siehe Quelle: Definition gemäß Standard (ESRS/GRI/Taxonomie/ISO).</x:v>
      </x:c>
      <x:c r="Z182" s="14" t="str">
        <x:v>Primärdaten bevorzugt; Sekundärdaten nur transparent und versioniert; Methode und Systemgrenze dokumentieren</x:v>
      </x:c>
      <x:c r="AA182" s="14" t="str">
        <x:v>Limited Assurance; risikobasiert höhere Prüftiefe</x:v>
      </x:c>
      <x:c r="AB182" s="14" t="str">
        <x:v>Kritische Schablonenabweichung – Indikator und Definition fachlich neu zu entwerfen</x:v>
      </x:c>
      <x:c r="AC182" s="14" t="str">
        <x:v>Kritisch</x:v>
      </x:c>
      <x:c r="AD182" s="14" t="str">
        <x:v>Item-Bezeichnung und Messdefinition passen nicht ausreichend zusammen. SROI/SDG 17 ist keine hinreichend konkrete Mess- oder Schwellenquelle. Vollständige fünfstufige numerische Regel.</x:v>
      </x:c>
      <x:c r="AE182" s="14" t="str">
        <x:v>v1.4</x:v>
      </x:c>
      <x:c r="AF182" s="52" t="str">
        <x:v>2026-08-16</x:v>
      </x:c>
      <x:c r="AG182" s="52"/>
    </x:row>
    <x:row r="183" ht="42" customHeight="1">
      <x:c r="A183" s="14" t="str">
        <x:v>WOK-SYS-117</x:v>
      </x:c>
      <x:c r="B183" s="14" t="str">
        <x:v>SDG 7 – Energie</x:v>
      </x:c>
      <x:c r="C183" s="14" t="str">
        <x:v>7.1</x:v>
      </x:c>
      <x:c r="D183" s="14" t="str">
        <x:v>Energie‑Armut adressieren</x:v>
      </x:c>
      <x:c r="E183" s="14" t="str">
        <x:v>Energie‑Armut adressieren – Exposure</x:v>
      </x:c>
      <x:c r="F183" s="14" t="str">
        <x:v>Umsatz in Hochrisikoländern</x:v>
      </x:c>
      <x:c r="G183" s="14" t="str">
        <x:v>%</x:v>
      </x:c>
      <x:c r="H183" s="14" t="str">
        <x:v>lower_is_better</x:v>
      </x:c>
      <x:c r="I183" s="14" t="str">
        <x:v>R13</x:v>
      </x:c>
      <x:c r="J183" s="14" t="str">
        <x:v>≤5:+3; 6–10:+2; 11–20:0; 21–30:‑2; &gt;30:‑3</x:v>
      </x:c>
      <x:c r="K183" s="14" t="str">
        <x:v>Feste WÖk-Kalibrierung</x:v>
      </x:c>
      <x:c r="L183" s="14" t="str">
        <x:v>Arbeitskalibrierung – fachlich zu validieren</x:v>
      </x:c>
      <x:c r="M183" s="14" t="str">
        <x:v>WÖk-interne Klassenlogik</x:v>
      </x:c>
      <x:c r="N183" s="14" t="str">
        <x:v>Optional/Nein</x:v>
      </x:c>
      <x:c r="O183" s="14" t="str">
        <x:v>SROI/SDG17</x:v>
      </x:c>
      <x:c r="P183" s="14" t="str">
        <x:v>ESRS E1, ISO 50001 (EnMS), ISO/IEC 30134‑2 (PUE), EU EPBD</x:v>
      </x:c>
      <x:c r="Q183" s="14" t="str">
        <x:v>Methodischer Platzhalter; konkrete Fach- und Primärdatenquelle erforderlich</x:v>
      </x:c>
      <x:c r="R183" s="14" t="str">
        <x:v>Platzhalter – fachliche Operationalisierung offen</x:v>
      </x:c>
      <x:c r="S183" s="14" t="str">
        <x:v>INT-WOEK-TSROI; SVI-SROI; UN-SDG</x:v>
      </x:c>
      <x:c r="T183" s="14" t="str">
        <x:v>G47 Handel; K Versicherungen; M72 F&amp;E</x:v>
      </x:c>
      <x:c r="U183" s="14" t="str">
        <x:v>Legacy / nicht explizit versioniert</x:v>
      </x:c>
      <x:c r="V183" s="51" t="str"/>
      <x:c r="W183" s="14" t="str">
        <x:v>Migration auf NACE Rev. 2.1 erforderlich</x:v>
      </x:c>
      <x:c r="X183" s="14" t="str">
        <x:v>Programm/Portfolio/Systemraum; Empfängergruppe, Region und Zeitraum explizit definieren</x:v>
      </x:c>
      <x:c r="Y183" s="14" t="str">
        <x:v>Siehe Quelle: Definition gemäß Standard (ESRS/GRI/Taxonomie/ISO).</x:v>
      </x:c>
      <x:c r="Z183" s="14" t="str">
        <x:v>Primärdaten bevorzugt; Sekundärdaten nur transparent und versioniert; Methode und Systemgrenze dokumentieren</x:v>
      </x:c>
      <x:c r="AA183" s="14" t="str">
        <x:v>Limited Assurance; risikobasiert höhere Prüftiefe</x:v>
      </x:c>
      <x:c r="AB183" s="14" t="str">
        <x:v>Kritische Schablonenabweichung – Indikator und Definition fachlich neu zu entwerfen</x:v>
      </x:c>
      <x:c r="AC183" s="14" t="str">
        <x:v>Kritisch</x:v>
      </x:c>
      <x:c r="AD183" s="14" t="str">
        <x:v>Item-Bezeichnung und Messdefinition passen nicht ausreichend zusammen. SROI/SDG 17 ist keine hinreichend konkrete Mess- oder Schwellenquelle. Vollständige fünfstufige numerische Regel.</x:v>
      </x:c>
      <x:c r="AE183" s="14" t="str">
        <x:v>v1.4</x:v>
      </x:c>
      <x:c r="AF183" s="52" t="str">
        <x:v>2026-08-16</x:v>
      </x:c>
      <x:c r="AG183" s="52"/>
    </x:row>
    <x:row r="184" ht="42" customHeight="1">
      <x:c r="A184" s="14" t="str">
        <x:v>WOK-SYS-118</x:v>
      </x:c>
      <x:c r="B184" s="14" t="str">
        <x:v>SDG 7 – Energie</x:v>
      </x:c>
      <x:c r="C184" s="14" t="str">
        <x:v>7.1</x:v>
      </x:c>
      <x:c r="D184" s="14" t="str">
        <x:v>Energie‑Armut adressieren</x:v>
      </x:c>
      <x:c r="E184" s="14" t="str">
        <x:v>Energie‑Armut adressieren – Kooperationen</x:v>
      </x:c>
      <x:c r="F184" s="14" t="str">
        <x:v>aktive, evaluierte Partnerschaften/Jahr</x:v>
      </x:c>
      <x:c r="G184" s="14" t="str">
        <x:v>#/Jahr</x:v>
      </x:c>
      <x:c r="H184" s="14" t="str">
        <x:v>higher_is_better</x:v>
      </x:c>
      <x:c r="I184" s="14" t="str">
        <x:v>R20</x:v>
      </x:c>
      <x:c r="J184" s="14" t="str">
        <x:v>≥5:+3; 3–4:+2; 1–2:0; 0:‑2</x:v>
      </x:c>
      <x:c r="K184" s="14" t="str">
        <x:v>Feste WÖk-Grobkalibrierung</x:v>
      </x:c>
      <x:c r="L184" s="14" t="str">
        <x:v>Klasse −3 nur für negative/unzulässige Werte ergänzt</x:v>
      </x:c>
      <x:c r="M184" s="14" t="str">
        <x:v>WÖk-interne Grobkalibrierung</x:v>
      </x:c>
      <x:c r="N184" s="14" t="str">
        <x:v>Optional/Nein</x:v>
      </x:c>
      <x:c r="O184" s="14" t="str">
        <x:v>SROI/SDG17</x:v>
      </x:c>
      <x:c r="P184" s="14" t="str">
        <x:v>ESRS E1, ISO 50001 (EnMS), ISO/IEC 30134‑2 (PUE), EU EPBD</x:v>
      </x:c>
      <x:c r="Q184" s="14" t="str">
        <x:v>Methodischer Platzhalter; konkrete Fach- und Primärdatenquelle erforderlich</x:v>
      </x:c>
      <x:c r="R184" s="14" t="str">
        <x:v>Platzhalter – fachliche Operationalisierung offen</x:v>
      </x:c>
      <x:c r="S184" s="14" t="str">
        <x:v>INT-WOEK-TSROI; SVI-SROI; UN-SDG</x:v>
      </x:c>
      <x:c r="T184" s="14" t="str">
        <x:v>G47 Handel; K Versicherungen; M72 F&amp;E</x:v>
      </x:c>
      <x:c r="U184" s="14" t="str">
        <x:v>Legacy / nicht explizit versioniert</x:v>
      </x:c>
      <x:c r="V184" s="51" t="str"/>
      <x:c r="W184" s="14" t="str">
        <x:v>Migration auf NACE Rev. 2.1 erforderlich</x:v>
      </x:c>
      <x:c r="X184" s="14" t="str">
        <x:v>Programm/Portfolio/Systemraum; Empfängergruppe, Region und Zeitraum explizit definieren</x:v>
      </x:c>
      <x:c r="Y184" s="14" t="str">
        <x:v>Siehe Quelle: Definition gemäß Standard (ESRS/GRI/Taxonomie/ISO).</x:v>
      </x:c>
      <x:c r="Z184" s="14" t="str">
        <x:v>Primärdaten bevorzugt; Sekundärdaten nur transparent und versioniert; Methode und Systemgrenze dokumentieren</x:v>
      </x:c>
      <x:c r="AA184" s="14" t="str">
        <x:v>Limited Assurance; risikobasiert höhere Prüftiefe</x:v>
      </x:c>
      <x:c r="AB184" s="14" t="str">
        <x:v>Kritische Schablonenabweichung – Indikator und Definition fachlich neu zu entwerfen</x:v>
      </x:c>
      <x:c r="AC184" s="14" t="str">
        <x:v>Kritisch</x:v>
      </x:c>
      <x:c r="AD184" s="14" t="str">
        <x:v>Item-Bezeichnung und Messdefinition passen nicht ausreichend zusammen. SROI/SDG 17 ist keine hinreichend konkrete Mess- oder Schwellenquelle. Für sachlogisch nichtnegative Zählwerte ist 0 die schlechteste reguläre Klasse (−2).</x:v>
      </x:c>
      <x:c r="AE184" s="14" t="str">
        <x:v>v1.4</x:v>
      </x:c>
      <x:c r="AF184" s="52" t="str">
        <x:v>2026-08-16</x:v>
      </x:c>
      <x:c r="AG184" s="52"/>
    </x:row>
    <x:row r="185" ht="42" customHeight="1">
      <x:c r="A185" s="14" t="str">
        <x:v>WOK-E-143</x:v>
      </x:c>
      <x:c r="B185" s="14" t="str">
        <x:v>SDG 7 – Energie</x:v>
      </x:c>
      <x:c r="C185" s="14" t="str">
        <x:v>7.3</x:v>
      </x:c>
      <x:c r="D185" s="14" t="str">
        <x:v>Netzverluste/IT‑Effizienz</x:v>
      </x:c>
      <x:c r="E185" s="14" t="str">
        <x:v>Netzverluste/IT‑Effizienz – EE‑Anteil</x:v>
      </x:c>
      <x:c r="F185" s="14" t="str">
        <x:v>Anteil erneuerbarer Energien am Strombezug</x:v>
      </x:c>
      <x:c r="G185" s="14" t="str">
        <x:v>%</x:v>
      </x:c>
      <x:c r="H185" s="14" t="str">
        <x:v>higher_is_better</x:v>
      </x:c>
      <x:c r="I185" s="14" t="str">
        <x:v>R25</x:v>
      </x:c>
      <x:c r="J185" s="14" t="str">
        <x:v>≥90%:+3; 70–89%:+2; 50–69%:0; 30–49%:‑2; &lt;30%:‑3</x:v>
      </x:c>
      <x:c r="K185" s="14" t="str">
        <x:v>Feste WÖk-Kalibrierung</x:v>
      </x:c>
      <x:c r="L185" s="14" t="str">
        <x:v>Arbeitskalibrierung – fachlich zu validieren</x:v>
      </x:c>
      <x:c r="M185" s="14" t="str">
        <x:v>WÖk-interne Klassenlogik</x:v>
      </x:c>
      <x:c r="N185" s="14" t="str">
        <x:v>Optional/Nein</x:v>
      </x:c>
      <x:c r="O185" s="14" t="str">
        <x:v>ESRS E1; GHG Protocol</x:v>
      </x:c>
      <x:c r="P185" s="14" t="str">
        <x:v>ESRS E1, ISO 50001 (EnMS), ISO/IEC 30134‑2 (PUE), EU EPBD</x:v>
      </x:c>
      <x:c r="Q185" s="14" t="str">
        <x:v>Mess-, Berichts- oder Managementrahmen; Schwellen sind grundsätzlich WÖk-Kalibrierungen</x:v>
      </x:c>
      <x:c r="R185" s="14" t="str">
        <x:v>Messgrundlage belegt; Schwellenkalibrierung offen</x:v>
      </x:c>
      <x:c r="S185" s="14" t="str">
        <x:v>EU-ESRS; GHG-CORP; GHG-S3; GHG-PROD</x:v>
      </x:c>
      <x:c r="T185" s="14" t="str">
        <x:v>J61 Telekom; J62 IT; RZ</x:v>
      </x:c>
      <x:c r="U185" s="14" t="str">
        <x:v>Legacy / nicht explizit versioniert</x:v>
      </x:c>
      <x:c r="V185" s="51" t="str"/>
      <x:c r="W185" s="14" t="str">
        <x:v>Migration auf NACE Rev. 2.1 erforderlich</x:v>
      </x:c>
      <x:c r="X185" s="14" t="str">
        <x:v>Standort/Prozess/Aktivität; Bezugsgröße und relevante Umweltmedien</x:v>
      </x:c>
      <x:c r="Y185" s="14" t="str">
        <x:v>EE‑Anteil = EE‑Strom (inkl. PPA/HKN) / Gesamtstrom.</x:v>
      </x:c>
      <x:c r="Z185" s="14" t="str">
        <x:v>Primärdaten bevorzugt; Sekundärdaten nur transparent und versioniert; Methode und Systemgrenze dokumentieren</x:v>
      </x:c>
      <x:c r="AA185" s="14" t="str">
        <x:v>Limited Assurance; risikobasiert höhere Prüftiefe</x:v>
      </x:c>
      <x:c r="AB185" s="14" t="str">
        <x:v>Strukturell nutzbar; Schwellen fachlich zu validieren</x:v>
      </x:c>
      <x:c r="AC185" s="14" t="str">
        <x:v>Mittel</x:v>
      </x:c>
      <x:c r="AD185" s="14" t="str">
        <x:v>Vollständige fünfstufige Prozentregel.</x:v>
      </x:c>
      <x:c r="AE185" s="14" t="str">
        <x:v>v1.4</x:v>
      </x:c>
      <x:c r="AF185" s="52" t="str">
        <x:v>2026-08-16</x:v>
      </x:c>
      <x:c r="AG185" s="52"/>
    </x:row>
    <x:row r="186" ht="42" customHeight="1">
      <x:c r="A186" s="14" t="str">
        <x:v>WOK-E-144</x:v>
      </x:c>
      <x:c r="B186" s="14" t="str">
        <x:v>SDG 7 – Energie</x:v>
      </x:c>
      <x:c r="C186" s="14" t="str">
        <x:v>7.3</x:v>
      </x:c>
      <x:c r="D186" s="14" t="str">
        <x:v>Netzverluste/IT‑Effizienz</x:v>
      </x:c>
      <x:c r="E186" s="14" t="str">
        <x:v>Netzverluste/IT‑Effizienz – Intensität</x:v>
      </x:c>
      <x:c r="F186" s="14" t="str">
        <x:v>Energie je Output/Umsatz</x:v>
      </x:c>
      <x:c r="G186" s="14" t="str">
        <x:v>kWh/€ Mio bzw. kWh/t</x:v>
      </x:c>
      <x:c r="H186" s="14" t="str">
        <x:v>lower_is_better</x:v>
      </x:c>
      <x:c r="I186" s="14" t="str">
        <x:v>R06</x:v>
      </x:c>
      <x:c r="J186" s="14" t="str">
        <x:v>Top‑10%:+3; Mittel:0; &gt;150%:‑2; &gt;250%:‑3</x:v>
      </x:c>
      <x:c r="K186" s="14" t="str">
        <x:v>Benchmarkabhängig</x:v>
      </x:c>
      <x:c r="L186" s="14" t="str">
        <x:v>Validierter Benchmark fehlt</x:v>
      </x:c>
      <x:c r="M186" s="14" t="str">
        <x:v>Branche/Region/Technologie</x:v>
      </x:c>
      <x:c r="N186" s="14" t="str">
        <x:v>Ja</x:v>
      </x:c>
      <x:c r="O186" s="14" t="str">
        <x:v>ESRS E1; GHG Protocol</x:v>
      </x:c>
      <x:c r="P186" s="14" t="str">
        <x:v>ESRS E1, ISO 50001 (EnMS), ISO/IEC 30134‑2 (PUE), EU EPBD</x:v>
      </x:c>
      <x:c r="Q186" s="14" t="str">
        <x:v>Mess-/Methodenrahmen; aktiver Branchen-/Regional-/Technologiebenchmark separat erforderlich</x:v>
      </x:c>
      <x:c r="R186" s="14" t="str">
        <x:v>Teilbelegt – Benchmarkquelle fehlt</x:v>
      </x:c>
      <x:c r="S186" s="14" t="str">
        <x:v>EU-ESRS; GHG-CORP; GHG-S3; GHG-PROD</x:v>
      </x:c>
      <x:c r="T186" s="14" t="str">
        <x:v>J61 Telekom; J62 IT; RZ</x:v>
      </x:c>
      <x:c r="U186" s="14" t="str">
        <x:v>Legacy / nicht explizit versioniert</x:v>
      </x:c>
      <x:c r="V186" s="51" t="str"/>
      <x:c r="W186" s="14" t="str">
        <x:v>Migration auf NACE Rev. 2.1 erforderlich</x:v>
      </x:c>
      <x:c r="X186" s="14" t="str">
        <x:v>Standort/Prozess/Aktivität; Bezugsgröße und relevante Umweltmedien</x:v>
      </x:c>
      <x:c r="Y186" s="14" t="str">
        <x:v>Netzverluste = (Einspeisung – Abgabe) / Einspeisung.</x:v>
      </x:c>
      <x:c r="Z186" s="14" t="str">
        <x:v>Primärdaten plus repräsentativer, versionierter Benchmarkdatensatz; Stichprobe und Population offenlegen</x:v>
      </x:c>
      <x:c r="AA186" s="14" t="str">
        <x:v>Messwert-Assurance und unabhängige Benchmark-Governance</x:v>
      </x:c>
      <x:c r="AB186" s="14" t="str">
        <x:v>Prüfung/Parametrisierung erforderlich</x:v>
      </x:c>
      <x:c r="AC186" s="14" t="str">
        <x:v>Hoch</x:v>
      </x:c>
      <x:c r="AD186" s="14" t="str">
        <x:v>Top-10-Prozent, Mittelwert, 150 % und 250 % müssen aus einer dokumentierten Grundgesamtheit stammen.</x:v>
      </x:c>
      <x:c r="AE186" s="14" t="str">
        <x:v>v1.4</x:v>
      </x:c>
      <x:c r="AF186" s="52" t="str">
        <x:v>2026-08-16</x:v>
      </x:c>
      <x:c r="AG186" s="52"/>
    </x:row>
    <x:row r="187" ht="42" customHeight="1">
      <x:c r="A187" s="14" t="str">
        <x:v>WOK-E-145</x:v>
      </x:c>
      <x:c r="B187" s="14" t="str">
        <x:v>SDG 7 – Energie</x:v>
      </x:c>
      <x:c r="C187" s="14" t="str">
        <x:v>7.3</x:v>
      </x:c>
      <x:c r="D187" s="14" t="str">
        <x:v>Netzverluste/IT‑Effizienz</x:v>
      </x:c>
      <x:c r="E187" s="14" t="str">
        <x:v>Netzverluste/IT‑Effizienz – Effizienz (PUE)*</x:v>
      </x:c>
      <x:c r="F187" s="14" t="str">
        <x:v>Effizienz Rechenzentrum/IT‑Betrieb (falls zutreffend)</x:v>
      </x:c>
      <x:c r="G187" s="14" t="str">
        <x:v>PUE</x:v>
      </x:c>
      <x:c r="H187" s="14" t="str">
        <x:v>lower_is_better</x:v>
      </x:c>
      <x:c r="I187" s="14" t="str">
        <x:v>R09</x:v>
      </x:c>
      <x:c r="J187" s="14" t="str">
        <x:v>≤1,2:+3; 1,21–1,4:+2; 1,41–1,6:0; 1,61–1,8:‑2; &gt;1,8:‑3</x:v>
      </x:c>
      <x:c r="K187" s="14" t="str">
        <x:v>Feste WÖk-Kalibrierung</x:v>
      </x:c>
      <x:c r="L187" s="14" t="str">
        <x:v>Messstandard belegt; Klassen sind WÖk-Kalibrierung</x:v>
      </x:c>
      <x:c r="M187" s="14" t="str">
        <x:v>PUE-Messung nach ISO/IEC 30134-2; Klassen intern</x:v>
      </x:c>
      <x:c r="N187" s="14" t="str">
        <x:v>Optional/Nein</x:v>
      </x:c>
      <x:c r="O187" s="14" t="str">
        <x:v>ISO 14067/50001/45001/22301/27701/23894</x:v>
      </x:c>
      <x:c r="P187" s="14" t="str">
        <x:v>ESRS E1, ISO 50001 (EnMS), ISO/IEC 30134‑2 (PUE), EU EPBD</x:v>
      </x:c>
      <x:c r="Q187" s="14" t="str">
        <x:v>Mess-, Berichts- oder Managementrahmen; Schwellen sind grundsätzlich WÖk-Kalibrierungen</x:v>
      </x:c>
      <x:c r="R187" s="14" t="str">
        <x:v>Messgrundlage belegt; Schwellenkalibrierung offen</x:v>
      </x:c>
      <x:c r="S187" s="14" t="str">
        <x:v>ISO-14067; ISO-50001; ISO-45001; ISO-22301; ISO-27701; ISO-23894</x:v>
      </x:c>
      <x:c r="T187" s="14" t="str">
        <x:v>J61 Telekom; J62 IT; RZ</x:v>
      </x:c>
      <x:c r="U187" s="14" t="str">
        <x:v>Legacy / nicht explizit versioniert</x:v>
      </x:c>
      <x:c r="V187" s="51" t="str"/>
      <x:c r="W187" s="14" t="str">
        <x:v>Migration auf NACE Rev. 2.1 erforderlich</x:v>
      </x:c>
      <x:c r="X187" s="14" t="str">
        <x:v>Standort/Prozess/Aktivität; Bezugsgröße und relevante Umweltmedien</x:v>
      </x:c>
      <x:c r="Y187" s="14" t="str">
        <x:v>PUE = Gesamtstrom RZ / IT‑Last (ISO/IEC 30134‑2).</x:v>
      </x:c>
      <x:c r="Z187" s="14" t="str">
        <x:v>Primärdaten bevorzugt; Sekundärdaten nur transparent und versioniert; Methode und Systemgrenze dokumentieren</x:v>
      </x:c>
      <x:c r="AA187" s="14" t="str">
        <x:v>Limited Assurance; risikobasiert höhere Prüftiefe</x:v>
      </x:c>
      <x:c r="AB187" s="14" t="str">
        <x:v>Strukturell nutzbar; Schwellen fachlich zu validieren</x:v>
      </x:c>
      <x:c r="AC187" s="14" t="str">
        <x:v>Mittel</x:v>
      </x:c>
      <x:c r="AD187" s="14" t="str">
        <x:v>Klimazone und Rechenzentrumstyp sind bei der Validierung zu berücksichtigen.</x:v>
      </x:c>
      <x:c r="AE187" s="14" t="str">
        <x:v>v1.4</x:v>
      </x:c>
      <x:c r="AF187" s="52" t="str">
        <x:v>2026-08-16</x:v>
      </x:c>
      <x:c r="AG187" s="52"/>
    </x:row>
    <x:row r="188" ht="42" customHeight="1">
      <x:c r="A188" s="14" t="str">
        <x:v>WOK-SC-113</x:v>
      </x:c>
      <x:c r="B188" s="14" t="str">
        <x:v>SDG 7 – Energie</x:v>
      </x:c>
      <x:c r="C188" s="14" t="str">
        <x:v>7.3</x:v>
      </x:c>
      <x:c r="D188" s="14" t="str">
        <x:v>Energie‑Daten in Lieferkette</x:v>
      </x:c>
      <x:c r="E188" s="14" t="str">
        <x:v>Energie‑Daten in Lieferkette – ESG‑Spend‑Coverage</x:v>
      </x:c>
      <x:c r="F188" s="14" t="str">
        <x:v>Anteil verifizierter ESG‑Daten am Spend</x:v>
      </x:c>
      <x:c r="G188" s="14" t="str">
        <x:v>%</x:v>
      </x:c>
      <x:c r="H188" s="14" t="str">
        <x:v>higher_is_better</x:v>
      </x:c>
      <x:c r="I188" s="14" t="str">
        <x:v>R26</x:v>
      </x:c>
      <x:c r="J188" s="14" t="str">
        <x:v>≥90:+3; 70–89:+2; 50–69:0; 30–49:‑2; &lt;30:‑3</x:v>
      </x:c>
      <x:c r="K188" s="14" t="str">
        <x:v>Feste WÖk-Kalibrierung</x:v>
      </x:c>
      <x:c r="L188" s="14" t="str">
        <x:v>Arbeitskalibrierung – fachlich zu validieren</x:v>
      </x:c>
      <x:c r="M188" s="14" t="str">
        <x:v>WÖk-interne Klassenlogik</x:v>
      </x:c>
      <x:c r="N188" s="14" t="str">
        <x:v>Optional/Nein</x:v>
      </x:c>
      <x:c r="O188" s="14" t="str">
        <x:v>ESRS S2; GRI 308/414/408/409</x:v>
      </x:c>
      <x:c r="P188" s="14" t="str">
        <x:v>ESRS E1, ISO 50001 (EnMS), ISO/IEC 30134‑2 (PUE), EU EPBD</x:v>
      </x:c>
      <x:c r="Q188" s="14" t="str">
        <x:v>Mess-, Berichts- oder Managementrahmen; Schwellen sind grundsätzlich WÖk-Kalibrierungen</x:v>
      </x:c>
      <x:c r="R188" s="14" t="str">
        <x:v>Messgrundlage belegt; Schwellenkalibrierung offen</x:v>
      </x:c>
      <x:c r="S188" s="14" t="str">
        <x:v>EU-ESRS; GRI; OECD-DD; ILO-CORE</x:v>
      </x:c>
      <x:c r="T188" s="14" t="str">
        <x:v>C20 Chemie; C24 Stahl; C29 Fahrzeuge</x:v>
      </x:c>
      <x:c r="U188" s="14" t="str">
        <x:v>Legacy / nicht explizit versioniert</x:v>
      </x:c>
      <x:c r="V188" s="51" t="str"/>
      <x:c r="W188" s="14" t="str">
        <x:v>Migration auf NACE Rev. 2.1 erforderlich</x:v>
      </x:c>
      <x:c r="X188" s="14" t="str">
        <x:v>Vorgelagerte Lieferkette; relevante Tier-Stufen und Beschaffungsvolumen</x:v>
      </x:c>
      <x:c r="Y188" s="14" t="str">
        <x:v>Quote = Zähler / Nenner gemäß Quelle; in %.</x:v>
      </x:c>
      <x:c r="Z188" s="14" t="str">
        <x:v>Primärdaten bevorzugt; Sekundärdaten nur transparent und versioniert; Methode und Systemgrenze dokumentieren</x:v>
      </x:c>
      <x:c r="AA188" s="14" t="str">
        <x:v>Limited Assurance; risikobasiert höhere Prüftiefe</x:v>
      </x:c>
      <x:c r="AB188" s="14" t="str">
        <x:v>Strukturell nutzbar; Schwellen fachlich zu validieren</x:v>
      </x:c>
      <x:c r="AC188" s="14" t="str">
        <x:v>Mittel</x:v>
      </x:c>
      <x:c r="AD188" s="14" t="str">
        <x:v>Vollständige fünfstufige numerische Regel.</x:v>
      </x:c>
      <x:c r="AE188" s="14" t="str">
        <x:v>v1.4</x:v>
      </x:c>
      <x:c r="AF188" s="52" t="str">
        <x:v>2026-08-16</x:v>
      </x:c>
      <x:c r="AG188" s="52"/>
    </x:row>
    <x:row r="189" ht="42" customHeight="1">
      <x:c r="A189" s="14" t="str">
        <x:v>WOK-SC-114</x:v>
      </x:c>
      <x:c r="B189" s="14" t="str">
        <x:v>SDG 7 – Energie</x:v>
      </x:c>
      <x:c r="C189" s="14" t="str">
        <x:v>7.3</x:v>
      </x:c>
      <x:c r="D189" s="14" t="str">
        <x:v>Energie‑Daten in Lieferkette</x:v>
      </x:c>
      <x:c r="E189" s="14" t="str">
        <x:v>Energie‑Daten in Lieferkette – Kinder/Zwangsarbeit</x:v>
      </x:c>
      <x:c r="F189" s="14" t="str">
        <x:v>Audits ohne Verstöße</x:v>
      </x:c>
      <x:c r="G189" s="14" t="str">
        <x:v>% Lieferanten</x:v>
      </x:c>
      <x:c r="H189" s="14" t="str">
        <x:v>higher_is_better</x:v>
      </x:c>
      <x:c r="I189" s="14" t="str">
        <x:v>R28</x:v>
      </x:c>
      <x:c r="J189" s="14" t="str">
        <x:v>≥98:+3; 90–97:+2; 75–89:0; 50–74:‑2; &lt;50:‑3</x:v>
      </x:c>
      <x:c r="K189" s="14" t="str">
        <x:v>Feste WÖk-Kalibrierung</x:v>
      </x:c>
      <x:c r="L189" s="14" t="str">
        <x:v>Arbeitskalibrierung – fachlich zu validieren</x:v>
      </x:c>
      <x:c r="M189" s="14" t="str">
        <x:v>WÖk-interne Klassenlogik</x:v>
      </x:c>
      <x:c r="N189" s="14" t="str">
        <x:v>Optional/Nein</x:v>
      </x:c>
      <x:c r="O189" s="14" t="str">
        <x:v>ESRS S2; GRI 308/414/408/409</x:v>
      </x:c>
      <x:c r="P189" s="14" t="str">
        <x:v>ESRS E1, ISO 50001 (EnMS), ISO/IEC 30134‑2 (PUE), EU EPBD</x:v>
      </x:c>
      <x:c r="Q189" s="14" t="str">
        <x:v>Mess-, Berichts- oder Managementrahmen; Schwellen sind grundsätzlich WÖk-Kalibrierungen</x:v>
      </x:c>
      <x:c r="R189" s="14" t="str">
        <x:v>Messgrundlage belegt; Schwellenkalibrierung offen</x:v>
      </x:c>
      <x:c r="S189" s="14" t="str">
        <x:v>EU-ESRS; GRI; OECD-DD; ILO-CORE</x:v>
      </x:c>
      <x:c r="T189" s="14" t="str">
        <x:v>C20 Chemie; C24 Stahl; C29 Fahrzeuge</x:v>
      </x:c>
      <x:c r="U189" s="14" t="str">
        <x:v>Legacy / nicht explizit versioniert</x:v>
      </x:c>
      <x:c r="V189" s="51" t="str"/>
      <x:c r="W189" s="14" t="str">
        <x:v>Migration auf NACE Rev. 2.1 erforderlich</x:v>
      </x:c>
      <x:c r="X189" s="14" t="str">
        <x:v>Vorgelagerte Lieferkette; relevante Tier-Stufen und Beschaffungsvolumen</x:v>
      </x:c>
      <x:c r="Y189" s="14" t="str">
        <x:v>Quote = Zähler / Nenner gemäß Quelle; in %.</x:v>
      </x:c>
      <x:c r="Z189" s="14" t="str">
        <x:v>Primärdaten bevorzugt; Sekundärdaten nur transparent und versioniert; Methode und Systemgrenze dokumentieren</x:v>
      </x:c>
      <x:c r="AA189" s="14" t="str">
        <x:v>Limited Assurance; risikobasiert höhere Prüftiefe</x:v>
      </x:c>
      <x:c r="AB189" s="14" t="str">
        <x:v>Strukturell nutzbar; Schwellen fachlich zu validieren</x:v>
      </x:c>
      <x:c r="AC189" s="14" t="str">
        <x:v>Mittel</x:v>
      </x:c>
      <x:c r="AD189" s="14" t="str">
        <x:v>Vollständige fünfstufige numerische Regel.</x:v>
      </x:c>
      <x:c r="AE189" s="14" t="str">
        <x:v>v1.4</x:v>
      </x:c>
      <x:c r="AF189" s="52" t="str">
        <x:v>2026-08-16</x:v>
      </x:c>
      <x:c r="AG189" s="52"/>
    </x:row>
    <x:row r="190" ht="42" customHeight="1">
      <x:c r="A190" s="14" t="str">
        <x:v>WOK-SC-115</x:v>
      </x:c>
      <x:c r="B190" s="14" t="str">
        <x:v>SDG 7 – Energie</x:v>
      </x:c>
      <x:c r="C190" s="14" t="str">
        <x:v>7.3</x:v>
      </x:c>
      <x:c r="D190" s="14" t="str">
        <x:v>Energie‑Daten in Lieferkette</x:v>
      </x:c>
      <x:c r="E190" s="14" t="str">
        <x:v>Energie‑Daten in Lieferkette – Scope‑3 Daten</x:v>
      </x:c>
      <x:c r="F190" s="14" t="str">
        <x:v>Primärdaten‑Abdeckung</x:v>
      </x:c>
      <x:c r="G190" s="14" t="str">
        <x:v>% Kategorien</x:v>
      </x:c>
      <x:c r="H190" s="14" t="str">
        <x:v>higher_is_better</x:v>
      </x:c>
      <x:c r="I190" s="14" t="str">
        <x:v>R23</x:v>
      </x:c>
      <x:c r="J190" s="14" t="str">
        <x:v>≥80:+3; 60–79:+2; 40–59:0; 20–39:‑2; &lt;20:‑3</x:v>
      </x:c>
      <x:c r="K190" s="14" t="str">
        <x:v>Feste WÖk-Kalibrierung</x:v>
      </x:c>
      <x:c r="L190" s="14" t="str">
        <x:v>Arbeitskalibrierung – fachlich zu validieren</x:v>
      </x:c>
      <x:c r="M190" s="14" t="str">
        <x:v>WÖk-interne Klassenlogik</x:v>
      </x:c>
      <x:c r="N190" s="14" t="str">
        <x:v>Optional/Nein</x:v>
      </x:c>
      <x:c r="O190" s="14" t="str">
        <x:v>ESRS E1; GHG Protocol</x:v>
      </x:c>
      <x:c r="P190" s="14" t="str">
        <x:v>ESRS E1, GHG Protocol (Corporate/Scope 1–3), ISO 14064/14067</x:v>
      </x:c>
      <x:c r="Q190" s="14" t="str">
        <x:v>Mess-, Berichts- oder Managementrahmen; Schwellen sind grundsätzlich WÖk-Kalibrierungen</x:v>
      </x:c>
      <x:c r="R190" s="14" t="str">
        <x:v>Messgrundlage belegt; Schwellenkalibrierung offen</x:v>
      </x:c>
      <x:c r="S190" s="14" t="str">
        <x:v>EU-ESRS; GHG-CORP; GHG-S3; GHG-PROD</x:v>
      </x:c>
      <x:c r="T190" s="14" t="str">
        <x:v>C20 Chemie; C24 Stahl; C29 Fahrzeuge</x:v>
      </x:c>
      <x:c r="U190" s="14" t="str">
        <x:v>Legacy / nicht explizit versioniert</x:v>
      </x:c>
      <x:c r="V190" s="51" t="str"/>
      <x:c r="W190" s="14" t="str">
        <x:v>Migration auf NACE Rev. 2.1 erforderlich</x:v>
      </x:c>
      <x:c r="X190" s="14" t="str">
        <x:v>Vorgelagerte Lieferkette; relevante Tier-Stufen und Beschaffungsvolumen</x:v>
      </x:c>
      <x:c r="Y190" s="14" t="str">
        <x:v>Quote = Zähler / Nenner gemäß Quelle; in %.</x:v>
      </x:c>
      <x:c r="Z190" s="14" t="str">
        <x:v>Primärdaten bevorzugt; Sekundärdaten nur transparent und versioniert; Methode und Systemgrenze dokumentieren</x:v>
      </x:c>
      <x:c r="AA190" s="14" t="str">
        <x:v>Limited Assurance; risikobasiert höhere Prüftiefe</x:v>
      </x:c>
      <x:c r="AB190" s="14" t="str">
        <x:v>Strukturell nutzbar; Schwellen fachlich zu validieren</x:v>
      </x:c>
      <x:c r="AC190" s="14" t="str">
        <x:v>Mittel</x:v>
      </x:c>
      <x:c r="AD190" s="14" t="str">
        <x:v>Vollständige fünfstufige numerische Regel.</x:v>
      </x:c>
      <x:c r="AE190" s="14" t="str">
        <x:v>v1.4</x:v>
      </x:c>
      <x:c r="AF190" s="52" t="str">
        <x:v>2026-08-16</x:v>
      </x:c>
      <x:c r="AG190" s="52"/>
    </x:row>
    <x:row r="191" ht="42" customHeight="1">
      <x:c r="A191" s="14" t="str">
        <x:v>WOK-G-134</x:v>
      </x:c>
      <x:c r="B191" s="14" t="str">
        <x:v>SDG 7 – Energie</x:v>
      </x:c>
      <x:c r="C191" s="14" t="str">
        <x:v>7.2</x:v>
      </x:c>
      <x:c r="D191" s="14" t="str">
        <x:v>Transparenz/Herkunftsnachweise</x:v>
      </x:c>
      <x:c r="E191" s="14" t="str">
        <x:v>Transparenz/Herkunftsnachweise – Antikorruption</x:v>
      </x:c>
      <x:c r="F191" s="14" t="str">
        <x:v>Bestätigte Fälle/1.000 FTE</x:v>
      </x:c>
      <x:c r="G191" s="14" t="str">
        <x:v>Fälle/1.000 FTE</x:v>
      </x:c>
      <x:c r="H191" s="14" t="str">
        <x:v>lower_is_better</x:v>
      </x:c>
      <x:c r="I191" s="14" t="str">
        <x:v>R01</x:v>
      </x:c>
      <x:c r="J191" s="14" t="str">
        <x:v>0:+3; ≤0,2:+2; ≤0,5:0; ≤1:‑2; &gt;1:‑3</x:v>
      </x:c>
      <x:c r="K191" s="14" t="str">
        <x:v>Feste WÖk-Kalibrierung</x:v>
      </x:c>
      <x:c r="L191" s="14" t="str">
        <x:v>Arbeitskalibrierung – fachlich zu validieren</x:v>
      </x:c>
      <x:c r="M191" s="14" t="str">
        <x:v>WÖk-interne Klassenlogik</x:v>
      </x:c>
      <x:c r="N191" s="14" t="str">
        <x:v>Optional/Nein</x:v>
      </x:c>
      <x:c r="O191" s="14" t="str">
        <x:v>ESRS G1; GRI 205/207</x:v>
      </x:c>
      <x:c r="P191" s="14" t="str">
        <x:v>ESRS G1, GRI 205/207, OECD Anti‑Bribery</x:v>
      </x:c>
      <x:c r="Q191" s="14" t="str">
        <x:v>Mess-, Berichts- oder Managementrahmen; Schwellen sind grundsätzlich WÖk-Kalibrierungen</x:v>
      </x:c>
      <x:c r="R191" s="14" t="str">
        <x:v>Messgrundlage belegt; Schwellenkalibrierung offen</x:v>
      </x:c>
      <x:c r="S191" s="14" t="str">
        <x:v>EU-ESRS; GRI; OECD-AB</x:v>
      </x:c>
      <x:c r="T191" s="14" t="str">
        <x:v>D35 Stromerzeugung/Netze</x:v>
      </x:c>
      <x:c r="U191" s="14" t="str">
        <x:v>Legacy / nicht explizit versioniert</x:v>
      </x:c>
      <x:c r="V191" s="51" t="str"/>
      <x:c r="W191" s="14" t="str">
        <x:v>Migration auf NACE Rev. 2.1 erforderlich</x:v>
      </x:c>
      <x:c r="X191" s="14" t="str">
        <x:v>Organisation/Governance; konsolidierter Kreis und relevante Rechtseinheiten</x:v>
      </x:c>
      <x:c r="Y191" s="14" t="str">
        <x:v>Siehe Quelle: Definition gemäß Standard (ESRS/GRI/Taxonomie/ISO).</x:v>
      </x:c>
      <x:c r="Z191" s="14" t="str">
        <x:v>Primärdaten bevorzugt; Sekundärdaten nur transparent und versioniert; Methode und Systemgrenze dokumentieren</x:v>
      </x:c>
      <x:c r="AA191" s="14" t="str">
        <x:v>Limited Assurance; risikobasiert höhere Prüftiefe</x:v>
      </x:c>
      <x:c r="AB191" s="14" t="str">
        <x:v>Strukturell nutzbar; Schwellen fachlich zu validieren</x:v>
      </x:c>
      <x:c r="AC191" s="14" t="str">
        <x:v>Mittel</x:v>
      </x:c>
      <x:c r="AD191" s="14" t="str">
        <x:v>Vollständige fünfstufige numerische Regel.</x:v>
      </x:c>
      <x:c r="AE191" s="14" t="str">
        <x:v>v1.4</x:v>
      </x:c>
      <x:c r="AF191" s="52" t="str">
        <x:v>2026-08-16</x:v>
      </x:c>
      <x:c r="AG191" s="52"/>
    </x:row>
    <x:row r="192" ht="42" customHeight="1">
      <x:c r="A192" s="14" t="str">
        <x:v>WOK-G-135</x:v>
      </x:c>
      <x:c r="B192" s="14" t="str">
        <x:v>SDG 7 – Energie</x:v>
      </x:c>
      <x:c r="C192" s="14" t="str">
        <x:v>7.2</x:v>
      </x:c>
      <x:c r="D192" s="14" t="str">
        <x:v>Transparenz/Herkunftsnachweise</x:v>
      </x:c>
      <x:c r="E192" s="14" t="str">
        <x:v>Transparenz/Herkunftsnachweise – Whistleblowing</x:v>
      </x:c>
      <x:c r="F192" s="14" t="str">
        <x:v>Wirksamkeits‑Score</x:v>
      </x:c>
      <x:c r="G192" s="14" t="str">
        <x:v>0–1</x:v>
      </x:c>
      <x:c r="H192" s="14" t="str">
        <x:v>higher_is_better</x:v>
      </x:c>
      <x:c r="I192" s="14" t="str">
        <x:v>R16</x:v>
      </x:c>
      <x:c r="J192" s="14" t="str">
        <x:v>≥0,9:+3; 0,75–0,89:+2; 0,6–0,74:0; 0,4–0,59:‑2; &lt;0,4:‑3</x:v>
      </x:c>
      <x:c r="K192" s="14" t="str">
        <x:v>Feste WÖk-Kalibrierung</x:v>
      </x:c>
      <x:c r="L192" s="14" t="str">
        <x:v>Arbeitskalibrierung – fachlich zu validieren</x:v>
      </x:c>
      <x:c r="M192" s="14" t="str">
        <x:v>WÖk-interne Klassenlogik</x:v>
      </x:c>
      <x:c r="N192" s="14" t="str">
        <x:v>Optional/Nein</x:v>
      </x:c>
      <x:c r="O192" s="14" t="str">
        <x:v>ESRS G1; GRI 205/207</x:v>
      </x:c>
      <x:c r="P192" s="14" t="str">
        <x:v>ESRS G1, GRI 205/207, OECD Anti‑Bribery</x:v>
      </x:c>
      <x:c r="Q192" s="14" t="str">
        <x:v>Mess-, Berichts- oder Managementrahmen; Schwellen sind grundsätzlich WÖk-Kalibrierungen</x:v>
      </x:c>
      <x:c r="R192" s="14" t="str">
        <x:v>Messgrundlage belegt; Schwellenkalibrierung offen</x:v>
      </x:c>
      <x:c r="S192" s="14" t="str">
        <x:v>EU-ESRS; GRI; OECD-AB</x:v>
      </x:c>
      <x:c r="T192" s="14" t="str">
        <x:v>D35 Stromerzeugung/Netze</x:v>
      </x:c>
      <x:c r="U192" s="14" t="str">
        <x:v>Legacy / nicht explizit versioniert</x:v>
      </x:c>
      <x:c r="V192" s="51" t="str"/>
      <x:c r="W192" s="14" t="str">
        <x:v>Migration auf NACE Rev. 2.1 erforderlich</x:v>
      </x:c>
      <x:c r="X192" s="14" t="str">
        <x:v>Organisation/Governance; konsolidierter Kreis und relevante Rechtseinheiten</x:v>
      </x:c>
      <x:c r="Y192" s="14" t="str">
        <x:v>Siehe Quelle: Definition gemäß Standard (ESRS/GRI/Taxonomie/ISO).</x:v>
      </x:c>
      <x:c r="Z192" s="14" t="str">
        <x:v>Primärdaten bevorzugt; Sekundärdaten nur transparent und versioniert; Methode und Systemgrenze dokumentieren</x:v>
      </x:c>
      <x:c r="AA192" s="14" t="str">
        <x:v>Limited Assurance; risikobasiert höhere Prüftiefe</x:v>
      </x:c>
      <x:c r="AB192" s="14" t="str">
        <x:v>Strukturell nutzbar; Schwellen fachlich zu validieren</x:v>
      </x:c>
      <x:c r="AC192" s="14" t="str">
        <x:v>Mittel</x:v>
      </x:c>
      <x:c r="AD192" s="14" t="str">
        <x:v>Vollständige fünfstufige numerische Regel.</x:v>
      </x:c>
      <x:c r="AE192" s="14" t="str">
        <x:v>v1.4</x:v>
      </x:c>
      <x:c r="AF192" s="52" t="str">
        <x:v>2026-08-16</x:v>
      </x:c>
      <x:c r="AG192" s="52"/>
    </x:row>
    <x:row r="193" ht="42" customHeight="1">
      <x:c r="A193" s="14" t="str">
        <x:v>WOK-G-136</x:v>
      </x:c>
      <x:c r="B193" s="14" t="str">
        <x:v>SDG 7 – Energie</x:v>
      </x:c>
      <x:c r="C193" s="14" t="str">
        <x:v>7.2</x:v>
      </x:c>
      <x:c r="D193" s="14" t="str">
        <x:v>Transparenz/Herkunftsnachweise</x:v>
      </x:c>
      <x:c r="E193" s="14" t="str">
        <x:v>Transparenz/Herkunftsnachweise – Steuertransparenz</x:v>
      </x:c>
      <x:c r="F193" s="14" t="str">
        <x:v>CbCR‑Offenlegung</x:v>
      </x:c>
      <x:c r="G193" s="14" t="str">
        <x:v>0–1</x:v>
      </x:c>
      <x:c r="H193" s="14" t="str">
        <x:v>higher_is_better</x:v>
      </x:c>
      <x:c r="I193" s="14" t="str">
        <x:v>R08</x:v>
      </x:c>
      <x:c r="J193" s="14" t="str">
        <x:v>vollständig:+3; teilweise:+2; minimal:0; schlecht:‑2</x:v>
      </x:c>
      <x:c r="K193" s="14" t="str">
        <x:v>Qualitativ</x:v>
      </x:c>
      <x:c r="L193" s="14" t="str">
        <x:v>Assurance und Kriterienkatalog erforderlich</x:v>
      </x:c>
      <x:c r="M193" s="14" t="str">
        <x:v>WÖk-interne Kategorien</x:v>
      </x:c>
      <x:c r="N193" s="14" t="str">
        <x:v>Optional/Nein</x:v>
      </x:c>
      <x:c r="O193" s="14" t="str">
        <x:v>ESRS G1; GRI 205/207</x:v>
      </x:c>
      <x:c r="P193" s="14" t="str">
        <x:v>ESRS G1, GRI 205/207, OECD Anti‑Bribery</x:v>
      </x:c>
      <x:c r="Q193" s="14" t="str">
        <x:v>Mess-, Berichts- oder Managementrahmen; Schwellen sind grundsätzlich WÖk-Kalibrierungen</x:v>
      </x:c>
      <x:c r="R193" s="14" t="str">
        <x:v>Messgrundlage belegt; Schwellenkalibrierung offen</x:v>
      </x:c>
      <x:c r="S193" s="14" t="str">
        <x:v>EU-ESRS; GRI; OECD-AB</x:v>
      </x:c>
      <x:c r="T193" s="14" t="str">
        <x:v>D35 Stromerzeugung/Netze</x:v>
      </x:c>
      <x:c r="U193" s="14" t="str">
        <x:v>Legacy / nicht explizit versioniert</x:v>
      </x:c>
      <x:c r="V193" s="51" t="str"/>
      <x:c r="W193" s="14" t="str">
        <x:v>Migration auf NACE Rev. 2.1 erforderlich</x:v>
      </x:c>
      <x:c r="X193" s="14" t="str">
        <x:v>Organisation/Governance; konsolidierter Kreis und relevante Rechtseinheiten</x:v>
      </x:c>
      <x:c r="Y193" s="14" t="str">
        <x:v>Siehe Quelle: Definition gemäß Standard (ESRS/GRI/Taxonomie/ISO).</x:v>
      </x:c>
      <x:c r="Z193" s="14" t="str">
        <x:v>Dokumentierter Kriterienkatalog; nachvollziehbare Evidenz; DQR A/B bevorzugt</x:v>
      </x:c>
      <x:c r="AA193" s="14" t="str">
        <x:v>Unabhängige Fachprüfung/Limited Assurance; bei roten Linien Reasonable Assurance</x:v>
      </x:c>
      <x:c r="AB193" s="14" t="str">
        <x:v>Prüfung/Parametrisierung erforderlich</x:v>
      </x:c>
      <x:c r="AC193" s="14" t="str">
        <x:v>Hoch</x:v>
      </x:c>
      <x:c r="AD193" s="14" t="str">
        <x:v>Die Kategorie −3 fehlt; Vollständigkeit und Wirksamkeit sind feldspezifisch zu definieren.</x:v>
      </x:c>
      <x:c r="AE193" s="14" t="str">
        <x:v>v1.4</x:v>
      </x:c>
      <x:c r="AF193" s="52" t="str">
        <x:v>2026-08-16</x:v>
      </x:c>
      <x:c r="AG193" s="52"/>
    </x:row>
    <x:row r="194" ht="42" customHeight="1">
      <x:c r="A194" s="14" t="str">
        <x:v>WOK-S-146</x:v>
      </x:c>
      <x:c r="B194" s="14" t="str">
        <x:v>SDG 8 – Arbeit &amp; Wachstum</x:v>
      </x:c>
      <x:c r="C194" s="14" t="str">
        <x:v>8.8</x:v>
      </x:c>
      <x:c r="D194" s="14" t="str">
        <x:v>LTIFR/Unfälle</x:v>
      </x:c>
      <x:c r="E194" s="14" t="str">
        <x:v>LTIFR/Unfälle – Living Wage</x:v>
      </x:c>
      <x:c r="F194" s="14" t="str">
        <x:v>Abdeckung Lebenslohn</x:v>
      </x:c>
      <x:c r="G194" s="14" t="str">
        <x:v>% Beschäftigte</x:v>
      </x:c>
      <x:c r="H194" s="14" t="str">
        <x:v>higher_is_better</x:v>
      </x:c>
      <x:c r="I194" s="14" t="str">
        <x:v>R27</x:v>
      </x:c>
      <x:c r="J194" s="14" t="str">
        <x:v>≥95:+3; 80–94:+2; 60–79:0; 40–59:‑2; &lt;40:‑3</x:v>
      </x:c>
      <x:c r="K194" s="14" t="str">
        <x:v>Feste WÖk-Kalibrierung</x:v>
      </x:c>
      <x:c r="L194" s="14" t="str">
        <x:v>Arbeitskalibrierung – fachlich zu validieren</x:v>
      </x:c>
      <x:c r="M194" s="14" t="str">
        <x:v>WÖk-interne Klassenlogik</x:v>
      </x:c>
      <x:c r="N194" s="14" t="str">
        <x:v>Optional/Nein</x:v>
      </x:c>
      <x:c r="O194" s="14" t="str">
        <x:v>ESRS S1; GRI 401/403/405/406</x:v>
      </x:c>
      <x:c r="P194" s="14" t="str">
        <x:v>ESRS S1, GRI 401/403/405/406, ILO</x:v>
      </x:c>
      <x:c r="Q194" s="14" t="str">
        <x:v>Mess-, Berichts- oder Managementrahmen; Schwellen sind grundsätzlich WÖk-Kalibrierungen</x:v>
      </x:c>
      <x:c r="R194" s="14" t="str">
        <x:v>Messgrundlage belegt; Schwellenkalibrierung offen</x:v>
      </x:c>
      <x:c r="S194" s="14" t="str">
        <x:v>EU-ESRS; GRI; ISO-45001; ILO-LW; ILO-CORE</x:v>
      </x:c>
      <x:c r="T194" s="14" t="str">
        <x:v>C20 Chemie; C24 Stahl; C29 Fahrzeuge</x:v>
      </x:c>
      <x:c r="U194" s="14" t="str">
        <x:v>Legacy / nicht explizit versioniert</x:v>
      </x:c>
      <x:c r="V194" s="51" t="str"/>
      <x:c r="W194" s="14" t="str">
        <x:v>Migration auf NACE Rev. 2.1 erforderlich</x:v>
      </x:c>
      <x:c r="X194" s="14" t="str">
        <x:v>Eigene Belegschaft/Organisation; FTE, Beschäftigtengruppe und Zeitraum</x:v>
      </x:c>
      <x:c r="Y194" s="14" t="str">
        <x:v>Anteil Beschäftigte ≥ Living Wage (zertifizierte Methodik).</x:v>
      </x:c>
      <x:c r="Z194" s="14" t="str">
        <x:v>Primärdaten bevorzugt; Sekundärdaten nur transparent und versioniert; Methode und Systemgrenze dokumentieren</x:v>
      </x:c>
      <x:c r="AA194" s="14" t="str">
        <x:v>Limited Assurance; risikobasiert höhere Prüftiefe</x:v>
      </x:c>
      <x:c r="AB194" s="14" t="str">
        <x:v>Strukturell nutzbar; Schwellen fachlich zu validieren</x:v>
      </x:c>
      <x:c r="AC194" s="14" t="str">
        <x:v>Mittel</x:v>
      </x:c>
      <x:c r="AD194" s="14" t="str">
        <x:v>Vollständige fünfstufige numerische Regel.</x:v>
      </x:c>
      <x:c r="AE194" s="14" t="str">
        <x:v>v1.4</x:v>
      </x:c>
      <x:c r="AF194" s="52" t="str">
        <x:v>2026-08-16</x:v>
      </x:c>
      <x:c r="AG194" s="52"/>
    </x:row>
    <x:row r="195" ht="42" customHeight="1">
      <x:c r="A195" s="14" t="str">
        <x:v>WOK-S-147</x:v>
      </x:c>
      <x:c r="B195" s="14" t="str">
        <x:v>SDG 8 – Arbeit &amp; Wachstum</x:v>
      </x:c>
      <x:c r="C195" s="14" t="str">
        <x:v>8.8</x:v>
      </x:c>
      <x:c r="D195" s="14" t="str">
        <x:v>LTIFR/Unfälle</x:v>
      </x:c>
      <x:c r="E195" s="14" t="str">
        <x:v>LTIFR/Unfälle – Tarifbindung</x:v>
      </x:c>
      <x:c r="F195" s="14" t="str">
        <x:v>Beschäftigte unter Kollektivvertrag</x:v>
      </x:c>
      <x:c r="G195" s="14" t="str">
        <x:v>%</x:v>
      </x:c>
      <x:c r="H195" s="14" t="str">
        <x:v>higher_is_better</x:v>
      </x:c>
      <x:c r="I195" s="14" t="str">
        <x:v>R26</x:v>
      </x:c>
      <x:c r="J195" s="14" t="str">
        <x:v>≥90:+3; 70–89:+2; 50–69:0; 30–49:‑2; &lt;30:‑3</x:v>
      </x:c>
      <x:c r="K195" s="14" t="str">
        <x:v>Feste WÖk-Kalibrierung</x:v>
      </x:c>
      <x:c r="L195" s="14" t="str">
        <x:v>Arbeitskalibrierung – fachlich zu validieren</x:v>
      </x:c>
      <x:c r="M195" s="14" t="str">
        <x:v>WÖk-interne Klassenlogik</x:v>
      </x:c>
      <x:c r="N195" s="14" t="str">
        <x:v>Optional/Nein</x:v>
      </x:c>
      <x:c r="O195" s="14" t="str">
        <x:v>ESRS S1; GRI 401/403/405/406</x:v>
      </x:c>
      <x:c r="P195" s="14" t="str">
        <x:v>ESRS S1, GRI 401/403/405/406, ILO</x:v>
      </x:c>
      <x:c r="Q195" s="14" t="str">
        <x:v>Mess-, Berichts- oder Managementrahmen; Schwellen sind grundsätzlich WÖk-Kalibrierungen</x:v>
      </x:c>
      <x:c r="R195" s="14" t="str">
        <x:v>Messgrundlage belegt; Schwellenkalibrierung offen</x:v>
      </x:c>
      <x:c r="S195" s="14" t="str">
        <x:v>EU-ESRS; GRI; ISO-45001; ILO-LW; ILO-CORE</x:v>
      </x:c>
      <x:c r="T195" s="14" t="str">
        <x:v>C20 Chemie; C24 Stahl; C29 Fahrzeuge</x:v>
      </x:c>
      <x:c r="U195" s="14" t="str">
        <x:v>Legacy / nicht explizit versioniert</x:v>
      </x:c>
      <x:c r="V195" s="51" t="str"/>
      <x:c r="W195" s="14" t="str">
        <x:v>Migration auf NACE Rev. 2.1 erforderlich</x:v>
      </x:c>
      <x:c r="X195" s="14" t="str">
        <x:v>Eigene Belegschaft/Organisation; FTE, Beschäftigtengruppe und Zeitraum</x:v>
      </x:c>
      <x:c r="Y195" s="14" t="str">
        <x:v>LTIFR = Unfälle mit Ausfallzeit / 1 Mio. Std. (ILO/GRI 403).</x:v>
      </x:c>
      <x:c r="Z195" s="14" t="str">
        <x:v>Primärdaten bevorzugt; Sekundärdaten nur transparent und versioniert; Methode und Systemgrenze dokumentieren</x:v>
      </x:c>
      <x:c r="AA195" s="14" t="str">
        <x:v>Limited Assurance; risikobasiert höhere Prüftiefe</x:v>
      </x:c>
      <x:c r="AB195" s="14" t="str">
        <x:v>Strukturell nutzbar; Schwellen fachlich zu validieren</x:v>
      </x:c>
      <x:c r="AC195" s="14" t="str">
        <x:v>Mittel</x:v>
      </x:c>
      <x:c r="AD195" s="14" t="str">
        <x:v>Vollständige fünfstufige numerische Regel.</x:v>
      </x:c>
      <x:c r="AE195" s="14" t="str">
        <x:v>v1.4</x:v>
      </x:c>
      <x:c r="AF195" s="52" t="str">
        <x:v>2026-08-16</x:v>
      </x:c>
      <x:c r="AG195" s="52"/>
    </x:row>
    <x:row r="196" ht="42" customHeight="1">
      <x:c r="A196" s="14" t="str">
        <x:v>WOK-S-148</x:v>
      </x:c>
      <x:c r="B196" s="14" t="str">
        <x:v>SDG 8 – Arbeit &amp; Wachstum</x:v>
      </x:c>
      <x:c r="C196" s="14" t="str">
        <x:v>8.8</x:v>
      </x:c>
      <x:c r="D196" s="14" t="str">
        <x:v>LTIFR/Unfälle</x:v>
      </x:c>
      <x:c r="E196" s="14" t="str">
        <x:v>LTIFR/Unfälle – LTIFR</x:v>
      </x:c>
      <x:c r="F196" s="14" t="str">
        <x:v>Arbeitsunfälle pro Mio Stunden</x:v>
      </x:c>
      <x:c r="G196" s="14" t="str">
        <x:v>Unfälle/Mio Std.</x:v>
      </x:c>
      <x:c r="H196" s="14" t="str">
        <x:v>lower_is_better</x:v>
      </x:c>
      <x:c r="I196" s="14" t="str">
        <x:v>R02</x:v>
      </x:c>
      <x:c r="J196" s="14" t="str">
        <x:v>0:+3; ≤1:+2; ≤3:0; ≤5:‑2; &gt;5:‑3</x:v>
      </x:c>
      <x:c r="K196" s="14" t="str">
        <x:v>Feste WÖk-Kalibrierung</x:v>
      </x:c>
      <x:c r="L196" s="14" t="str">
        <x:v>Arbeitskalibrierung – fachlich zu validieren</x:v>
      </x:c>
      <x:c r="M196" s="14" t="str">
        <x:v>WÖk-interne Klassenlogik</x:v>
      </x:c>
      <x:c r="N196" s="14" t="str">
        <x:v>Optional/Nein</x:v>
      </x:c>
      <x:c r="O196" s="14" t="str">
        <x:v>ESRS S1; GRI 401/403/405/406</x:v>
      </x:c>
      <x:c r="P196" s="14" t="str">
        <x:v>ESRS S1, GRI 401/403/405/406, ILO</x:v>
      </x:c>
      <x:c r="Q196" s="14" t="str">
        <x:v>Mess-, Berichts- oder Managementrahmen; Schwellen sind grundsätzlich WÖk-Kalibrierungen</x:v>
      </x:c>
      <x:c r="R196" s="14" t="str">
        <x:v>Messgrundlage belegt; Schwellenkalibrierung offen</x:v>
      </x:c>
      <x:c r="S196" s="14" t="str">
        <x:v>EU-ESRS; GRI; ISO-45001; ILO-LW; ILO-CORE</x:v>
      </x:c>
      <x:c r="T196" s="14" t="str">
        <x:v>C20 Chemie; C24 Stahl; C29 Fahrzeuge</x:v>
      </x:c>
      <x:c r="U196" s="14" t="str">
        <x:v>Legacy / nicht explizit versioniert</x:v>
      </x:c>
      <x:c r="V196" s="51" t="str"/>
      <x:c r="W196" s="14" t="str">
        <x:v>Migration auf NACE Rev. 2.1 erforderlich</x:v>
      </x:c>
      <x:c r="X196" s="14" t="str">
        <x:v>Eigene Belegschaft/Organisation; FTE, Beschäftigtengruppe und Zeitraum</x:v>
      </x:c>
      <x:c r="Y196" s="14" t="str">
        <x:v>LTIFR = Unfälle mit Ausfallzeit / 1 Mio. Std. (ILO/GRI 403).</x:v>
      </x:c>
      <x:c r="Z196" s="14" t="str">
        <x:v>Primärdaten bevorzugt; Sekundärdaten nur transparent und versioniert; Methode und Systemgrenze dokumentieren</x:v>
      </x:c>
      <x:c r="AA196" s="14" t="str">
        <x:v>Limited Assurance; risikobasiert höhere Prüftiefe</x:v>
      </x:c>
      <x:c r="AB196" s="14" t="str">
        <x:v>Strukturell nutzbar; Schwellen fachlich zu validieren</x:v>
      </x:c>
      <x:c r="AC196" s="14" t="str">
        <x:v>Mittel</x:v>
      </x:c>
      <x:c r="AD196" s="14" t="str">
        <x:v>Vollständige fünfstufige numerische Regel.</x:v>
      </x:c>
      <x:c r="AE196" s="14" t="str">
        <x:v>v1.4</x:v>
      </x:c>
      <x:c r="AF196" s="52" t="str">
        <x:v>2026-08-16</x:v>
      </x:c>
      <x:c r="AG196" s="52"/>
    </x:row>
    <x:row r="197" ht="42" customHeight="1">
      <x:c r="A197" s="14" t="str">
        <x:v>WOK-S-149</x:v>
      </x:c>
      <x:c r="B197" s="14" t="str">
        <x:v>SDG 8 – Arbeit &amp; Wachstum</x:v>
      </x:c>
      <x:c r="C197" s="14" t="str">
        <x:v>8.7</x:v>
      </x:c>
      <x:c r="D197" s="14" t="str">
        <x:v>Kinder-/Zwangsarbeit Ausschluss</x:v>
      </x:c>
      <x:c r="E197" s="14" t="str">
        <x:v>Kinder-/Zwangsarbeit Ausschluss – Living Wage</x:v>
      </x:c>
      <x:c r="F197" s="14" t="str">
        <x:v>Abdeckung Lebenslohn</x:v>
      </x:c>
      <x:c r="G197" s="14" t="str">
        <x:v>% Beschäftigte</x:v>
      </x:c>
      <x:c r="H197" s="14" t="str">
        <x:v>higher_is_better</x:v>
      </x:c>
      <x:c r="I197" s="14" t="str">
        <x:v>R27</x:v>
      </x:c>
      <x:c r="J197" s="14" t="str">
        <x:v>≥95:+3; 80–94:+2; 60–79:0; 40–59:‑2; &lt;40:‑3</x:v>
      </x:c>
      <x:c r="K197" s="14" t="str">
        <x:v>Feste WÖk-Kalibrierung</x:v>
      </x:c>
      <x:c r="L197" s="14" t="str">
        <x:v>Arbeitskalibrierung – fachlich zu validieren</x:v>
      </x:c>
      <x:c r="M197" s="14" t="str">
        <x:v>WÖk-interne Klassenlogik</x:v>
      </x:c>
      <x:c r="N197" s="14" t="str">
        <x:v>Optional/Nein</x:v>
      </x:c>
      <x:c r="O197" s="14" t="str">
        <x:v>ESRS S1; GRI 401/403/405/406</x:v>
      </x:c>
      <x:c r="P197" s="14" t="str">
        <x:v>ESRS S1, GRI 401/403/405/406, ILO</x:v>
      </x:c>
      <x:c r="Q197" s="14" t="str">
        <x:v>Mess-, Berichts- oder Managementrahmen; Schwellen sind grundsätzlich WÖk-Kalibrierungen</x:v>
      </x:c>
      <x:c r="R197" s="14" t="str">
        <x:v>Messgrundlage belegt; Schwellenkalibrierung offen</x:v>
      </x:c>
      <x:c r="S197" s="14" t="str">
        <x:v>EU-ESRS; GRI; ISO-45001; ILO-LW; ILO-CORE</x:v>
      </x:c>
      <x:c r="T197" s="14" t="str">
        <x:v>C20 Chemie; C24 Stahl; C29 Fahrzeuge</x:v>
      </x:c>
      <x:c r="U197" s="14" t="str">
        <x:v>Legacy / nicht explizit versioniert</x:v>
      </x:c>
      <x:c r="V197" s="51" t="str"/>
      <x:c r="W197" s="14" t="str">
        <x:v>Migration auf NACE Rev. 2.1 erforderlich</x:v>
      </x:c>
      <x:c r="X197" s="14" t="str">
        <x:v>Eigene Belegschaft/Organisation; FTE, Beschäftigtengruppe und Zeitraum</x:v>
      </x:c>
      <x:c r="Y197" s="14" t="str">
        <x:v>Anteil Beschäftigte ≥ Living Wage (zertifizierte Methodik).</x:v>
      </x:c>
      <x:c r="Z197" s="14" t="str">
        <x:v>Primärdaten bevorzugt; Sekundärdaten nur transparent und versioniert; Methode und Systemgrenze dokumentieren</x:v>
      </x:c>
      <x:c r="AA197" s="14" t="str">
        <x:v>Limited Assurance; risikobasiert höhere Prüftiefe</x:v>
      </x:c>
      <x:c r="AB197" s="14" t="str">
        <x:v>Strukturell nutzbar; Schwellen fachlich zu validieren</x:v>
      </x:c>
      <x:c r="AC197" s="14" t="str">
        <x:v>Mittel</x:v>
      </x:c>
      <x:c r="AD197" s="14" t="str">
        <x:v>Vollständige fünfstufige numerische Regel.</x:v>
      </x:c>
      <x:c r="AE197" s="14" t="str">
        <x:v>v1.4</x:v>
      </x:c>
      <x:c r="AF197" s="52" t="str">
        <x:v>2026-08-16</x:v>
      </x:c>
      <x:c r="AG197" s="52"/>
    </x:row>
    <x:row r="198" ht="42" customHeight="1">
      <x:c r="A198" s="14" t="str">
        <x:v>WOK-S-150</x:v>
      </x:c>
      <x:c r="B198" s="14" t="str">
        <x:v>SDG 8 – Arbeit &amp; Wachstum</x:v>
      </x:c>
      <x:c r="C198" s="14" t="str">
        <x:v>8.7</x:v>
      </x:c>
      <x:c r="D198" s="14" t="str">
        <x:v>Kinder-/Zwangsarbeit Ausschluss</x:v>
      </x:c>
      <x:c r="E198" s="14" t="str">
        <x:v>Kinder-/Zwangsarbeit Ausschluss – Tarifbindung</x:v>
      </x:c>
      <x:c r="F198" s="14" t="str">
        <x:v>Beschäftigte unter Kollektivvertrag</x:v>
      </x:c>
      <x:c r="G198" s="14" t="str">
        <x:v>%</x:v>
      </x:c>
      <x:c r="H198" s="14" t="str">
        <x:v>higher_is_better</x:v>
      </x:c>
      <x:c r="I198" s="14" t="str">
        <x:v>R26</x:v>
      </x:c>
      <x:c r="J198" s="14" t="str">
        <x:v>≥90:+3; 70–89:+2; 50–69:0; 30–49:‑2; &lt;30:‑3</x:v>
      </x:c>
      <x:c r="K198" s="14" t="str">
        <x:v>Feste WÖk-Kalibrierung</x:v>
      </x:c>
      <x:c r="L198" s="14" t="str">
        <x:v>Arbeitskalibrierung – fachlich zu validieren</x:v>
      </x:c>
      <x:c r="M198" s="14" t="str">
        <x:v>WÖk-interne Klassenlogik</x:v>
      </x:c>
      <x:c r="N198" s="14" t="str">
        <x:v>Optional/Nein</x:v>
      </x:c>
      <x:c r="O198" s="14" t="str">
        <x:v>ESRS S1; GRI 401/403/405/406</x:v>
      </x:c>
      <x:c r="P198" s="14" t="str">
        <x:v>ESRS S1, GRI 401/403/405/406, ILO</x:v>
      </x:c>
      <x:c r="Q198" s="14" t="str">
        <x:v>Mess-, Berichts- oder Managementrahmen; Schwellen sind grundsätzlich WÖk-Kalibrierungen</x:v>
      </x:c>
      <x:c r="R198" s="14" t="str">
        <x:v>Messgrundlage belegt; Schwellenkalibrierung offen</x:v>
      </x:c>
      <x:c r="S198" s="14" t="str">
        <x:v>EU-ESRS; GRI; ISO-45001; ILO-LW; ILO-CORE</x:v>
      </x:c>
      <x:c r="T198" s="14" t="str">
        <x:v>C20 Chemie; C24 Stahl; C29 Fahrzeuge</x:v>
      </x:c>
      <x:c r="U198" s="14" t="str">
        <x:v>Legacy / nicht explizit versioniert</x:v>
      </x:c>
      <x:c r="V198" s="51" t="str"/>
      <x:c r="W198" s="14" t="str">
        <x:v>Migration auf NACE Rev. 2.1 erforderlich</x:v>
      </x:c>
      <x:c r="X198" s="14" t="str">
        <x:v>Eigene Belegschaft/Organisation; FTE, Beschäftigtengruppe und Zeitraum</x:v>
      </x:c>
      <x:c r="Y198" s="14" t="str">
        <x:v>Quote = Zähler / Nenner gemäß Quelle; in %.</x:v>
      </x:c>
      <x:c r="Z198" s="14" t="str">
        <x:v>Primärdaten bevorzugt; Sekundärdaten nur transparent und versioniert; Methode und Systemgrenze dokumentieren</x:v>
      </x:c>
      <x:c r="AA198" s="14" t="str">
        <x:v>Limited Assurance; risikobasiert höhere Prüftiefe</x:v>
      </x:c>
      <x:c r="AB198" s="14" t="str">
        <x:v>Strukturell nutzbar; Schwellen fachlich zu validieren</x:v>
      </x:c>
      <x:c r="AC198" s="14" t="str">
        <x:v>Mittel</x:v>
      </x:c>
      <x:c r="AD198" s="14" t="str">
        <x:v>Vollständige fünfstufige numerische Regel.</x:v>
      </x:c>
      <x:c r="AE198" s="14" t="str">
        <x:v>v1.4</x:v>
      </x:c>
      <x:c r="AF198" s="52" t="str">
        <x:v>2026-08-16</x:v>
      </x:c>
      <x:c r="AG198" s="52"/>
    </x:row>
    <x:row r="199" ht="42" customHeight="1">
      <x:c r="A199" s="14" t="str">
        <x:v>WOK-S-151</x:v>
      </x:c>
      <x:c r="B199" s="14" t="str">
        <x:v>SDG 8 – Arbeit &amp; Wachstum</x:v>
      </x:c>
      <x:c r="C199" s="14" t="str">
        <x:v>8.7</x:v>
      </x:c>
      <x:c r="D199" s="14" t="str">
        <x:v>Kinder-/Zwangsarbeit Ausschluss</x:v>
      </x:c>
      <x:c r="E199" s="14" t="str">
        <x:v>Kinder-/Zwangsarbeit Ausschluss – LTIFR</x:v>
      </x:c>
      <x:c r="F199" s="14" t="str">
        <x:v>Arbeitsunfälle pro Mio Stunden</x:v>
      </x:c>
      <x:c r="G199" s="14" t="str">
        <x:v>Unfälle/Mio Std.</x:v>
      </x:c>
      <x:c r="H199" s="14" t="str">
        <x:v>lower_is_better</x:v>
      </x:c>
      <x:c r="I199" s="14" t="str">
        <x:v>R02</x:v>
      </x:c>
      <x:c r="J199" s="14" t="str">
        <x:v>0:+3; ≤1:+2; ≤3:0; ≤5:‑2; &gt;5:‑3</x:v>
      </x:c>
      <x:c r="K199" s="14" t="str">
        <x:v>Feste WÖk-Kalibrierung</x:v>
      </x:c>
      <x:c r="L199" s="14" t="str">
        <x:v>Arbeitskalibrierung – fachlich zu validieren</x:v>
      </x:c>
      <x:c r="M199" s="14" t="str">
        <x:v>WÖk-interne Klassenlogik</x:v>
      </x:c>
      <x:c r="N199" s="14" t="str">
        <x:v>Optional/Nein</x:v>
      </x:c>
      <x:c r="O199" s="14" t="str">
        <x:v>ESRS S1; GRI 401/403/405/406</x:v>
      </x:c>
      <x:c r="P199" s="14" t="str">
        <x:v>ESRS S1, GRI 401/403/405/406, ILO</x:v>
      </x:c>
      <x:c r="Q199" s="14" t="str">
        <x:v>Mess-, Berichts- oder Managementrahmen; Schwellen sind grundsätzlich WÖk-Kalibrierungen</x:v>
      </x:c>
      <x:c r="R199" s="14" t="str">
        <x:v>Messgrundlage belegt; Schwellenkalibrierung offen</x:v>
      </x:c>
      <x:c r="S199" s="14" t="str">
        <x:v>EU-ESRS; GRI; ISO-45001; ILO-LW; ILO-CORE</x:v>
      </x:c>
      <x:c r="T199" s="14" t="str">
        <x:v>C20 Chemie; C24 Stahl; C29 Fahrzeuge</x:v>
      </x:c>
      <x:c r="U199" s="14" t="str">
        <x:v>Legacy / nicht explizit versioniert</x:v>
      </x:c>
      <x:c r="V199" s="51" t="str"/>
      <x:c r="W199" s="14" t="str">
        <x:v>Migration auf NACE Rev. 2.1 erforderlich</x:v>
      </x:c>
      <x:c r="X199" s="14" t="str">
        <x:v>Eigene Belegschaft/Organisation; FTE, Beschäftigtengruppe und Zeitraum</x:v>
      </x:c>
      <x:c r="Y199" s="14" t="str">
        <x:v>LTIFR = Unfälle mit Ausfallzeit / 1 Mio. Std. (ILO/GRI 403).</x:v>
      </x:c>
      <x:c r="Z199" s="14" t="str">
        <x:v>Primärdaten bevorzugt; Sekundärdaten nur transparent und versioniert; Methode und Systemgrenze dokumentieren</x:v>
      </x:c>
      <x:c r="AA199" s="14" t="str">
        <x:v>Limited Assurance; risikobasiert höhere Prüftiefe</x:v>
      </x:c>
      <x:c r="AB199" s="14" t="str">
        <x:v>Strukturell nutzbar; Schwellen fachlich zu validieren</x:v>
      </x:c>
      <x:c r="AC199" s="14" t="str">
        <x:v>Mittel</x:v>
      </x:c>
      <x:c r="AD199" s="14" t="str">
        <x:v>Vollständige fünfstufige numerische Regel.</x:v>
      </x:c>
      <x:c r="AE199" s="14" t="str">
        <x:v>v1.4</x:v>
      </x:c>
      <x:c r="AF199" s="52" t="str">
        <x:v>2026-08-16</x:v>
      </x:c>
      <x:c r="AG199" s="52"/>
    </x:row>
    <x:row r="200" ht="42" customHeight="1">
      <x:c r="A200" s="14" t="str">
        <x:v>WOK-S-152</x:v>
      </x:c>
      <x:c r="B200" s="14" t="str">
        <x:v>SDG 8 – Arbeit &amp; Wachstum</x:v>
      </x:c>
      <x:c r="C200" s="14" t="str">
        <x:v>8.5</x:v>
      </x:c>
      <x:c r="D200" s="14" t="str">
        <x:v>Tarifbindung</x:v>
      </x:c>
      <x:c r="E200" s="14" t="str">
        <x:v>Tarifbindung – Living Wage</x:v>
      </x:c>
      <x:c r="F200" s="14" t="str">
        <x:v>Abdeckung Lebenslohn</x:v>
      </x:c>
      <x:c r="G200" s="14" t="str">
        <x:v>% Beschäftigte</x:v>
      </x:c>
      <x:c r="H200" s="14" t="str">
        <x:v>higher_is_better</x:v>
      </x:c>
      <x:c r="I200" s="14" t="str">
        <x:v>R27</x:v>
      </x:c>
      <x:c r="J200" s="14" t="str">
        <x:v>≥95:+3; 80–94:+2; 60–79:0; 40–59:‑2; &lt;40:‑3</x:v>
      </x:c>
      <x:c r="K200" s="14" t="str">
        <x:v>Feste WÖk-Kalibrierung</x:v>
      </x:c>
      <x:c r="L200" s="14" t="str">
        <x:v>Arbeitskalibrierung – fachlich zu validieren</x:v>
      </x:c>
      <x:c r="M200" s="14" t="str">
        <x:v>WÖk-interne Klassenlogik</x:v>
      </x:c>
      <x:c r="N200" s="14" t="str">
        <x:v>Optional/Nein</x:v>
      </x:c>
      <x:c r="O200" s="14" t="str">
        <x:v>ESRS S1; GRI 401/403/405/406</x:v>
      </x:c>
      <x:c r="P200" s="14" t="str">
        <x:v>ESRS S1, GRI 401/403/405/406, ILO</x:v>
      </x:c>
      <x:c r="Q200" s="14" t="str">
        <x:v>Mess-, Berichts- oder Managementrahmen; Schwellen sind grundsätzlich WÖk-Kalibrierungen</x:v>
      </x:c>
      <x:c r="R200" s="14" t="str">
        <x:v>Messgrundlage belegt; Schwellenkalibrierung offen</x:v>
      </x:c>
      <x:c r="S200" s="14" t="str">
        <x:v>EU-ESRS; GRI; ISO-45001; ILO-LW; ILO-CORE</x:v>
      </x:c>
      <x:c r="T200" s="14" t="str">
        <x:v>G47 Handel; K Versicherungen; M72 F&amp;E</x:v>
      </x:c>
      <x:c r="U200" s="14" t="str">
        <x:v>Legacy / nicht explizit versioniert</x:v>
      </x:c>
      <x:c r="V200" s="51" t="str"/>
      <x:c r="W200" s="14" t="str">
        <x:v>Migration auf NACE Rev. 2.1 erforderlich</x:v>
      </x:c>
      <x:c r="X200" s="14" t="str">
        <x:v>Eigene Belegschaft/Organisation; FTE, Beschäftigtengruppe und Zeitraum</x:v>
      </x:c>
      <x:c r="Y200" s="14" t="str">
        <x:v>Anteil Beschäftigte ≥ Living Wage (zertifizierte Methodik).</x:v>
      </x:c>
      <x:c r="Z200" s="14" t="str">
        <x:v>Primärdaten bevorzugt; Sekundärdaten nur transparent und versioniert; Methode und Systemgrenze dokumentieren</x:v>
      </x:c>
      <x:c r="AA200" s="14" t="str">
        <x:v>Limited Assurance; risikobasiert höhere Prüftiefe</x:v>
      </x:c>
      <x:c r="AB200" s="14" t="str">
        <x:v>Strukturell nutzbar; Schwellen fachlich zu validieren</x:v>
      </x:c>
      <x:c r="AC200" s="14" t="str">
        <x:v>Mittel</x:v>
      </x:c>
      <x:c r="AD200" s="14" t="str">
        <x:v>Vollständige fünfstufige numerische Regel.</x:v>
      </x:c>
      <x:c r="AE200" s="14" t="str">
        <x:v>v1.4</x:v>
      </x:c>
      <x:c r="AF200" s="52" t="str">
        <x:v>2026-08-16</x:v>
      </x:c>
      <x:c r="AG200" s="52"/>
    </x:row>
    <x:row r="201" ht="42" customHeight="1">
      <x:c r="A201" s="14" t="str">
        <x:v>WOK-S-153</x:v>
      </x:c>
      <x:c r="B201" s="14" t="str">
        <x:v>SDG 8 – Arbeit &amp; Wachstum</x:v>
      </x:c>
      <x:c r="C201" s="14" t="str">
        <x:v>8.5</x:v>
      </x:c>
      <x:c r="D201" s="14" t="str">
        <x:v>Tarifbindung</x:v>
      </x:c>
      <x:c r="E201" s="14" t="str">
        <x:v>Tarifbindung – Tarifbindung</x:v>
      </x:c>
      <x:c r="F201" s="14" t="str">
        <x:v>Beschäftigte unter Kollektivvertrag</x:v>
      </x:c>
      <x:c r="G201" s="14" t="str">
        <x:v>%</x:v>
      </x:c>
      <x:c r="H201" s="14" t="str">
        <x:v>higher_is_better</x:v>
      </x:c>
      <x:c r="I201" s="14" t="str">
        <x:v>R26</x:v>
      </x:c>
      <x:c r="J201" s="14" t="str">
        <x:v>≥90:+3; 70–89:+2; 50–69:0; 30–49:‑2; &lt;30:‑3</x:v>
      </x:c>
      <x:c r="K201" s="14" t="str">
        <x:v>Feste WÖk-Kalibrierung</x:v>
      </x:c>
      <x:c r="L201" s="14" t="str">
        <x:v>Arbeitskalibrierung – fachlich zu validieren</x:v>
      </x:c>
      <x:c r="M201" s="14" t="str">
        <x:v>WÖk-interne Klassenlogik</x:v>
      </x:c>
      <x:c r="N201" s="14" t="str">
        <x:v>Optional/Nein</x:v>
      </x:c>
      <x:c r="O201" s="14" t="str">
        <x:v>ESRS S1; GRI 401/403/405/406</x:v>
      </x:c>
      <x:c r="P201" s="14" t="str">
        <x:v>ESRS S1, GRI 401/403/405/406, ILO</x:v>
      </x:c>
      <x:c r="Q201" s="14" t="str">
        <x:v>Mess-, Berichts- oder Managementrahmen; Schwellen sind grundsätzlich WÖk-Kalibrierungen</x:v>
      </x:c>
      <x:c r="R201" s="14" t="str">
        <x:v>Messgrundlage belegt; Schwellenkalibrierung offen</x:v>
      </x:c>
      <x:c r="S201" s="14" t="str">
        <x:v>EU-ESRS; GRI; ISO-45001; ILO-LW; ILO-CORE</x:v>
      </x:c>
      <x:c r="T201" s="14" t="str">
        <x:v>G47 Handel; K Versicherungen; M72 F&amp;E</x:v>
      </x:c>
      <x:c r="U201" s="14" t="str">
        <x:v>Legacy / nicht explizit versioniert</x:v>
      </x:c>
      <x:c r="V201" s="51" t="str"/>
      <x:c r="W201" s="14" t="str">
        <x:v>Migration auf NACE Rev. 2.1 erforderlich</x:v>
      </x:c>
      <x:c r="X201" s="14" t="str">
        <x:v>Eigene Belegschaft/Organisation; FTE, Beschäftigtengruppe und Zeitraum</x:v>
      </x:c>
      <x:c r="Y201" s="14" t="str">
        <x:v>Quote = Zähler / Nenner gemäß Quelle; in %.</x:v>
      </x:c>
      <x:c r="Z201" s="14" t="str">
        <x:v>Primärdaten bevorzugt; Sekundärdaten nur transparent und versioniert; Methode und Systemgrenze dokumentieren</x:v>
      </x:c>
      <x:c r="AA201" s="14" t="str">
        <x:v>Limited Assurance; risikobasiert höhere Prüftiefe</x:v>
      </x:c>
      <x:c r="AB201" s="14" t="str">
        <x:v>Strukturell nutzbar; Schwellen fachlich zu validieren</x:v>
      </x:c>
      <x:c r="AC201" s="14" t="str">
        <x:v>Mittel</x:v>
      </x:c>
      <x:c r="AD201" s="14" t="str">
        <x:v>Vollständige fünfstufige numerische Regel.</x:v>
      </x:c>
      <x:c r="AE201" s="14" t="str">
        <x:v>v1.4</x:v>
      </x:c>
      <x:c r="AF201" s="52" t="str">
        <x:v>2026-08-16</x:v>
      </x:c>
      <x:c r="AG201" s="52"/>
    </x:row>
    <x:row r="202" ht="42" customHeight="1">
      <x:c r="A202" s="14" t="str">
        <x:v>WOK-S-154</x:v>
      </x:c>
      <x:c r="B202" s="14" t="str">
        <x:v>SDG 8 – Arbeit &amp; Wachstum</x:v>
      </x:c>
      <x:c r="C202" s="14" t="str">
        <x:v>8.5</x:v>
      </x:c>
      <x:c r="D202" s="14" t="str">
        <x:v>Tarifbindung</x:v>
      </x:c>
      <x:c r="E202" s="14" t="str">
        <x:v>Tarifbindung – LTIFR</x:v>
      </x:c>
      <x:c r="F202" s="14" t="str">
        <x:v>Arbeitsunfälle pro Mio Stunden</x:v>
      </x:c>
      <x:c r="G202" s="14" t="str">
        <x:v>Unfälle/Mio Std.</x:v>
      </x:c>
      <x:c r="H202" s="14" t="str">
        <x:v>lower_is_better</x:v>
      </x:c>
      <x:c r="I202" s="14" t="str">
        <x:v>R02</x:v>
      </x:c>
      <x:c r="J202" s="14" t="str">
        <x:v>0:+3; ≤1:+2; ≤3:0; ≤5:‑2; &gt;5:‑3</x:v>
      </x:c>
      <x:c r="K202" s="14" t="str">
        <x:v>Feste WÖk-Kalibrierung</x:v>
      </x:c>
      <x:c r="L202" s="14" t="str">
        <x:v>Arbeitskalibrierung – fachlich zu validieren</x:v>
      </x:c>
      <x:c r="M202" s="14" t="str">
        <x:v>WÖk-interne Klassenlogik</x:v>
      </x:c>
      <x:c r="N202" s="14" t="str">
        <x:v>Optional/Nein</x:v>
      </x:c>
      <x:c r="O202" s="14" t="str">
        <x:v>ESRS S1; GRI 401/403/405/406</x:v>
      </x:c>
      <x:c r="P202" s="14" t="str">
        <x:v>ESRS S1, GRI 401/403/405/406, ILO</x:v>
      </x:c>
      <x:c r="Q202" s="14" t="str">
        <x:v>Mess-, Berichts- oder Managementrahmen; Schwellen sind grundsätzlich WÖk-Kalibrierungen</x:v>
      </x:c>
      <x:c r="R202" s="14" t="str">
        <x:v>Messgrundlage belegt; Schwellenkalibrierung offen</x:v>
      </x:c>
      <x:c r="S202" s="14" t="str">
        <x:v>EU-ESRS; GRI; ISO-45001; ILO-LW; ILO-CORE</x:v>
      </x:c>
      <x:c r="T202" s="14" t="str">
        <x:v>G47 Handel; K Versicherungen; M72 F&amp;E</x:v>
      </x:c>
      <x:c r="U202" s="14" t="str">
        <x:v>Legacy / nicht explizit versioniert</x:v>
      </x:c>
      <x:c r="V202" s="51" t="str"/>
      <x:c r="W202" s="14" t="str">
        <x:v>Migration auf NACE Rev. 2.1 erforderlich</x:v>
      </x:c>
      <x:c r="X202" s="14" t="str">
        <x:v>Eigene Belegschaft/Organisation; FTE, Beschäftigtengruppe und Zeitraum</x:v>
      </x:c>
      <x:c r="Y202" s="14" t="str">
        <x:v>LTIFR = Unfälle mit Ausfallzeit / 1 Mio. Std. (ILO/GRI 403).</x:v>
      </x:c>
      <x:c r="Z202" s="14" t="str">
        <x:v>Primärdaten bevorzugt; Sekundärdaten nur transparent und versioniert; Methode und Systemgrenze dokumentieren</x:v>
      </x:c>
      <x:c r="AA202" s="14" t="str">
        <x:v>Limited Assurance; risikobasiert höhere Prüftiefe</x:v>
      </x:c>
      <x:c r="AB202" s="14" t="str">
        <x:v>Strukturell nutzbar; Schwellen fachlich zu validieren</x:v>
      </x:c>
      <x:c r="AC202" s="14" t="str">
        <x:v>Mittel</x:v>
      </x:c>
      <x:c r="AD202" s="14" t="str">
        <x:v>Vollständige fünfstufige numerische Regel.</x:v>
      </x:c>
      <x:c r="AE202" s="14" t="str">
        <x:v>v1.4</x:v>
      </x:c>
      <x:c r="AF202" s="52" t="str">
        <x:v>2026-08-16</x:v>
      </x:c>
      <x:c r="AG202" s="52"/>
    </x:row>
    <x:row r="203" ht="42" customHeight="1">
      <x:c r="A203" s="14" t="str">
        <x:v>WOK-G-137</x:v>
      </x:c>
      <x:c r="B203" s="14" t="str">
        <x:v>SDG 8 – Arbeit &amp; Wachstum</x:v>
      </x:c>
      <x:c r="C203" s="14" t="str">
        <x:v>8.5</x:v>
      </x:c>
      <x:c r="D203" s="14" t="str">
        <x:v>Faire Löhne &amp; Pay Ratio</x:v>
      </x:c>
      <x:c r="E203" s="14" t="str">
        <x:v>Faire Löhne &amp; Pay Ratio – Antikorruption</x:v>
      </x:c>
      <x:c r="F203" s="14" t="str">
        <x:v>Bestätigte Fälle/1.000 FTE</x:v>
      </x:c>
      <x:c r="G203" s="14" t="str">
        <x:v>Fälle/1.000 FTE</x:v>
      </x:c>
      <x:c r="H203" s="14" t="str">
        <x:v>lower_is_better</x:v>
      </x:c>
      <x:c r="I203" s="14" t="str">
        <x:v>R01</x:v>
      </x:c>
      <x:c r="J203" s="14" t="str">
        <x:v>0:+3; ≤0,2:+2; ≤0,5:0; ≤1:‑2; &gt;1:‑3</x:v>
      </x:c>
      <x:c r="K203" s="14" t="str">
        <x:v>Feste WÖk-Kalibrierung</x:v>
      </x:c>
      <x:c r="L203" s="14" t="str">
        <x:v>Arbeitskalibrierung – fachlich zu validieren</x:v>
      </x:c>
      <x:c r="M203" s="14" t="str">
        <x:v>WÖk-interne Klassenlogik</x:v>
      </x:c>
      <x:c r="N203" s="14" t="str">
        <x:v>Optional/Nein</x:v>
      </x:c>
      <x:c r="O203" s="14" t="str">
        <x:v>ESRS G1; GRI 205/207</x:v>
      </x:c>
      <x:c r="P203" s="14" t="str">
        <x:v>ESRS G1, GRI 205/207, OECD Anti‑Bribery</x:v>
      </x:c>
      <x:c r="Q203" s="14" t="str">
        <x:v>Mess-, Berichts- oder Managementrahmen; Schwellen sind grundsätzlich WÖk-Kalibrierungen</x:v>
      </x:c>
      <x:c r="R203" s="14" t="str">
        <x:v>Messgrundlage belegt; Schwellenkalibrierung offen</x:v>
      </x:c>
      <x:c r="S203" s="14" t="str">
        <x:v>EU-ESRS; GRI; OECD-AB</x:v>
      </x:c>
      <x:c r="T203" s="14" t="str">
        <x:v>G47 Handel; K Versicherungen; M72 F&amp;E</x:v>
      </x:c>
      <x:c r="U203" s="14" t="str">
        <x:v>Legacy / nicht explizit versioniert</x:v>
      </x:c>
      <x:c r="V203" s="51" t="str"/>
      <x:c r="W203" s="14" t="str">
        <x:v>Migration auf NACE Rev. 2.1 erforderlich</x:v>
      </x:c>
      <x:c r="X203" s="14" t="str">
        <x:v>Organisation/Governance; konsolidierter Kreis und relevante Rechtseinheiten</x:v>
      </x:c>
      <x:c r="Y203" s="14" t="str">
        <x:v>Siehe Quelle: Definition gemäß Standard (ESRS/GRI/Taxonomie/ISO).</x:v>
      </x:c>
      <x:c r="Z203" s="14" t="str">
        <x:v>Primärdaten bevorzugt; Sekundärdaten nur transparent und versioniert; Methode und Systemgrenze dokumentieren</x:v>
      </x:c>
      <x:c r="AA203" s="14" t="str">
        <x:v>Limited Assurance; risikobasiert höhere Prüftiefe</x:v>
      </x:c>
      <x:c r="AB203" s="14" t="str">
        <x:v>Strukturell nutzbar; Schwellen fachlich zu validieren</x:v>
      </x:c>
      <x:c r="AC203" s="14" t="str">
        <x:v>Mittel</x:v>
      </x:c>
      <x:c r="AD203" s="14" t="str">
        <x:v>Vollständige fünfstufige numerische Regel.</x:v>
      </x:c>
      <x:c r="AE203" s="14" t="str">
        <x:v>v1.4</x:v>
      </x:c>
      <x:c r="AF203" s="52" t="str">
        <x:v>2026-08-16</x:v>
      </x:c>
      <x:c r="AG203" s="52"/>
    </x:row>
    <x:row r="204" ht="42" customHeight="1">
      <x:c r="A204" s="14" t="str">
        <x:v>WOK-G-138</x:v>
      </x:c>
      <x:c r="B204" s="14" t="str">
        <x:v>SDG 8 – Arbeit &amp; Wachstum</x:v>
      </x:c>
      <x:c r="C204" s="14" t="str">
        <x:v>8.5</x:v>
      </x:c>
      <x:c r="D204" s="14" t="str">
        <x:v>Faire Löhne &amp; Pay Ratio</x:v>
      </x:c>
      <x:c r="E204" s="14" t="str">
        <x:v>Faire Löhne &amp; Pay Ratio – Whistleblowing</x:v>
      </x:c>
      <x:c r="F204" s="14" t="str">
        <x:v>Wirksamkeits‑Score</x:v>
      </x:c>
      <x:c r="G204" s="14" t="str">
        <x:v>0–1</x:v>
      </x:c>
      <x:c r="H204" s="14" t="str">
        <x:v>higher_is_better</x:v>
      </x:c>
      <x:c r="I204" s="14" t="str">
        <x:v>R16</x:v>
      </x:c>
      <x:c r="J204" s="14" t="str">
        <x:v>≥0,9:+3; 0,75–0,89:+2; 0,6–0,74:0; 0,4–0,59:‑2; &lt;0,4:‑3</x:v>
      </x:c>
      <x:c r="K204" s="14" t="str">
        <x:v>Feste WÖk-Kalibrierung</x:v>
      </x:c>
      <x:c r="L204" s="14" t="str">
        <x:v>Arbeitskalibrierung – fachlich zu validieren</x:v>
      </x:c>
      <x:c r="M204" s="14" t="str">
        <x:v>WÖk-interne Klassenlogik</x:v>
      </x:c>
      <x:c r="N204" s="14" t="str">
        <x:v>Optional/Nein</x:v>
      </x:c>
      <x:c r="O204" s="14" t="str">
        <x:v>ESRS G1; GRI 205/207</x:v>
      </x:c>
      <x:c r="P204" s="14" t="str">
        <x:v>ESRS G1, GRI 205/207, OECD Anti‑Bribery</x:v>
      </x:c>
      <x:c r="Q204" s="14" t="str">
        <x:v>Mess-, Berichts- oder Managementrahmen; Schwellen sind grundsätzlich WÖk-Kalibrierungen</x:v>
      </x:c>
      <x:c r="R204" s="14" t="str">
        <x:v>Messgrundlage belegt; Schwellenkalibrierung offen</x:v>
      </x:c>
      <x:c r="S204" s="14" t="str">
        <x:v>EU-ESRS; GRI; OECD-AB</x:v>
      </x:c>
      <x:c r="T204" s="14" t="str">
        <x:v>G47 Handel; K Versicherungen; M72 F&amp;E</x:v>
      </x:c>
      <x:c r="U204" s="14" t="str">
        <x:v>Legacy / nicht explizit versioniert</x:v>
      </x:c>
      <x:c r="V204" s="51" t="str"/>
      <x:c r="W204" s="14" t="str">
        <x:v>Migration auf NACE Rev. 2.1 erforderlich</x:v>
      </x:c>
      <x:c r="X204" s="14" t="str">
        <x:v>Organisation/Governance; konsolidierter Kreis und relevante Rechtseinheiten</x:v>
      </x:c>
      <x:c r="Y204" s="14" t="str">
        <x:v>Siehe Quelle: Definition gemäß Standard (ESRS/GRI/Taxonomie/ISO).</x:v>
      </x:c>
      <x:c r="Z204" s="14" t="str">
        <x:v>Primärdaten bevorzugt; Sekundärdaten nur transparent und versioniert; Methode und Systemgrenze dokumentieren</x:v>
      </x:c>
      <x:c r="AA204" s="14" t="str">
        <x:v>Limited Assurance; risikobasiert höhere Prüftiefe</x:v>
      </x:c>
      <x:c r="AB204" s="14" t="str">
        <x:v>Strukturell nutzbar; Schwellen fachlich zu validieren</x:v>
      </x:c>
      <x:c r="AC204" s="14" t="str">
        <x:v>Mittel</x:v>
      </x:c>
      <x:c r="AD204" s="14" t="str">
        <x:v>Vollständige fünfstufige numerische Regel.</x:v>
      </x:c>
      <x:c r="AE204" s="14" t="str">
        <x:v>v1.4</x:v>
      </x:c>
      <x:c r="AF204" s="52" t="str">
        <x:v>2026-08-16</x:v>
      </x:c>
      <x:c r="AG204" s="52"/>
    </x:row>
    <x:row r="205" ht="42" customHeight="1">
      <x:c r="A205" s="14" t="str">
        <x:v>WOK-G-139</x:v>
      </x:c>
      <x:c r="B205" s="14" t="str">
        <x:v>SDG 8 – Arbeit &amp; Wachstum</x:v>
      </x:c>
      <x:c r="C205" s="14" t="str">
        <x:v>8.5</x:v>
      </x:c>
      <x:c r="D205" s="14" t="str">
        <x:v>Faire Löhne &amp; Pay Ratio</x:v>
      </x:c>
      <x:c r="E205" s="14" t="str">
        <x:v>Faire Löhne &amp; Pay Ratio – Steuertransparenz</x:v>
      </x:c>
      <x:c r="F205" s="14" t="str">
        <x:v>CbCR‑Offenlegung</x:v>
      </x:c>
      <x:c r="G205" s="14" t="str">
        <x:v>0–1</x:v>
      </x:c>
      <x:c r="H205" s="14" t="str">
        <x:v>higher_is_better</x:v>
      </x:c>
      <x:c r="I205" s="14" t="str">
        <x:v>R08</x:v>
      </x:c>
      <x:c r="J205" s="14" t="str">
        <x:v>vollständig:+3; teilweise:+2; minimal:0; schlecht:‑2</x:v>
      </x:c>
      <x:c r="K205" s="14" t="str">
        <x:v>Qualitativ</x:v>
      </x:c>
      <x:c r="L205" s="14" t="str">
        <x:v>Assurance und Kriterienkatalog erforderlich</x:v>
      </x:c>
      <x:c r="M205" s="14" t="str">
        <x:v>WÖk-interne Kategorien</x:v>
      </x:c>
      <x:c r="N205" s="14" t="str">
        <x:v>Optional/Nein</x:v>
      </x:c>
      <x:c r="O205" s="14" t="str">
        <x:v>ESRS G1; GRI 205/207</x:v>
      </x:c>
      <x:c r="P205" s="14" t="str">
        <x:v>ESRS G1, GRI 205/207, OECD Anti‑Bribery</x:v>
      </x:c>
      <x:c r="Q205" s="14" t="str">
        <x:v>Mess-, Berichts- oder Managementrahmen; Schwellen sind grundsätzlich WÖk-Kalibrierungen</x:v>
      </x:c>
      <x:c r="R205" s="14" t="str">
        <x:v>Messgrundlage belegt; Schwellenkalibrierung offen</x:v>
      </x:c>
      <x:c r="S205" s="14" t="str">
        <x:v>EU-ESRS; GRI; OECD-AB</x:v>
      </x:c>
      <x:c r="T205" s="14" t="str">
        <x:v>G47 Handel; K Versicherungen; M72 F&amp;E</x:v>
      </x:c>
      <x:c r="U205" s="14" t="str">
        <x:v>Legacy / nicht explizit versioniert</x:v>
      </x:c>
      <x:c r="V205" s="51" t="str"/>
      <x:c r="W205" s="14" t="str">
        <x:v>Migration auf NACE Rev. 2.1 erforderlich</x:v>
      </x:c>
      <x:c r="X205" s="14" t="str">
        <x:v>Organisation/Governance; konsolidierter Kreis und relevante Rechtseinheiten</x:v>
      </x:c>
      <x:c r="Y205" s="14" t="str">
        <x:v>Siehe Quelle: Definition gemäß Standard (ESRS/GRI/Taxonomie/ISO).</x:v>
      </x:c>
      <x:c r="Z205" s="14" t="str">
        <x:v>Dokumentierter Kriterienkatalog; nachvollziehbare Evidenz; DQR A/B bevorzugt</x:v>
      </x:c>
      <x:c r="AA205" s="14" t="str">
        <x:v>Unabhängige Fachprüfung/Limited Assurance; bei roten Linien Reasonable Assurance</x:v>
      </x:c>
      <x:c r="AB205" s="14" t="str">
        <x:v>Prüfung/Parametrisierung erforderlich</x:v>
      </x:c>
      <x:c r="AC205" s="14" t="str">
        <x:v>Hoch</x:v>
      </x:c>
      <x:c r="AD205" s="14" t="str">
        <x:v>Die Kategorie −3 fehlt; Vollständigkeit und Wirksamkeit sind feldspezifisch zu definieren.</x:v>
      </x:c>
      <x:c r="AE205" s="14" t="str">
        <x:v>v1.4</x:v>
      </x:c>
      <x:c r="AF205" s="52" t="str">
        <x:v>2026-08-16</x:v>
      </x:c>
      <x:c r="AG205" s="52"/>
    </x:row>
    <x:row r="206" ht="42" customHeight="1">
      <x:c r="A206" s="14" t="str">
        <x:v>WOK-SC-116</x:v>
      </x:c>
      <x:c r="B206" s="14" t="str">
        <x:v>SDG 8 – Arbeit &amp; Wachstum</x:v>
      </x:c>
      <x:c r="C206" s="14" t="str">
        <x:v>8.7</x:v>
      </x:c>
      <x:c r="D206" s="14" t="str">
        <x:v>Lieferkette – Arbeitsrechte</x:v>
      </x:c>
      <x:c r="E206" s="14" t="str">
        <x:v>Lieferkette – Arbeitsrechte – ESG‑Spend‑Coverage</x:v>
      </x:c>
      <x:c r="F206" s="14" t="str">
        <x:v>Anteil verifizierter ESG‑Daten am Spend</x:v>
      </x:c>
      <x:c r="G206" s="14" t="str">
        <x:v>%</x:v>
      </x:c>
      <x:c r="H206" s="14" t="str">
        <x:v>higher_is_better</x:v>
      </x:c>
      <x:c r="I206" s="14" t="str">
        <x:v>R26</x:v>
      </x:c>
      <x:c r="J206" s="14" t="str">
        <x:v>≥90:+3; 70–89:+2; 50–69:0; 30–49:‑2; &lt;30:‑3</x:v>
      </x:c>
      <x:c r="K206" s="14" t="str">
        <x:v>Feste WÖk-Kalibrierung</x:v>
      </x:c>
      <x:c r="L206" s="14" t="str">
        <x:v>Arbeitskalibrierung – fachlich zu validieren</x:v>
      </x:c>
      <x:c r="M206" s="14" t="str">
        <x:v>WÖk-interne Klassenlogik</x:v>
      </x:c>
      <x:c r="N206" s="14" t="str">
        <x:v>Optional/Nein</x:v>
      </x:c>
      <x:c r="O206" s="14" t="str">
        <x:v>ESRS S2; GRI 308/414/408/409</x:v>
      </x:c>
      <x:c r="P206" s="14" t="str">
        <x:v>ESRS S1, GRI 401/403/405/406, ILO</x:v>
      </x:c>
      <x:c r="Q206" s="14" t="str">
        <x:v>Mess-, Berichts- oder Managementrahmen; Schwellen sind grundsätzlich WÖk-Kalibrierungen</x:v>
      </x:c>
      <x:c r="R206" s="14" t="str">
        <x:v>Messgrundlage belegt; Schwellenkalibrierung offen</x:v>
      </x:c>
      <x:c r="S206" s="14" t="str">
        <x:v>EU-ESRS; GRI; OECD-DD; ILO-CORE</x:v>
      </x:c>
      <x:c r="T206" s="14" t="str">
        <x:v>C20 Chemie; C24 Stahl; C29 Fahrzeuge</x:v>
      </x:c>
      <x:c r="U206" s="14" t="str">
        <x:v>Legacy / nicht explizit versioniert</x:v>
      </x:c>
      <x:c r="V206" s="51" t="str"/>
      <x:c r="W206" s="14" t="str">
        <x:v>Migration auf NACE Rev. 2.1 erforderlich</x:v>
      </x:c>
      <x:c r="X206" s="14" t="str">
        <x:v>Vorgelagerte Lieferkette; relevante Tier-Stufen und Beschaffungsvolumen</x:v>
      </x:c>
      <x:c r="Y206" s="14" t="str">
        <x:v>Quote = Zähler / Nenner gemäß Quelle; in %.</x:v>
      </x:c>
      <x:c r="Z206" s="14" t="str">
        <x:v>Primärdaten bevorzugt; Sekundärdaten nur transparent und versioniert; Methode und Systemgrenze dokumentieren</x:v>
      </x:c>
      <x:c r="AA206" s="14" t="str">
        <x:v>Limited Assurance; risikobasiert höhere Prüftiefe</x:v>
      </x:c>
      <x:c r="AB206" s="14" t="str">
        <x:v>Strukturell nutzbar; Schwellen fachlich zu validieren</x:v>
      </x:c>
      <x:c r="AC206" s="14" t="str">
        <x:v>Mittel</x:v>
      </x:c>
      <x:c r="AD206" s="14" t="str">
        <x:v>Vollständige fünfstufige numerische Regel.</x:v>
      </x:c>
      <x:c r="AE206" s="14" t="str">
        <x:v>v1.4</x:v>
      </x:c>
      <x:c r="AF206" s="52" t="str">
        <x:v>2026-08-16</x:v>
      </x:c>
      <x:c r="AG206" s="52"/>
    </x:row>
    <x:row r="207" ht="42" customHeight="1">
      <x:c r="A207" s="14" t="str">
        <x:v>WOK-SC-117</x:v>
      </x:c>
      <x:c r="B207" s="14" t="str">
        <x:v>SDG 8 – Arbeit &amp; Wachstum</x:v>
      </x:c>
      <x:c r="C207" s="14" t="str">
        <x:v>8.7</x:v>
      </x:c>
      <x:c r="D207" s="14" t="str">
        <x:v>Lieferkette – Arbeitsrechte</x:v>
      </x:c>
      <x:c r="E207" s="14" t="str">
        <x:v>Lieferkette – Arbeitsrechte – Kinder/Zwangsarbeit</x:v>
      </x:c>
      <x:c r="F207" s="14" t="str">
        <x:v>Audits ohne Verstöße</x:v>
      </x:c>
      <x:c r="G207" s="14" t="str">
        <x:v>% Lieferanten</x:v>
      </x:c>
      <x:c r="H207" s="14" t="str">
        <x:v>higher_is_better</x:v>
      </x:c>
      <x:c r="I207" s="14" t="str">
        <x:v>R28</x:v>
      </x:c>
      <x:c r="J207" s="14" t="str">
        <x:v>≥98:+3; 90–97:+2; 75–89:0; 50–74:‑2; &lt;50:‑3</x:v>
      </x:c>
      <x:c r="K207" s="14" t="str">
        <x:v>Feste WÖk-Kalibrierung</x:v>
      </x:c>
      <x:c r="L207" s="14" t="str">
        <x:v>Arbeitskalibrierung – fachlich zu validieren</x:v>
      </x:c>
      <x:c r="M207" s="14" t="str">
        <x:v>WÖk-interne Klassenlogik</x:v>
      </x:c>
      <x:c r="N207" s="14" t="str">
        <x:v>Optional/Nein</x:v>
      </x:c>
      <x:c r="O207" s="14" t="str">
        <x:v>ESRS S2; GRI 308/414/408/409</x:v>
      </x:c>
      <x:c r="P207" s="14" t="str">
        <x:v>ESRS S1, GRI 401/403/405/406, ILO</x:v>
      </x:c>
      <x:c r="Q207" s="14" t="str">
        <x:v>Mess-, Berichts- oder Managementrahmen; Schwellen sind grundsätzlich WÖk-Kalibrierungen</x:v>
      </x:c>
      <x:c r="R207" s="14" t="str">
        <x:v>Messgrundlage belegt; Schwellenkalibrierung offen</x:v>
      </x:c>
      <x:c r="S207" s="14" t="str">
        <x:v>EU-ESRS; GRI; OECD-DD; ILO-CORE</x:v>
      </x:c>
      <x:c r="T207" s="14" t="str">
        <x:v>C20 Chemie; C24 Stahl; C29 Fahrzeuge</x:v>
      </x:c>
      <x:c r="U207" s="14" t="str">
        <x:v>Legacy / nicht explizit versioniert</x:v>
      </x:c>
      <x:c r="V207" s="51" t="str"/>
      <x:c r="W207" s="14" t="str">
        <x:v>Migration auf NACE Rev. 2.1 erforderlich</x:v>
      </x:c>
      <x:c r="X207" s="14" t="str">
        <x:v>Vorgelagerte Lieferkette; relevante Tier-Stufen und Beschaffungsvolumen</x:v>
      </x:c>
      <x:c r="Y207" s="14" t="str">
        <x:v>Quote = Zähler / Nenner gemäß Quelle; in %.</x:v>
      </x:c>
      <x:c r="Z207" s="14" t="str">
        <x:v>Primärdaten bevorzugt; Sekundärdaten nur transparent und versioniert; Methode und Systemgrenze dokumentieren</x:v>
      </x:c>
      <x:c r="AA207" s="14" t="str">
        <x:v>Limited Assurance; risikobasiert höhere Prüftiefe</x:v>
      </x:c>
      <x:c r="AB207" s="14" t="str">
        <x:v>Strukturell nutzbar; Schwellen fachlich zu validieren</x:v>
      </x:c>
      <x:c r="AC207" s="14" t="str">
        <x:v>Mittel</x:v>
      </x:c>
      <x:c r="AD207" s="14" t="str">
        <x:v>Vollständige fünfstufige numerische Regel.</x:v>
      </x:c>
      <x:c r="AE207" s="14" t="str">
        <x:v>v1.4</x:v>
      </x:c>
      <x:c r="AF207" s="52" t="str">
        <x:v>2026-08-16</x:v>
      </x:c>
      <x:c r="AG207" s="52"/>
    </x:row>
    <x:row r="208" ht="42" customHeight="1">
      <x:c r="A208" s="14" t="str">
        <x:v>WOK-SC-118</x:v>
      </x:c>
      <x:c r="B208" s="14" t="str">
        <x:v>SDG 8 – Arbeit &amp; Wachstum</x:v>
      </x:c>
      <x:c r="C208" s="14" t="str">
        <x:v>8.7</x:v>
      </x:c>
      <x:c r="D208" s="14" t="str">
        <x:v>Lieferkette – Arbeitsrechte</x:v>
      </x:c>
      <x:c r="E208" s="14" t="str">
        <x:v>Lieferkette – Arbeitsrechte – Scope‑3 Daten</x:v>
      </x:c>
      <x:c r="F208" s="14" t="str">
        <x:v>Primärdaten‑Abdeckung</x:v>
      </x:c>
      <x:c r="G208" s="14" t="str">
        <x:v>% Kategorien</x:v>
      </x:c>
      <x:c r="H208" s="14" t="str">
        <x:v>higher_is_better</x:v>
      </x:c>
      <x:c r="I208" s="14" t="str">
        <x:v>R23</x:v>
      </x:c>
      <x:c r="J208" s="14" t="str">
        <x:v>≥80:+3; 60–79:+2; 40–59:0; 20–39:‑2; &lt;20:‑3</x:v>
      </x:c>
      <x:c r="K208" s="14" t="str">
        <x:v>Feste WÖk-Kalibrierung</x:v>
      </x:c>
      <x:c r="L208" s="14" t="str">
        <x:v>Arbeitskalibrierung – fachlich zu validieren</x:v>
      </x:c>
      <x:c r="M208" s="14" t="str">
        <x:v>WÖk-interne Klassenlogik</x:v>
      </x:c>
      <x:c r="N208" s="14" t="str">
        <x:v>Optional/Nein</x:v>
      </x:c>
      <x:c r="O208" s="14" t="str">
        <x:v>ESRS E1; GHG Protocol</x:v>
      </x:c>
      <x:c r="P208" s="14" t="str">
        <x:v>ESRS E1, GHG Protocol (Corporate/Scope 1–3), ISO 14064/14067</x:v>
      </x:c>
      <x:c r="Q208" s="14" t="str">
        <x:v>Mess-, Berichts- oder Managementrahmen; Schwellen sind grundsätzlich WÖk-Kalibrierungen</x:v>
      </x:c>
      <x:c r="R208" s="14" t="str">
        <x:v>Messgrundlage belegt; Schwellenkalibrierung offen</x:v>
      </x:c>
      <x:c r="S208" s="14" t="str">
        <x:v>EU-ESRS; GHG-CORP; GHG-S3; GHG-PROD</x:v>
      </x:c>
      <x:c r="T208" s="14" t="str">
        <x:v>C20 Chemie; C24 Stahl; C29 Fahrzeuge</x:v>
      </x:c>
      <x:c r="U208" s="14" t="str">
        <x:v>Legacy / nicht explizit versioniert</x:v>
      </x:c>
      <x:c r="V208" s="51" t="str"/>
      <x:c r="W208" s="14" t="str">
        <x:v>Migration auf NACE Rev. 2.1 erforderlich</x:v>
      </x:c>
      <x:c r="X208" s="14" t="str">
        <x:v>Vorgelagerte Lieferkette; relevante Tier-Stufen und Beschaffungsvolumen</x:v>
      </x:c>
      <x:c r="Y208" s="14" t="str">
        <x:v>Quote = Zähler / Nenner gemäß Quelle; in %.</x:v>
      </x:c>
      <x:c r="Z208" s="14" t="str">
        <x:v>Primärdaten bevorzugt; Sekundärdaten nur transparent und versioniert; Methode und Systemgrenze dokumentieren</x:v>
      </x:c>
      <x:c r="AA208" s="14" t="str">
        <x:v>Limited Assurance; risikobasiert höhere Prüftiefe</x:v>
      </x:c>
      <x:c r="AB208" s="14" t="str">
        <x:v>Strukturell nutzbar; Schwellen fachlich zu validieren</x:v>
      </x:c>
      <x:c r="AC208" s="14" t="str">
        <x:v>Mittel</x:v>
      </x:c>
      <x:c r="AD208" s="14" t="str">
        <x:v>Vollständige fünfstufige numerische Regel.</x:v>
      </x:c>
      <x:c r="AE208" s="14" t="str">
        <x:v>v1.4</x:v>
      </x:c>
      <x:c r="AF208" s="52" t="str">
        <x:v>2026-08-16</x:v>
      </x:c>
      <x:c r="AG208" s="52"/>
    </x:row>
    <x:row r="209" ht="42" customHeight="1">
      <x:c r="A209" s="14" t="str">
        <x:v>WOK-SYS-119</x:v>
      </x:c>
      <x:c r="B209" s="14" t="str">
        <x:v>SDG 8 – Arbeit &amp; Wachstum</x:v>
      </x:c>
      <x:c r="C209" s="14" t="str">
        <x:v>8.5</x:v>
      </x:c>
      <x:c r="D209" s="14" t="str">
        <x:v>Inklusionsjobs/Benachteiligte</x:v>
      </x:c>
      <x:c r="E209" s="14" t="str">
        <x:v>Inklusionsjobs/Benachteiligte – Index</x:v>
      </x:c>
      <x:c r="F209" s="14" t="str">
        <x:v>umsatzgewichteter Index (z. B. Demokratie/Rule of Law)</x:v>
      </x:c>
      <x:c r="G209" s="14" t="str">
        <x:v>0–1</x:v>
      </x:c>
      <x:c r="H209" s="14" t="str">
        <x:v>higher_is_better</x:v>
      </x:c>
      <x:c r="I209" s="14" t="str">
        <x:v>R15</x:v>
      </x:c>
      <x:c r="J209" s="14" t="str">
        <x:v>≥0,8:+3; 0,7–0,79:+2; 0,6–0,69:0; 0,5–0,59:‑2; &lt;0,5:‑3</x:v>
      </x:c>
      <x:c r="K209" s="14" t="str">
        <x:v>Feste WÖk-Kalibrierung</x:v>
      </x:c>
      <x:c r="L209" s="14" t="str">
        <x:v>Arbeitskalibrierung – fachlich zu validieren</x:v>
      </x:c>
      <x:c r="M209" s="14" t="str">
        <x:v>WÖk-interne Klassenlogik</x:v>
      </x:c>
      <x:c r="N209" s="14" t="str">
        <x:v>Optional/Nein</x:v>
      </x:c>
      <x:c r="O209" s="14" t="str">
        <x:v>SROI/SDG17</x:v>
      </x:c>
      <x:c r="P209" s="14" t="str">
        <x:v>ESRS S1, GRI 401/403/405/406, ILO</x:v>
      </x:c>
      <x:c r="Q209" s="14" t="str">
        <x:v>Methodischer Platzhalter; konkrete Fach- und Primärdatenquelle erforderlich</x:v>
      </x:c>
      <x:c r="R209" s="14" t="str">
        <x:v>Platzhalter – fachliche Operationalisierung offen</x:v>
      </x:c>
      <x:c r="S209" s="14" t="str">
        <x:v>INT-WOEK-TSROI; SVI-SROI; UN-SDG</x:v>
      </x:c>
      <x:c r="T209" s="14" t="str">
        <x:v>G47 Handel; K Versicherungen; M72 F&amp;E</x:v>
      </x:c>
      <x:c r="U209" s="14" t="str">
        <x:v>Legacy / nicht explizit versioniert</x:v>
      </x:c>
      <x:c r="V209" s="51" t="str"/>
      <x:c r="W209" s="14" t="str">
        <x:v>Migration auf NACE Rev. 2.1 erforderlich</x:v>
      </x:c>
      <x:c r="X209" s="14" t="str">
        <x:v>Programm/Portfolio/Systemraum; Empfängergruppe, Region und Zeitraum explizit definieren</x:v>
      </x:c>
      <x:c r="Y209" s="14" t="str">
        <x:v>Siehe Quelle: Definition gemäß Standard (ESRS/GRI/Taxonomie/ISO).</x:v>
      </x:c>
      <x:c r="Z209" s="14" t="str">
        <x:v>Primärdaten bevorzugt; Sekundärdaten nur transparent und versioniert; Methode und Systemgrenze dokumentieren</x:v>
      </x:c>
      <x:c r="AA209" s="14" t="str">
        <x:v>Limited Assurance; risikobasiert höhere Prüftiefe</x:v>
      </x:c>
      <x:c r="AB209" s="14" t="str">
        <x:v>Fachlogik nicht abschließend operationalisiert</x:v>
      </x:c>
      <x:c r="AC209" s="14" t="str">
        <x:v>Kritisch</x:v>
      </x:c>
      <x:c r="AD209" s="14" t="str">
        <x:v>SROI/SDG 17 ist keine hinreichend konkrete Mess- oder Schwellenquelle. Vollständige fünfstufige numerische Regel.</x:v>
      </x:c>
      <x:c r="AE209" s="14" t="str">
        <x:v>v1.4</x:v>
      </x:c>
      <x:c r="AF209" s="52" t="str">
        <x:v>2026-08-16</x:v>
      </x:c>
      <x:c r="AG209" s="52"/>
    </x:row>
    <x:row r="210" ht="42" customHeight="1">
      <x:c r="A210" s="14" t="str">
        <x:v>WOK-SYS-120</x:v>
      </x:c>
      <x:c r="B210" s="14" t="str">
        <x:v>SDG 8 – Arbeit &amp; Wachstum</x:v>
      </x:c>
      <x:c r="C210" s="14" t="str">
        <x:v>8.5</x:v>
      </x:c>
      <x:c r="D210" s="14" t="str">
        <x:v>Inklusionsjobs/Benachteiligte</x:v>
      </x:c>
      <x:c r="E210" s="14" t="str">
        <x:v>Inklusionsjobs/Benachteiligte – Exposure</x:v>
      </x:c>
      <x:c r="F210" s="14" t="str">
        <x:v>Umsatz in Hochrisikoländern</x:v>
      </x:c>
      <x:c r="G210" s="14" t="str">
        <x:v>%</x:v>
      </x:c>
      <x:c r="H210" s="14" t="str">
        <x:v>lower_is_better</x:v>
      </x:c>
      <x:c r="I210" s="14" t="str">
        <x:v>R13</x:v>
      </x:c>
      <x:c r="J210" s="14" t="str">
        <x:v>≤5:+3; 6–10:+2; 11–20:0; 21–30:‑2; &gt;30:‑3</x:v>
      </x:c>
      <x:c r="K210" s="14" t="str">
        <x:v>Feste WÖk-Kalibrierung</x:v>
      </x:c>
      <x:c r="L210" s="14" t="str">
        <x:v>Arbeitskalibrierung – fachlich zu validieren</x:v>
      </x:c>
      <x:c r="M210" s="14" t="str">
        <x:v>WÖk-interne Klassenlogik</x:v>
      </x:c>
      <x:c r="N210" s="14" t="str">
        <x:v>Optional/Nein</x:v>
      </x:c>
      <x:c r="O210" s="14" t="str">
        <x:v>SROI/SDG17</x:v>
      </x:c>
      <x:c r="P210" s="14" t="str">
        <x:v>ESRS S1, GRI 401/403/405/406, ILO</x:v>
      </x:c>
      <x:c r="Q210" s="14" t="str">
        <x:v>Methodischer Platzhalter; konkrete Fach- und Primärdatenquelle erforderlich</x:v>
      </x:c>
      <x:c r="R210" s="14" t="str">
        <x:v>Platzhalter – fachliche Operationalisierung offen</x:v>
      </x:c>
      <x:c r="S210" s="14" t="str">
        <x:v>INT-WOEK-TSROI; SVI-SROI; UN-SDG</x:v>
      </x:c>
      <x:c r="T210" s="14" t="str">
        <x:v>G47 Handel; K Versicherungen; M72 F&amp;E</x:v>
      </x:c>
      <x:c r="U210" s="14" t="str">
        <x:v>Legacy / nicht explizit versioniert</x:v>
      </x:c>
      <x:c r="V210" s="51" t="str"/>
      <x:c r="W210" s="14" t="str">
        <x:v>Migration auf NACE Rev. 2.1 erforderlich</x:v>
      </x:c>
      <x:c r="X210" s="14" t="str">
        <x:v>Programm/Portfolio/Systemraum; Empfängergruppe, Region und Zeitraum explizit definieren</x:v>
      </x:c>
      <x:c r="Y210" s="14" t="str">
        <x:v>Siehe Quelle: Definition gemäß Standard (ESRS/GRI/Taxonomie/ISO).</x:v>
      </x:c>
      <x:c r="Z210" s="14" t="str">
        <x:v>Primärdaten bevorzugt; Sekundärdaten nur transparent und versioniert; Methode und Systemgrenze dokumentieren</x:v>
      </x:c>
      <x:c r="AA210" s="14" t="str">
        <x:v>Limited Assurance; risikobasiert höhere Prüftiefe</x:v>
      </x:c>
      <x:c r="AB210" s="14" t="str">
        <x:v>Fachlogik nicht abschließend operationalisiert</x:v>
      </x:c>
      <x:c r="AC210" s="14" t="str">
        <x:v>Kritisch</x:v>
      </x:c>
      <x:c r="AD210" s="14" t="str">
        <x:v>SROI/SDG 17 ist keine hinreichend konkrete Mess- oder Schwellenquelle. Vollständige fünfstufige numerische Regel.</x:v>
      </x:c>
      <x:c r="AE210" s="14" t="str">
        <x:v>v1.4</x:v>
      </x:c>
      <x:c r="AF210" s="52" t="str">
        <x:v>2026-08-16</x:v>
      </x:c>
      <x:c r="AG210" s="52"/>
    </x:row>
    <x:row r="211" ht="42" customHeight="1">
      <x:c r="A211" s="14" t="str">
        <x:v>WOK-SYS-121</x:v>
      </x:c>
      <x:c r="B211" s="14" t="str">
        <x:v>SDG 8 – Arbeit &amp; Wachstum</x:v>
      </x:c>
      <x:c r="C211" s="14" t="str">
        <x:v>8.5</x:v>
      </x:c>
      <x:c r="D211" s="14" t="str">
        <x:v>Inklusionsjobs/Benachteiligte</x:v>
      </x:c>
      <x:c r="E211" s="14" t="str">
        <x:v>Inklusionsjobs/Benachteiligte – Kooperationen</x:v>
      </x:c>
      <x:c r="F211" s="14" t="str">
        <x:v>aktive, evaluierte Partnerschaften/Jahr</x:v>
      </x:c>
      <x:c r="G211" s="14" t="str">
        <x:v>#/Jahr</x:v>
      </x:c>
      <x:c r="H211" s="14" t="str">
        <x:v>higher_is_better</x:v>
      </x:c>
      <x:c r="I211" s="14" t="str">
        <x:v>R20</x:v>
      </x:c>
      <x:c r="J211" s="14" t="str">
        <x:v>≥5:+3; 3–4:+2; 1–2:0; 0:‑2</x:v>
      </x:c>
      <x:c r="K211" s="14" t="str">
        <x:v>Feste WÖk-Grobkalibrierung</x:v>
      </x:c>
      <x:c r="L211" s="14" t="str">
        <x:v>Klasse −3 nur für negative/unzulässige Werte ergänzt</x:v>
      </x:c>
      <x:c r="M211" s="14" t="str">
        <x:v>WÖk-interne Grobkalibrierung</x:v>
      </x:c>
      <x:c r="N211" s="14" t="str">
        <x:v>Optional/Nein</x:v>
      </x:c>
      <x:c r="O211" s="14" t="str">
        <x:v>SROI/SDG17</x:v>
      </x:c>
      <x:c r="P211" s="14" t="str">
        <x:v>ESRS S1, GRI 401/403/405/406, ILO</x:v>
      </x:c>
      <x:c r="Q211" s="14" t="str">
        <x:v>Methodischer Platzhalter; konkrete Fach- und Primärdatenquelle erforderlich</x:v>
      </x:c>
      <x:c r="R211" s="14" t="str">
        <x:v>Platzhalter – fachliche Operationalisierung offen</x:v>
      </x:c>
      <x:c r="S211" s="14" t="str">
        <x:v>INT-WOEK-TSROI; SVI-SROI; UN-SDG</x:v>
      </x:c>
      <x:c r="T211" s="14" t="str">
        <x:v>G47 Handel; K Versicherungen; M72 F&amp;E</x:v>
      </x:c>
      <x:c r="U211" s="14" t="str">
        <x:v>Legacy / nicht explizit versioniert</x:v>
      </x:c>
      <x:c r="V211" s="51" t="str"/>
      <x:c r="W211" s="14" t="str">
        <x:v>Migration auf NACE Rev. 2.1 erforderlich</x:v>
      </x:c>
      <x:c r="X211" s="14" t="str">
        <x:v>Programm/Portfolio/Systemraum; Empfängergruppe, Region und Zeitraum explizit definieren</x:v>
      </x:c>
      <x:c r="Y211" s="14" t="str">
        <x:v>Siehe Quelle: Definition gemäß Standard (ESRS/GRI/Taxonomie/ISO).</x:v>
      </x:c>
      <x:c r="Z211" s="14" t="str">
        <x:v>Primärdaten bevorzugt; Sekundärdaten nur transparent und versioniert; Methode und Systemgrenze dokumentieren</x:v>
      </x:c>
      <x:c r="AA211" s="14" t="str">
        <x:v>Limited Assurance; risikobasiert höhere Prüftiefe</x:v>
      </x:c>
      <x:c r="AB211" s="14" t="str">
        <x:v>Fachlogik nicht abschließend operationalisiert</x:v>
      </x:c>
      <x:c r="AC211" s="14" t="str">
        <x:v>Kritisch</x:v>
      </x:c>
      <x:c r="AD211" s="14" t="str">
        <x:v>SROI/SDG 17 ist keine hinreichend konkrete Mess- oder Schwellenquelle. Für sachlogisch nichtnegative Zählwerte ist 0 die schlechteste reguläre Klasse (−2).</x:v>
      </x:c>
      <x:c r="AE211" s="14" t="str">
        <x:v>v1.4</x:v>
      </x:c>
      <x:c r="AF211" s="52" t="str">
        <x:v>2026-08-16</x:v>
      </x:c>
      <x:c r="AG211" s="52"/>
    </x:row>
    <x:row r="212" ht="42" customHeight="1">
      <x:c r="A212" s="14" t="str">
        <x:v>WOK-S-155</x:v>
      </x:c>
      <x:c r="B212" s="14" t="str">
        <x:v>SDG 8 – Arbeit &amp; Wachstum</x:v>
      </x:c>
      <x:c r="C212" s="14" t="str">
        <x:v>8.2</x:v>
      </x:c>
      <x:c r="D212" s="14" t="str">
        <x:v>Weiterbildung/Produktivität</x:v>
      </x:c>
      <x:c r="E212" s="14" t="str">
        <x:v>Weiterbildung/Produktivität – Living Wage</x:v>
      </x:c>
      <x:c r="F212" s="14" t="str">
        <x:v>Abdeckung Lebenslohn</x:v>
      </x:c>
      <x:c r="G212" s="14" t="str">
        <x:v>% Beschäftigte</x:v>
      </x:c>
      <x:c r="H212" s="14" t="str">
        <x:v>higher_is_better</x:v>
      </x:c>
      <x:c r="I212" s="14" t="str">
        <x:v>R27</x:v>
      </x:c>
      <x:c r="J212" s="14" t="str">
        <x:v>≥95:+3; 80–94:+2; 60–79:0; 40–59:‑2; &lt;40:‑3</x:v>
      </x:c>
      <x:c r="K212" s="14" t="str">
        <x:v>Feste WÖk-Kalibrierung</x:v>
      </x:c>
      <x:c r="L212" s="14" t="str">
        <x:v>Arbeitskalibrierung – fachlich zu validieren</x:v>
      </x:c>
      <x:c r="M212" s="14" t="str">
        <x:v>WÖk-interne Klassenlogik</x:v>
      </x:c>
      <x:c r="N212" s="14" t="str">
        <x:v>Optional/Nein</x:v>
      </x:c>
      <x:c r="O212" s="14" t="str">
        <x:v>ESRS S1; GRI 401/403/405/406</x:v>
      </x:c>
      <x:c r="P212" s="14" t="str">
        <x:v>ESRS S1, GRI 401/403/405/406, ILO</x:v>
      </x:c>
      <x:c r="Q212" s="14" t="str">
        <x:v>Mess-, Berichts- oder Managementrahmen; Schwellen sind grundsätzlich WÖk-Kalibrierungen</x:v>
      </x:c>
      <x:c r="R212" s="14" t="str">
        <x:v>Messgrundlage belegt; Schwellenkalibrierung offen</x:v>
      </x:c>
      <x:c r="S212" s="14" t="str">
        <x:v>EU-ESRS; GRI; ISO-45001; ILO-LW; ILO-CORE</x:v>
      </x:c>
      <x:c r="T212" s="14" t="str">
        <x:v>G47 Handel; K Versicherungen; M72 F&amp;E</x:v>
      </x:c>
      <x:c r="U212" s="14" t="str">
        <x:v>Legacy / nicht explizit versioniert</x:v>
      </x:c>
      <x:c r="V212" s="51" t="str"/>
      <x:c r="W212" s="14" t="str">
        <x:v>Migration auf NACE Rev. 2.1 erforderlich</x:v>
      </x:c>
      <x:c r="X212" s="14" t="str">
        <x:v>Eigene Belegschaft/Organisation; FTE, Beschäftigtengruppe und Zeitraum</x:v>
      </x:c>
      <x:c r="Y212" s="14" t="str">
        <x:v>Anteil Beschäftigte ≥ Living Wage (zertifizierte Methodik).</x:v>
      </x:c>
      <x:c r="Z212" s="14" t="str">
        <x:v>Primärdaten bevorzugt; Sekundärdaten nur transparent und versioniert; Methode und Systemgrenze dokumentieren</x:v>
      </x:c>
      <x:c r="AA212" s="14" t="str">
        <x:v>Limited Assurance; risikobasiert höhere Prüftiefe</x:v>
      </x:c>
      <x:c r="AB212" s="14" t="str">
        <x:v>Strukturell nutzbar; Schwellen fachlich zu validieren</x:v>
      </x:c>
      <x:c r="AC212" s="14" t="str">
        <x:v>Mittel</x:v>
      </x:c>
      <x:c r="AD212" s="14" t="str">
        <x:v>Vollständige fünfstufige numerische Regel.</x:v>
      </x:c>
      <x:c r="AE212" s="14" t="str">
        <x:v>v1.4</x:v>
      </x:c>
      <x:c r="AF212" s="52" t="str">
        <x:v>2026-08-16</x:v>
      </x:c>
      <x:c r="AG212" s="52"/>
    </x:row>
    <x:row r="213" ht="42" customHeight="1">
      <x:c r="A213" s="14" t="str">
        <x:v>WOK-S-156</x:v>
      </x:c>
      <x:c r="B213" s="14" t="str">
        <x:v>SDG 8 – Arbeit &amp; Wachstum</x:v>
      </x:c>
      <x:c r="C213" s="14" t="str">
        <x:v>8.2</x:v>
      </x:c>
      <x:c r="D213" s="14" t="str">
        <x:v>Weiterbildung/Produktivität</x:v>
      </x:c>
      <x:c r="E213" s="14" t="str">
        <x:v>Weiterbildung/Produktivität – Tarifbindung</x:v>
      </x:c>
      <x:c r="F213" s="14" t="str">
        <x:v>Beschäftigte unter Kollektivvertrag</x:v>
      </x:c>
      <x:c r="G213" s="14" t="str">
        <x:v>%</x:v>
      </x:c>
      <x:c r="H213" s="14" t="str">
        <x:v>higher_is_better</x:v>
      </x:c>
      <x:c r="I213" s="14" t="str">
        <x:v>R26</x:v>
      </x:c>
      <x:c r="J213" s="14" t="str">
        <x:v>≥90:+3; 70–89:+2; 50–69:0; 30–49:‑2; &lt;30:‑3</x:v>
      </x:c>
      <x:c r="K213" s="14" t="str">
        <x:v>Feste WÖk-Kalibrierung</x:v>
      </x:c>
      <x:c r="L213" s="14" t="str">
        <x:v>Arbeitskalibrierung – fachlich zu validieren</x:v>
      </x:c>
      <x:c r="M213" s="14" t="str">
        <x:v>WÖk-interne Klassenlogik</x:v>
      </x:c>
      <x:c r="N213" s="14" t="str">
        <x:v>Optional/Nein</x:v>
      </x:c>
      <x:c r="O213" s="14" t="str">
        <x:v>ESRS S1; GRI 401/403/405/406</x:v>
      </x:c>
      <x:c r="P213" s="14" t="str">
        <x:v>ESRS S1, GRI 401/403/405/406, ILO</x:v>
      </x:c>
      <x:c r="Q213" s="14" t="str">
        <x:v>Mess-, Berichts- oder Managementrahmen; Schwellen sind grundsätzlich WÖk-Kalibrierungen</x:v>
      </x:c>
      <x:c r="R213" s="14" t="str">
        <x:v>Messgrundlage belegt; Schwellenkalibrierung offen</x:v>
      </x:c>
      <x:c r="S213" s="14" t="str">
        <x:v>EU-ESRS; GRI; ISO-45001; ILO-LW; ILO-CORE</x:v>
      </x:c>
      <x:c r="T213" s="14" t="str">
        <x:v>G47 Handel; K Versicherungen; M72 F&amp;E</x:v>
      </x:c>
      <x:c r="U213" s="14" t="str">
        <x:v>Legacy / nicht explizit versioniert</x:v>
      </x:c>
      <x:c r="V213" s="51" t="str"/>
      <x:c r="W213" s="14" t="str">
        <x:v>Migration auf NACE Rev. 2.1 erforderlich</x:v>
      </x:c>
      <x:c r="X213" s="14" t="str">
        <x:v>Eigene Belegschaft/Organisation; FTE, Beschäftigtengruppe und Zeitraum</x:v>
      </x:c>
      <x:c r="Y213" s="14" t="str">
        <x:v>Quote = Zähler / Nenner gemäß Quelle; in %.</x:v>
      </x:c>
      <x:c r="Z213" s="14" t="str">
        <x:v>Primärdaten bevorzugt; Sekundärdaten nur transparent und versioniert; Methode und Systemgrenze dokumentieren</x:v>
      </x:c>
      <x:c r="AA213" s="14" t="str">
        <x:v>Limited Assurance; risikobasiert höhere Prüftiefe</x:v>
      </x:c>
      <x:c r="AB213" s="14" t="str">
        <x:v>Strukturell nutzbar; Schwellen fachlich zu validieren</x:v>
      </x:c>
      <x:c r="AC213" s="14" t="str">
        <x:v>Mittel</x:v>
      </x:c>
      <x:c r="AD213" s="14" t="str">
        <x:v>Vollständige fünfstufige numerische Regel.</x:v>
      </x:c>
      <x:c r="AE213" s="14" t="str">
        <x:v>v1.4</x:v>
      </x:c>
      <x:c r="AF213" s="52" t="str">
        <x:v>2026-08-16</x:v>
      </x:c>
      <x:c r="AG213" s="52"/>
    </x:row>
    <x:row r="214" ht="42" customHeight="1">
      <x:c r="A214" s="14" t="str">
        <x:v>WOK-S-157</x:v>
      </x:c>
      <x:c r="B214" s="14" t="str">
        <x:v>SDG 8 – Arbeit &amp; Wachstum</x:v>
      </x:c>
      <x:c r="C214" s="14" t="str">
        <x:v>8.2</x:v>
      </x:c>
      <x:c r="D214" s="14" t="str">
        <x:v>Weiterbildung/Produktivität</x:v>
      </x:c>
      <x:c r="E214" s="14" t="str">
        <x:v>Weiterbildung/Produktivität – LTIFR</x:v>
      </x:c>
      <x:c r="F214" s="14" t="str">
        <x:v>Arbeitsunfälle pro Mio Stunden</x:v>
      </x:c>
      <x:c r="G214" s="14" t="str">
        <x:v>Unfälle/Mio Std.</x:v>
      </x:c>
      <x:c r="H214" s="14" t="str">
        <x:v>lower_is_better</x:v>
      </x:c>
      <x:c r="I214" s="14" t="str">
        <x:v>R02</x:v>
      </x:c>
      <x:c r="J214" s="14" t="str">
        <x:v>0:+3; ≤1:+2; ≤3:0; ≤5:‑2; &gt;5:‑3</x:v>
      </x:c>
      <x:c r="K214" s="14" t="str">
        <x:v>Feste WÖk-Kalibrierung</x:v>
      </x:c>
      <x:c r="L214" s="14" t="str">
        <x:v>Arbeitskalibrierung – fachlich zu validieren</x:v>
      </x:c>
      <x:c r="M214" s="14" t="str">
        <x:v>WÖk-interne Klassenlogik</x:v>
      </x:c>
      <x:c r="N214" s="14" t="str">
        <x:v>Optional/Nein</x:v>
      </x:c>
      <x:c r="O214" s="14" t="str">
        <x:v>ESRS S1; GRI 401/403/405/406</x:v>
      </x:c>
      <x:c r="P214" s="14" t="str">
        <x:v>ESRS S1, GRI 401/403/405/406, ILO</x:v>
      </x:c>
      <x:c r="Q214" s="14" t="str">
        <x:v>Mess-, Berichts- oder Managementrahmen; Schwellen sind grundsätzlich WÖk-Kalibrierungen</x:v>
      </x:c>
      <x:c r="R214" s="14" t="str">
        <x:v>Messgrundlage belegt; Schwellenkalibrierung offen</x:v>
      </x:c>
      <x:c r="S214" s="14" t="str">
        <x:v>EU-ESRS; GRI; ISO-45001; ILO-LW; ILO-CORE</x:v>
      </x:c>
      <x:c r="T214" s="14" t="str">
        <x:v>G47 Handel; K Versicherungen; M72 F&amp;E</x:v>
      </x:c>
      <x:c r="U214" s="14" t="str">
        <x:v>Legacy / nicht explizit versioniert</x:v>
      </x:c>
      <x:c r="V214" s="51" t="str"/>
      <x:c r="W214" s="14" t="str">
        <x:v>Migration auf NACE Rev. 2.1 erforderlich</x:v>
      </x:c>
      <x:c r="X214" s="14" t="str">
        <x:v>Eigene Belegschaft/Organisation; FTE, Beschäftigtengruppe und Zeitraum</x:v>
      </x:c>
      <x:c r="Y214" s="14" t="str">
        <x:v>LTIFR = Unfälle mit Ausfallzeit / 1 Mio. Std. (ILO/GRI 403).</x:v>
      </x:c>
      <x:c r="Z214" s="14" t="str">
        <x:v>Primärdaten bevorzugt; Sekundärdaten nur transparent und versioniert; Methode und Systemgrenze dokumentieren</x:v>
      </x:c>
      <x:c r="AA214" s="14" t="str">
        <x:v>Limited Assurance; risikobasiert höhere Prüftiefe</x:v>
      </x:c>
      <x:c r="AB214" s="14" t="str">
        <x:v>Strukturell nutzbar; Schwellen fachlich zu validieren</x:v>
      </x:c>
      <x:c r="AC214" s="14" t="str">
        <x:v>Mittel</x:v>
      </x:c>
      <x:c r="AD214" s="14" t="str">
        <x:v>Vollständige fünfstufige numerische Regel.</x:v>
      </x:c>
      <x:c r="AE214" s="14" t="str">
        <x:v>v1.4</x:v>
      </x:c>
      <x:c r="AF214" s="52" t="str">
        <x:v>2026-08-16</x:v>
      </x:c>
      <x:c r="AG214" s="52"/>
    </x:row>
    <x:row r="215" ht="42" customHeight="1">
      <x:c r="A215" s="14" t="str">
        <x:v>WOK-G-140</x:v>
      </x:c>
      <x:c r="B215" s="14" t="str">
        <x:v>SDG 8 – Arbeit &amp; Wachstum</x:v>
      </x:c>
      <x:c r="C215" s="14" t="str">
        <x:v>8.8</x:v>
      </x:c>
      <x:c r="D215" s="14" t="str">
        <x:v>Beschwerdemechanismen</x:v>
      </x:c>
      <x:c r="E215" s="14" t="str">
        <x:v>Beschwerdemechanismen – Antikorruption</x:v>
      </x:c>
      <x:c r="F215" s="14" t="str">
        <x:v>Bestätigte Fälle/1.000 FTE</x:v>
      </x:c>
      <x:c r="G215" s="14" t="str">
        <x:v>Fälle/1.000 FTE</x:v>
      </x:c>
      <x:c r="H215" s="14" t="str">
        <x:v>lower_is_better</x:v>
      </x:c>
      <x:c r="I215" s="14" t="str">
        <x:v>R01</x:v>
      </x:c>
      <x:c r="J215" s="14" t="str">
        <x:v>0:+3; ≤0,2:+2; ≤0,5:0; ≤1:‑2; &gt;1:‑3</x:v>
      </x:c>
      <x:c r="K215" s="14" t="str">
        <x:v>Feste WÖk-Kalibrierung</x:v>
      </x:c>
      <x:c r="L215" s="14" t="str">
        <x:v>Arbeitskalibrierung – fachlich zu validieren</x:v>
      </x:c>
      <x:c r="M215" s="14" t="str">
        <x:v>WÖk-interne Klassenlogik</x:v>
      </x:c>
      <x:c r="N215" s="14" t="str">
        <x:v>Optional/Nein</x:v>
      </x:c>
      <x:c r="O215" s="14" t="str">
        <x:v>ESRS G1; GRI 205/207</x:v>
      </x:c>
      <x:c r="P215" s="14" t="str">
        <x:v>ESRS G1, GRI 205/207, OECD Anti‑Bribery</x:v>
      </x:c>
      <x:c r="Q215" s="14" t="str">
        <x:v>Mess-, Berichts- oder Managementrahmen; Schwellen sind grundsätzlich WÖk-Kalibrierungen</x:v>
      </x:c>
      <x:c r="R215" s="14" t="str">
        <x:v>Messgrundlage belegt; Schwellenkalibrierung offen</x:v>
      </x:c>
      <x:c r="S215" s="14" t="str">
        <x:v>EU-ESRS; GRI; OECD-AB</x:v>
      </x:c>
      <x:c r="T215" s="14" t="str">
        <x:v>G47 Handel; K Versicherungen; M72 F&amp;E</x:v>
      </x:c>
      <x:c r="U215" s="14" t="str">
        <x:v>Legacy / nicht explizit versioniert</x:v>
      </x:c>
      <x:c r="V215" s="51" t="str"/>
      <x:c r="W215" s="14" t="str">
        <x:v>Migration auf NACE Rev. 2.1 erforderlich</x:v>
      </x:c>
      <x:c r="X215" s="14" t="str">
        <x:v>Organisation/Governance; konsolidierter Kreis und relevante Rechtseinheiten</x:v>
      </x:c>
      <x:c r="Y215" s="14" t="str">
        <x:v>Siehe Quelle: Definition gemäß Standard (ESRS/GRI/Taxonomie/ISO).</x:v>
      </x:c>
      <x:c r="Z215" s="14" t="str">
        <x:v>Primärdaten bevorzugt; Sekundärdaten nur transparent und versioniert; Methode und Systemgrenze dokumentieren</x:v>
      </x:c>
      <x:c r="AA215" s="14" t="str">
        <x:v>Limited Assurance; risikobasiert höhere Prüftiefe</x:v>
      </x:c>
      <x:c r="AB215" s="14" t="str">
        <x:v>Strukturell nutzbar; Schwellen fachlich zu validieren</x:v>
      </x:c>
      <x:c r="AC215" s="14" t="str">
        <x:v>Mittel</x:v>
      </x:c>
      <x:c r="AD215" s="14" t="str">
        <x:v>Vollständige fünfstufige numerische Regel.</x:v>
      </x:c>
      <x:c r="AE215" s="14" t="str">
        <x:v>v1.4</x:v>
      </x:c>
      <x:c r="AF215" s="52" t="str">
        <x:v>2026-08-16</x:v>
      </x:c>
      <x:c r="AG215" s="52"/>
    </x:row>
    <x:row r="216" ht="42" customHeight="1">
      <x:c r="A216" s="14" t="str">
        <x:v>WOK-G-141</x:v>
      </x:c>
      <x:c r="B216" s="14" t="str">
        <x:v>SDG 8 – Arbeit &amp; Wachstum</x:v>
      </x:c>
      <x:c r="C216" s="14" t="str">
        <x:v>8.8</x:v>
      </x:c>
      <x:c r="D216" s="14" t="str">
        <x:v>Beschwerdemechanismen</x:v>
      </x:c>
      <x:c r="E216" s="14" t="str">
        <x:v>Beschwerdemechanismen – Whistleblowing</x:v>
      </x:c>
      <x:c r="F216" s="14" t="str">
        <x:v>Wirksamkeits‑Score</x:v>
      </x:c>
      <x:c r="G216" s="14" t="str">
        <x:v>0–1</x:v>
      </x:c>
      <x:c r="H216" s="14" t="str">
        <x:v>higher_is_better</x:v>
      </x:c>
      <x:c r="I216" s="14" t="str">
        <x:v>R16</x:v>
      </x:c>
      <x:c r="J216" s="14" t="str">
        <x:v>≥0,9:+3; 0,75–0,89:+2; 0,6–0,74:0; 0,4–0,59:‑2; &lt;0,4:‑3</x:v>
      </x:c>
      <x:c r="K216" s="14" t="str">
        <x:v>Feste WÖk-Kalibrierung</x:v>
      </x:c>
      <x:c r="L216" s="14" t="str">
        <x:v>Arbeitskalibrierung – fachlich zu validieren</x:v>
      </x:c>
      <x:c r="M216" s="14" t="str">
        <x:v>WÖk-interne Klassenlogik</x:v>
      </x:c>
      <x:c r="N216" s="14" t="str">
        <x:v>Optional/Nein</x:v>
      </x:c>
      <x:c r="O216" s="14" t="str">
        <x:v>ESRS G1; GRI 205/207</x:v>
      </x:c>
      <x:c r="P216" s="14" t="str">
        <x:v>ESRS G1, GRI 205/207, OECD Anti‑Bribery</x:v>
      </x:c>
      <x:c r="Q216" s="14" t="str">
        <x:v>Mess-, Berichts- oder Managementrahmen; Schwellen sind grundsätzlich WÖk-Kalibrierungen</x:v>
      </x:c>
      <x:c r="R216" s="14" t="str">
        <x:v>Messgrundlage belegt; Schwellenkalibrierung offen</x:v>
      </x:c>
      <x:c r="S216" s="14" t="str">
        <x:v>EU-ESRS; GRI; OECD-AB</x:v>
      </x:c>
      <x:c r="T216" s="14" t="str">
        <x:v>G47 Handel; K Versicherungen; M72 F&amp;E</x:v>
      </x:c>
      <x:c r="U216" s="14" t="str">
        <x:v>Legacy / nicht explizit versioniert</x:v>
      </x:c>
      <x:c r="V216" s="51" t="str"/>
      <x:c r="W216" s="14" t="str">
        <x:v>Migration auf NACE Rev. 2.1 erforderlich</x:v>
      </x:c>
      <x:c r="X216" s="14" t="str">
        <x:v>Organisation/Governance; konsolidierter Kreis und relevante Rechtseinheiten</x:v>
      </x:c>
      <x:c r="Y216" s="14" t="str">
        <x:v>Siehe Quelle: Definition gemäß Standard (ESRS/GRI/Taxonomie/ISO).</x:v>
      </x:c>
      <x:c r="Z216" s="14" t="str">
        <x:v>Primärdaten bevorzugt; Sekundärdaten nur transparent und versioniert; Methode und Systemgrenze dokumentieren</x:v>
      </x:c>
      <x:c r="AA216" s="14" t="str">
        <x:v>Limited Assurance; risikobasiert höhere Prüftiefe</x:v>
      </x:c>
      <x:c r="AB216" s="14" t="str">
        <x:v>Strukturell nutzbar; Schwellen fachlich zu validieren</x:v>
      </x:c>
      <x:c r="AC216" s="14" t="str">
        <x:v>Mittel</x:v>
      </x:c>
      <x:c r="AD216" s="14" t="str">
        <x:v>Vollständige fünfstufige numerische Regel.</x:v>
      </x:c>
      <x:c r="AE216" s="14" t="str">
        <x:v>v1.4</x:v>
      </x:c>
      <x:c r="AF216" s="52" t="str">
        <x:v>2026-08-16</x:v>
      </x:c>
      <x:c r="AG216" s="52"/>
    </x:row>
    <x:row r="217" ht="42" customHeight="1">
      <x:c r="A217" s="14" t="str">
        <x:v>WOK-G-142</x:v>
      </x:c>
      <x:c r="B217" s="14" t="str">
        <x:v>SDG 8 – Arbeit &amp; Wachstum</x:v>
      </x:c>
      <x:c r="C217" s="14" t="str">
        <x:v>8.8</x:v>
      </x:c>
      <x:c r="D217" s="14" t="str">
        <x:v>Beschwerdemechanismen</x:v>
      </x:c>
      <x:c r="E217" s="14" t="str">
        <x:v>Beschwerdemechanismen – Steuertransparenz</x:v>
      </x:c>
      <x:c r="F217" s="14" t="str">
        <x:v>CbCR‑Offenlegung</x:v>
      </x:c>
      <x:c r="G217" s="14" t="str">
        <x:v>0–1</x:v>
      </x:c>
      <x:c r="H217" s="14" t="str">
        <x:v>higher_is_better</x:v>
      </x:c>
      <x:c r="I217" s="14" t="str">
        <x:v>R08</x:v>
      </x:c>
      <x:c r="J217" s="14" t="str">
        <x:v>vollständig:+3; teilweise:+2; minimal:0; schlecht:‑2</x:v>
      </x:c>
      <x:c r="K217" s="14" t="str">
        <x:v>Qualitativ</x:v>
      </x:c>
      <x:c r="L217" s="14" t="str">
        <x:v>Assurance und Kriterienkatalog erforderlich</x:v>
      </x:c>
      <x:c r="M217" s="14" t="str">
        <x:v>WÖk-interne Kategorien</x:v>
      </x:c>
      <x:c r="N217" s="14" t="str">
        <x:v>Optional/Nein</x:v>
      </x:c>
      <x:c r="O217" s="14" t="str">
        <x:v>ESRS G1; GRI 205/207</x:v>
      </x:c>
      <x:c r="P217" s="14" t="str">
        <x:v>ESRS G1, GRI 205/207, OECD Anti‑Bribery</x:v>
      </x:c>
      <x:c r="Q217" s="14" t="str">
        <x:v>Mess-, Berichts- oder Managementrahmen; Schwellen sind grundsätzlich WÖk-Kalibrierungen</x:v>
      </x:c>
      <x:c r="R217" s="14" t="str">
        <x:v>Messgrundlage belegt; Schwellenkalibrierung offen</x:v>
      </x:c>
      <x:c r="S217" s="14" t="str">
        <x:v>EU-ESRS; GRI; OECD-AB</x:v>
      </x:c>
      <x:c r="T217" s="14" t="str">
        <x:v>G47 Handel; K Versicherungen; M72 F&amp;E</x:v>
      </x:c>
      <x:c r="U217" s="14" t="str">
        <x:v>Legacy / nicht explizit versioniert</x:v>
      </x:c>
      <x:c r="V217" s="51" t="str"/>
      <x:c r="W217" s="14" t="str">
        <x:v>Migration auf NACE Rev. 2.1 erforderlich</x:v>
      </x:c>
      <x:c r="X217" s="14" t="str">
        <x:v>Organisation/Governance; konsolidierter Kreis und relevante Rechtseinheiten</x:v>
      </x:c>
      <x:c r="Y217" s="14" t="str">
        <x:v>Siehe Quelle: Definition gemäß Standard (ESRS/GRI/Taxonomie/ISO).</x:v>
      </x:c>
      <x:c r="Z217" s="14" t="str">
        <x:v>Dokumentierter Kriterienkatalog; nachvollziehbare Evidenz; DQR A/B bevorzugt</x:v>
      </x:c>
      <x:c r="AA217" s="14" t="str">
        <x:v>Unabhängige Fachprüfung/Limited Assurance; bei roten Linien Reasonable Assurance</x:v>
      </x:c>
      <x:c r="AB217" s="14" t="str">
        <x:v>Prüfung/Parametrisierung erforderlich</x:v>
      </x:c>
      <x:c r="AC217" s="14" t="str">
        <x:v>Hoch</x:v>
      </x:c>
      <x:c r="AD217" s="14" t="str">
        <x:v>Die Kategorie −3 fehlt; Vollständigkeit und Wirksamkeit sind feldspezifisch zu definieren.</x:v>
      </x:c>
      <x:c r="AE217" s="14" t="str">
        <x:v>v1.4</x:v>
      </x:c>
      <x:c r="AF217" s="52" t="str">
        <x:v>2026-08-16</x:v>
      </x:c>
      <x:c r="AG217" s="52"/>
    </x:row>
    <x:row r="218" ht="42" customHeight="1">
      <x:c r="A218" s="14" t="str">
        <x:v>WOK-S-158</x:v>
      </x:c>
      <x:c r="B218" s="14" t="str">
        <x:v>SDG 8 – Arbeit &amp; Wachstum</x:v>
      </x:c>
      <x:c r="C218" s="14" t="str">
        <x:v>8.8</x:v>
      </x:c>
      <x:c r="D218" s="14" t="str">
        <x:v>Arbeitszeit &amp; Überstunden</x:v>
      </x:c>
      <x:c r="E218" s="14" t="str">
        <x:v>Arbeitszeit &amp; Überstunden – Living Wage</x:v>
      </x:c>
      <x:c r="F218" s="14" t="str">
        <x:v>Abdeckung Lebenslohn</x:v>
      </x:c>
      <x:c r="G218" s="14" t="str">
        <x:v>% Beschäftigte</x:v>
      </x:c>
      <x:c r="H218" s="14" t="str">
        <x:v>higher_is_better</x:v>
      </x:c>
      <x:c r="I218" s="14" t="str">
        <x:v>R27</x:v>
      </x:c>
      <x:c r="J218" s="14" t="str">
        <x:v>≥95:+3; 80–94:+2; 60–79:0; 40–59:‑2; &lt;40:‑3</x:v>
      </x:c>
      <x:c r="K218" s="14" t="str">
        <x:v>Feste WÖk-Kalibrierung</x:v>
      </x:c>
      <x:c r="L218" s="14" t="str">
        <x:v>Arbeitskalibrierung – fachlich zu validieren</x:v>
      </x:c>
      <x:c r="M218" s="14" t="str">
        <x:v>WÖk-interne Klassenlogik</x:v>
      </x:c>
      <x:c r="N218" s="14" t="str">
        <x:v>Optional/Nein</x:v>
      </x:c>
      <x:c r="O218" s="14" t="str">
        <x:v>ESRS S1; GRI 401/403/405/406</x:v>
      </x:c>
      <x:c r="P218" s="14" t="str">
        <x:v>ESRS S1, GRI 401/403/405/406, ILO</x:v>
      </x:c>
      <x:c r="Q218" s="14" t="str">
        <x:v>Mess-, Berichts- oder Managementrahmen; Schwellen sind grundsätzlich WÖk-Kalibrierungen</x:v>
      </x:c>
      <x:c r="R218" s="14" t="str">
        <x:v>Messgrundlage belegt; Schwellenkalibrierung offen</x:v>
      </x:c>
      <x:c r="S218" s="14" t="str">
        <x:v>EU-ESRS; GRI; ISO-45001; ILO-LW; ILO-CORE</x:v>
      </x:c>
      <x:c r="T218" s="14" t="str">
        <x:v>G47 Handel; K Versicherungen; M72 F&amp;E</x:v>
      </x:c>
      <x:c r="U218" s="14" t="str">
        <x:v>Legacy / nicht explizit versioniert</x:v>
      </x:c>
      <x:c r="V218" s="51" t="str"/>
      <x:c r="W218" s="14" t="str">
        <x:v>Migration auf NACE Rev. 2.1 erforderlich</x:v>
      </x:c>
      <x:c r="X218" s="14" t="str">
        <x:v>Eigene Belegschaft/Organisation; FTE, Beschäftigtengruppe und Zeitraum</x:v>
      </x:c>
      <x:c r="Y218" s="14" t="str">
        <x:v>Anteil Beschäftigte ≥ Living Wage (zertifizierte Methodik).</x:v>
      </x:c>
      <x:c r="Z218" s="14" t="str">
        <x:v>Primärdaten bevorzugt; Sekundärdaten nur transparent und versioniert; Methode und Systemgrenze dokumentieren</x:v>
      </x:c>
      <x:c r="AA218" s="14" t="str">
        <x:v>Limited Assurance; risikobasiert höhere Prüftiefe</x:v>
      </x:c>
      <x:c r="AB218" s="14" t="str">
        <x:v>Strukturell nutzbar; Schwellen fachlich zu validieren</x:v>
      </x:c>
      <x:c r="AC218" s="14" t="str">
        <x:v>Mittel</x:v>
      </x:c>
      <x:c r="AD218" s="14" t="str">
        <x:v>Vollständige fünfstufige numerische Regel.</x:v>
      </x:c>
      <x:c r="AE218" s="14" t="str">
        <x:v>v1.4</x:v>
      </x:c>
      <x:c r="AF218" s="52" t="str">
        <x:v>2026-08-16</x:v>
      </x:c>
      <x:c r="AG218" s="52"/>
    </x:row>
    <x:row r="219" ht="42" customHeight="1">
      <x:c r="A219" s="14" t="str">
        <x:v>WOK-S-159</x:v>
      </x:c>
      <x:c r="B219" s="14" t="str">
        <x:v>SDG 8 – Arbeit &amp; Wachstum</x:v>
      </x:c>
      <x:c r="C219" s="14" t="str">
        <x:v>8.8</x:v>
      </x:c>
      <x:c r="D219" s="14" t="str">
        <x:v>Arbeitszeit &amp; Überstunden</x:v>
      </x:c>
      <x:c r="E219" s="14" t="str">
        <x:v>Arbeitszeit &amp; Überstunden – Tarifbindung</x:v>
      </x:c>
      <x:c r="F219" s="14" t="str">
        <x:v>Beschäftigte unter Kollektivvertrag</x:v>
      </x:c>
      <x:c r="G219" s="14" t="str">
        <x:v>%</x:v>
      </x:c>
      <x:c r="H219" s="14" t="str">
        <x:v>higher_is_better</x:v>
      </x:c>
      <x:c r="I219" s="14" t="str">
        <x:v>R26</x:v>
      </x:c>
      <x:c r="J219" s="14" t="str">
        <x:v>≥90:+3; 70–89:+2; 50–69:0; 30–49:‑2; &lt;30:‑3</x:v>
      </x:c>
      <x:c r="K219" s="14" t="str">
        <x:v>Feste WÖk-Kalibrierung</x:v>
      </x:c>
      <x:c r="L219" s="14" t="str">
        <x:v>Arbeitskalibrierung – fachlich zu validieren</x:v>
      </x:c>
      <x:c r="M219" s="14" t="str">
        <x:v>WÖk-interne Klassenlogik</x:v>
      </x:c>
      <x:c r="N219" s="14" t="str">
        <x:v>Optional/Nein</x:v>
      </x:c>
      <x:c r="O219" s="14" t="str">
        <x:v>ESRS S1; GRI 401/403/405/406</x:v>
      </x:c>
      <x:c r="P219" s="14" t="str">
        <x:v>ESRS S1, GRI 401/403/405/406, ILO</x:v>
      </x:c>
      <x:c r="Q219" s="14" t="str">
        <x:v>Mess-, Berichts- oder Managementrahmen; Schwellen sind grundsätzlich WÖk-Kalibrierungen</x:v>
      </x:c>
      <x:c r="R219" s="14" t="str">
        <x:v>Messgrundlage belegt; Schwellenkalibrierung offen</x:v>
      </x:c>
      <x:c r="S219" s="14" t="str">
        <x:v>EU-ESRS; GRI; ISO-45001; ILO-LW; ILO-CORE</x:v>
      </x:c>
      <x:c r="T219" s="14" t="str">
        <x:v>G47 Handel; K Versicherungen; M72 F&amp;E</x:v>
      </x:c>
      <x:c r="U219" s="14" t="str">
        <x:v>Legacy / nicht explizit versioniert</x:v>
      </x:c>
      <x:c r="V219" s="51" t="str"/>
      <x:c r="W219" s="14" t="str">
        <x:v>Migration auf NACE Rev. 2.1 erforderlich</x:v>
      </x:c>
      <x:c r="X219" s="14" t="str">
        <x:v>Eigene Belegschaft/Organisation; FTE, Beschäftigtengruppe und Zeitraum</x:v>
      </x:c>
      <x:c r="Y219" s="14" t="str">
        <x:v>Quote = Zähler / Nenner gemäß Quelle; in %.</x:v>
      </x:c>
      <x:c r="Z219" s="14" t="str">
        <x:v>Primärdaten bevorzugt; Sekundärdaten nur transparent und versioniert; Methode und Systemgrenze dokumentieren</x:v>
      </x:c>
      <x:c r="AA219" s="14" t="str">
        <x:v>Limited Assurance; risikobasiert höhere Prüftiefe</x:v>
      </x:c>
      <x:c r="AB219" s="14" t="str">
        <x:v>Strukturell nutzbar; Schwellen fachlich zu validieren</x:v>
      </x:c>
      <x:c r="AC219" s="14" t="str">
        <x:v>Mittel</x:v>
      </x:c>
      <x:c r="AD219" s="14" t="str">
        <x:v>Vollständige fünfstufige numerische Regel.</x:v>
      </x:c>
      <x:c r="AE219" s="14" t="str">
        <x:v>v1.4</x:v>
      </x:c>
      <x:c r="AF219" s="52" t="str">
        <x:v>2026-08-16</x:v>
      </x:c>
      <x:c r="AG219" s="52"/>
    </x:row>
    <x:row r="220" ht="42" customHeight="1">
      <x:c r="A220" s="14" t="str">
        <x:v>WOK-S-160</x:v>
      </x:c>
      <x:c r="B220" s="14" t="str">
        <x:v>SDG 8 – Arbeit &amp; Wachstum</x:v>
      </x:c>
      <x:c r="C220" s="14" t="str">
        <x:v>8.8</x:v>
      </x:c>
      <x:c r="D220" s="14" t="str">
        <x:v>Arbeitszeit &amp; Überstunden</x:v>
      </x:c>
      <x:c r="E220" s="14" t="str">
        <x:v>Arbeitszeit &amp; Überstunden – LTIFR</x:v>
      </x:c>
      <x:c r="F220" s="14" t="str">
        <x:v>Arbeitsunfälle pro Mio Stunden</x:v>
      </x:c>
      <x:c r="G220" s="14" t="str">
        <x:v>Unfälle/Mio Std.</x:v>
      </x:c>
      <x:c r="H220" s="14" t="str">
        <x:v>lower_is_better</x:v>
      </x:c>
      <x:c r="I220" s="14" t="str">
        <x:v>R02</x:v>
      </x:c>
      <x:c r="J220" s="14" t="str">
        <x:v>0:+3; ≤1:+2; ≤3:0; ≤5:‑2; &gt;5:‑3</x:v>
      </x:c>
      <x:c r="K220" s="14" t="str">
        <x:v>Feste WÖk-Kalibrierung</x:v>
      </x:c>
      <x:c r="L220" s="14" t="str">
        <x:v>Arbeitskalibrierung – fachlich zu validieren</x:v>
      </x:c>
      <x:c r="M220" s="14" t="str">
        <x:v>WÖk-interne Klassenlogik</x:v>
      </x:c>
      <x:c r="N220" s="14" t="str">
        <x:v>Optional/Nein</x:v>
      </x:c>
      <x:c r="O220" s="14" t="str">
        <x:v>ESRS S1; GRI 401/403/405/406</x:v>
      </x:c>
      <x:c r="P220" s="14" t="str">
        <x:v>ESRS S1, GRI 401/403/405/406, ILO</x:v>
      </x:c>
      <x:c r="Q220" s="14" t="str">
        <x:v>Mess-, Berichts- oder Managementrahmen; Schwellen sind grundsätzlich WÖk-Kalibrierungen</x:v>
      </x:c>
      <x:c r="R220" s="14" t="str">
        <x:v>Messgrundlage belegt; Schwellenkalibrierung offen</x:v>
      </x:c>
      <x:c r="S220" s="14" t="str">
        <x:v>EU-ESRS; GRI; ISO-45001; ILO-LW; ILO-CORE</x:v>
      </x:c>
      <x:c r="T220" s="14" t="str">
        <x:v>G47 Handel; K Versicherungen; M72 F&amp;E</x:v>
      </x:c>
      <x:c r="U220" s="14" t="str">
        <x:v>Legacy / nicht explizit versioniert</x:v>
      </x:c>
      <x:c r="V220" s="51" t="str"/>
      <x:c r="W220" s="14" t="str">
        <x:v>Migration auf NACE Rev. 2.1 erforderlich</x:v>
      </x:c>
      <x:c r="X220" s="14" t="str">
        <x:v>Eigene Belegschaft/Organisation; FTE, Beschäftigtengruppe und Zeitraum</x:v>
      </x:c>
      <x:c r="Y220" s="14" t="str">
        <x:v>LTIFR = Unfälle mit Ausfallzeit / 1 Mio. Std. (ILO/GRI 403).</x:v>
      </x:c>
      <x:c r="Z220" s="14" t="str">
        <x:v>Primärdaten bevorzugt; Sekundärdaten nur transparent und versioniert; Methode und Systemgrenze dokumentieren</x:v>
      </x:c>
      <x:c r="AA220" s="14" t="str">
        <x:v>Limited Assurance; risikobasiert höhere Prüftiefe</x:v>
      </x:c>
      <x:c r="AB220" s="14" t="str">
        <x:v>Strukturell nutzbar; Schwellen fachlich zu validieren</x:v>
      </x:c>
      <x:c r="AC220" s="14" t="str">
        <x:v>Mittel</x:v>
      </x:c>
      <x:c r="AD220" s="14" t="str">
        <x:v>Vollständige fünfstufige numerische Regel.</x:v>
      </x:c>
      <x:c r="AE220" s="14" t="str">
        <x:v>v1.4</x:v>
      </x:c>
      <x:c r="AF220" s="52" t="str">
        <x:v>2026-08-16</x:v>
      </x:c>
      <x:c r="AG220" s="52"/>
    </x:row>
    <x:row r="221" ht="42" customHeight="1">
      <x:c r="A221" s="14" t="str">
        <x:v>WOK-E-146</x:v>
      </x:c>
      <x:c r="B221" s="14" t="str">
        <x:v>SDG 9 – Industrie/Innovation</x:v>
      </x:c>
      <x:c r="C221" s="14" t="str">
        <x:v>9.4</x:v>
      </x:c>
      <x:c r="D221" s="14" t="str">
        <x:v>Prozess‑THG‑Intensität</x:v>
      </x:c>
      <x:c r="E221" s="14" t="str">
        <x:v>Prozess‑THG‑Intensität – Green R&amp;D</x:v>
      </x:c>
      <x:c r="F221" s="14" t="str">
        <x:v>Anteil F&amp;E für grüne Technologien</x:v>
      </x:c>
      <x:c r="G221" s="14" t="str">
        <x:v>% Umsatz</x:v>
      </x:c>
      <x:c r="H221" s="14" t="str">
        <x:v>higher_is_better</x:v>
      </x:c>
      <x:c r="I221" s="14" t="str">
        <x:v>R19</x:v>
      </x:c>
      <x:c r="J221" s="14" t="str">
        <x:v>≥5:+3; 3–4,9:+2; 1–2,9:0; 0,5–0,9:‑2; &lt;0,5:‑3</x:v>
      </x:c>
      <x:c r="K221" s="14" t="str">
        <x:v>Feste WÖk-Kalibrierung</x:v>
      </x:c>
      <x:c r="L221" s="14" t="str">
        <x:v>Arbeitskalibrierung – fachlich zu validieren</x:v>
      </x:c>
      <x:c r="M221" s="14" t="str">
        <x:v>WÖk-interne Klassenlogik</x:v>
      </x:c>
      <x:c r="N221" s="14" t="str">
        <x:v>Optional/Nein</x:v>
      </x:c>
      <x:c r="O221" s="14" t="str">
        <x:v>ESRS E1; GHG Protocol</x:v>
      </x:c>
      <x:c r="P221" s="14" t="str">
        <x:v>ESRS E1, GHG Protocol (Corporate/Scope 1–3), ISO 14064/14067</x:v>
      </x:c>
      <x:c r="Q221" s="14" t="str">
        <x:v>Mess-, Berichts- oder Managementrahmen; Schwellen sind grundsätzlich WÖk-Kalibrierungen</x:v>
      </x:c>
      <x:c r="R221" s="14" t="str">
        <x:v>Messgrundlage belegt; Schwellenkalibrierung offen</x:v>
      </x:c>
      <x:c r="S221" s="14" t="str">
        <x:v>EU-ESRS; GHG-CORP; GHG-S3; GHG-PROD</x:v>
      </x:c>
      <x:c r="T221" s="14" t="str">
        <x:v>C20 Chemie; C24 Stahl; C29 Fahrzeuge</x:v>
      </x:c>
      <x:c r="U221" s="14" t="str">
        <x:v>Legacy / nicht explizit versioniert</x:v>
      </x:c>
      <x:c r="V221" s="51" t="str"/>
      <x:c r="W221" s="14" t="str">
        <x:v>Migration auf NACE Rev. 2.1 erforderlich</x:v>
      </x:c>
      <x:c r="X221" s="14" t="str">
        <x:v>Standort/Prozess/Aktivität; Bezugsgröße und relevante Umweltmedien</x:v>
      </x:c>
      <x:c r="Y221" s="14" t="str">
        <x:v>Quote = Zähler / Nenner gemäß Quelle; in %.</x:v>
      </x:c>
      <x:c r="Z221" s="14" t="str">
        <x:v>Primärdaten bevorzugt; Sekundärdaten nur transparent und versioniert; Methode und Systemgrenze dokumentieren</x:v>
      </x:c>
      <x:c r="AA221" s="14" t="str">
        <x:v>Limited Assurance; risikobasiert höhere Prüftiefe</x:v>
      </x:c>
      <x:c r="AB221" s="14" t="str">
        <x:v>Strukturell nutzbar; Schwellen fachlich zu validieren</x:v>
      </x:c>
      <x:c r="AC221" s="14" t="str">
        <x:v>Mittel</x:v>
      </x:c>
      <x:c r="AD221" s="14" t="str">
        <x:v>Vollständige fünfstufige numerische Regel.</x:v>
      </x:c>
      <x:c r="AE221" s="14" t="str">
        <x:v>v1.4</x:v>
      </x:c>
      <x:c r="AF221" s="52" t="str">
        <x:v>2026-08-16</x:v>
      </x:c>
      <x:c r="AG221" s="52"/>
    </x:row>
    <x:row r="222" ht="42" customHeight="1">
      <x:c r="A222" s="14" t="str">
        <x:v>WOK-E-147</x:v>
      </x:c>
      <x:c r="B222" s="14" t="str">
        <x:v>SDG 9 – Industrie/Innovation</x:v>
      </x:c>
      <x:c r="C222" s="14" t="str">
        <x:v>9.4</x:v>
      </x:c>
      <x:c r="D222" s="14" t="str">
        <x:v>Prozess‑THG‑Intensität</x:v>
      </x:c>
      <x:c r="E222" s="14" t="str">
        <x:v>Prozess‑THG‑Intensität – SDG‑Patente</x:v>
      </x:c>
      <x:c r="F222" s="14" t="str">
        <x:v>Anteil SDG‑relevanter Patente</x:v>
      </x:c>
      <x:c r="G222" s="14" t="str">
        <x:v>%</x:v>
      </x:c>
      <x:c r="H222" s="14" t="str">
        <x:v>higher_is_better</x:v>
      </x:c>
      <x:c r="I222" s="14" t="str">
        <x:v>R17</x:v>
      </x:c>
      <x:c r="J222" s="14" t="str">
        <x:v>≥40:+3; 25–39:+2; 10–24:0; 5–9:‑2; &lt;5:‑3</x:v>
      </x:c>
      <x:c r="K222" s="14" t="str">
        <x:v>Feste WÖk-Kalibrierung</x:v>
      </x:c>
      <x:c r="L222" s="14" t="str">
        <x:v>Arbeitskalibrierung – fachlich zu validieren</x:v>
      </x:c>
      <x:c r="M222" s="14" t="str">
        <x:v>WÖk-interne Klassenlogik</x:v>
      </x:c>
      <x:c r="N222" s="14" t="str">
        <x:v>Optional/Nein</x:v>
      </x:c>
      <x:c r="O222" s="14" t="str">
        <x:v>Patentstatistik</x:v>
      </x:c>
      <x:c r="P222" s="14" t="str">
        <x:v>ESRS E1, GHG Protocol (Corporate/Scope 1–3), ISO 14064/14067</x:v>
      </x:c>
      <x:c r="Q222" s="14" t="str">
        <x:v>Input-/Innovationsdaten; Patentzahl allein ist kein Wirkungsnachweis</x:v>
      </x:c>
      <x:c r="R222" s="14" t="str">
        <x:v>Teilbelegt – Wirkungslogik ergänzen</x:v>
      </x:c>
      <x:c r="S222" s="14" t="str">
        <x:v>EPO-PATSTAT; OECD-FRASCATI</x:v>
      </x:c>
      <x:c r="T222" s="14" t="str">
        <x:v>C20 Chemie; C24 Stahl; C29 Fahrzeuge</x:v>
      </x:c>
      <x:c r="U222" s="14" t="str">
        <x:v>Legacy / nicht explizit versioniert</x:v>
      </x:c>
      <x:c r="V222" s="51" t="str"/>
      <x:c r="W222" s="14" t="str">
        <x:v>Migration auf NACE Rev. 2.1 erforderlich</x:v>
      </x:c>
      <x:c r="X222" s="14" t="str">
        <x:v>Standort/Prozess/Aktivität; Bezugsgröße und relevante Umweltmedien</x:v>
      </x:c>
      <x:c r="Y222" s="14" t="str">
        <x:v>Quote = Zähler / Nenner gemäß Quelle; in %.</x:v>
      </x:c>
      <x:c r="Z222" s="14" t="str">
        <x:v>Primärdaten oder qualitätsgesicherte Sekundärdaten; Methode, Zeitraum und Systemgrenze dokumentieren</x:v>
      </x:c>
      <x:c r="AA222" s="14" t="str">
        <x:v>Limited Assurance; bei materieller Steuerwirkung risikobasiert vertiefen</x:v>
      </x:c>
      <x:c r="AB222" s="14" t="str">
        <x:v>Produktspezifische bzw. lokale Prüfung erforderlich</x:v>
      </x:c>
      <x:c r="AC222" s="14" t="str">
        <x:v>Hoch</x:v>
      </x:c>
      <x:c r="AD222" s="14" t="str">
        <x:v>Patentmenge nicht mit Wirkung gleichsetzen; Qualität und Nutzung ergänzen. Vollständige fünfstufige numerische Regel.</x:v>
      </x:c>
      <x:c r="AE222" s="14" t="str">
        <x:v>v1.4</x:v>
      </x:c>
      <x:c r="AF222" s="52" t="str">
        <x:v>2026-08-16</x:v>
      </x:c>
      <x:c r="AG222" s="52"/>
    </x:row>
    <x:row r="223" ht="42" customHeight="1">
      <x:c r="A223" s="14" t="str">
        <x:v>WOK-E-148</x:v>
      </x:c>
      <x:c r="B223" s="14" t="str">
        <x:v>SDG 9 – Industrie/Innovation</x:v>
      </x:c>
      <x:c r="C223" s="14" t="str">
        <x:v>9.4</x:v>
      </x:c>
      <x:c r="D223" s="14" t="str">
        <x:v>Prozess‑THG‑Intensität</x:v>
      </x:c>
      <x:c r="E223" s="14" t="str">
        <x:v>Prozess‑THG‑Intensität – Prozess‑Effizienz</x:v>
      </x:c>
      <x:c r="F223" s="14" t="str">
        <x:v>Energie/Emission je Einheit</x:v>
      </x:c>
      <x:c r="G223" s="14" t="str">
        <x:v>kWh/t bzw. t CO₂e/t</x:v>
      </x:c>
      <x:c r="H223" s="14" t="str">
        <x:v>lower_is_better</x:v>
      </x:c>
      <x:c r="I223" s="14" t="str">
        <x:v>R06</x:v>
      </x:c>
      <x:c r="J223" s="14" t="str">
        <x:v>Top‑10%:+3; Mittel:0; &gt;150%:‑2; &gt;250%:‑3</x:v>
      </x:c>
      <x:c r="K223" s="14" t="str">
        <x:v>Benchmarkabhängig</x:v>
      </x:c>
      <x:c r="L223" s="14" t="str">
        <x:v>Validierter Benchmark fehlt</x:v>
      </x:c>
      <x:c r="M223" s="14" t="str">
        <x:v>Branche/Region/Technologie</x:v>
      </x:c>
      <x:c r="N223" s="14" t="str">
        <x:v>Ja</x:v>
      </x:c>
      <x:c r="O223" s="14" t="str">
        <x:v>ESRS E1; GHG Protocol</x:v>
      </x:c>
      <x:c r="P223" s="14" t="str">
        <x:v>ESRS E1, GHG Protocol (Corporate/Scope 1–3), ISO 14064/14067</x:v>
      </x:c>
      <x:c r="Q223" s="14" t="str">
        <x:v>Mess-/Methodenrahmen; aktiver Branchen-/Regional-/Technologiebenchmark separat erforderlich</x:v>
      </x:c>
      <x:c r="R223" s="14" t="str">
        <x:v>Teilbelegt – Benchmarkquelle fehlt</x:v>
      </x:c>
      <x:c r="S223" s="14" t="str">
        <x:v>EU-ESRS; GHG-CORP; GHG-S3; GHG-PROD</x:v>
      </x:c>
      <x:c r="T223" s="14" t="str">
        <x:v>C20 Chemie; C24 Stahl; C29 Fahrzeuge</x:v>
      </x:c>
      <x:c r="U223" s="14" t="str">
        <x:v>Legacy / nicht explizit versioniert</x:v>
      </x:c>
      <x:c r="V223" s="51" t="str"/>
      <x:c r="W223" s="14" t="str">
        <x:v>Migration auf NACE Rev. 2.1 erforderlich</x:v>
      </x:c>
      <x:c r="X223" s="14" t="str">
        <x:v>Standort/Prozess/Aktivität; Bezugsgröße und relevante Umweltmedien</x:v>
      </x:c>
      <x:c r="Y223" s="14" t="str">
        <x:v>Siehe Quelle: Definition gemäß Standard (ESRS/GRI/Taxonomie/ISO).</x:v>
      </x:c>
      <x:c r="Z223" s="14" t="str">
        <x:v>Primärdaten plus repräsentativer, versionierter Benchmarkdatensatz; Stichprobe und Population offenlegen</x:v>
      </x:c>
      <x:c r="AA223" s="14" t="str">
        <x:v>Messwert-Assurance und unabhängige Benchmark-Governance</x:v>
      </x:c>
      <x:c r="AB223" s="14" t="str">
        <x:v>Prüfung/Parametrisierung erforderlich</x:v>
      </x:c>
      <x:c r="AC223" s="14" t="str">
        <x:v>Hoch</x:v>
      </x:c>
      <x:c r="AD223" s="14" t="str">
        <x:v>Top-10-Prozent, Mittelwert, 150 % und 250 % müssen aus einer dokumentierten Grundgesamtheit stammen.</x:v>
      </x:c>
      <x:c r="AE223" s="14" t="str">
        <x:v>v1.4</x:v>
      </x:c>
      <x:c r="AF223" s="52" t="str">
        <x:v>2026-08-16</x:v>
      </x:c>
      <x:c r="AG223" s="52"/>
    </x:row>
    <x:row r="224" ht="42" customHeight="1">
      <x:c r="A224" s="14" t="str">
        <x:v>WOK-G-143</x:v>
      </x:c>
      <x:c r="B224" s="14" t="str">
        <x:v>SDG 9 – Industrie/Innovation</x:v>
      </x:c>
      <x:c r="C224" s="14" t="str">
        <x:v>9.5</x:v>
      </x:c>
      <x:c r="D224" s="14" t="str">
        <x:v>Green R&amp;D</x:v>
      </x:c>
      <x:c r="E224" s="14" t="str">
        <x:v>Green R&amp;D – Green R&amp;D</x:v>
      </x:c>
      <x:c r="F224" s="14" t="str">
        <x:v>Anteil F&amp;E für grüne Technologien</x:v>
      </x:c>
      <x:c r="G224" s="14" t="str">
        <x:v>% Umsatz</x:v>
      </x:c>
      <x:c r="H224" s="14" t="str">
        <x:v>higher_is_better</x:v>
      </x:c>
      <x:c r="I224" s="14" t="str">
        <x:v>R19</x:v>
      </x:c>
      <x:c r="J224" s="14" t="str">
        <x:v>≥5:+3; 3–4,9:+2; 1–2,9:0; 0,5–0,9:‑2; &lt;0,5:‑3</x:v>
      </x:c>
      <x:c r="K224" s="14" t="str">
        <x:v>Feste WÖk-Kalibrierung</x:v>
      </x:c>
      <x:c r="L224" s="14" t="str">
        <x:v>Arbeitskalibrierung – fachlich zu validieren</x:v>
      </x:c>
      <x:c r="M224" s="14" t="str">
        <x:v>WÖk-interne Klassenlogik</x:v>
      </x:c>
      <x:c r="N224" s="14" t="str">
        <x:v>Optional/Nein</x:v>
      </x:c>
      <x:c r="O224" s="14" t="str">
        <x:v>ESRS E1; GHG Protocol</x:v>
      </x:c>
      <x:c r="P224" s="14" t="str">
        <x:v>OECD Frascati, PATSTAT</x:v>
      </x:c>
      <x:c r="Q224" s="14" t="str">
        <x:v>Mess-, Berichts- oder Managementrahmen; Schwellen sind grundsätzlich WÖk-Kalibrierungen</x:v>
      </x:c>
      <x:c r="R224" s="14" t="str">
        <x:v>Messgrundlage belegt; Schwellenkalibrierung offen</x:v>
      </x:c>
      <x:c r="S224" s="14" t="str">
        <x:v>EU-ESRS; GHG-CORP; GHG-S3; GHG-PROD</x:v>
      </x:c>
      <x:c r="T224" s="14" t="str">
        <x:v>C20 Chemie; C24 Stahl; C29 Fahrzeuge</x:v>
      </x:c>
      <x:c r="U224" s="14" t="str">
        <x:v>Legacy / nicht explizit versioniert</x:v>
      </x:c>
      <x:c r="V224" s="51" t="str"/>
      <x:c r="W224" s="14" t="str">
        <x:v>Migration auf NACE Rev. 2.1 erforderlich</x:v>
      </x:c>
      <x:c r="X224" s="14" t="str">
        <x:v>Organisation/Governance; konsolidierter Kreis und relevante Rechtseinheiten</x:v>
      </x:c>
      <x:c r="Y224" s="14" t="str">
        <x:v>Quote = Zähler / Nenner gemäß Quelle; in %.</x:v>
      </x:c>
      <x:c r="Z224" s="14" t="str">
        <x:v>Primärdaten bevorzugt; Sekundärdaten nur transparent und versioniert; Methode und Systemgrenze dokumentieren</x:v>
      </x:c>
      <x:c r="AA224" s="14" t="str">
        <x:v>Limited Assurance; risikobasiert höhere Prüftiefe</x:v>
      </x:c>
      <x:c r="AB224" s="14" t="str">
        <x:v>Strukturell nutzbar; Schwellen fachlich zu validieren</x:v>
      </x:c>
      <x:c r="AC224" s="14" t="str">
        <x:v>Mittel</x:v>
      </x:c>
      <x:c r="AD224" s="14" t="str">
        <x:v>Vollständige fünfstufige numerische Regel.</x:v>
      </x:c>
      <x:c r="AE224" s="14" t="str">
        <x:v>v1.4</x:v>
      </x:c>
      <x:c r="AF224" s="52" t="str">
        <x:v>2026-08-16</x:v>
      </x:c>
      <x:c r="AG224" s="52"/>
    </x:row>
    <x:row r="225" ht="42" customHeight="1">
      <x:c r="A225" s="14" t="str">
        <x:v>WOK-G-144</x:v>
      </x:c>
      <x:c r="B225" s="14" t="str">
        <x:v>SDG 9 – Industrie/Innovation</x:v>
      </x:c>
      <x:c r="C225" s="14" t="str">
        <x:v>9.5</x:v>
      </x:c>
      <x:c r="D225" s="14" t="str">
        <x:v>Green R&amp;D</x:v>
      </x:c>
      <x:c r="E225" s="14" t="str">
        <x:v>Green R&amp;D – SDG‑Patente</x:v>
      </x:c>
      <x:c r="F225" s="14" t="str">
        <x:v>Anteil SDG‑relevanter Patente</x:v>
      </x:c>
      <x:c r="G225" s="14" t="str">
        <x:v>%</x:v>
      </x:c>
      <x:c r="H225" s="14" t="str">
        <x:v>higher_is_better</x:v>
      </x:c>
      <x:c r="I225" s="14" t="str">
        <x:v>R17</x:v>
      </x:c>
      <x:c r="J225" s="14" t="str">
        <x:v>≥40:+3; 25–39:+2; 10–24:0; 5–9:‑2; &lt;5:‑3</x:v>
      </x:c>
      <x:c r="K225" s="14" t="str">
        <x:v>Feste WÖk-Kalibrierung</x:v>
      </x:c>
      <x:c r="L225" s="14" t="str">
        <x:v>Arbeitskalibrierung – fachlich zu validieren</x:v>
      </x:c>
      <x:c r="M225" s="14" t="str">
        <x:v>WÖk-interne Klassenlogik</x:v>
      </x:c>
      <x:c r="N225" s="14" t="str">
        <x:v>Optional/Nein</x:v>
      </x:c>
      <x:c r="O225" s="14" t="str">
        <x:v>Patentstatistik</x:v>
      </x:c>
      <x:c r="P225" s="14" t="str">
        <x:v>OECD Frascati, PATSTAT</x:v>
      </x:c>
      <x:c r="Q225" s="14" t="str">
        <x:v>Input-/Innovationsdaten; Patentzahl allein ist kein Wirkungsnachweis</x:v>
      </x:c>
      <x:c r="R225" s="14" t="str">
        <x:v>Teilbelegt – Wirkungslogik ergänzen</x:v>
      </x:c>
      <x:c r="S225" s="14" t="str">
        <x:v>EPO-PATSTAT; OECD-FRASCATI</x:v>
      </x:c>
      <x:c r="T225" s="14" t="str">
        <x:v>C20 Chemie; C24 Stahl; C29 Fahrzeuge</x:v>
      </x:c>
      <x:c r="U225" s="14" t="str">
        <x:v>Legacy / nicht explizit versioniert</x:v>
      </x:c>
      <x:c r="V225" s="51" t="str"/>
      <x:c r="W225" s="14" t="str">
        <x:v>Migration auf NACE Rev. 2.1 erforderlich</x:v>
      </x:c>
      <x:c r="X225" s="14" t="str">
        <x:v>Organisation/Governance; konsolidierter Kreis und relevante Rechtseinheiten</x:v>
      </x:c>
      <x:c r="Y225" s="14" t="str">
        <x:v>Quote = Zähler / Nenner gemäß Quelle; in %.</x:v>
      </x:c>
      <x:c r="Z225" s="14" t="str">
        <x:v>Primärdaten oder qualitätsgesicherte Sekundärdaten; Methode, Zeitraum und Systemgrenze dokumentieren</x:v>
      </x:c>
      <x:c r="AA225" s="14" t="str">
        <x:v>Limited Assurance; bei materieller Steuerwirkung risikobasiert vertiefen</x:v>
      </x:c>
      <x:c r="AB225" s="14" t="str">
        <x:v>Produktspezifische bzw. lokale Prüfung erforderlich</x:v>
      </x:c>
      <x:c r="AC225" s="14" t="str">
        <x:v>Hoch</x:v>
      </x:c>
      <x:c r="AD225" s="14" t="str">
        <x:v>Patentmenge nicht mit Wirkung gleichsetzen; Qualität und Nutzung ergänzen. Vollständige fünfstufige numerische Regel.</x:v>
      </x:c>
      <x:c r="AE225" s="14" t="str">
        <x:v>v1.4</x:v>
      </x:c>
      <x:c r="AF225" s="52" t="str">
        <x:v>2026-08-16</x:v>
      </x:c>
      <x:c r="AG225" s="52"/>
    </x:row>
    <x:row r="226" ht="42" customHeight="1">
      <x:c r="A226" s="14" t="str">
        <x:v>WOK-G-145</x:v>
      </x:c>
      <x:c r="B226" s="14" t="str">
        <x:v>SDG 9 – Industrie/Innovation</x:v>
      </x:c>
      <x:c r="C226" s="14" t="str">
        <x:v>9.5</x:v>
      </x:c>
      <x:c r="D226" s="14" t="str">
        <x:v>Green R&amp;D</x:v>
      </x:c>
      <x:c r="E226" s="14" t="str">
        <x:v>Green R&amp;D – Prozess‑Effizienz</x:v>
      </x:c>
      <x:c r="F226" s="14" t="str">
        <x:v>Energie/Emission je Einheit</x:v>
      </x:c>
      <x:c r="G226" s="14" t="str">
        <x:v>kWh/t bzw. t CO₂e/t</x:v>
      </x:c>
      <x:c r="H226" s="14" t="str">
        <x:v>lower_is_better</x:v>
      </x:c>
      <x:c r="I226" s="14" t="str">
        <x:v>R06</x:v>
      </x:c>
      <x:c r="J226" s="14" t="str">
        <x:v>Top‑10%:+3; Mittel:0; &gt;150%:‑2; &gt;250%:‑3</x:v>
      </x:c>
      <x:c r="K226" s="14" t="str">
        <x:v>Benchmarkabhängig</x:v>
      </x:c>
      <x:c r="L226" s="14" t="str">
        <x:v>Validierter Benchmark fehlt</x:v>
      </x:c>
      <x:c r="M226" s="14" t="str">
        <x:v>Branche/Region/Technologie</x:v>
      </x:c>
      <x:c r="N226" s="14" t="str">
        <x:v>Ja</x:v>
      </x:c>
      <x:c r="O226" s="14" t="str">
        <x:v>ESRS E1; GHG Protocol</x:v>
      </x:c>
      <x:c r="P226" s="14" t="str">
        <x:v>ESRS E1, GHG Protocol (Corporate/Scope 1–3), ISO 14064/14067</x:v>
      </x:c>
      <x:c r="Q226" s="14" t="str">
        <x:v>Mess-/Methodenrahmen; aktiver Branchen-/Regional-/Technologiebenchmark separat erforderlich</x:v>
      </x:c>
      <x:c r="R226" s="14" t="str">
        <x:v>Teilbelegt – Benchmarkquelle fehlt</x:v>
      </x:c>
      <x:c r="S226" s="14" t="str">
        <x:v>EU-ESRS; GHG-CORP; GHG-S3; GHG-PROD</x:v>
      </x:c>
      <x:c r="T226" s="14" t="str">
        <x:v>C20 Chemie; C24 Stahl; C29 Fahrzeuge</x:v>
      </x:c>
      <x:c r="U226" s="14" t="str">
        <x:v>Legacy / nicht explizit versioniert</x:v>
      </x:c>
      <x:c r="V226" s="51" t="str"/>
      <x:c r="W226" s="14" t="str">
        <x:v>Migration auf NACE Rev. 2.1 erforderlich</x:v>
      </x:c>
      <x:c r="X226" s="14" t="str">
        <x:v>Organisation/Governance; konsolidierter Kreis und relevante Rechtseinheiten</x:v>
      </x:c>
      <x:c r="Y226" s="14" t="str">
        <x:v>Siehe Quelle: Definition gemäß Standard (ESRS/GRI/Taxonomie/ISO).</x:v>
      </x:c>
      <x:c r="Z226" s="14" t="str">
        <x:v>Primärdaten plus repräsentativer, versionierter Benchmarkdatensatz; Stichprobe und Population offenlegen</x:v>
      </x:c>
      <x:c r="AA226" s="14" t="str">
        <x:v>Messwert-Assurance und unabhängige Benchmark-Governance</x:v>
      </x:c>
      <x:c r="AB226" s="14" t="str">
        <x:v>Prüfung/Parametrisierung erforderlich</x:v>
      </x:c>
      <x:c r="AC226" s="14" t="str">
        <x:v>Hoch</x:v>
      </x:c>
      <x:c r="AD226" s="14" t="str">
        <x:v>Top-10-Prozent, Mittelwert, 150 % und 250 % müssen aus einer dokumentierten Grundgesamtheit stammen.</x:v>
      </x:c>
      <x:c r="AE226" s="14" t="str">
        <x:v>v1.4</x:v>
      </x:c>
      <x:c r="AF226" s="52" t="str">
        <x:v>2026-08-16</x:v>
      </x:c>
      <x:c r="AG226" s="52"/>
    </x:row>
    <x:row r="227" ht="42" customHeight="1">
      <x:c r="A227" s="14" t="str">
        <x:v>WOK-RE-113</x:v>
      </x:c>
      <x:c r="B227" s="14" t="str">
        <x:v>SDG 9 – Industrie/Innovation</x:v>
      </x:c>
      <x:c r="C227" s="14" t="str">
        <x:v>9.1</x:v>
      </x:c>
      <x:c r="D227" s="14" t="str">
        <x:v>Infrastruktur‑Zugänglichkeit</x:v>
      </x:c>
      <x:c r="E227" s="14" t="str">
        <x:v>Infrastruktur‑Zugänglichkeit – Betriebsenergie</x:v>
      </x:c>
      <x:c r="F227" s="14" t="str">
        <x:v>Endenergiebedarf</x:v>
      </x:c>
      <x:c r="G227" s="14" t="str">
        <x:v>kWh/m²a</x:v>
      </x:c>
      <x:c r="H227" s="14" t="str">
        <x:v>lower_is_better</x:v>
      </x:c>
      <x:c r="I227" s="14" t="str">
        <x:v>R05</x:v>
      </x:c>
      <x:c r="J227" s="14" t="str">
        <x:v>Top 15%:+3; +15–30%:+2; +31–60%:0; &gt;+60%:‑2/‑3</x:v>
      </x:c>
      <x:c r="K227" s="14" t="str">
        <x:v>Benchmarkabhängig</x:v>
      </x:c>
      <x:c r="L227" s="14" t="str">
        <x:v>Validierter Benchmark fehlt</x:v>
      </x:c>
      <x:c r="M227" s="14" t="str">
        <x:v>Branche/Region/Technologie</x:v>
      </x:c>
      <x:c r="N227" s="14" t="str">
        <x:v>Ja</x:v>
      </x:c>
      <x:c r="O227" s="14" t="str">
        <x:v>EPBD; EN 15978</x:v>
      </x:c>
      <x:c r="P227" s="14" t="str">
        <x:v>ESRS E1, ISO 50001 (EnMS), ISO/IEC 30134‑2 (PUE), EU EPBD</x:v>
      </x:c>
      <x:c r="Q227" s="14" t="str">
        <x:v>Mess-/Methodenrahmen; aktiver Branchen-/Regional-/Technologiebenchmark separat erforderlich</x:v>
      </x:c>
      <x:c r="R227" s="14" t="str">
        <x:v>Teilbelegt – Benchmarkquelle fehlt</x:v>
      </x:c>
      <x:c r="S227" s="14" t="str">
        <x:v>EU-EPBD; CEN-15978</x:v>
      </x:c>
      <x:c r="T227" s="14" t="str">
        <x:v>H49 Verkehr</x:v>
      </x:c>
      <x:c r="U227" s="14" t="str">
        <x:v>Legacy / nicht explizit versioniert</x:v>
      </x:c>
      <x:c r="V227" s="51" t="str"/>
      <x:c r="W227" s="14" t="str">
        <x:v>Migration auf NACE Rev. 2.1 erforderlich</x:v>
      </x:c>
      <x:c r="X227" s="14" t="str">
        <x:v>Gebäude/Standort; Betrieb plus relevante Lebenszyklusmodule</x:v>
      </x:c>
      <x:c r="Y227" s="14" t="str">
        <x:v>Siehe Quelle: Definition gemäß Standard (ESRS/GRI/Taxonomie/ISO).</x:v>
      </x:c>
      <x:c r="Z227" s="14" t="str">
        <x:v>Primärdaten plus repräsentativer, versionierter Benchmarkdatensatz; Stichprobe und Population offenlegen</x:v>
      </x:c>
      <x:c r="AA227" s="14" t="str">
        <x:v>Messwert-Assurance und unabhängige Benchmark-Governance</x:v>
      </x:c>
      <x:c r="AB227" s="14" t="str">
        <x:v>Prüfung/Parametrisierung erforderlich</x:v>
      </x:c>
      <x:c r="AC227" s="14" t="str">
        <x:v>Hoch</x:v>
      </x:c>
      <x:c r="AD227" s="14" t="str">
        <x:v>Die Grenze &gt;+60 % ist derzeit nicht eindeutig in −2/−3 aufgelöst.</x:v>
      </x:c>
      <x:c r="AE227" s="14" t="str">
        <x:v>v1.4</x:v>
      </x:c>
      <x:c r="AF227" s="52" t="str">
        <x:v>2026-08-16</x:v>
      </x:c>
      <x:c r="AG227" s="52"/>
    </x:row>
    <x:row r="228" ht="42" customHeight="1">
      <x:c r="A228" s="14" t="str">
        <x:v>WOK-RE-114</x:v>
      </x:c>
      <x:c r="B228" s="14" t="str">
        <x:v>SDG 9 – Industrie/Innovation</x:v>
      </x:c>
      <x:c r="C228" s="14" t="str">
        <x:v>9.1</x:v>
      </x:c>
      <x:c r="D228" s="14" t="str">
        <x:v>Infrastruktur‑Zugänglichkeit</x:v>
      </x:c>
      <x:c r="E228" s="14" t="str">
        <x:v>Infrastruktur‑Zugänglichkeit – Graue Emissionen</x:v>
      </x:c>
      <x:c r="F228" s="14" t="str">
        <x:v>Embodied Carbon (A1–A3)</x:v>
      </x:c>
      <x:c r="G228" s="14" t="str">
        <x:v>kg CO₂e/m²</x:v>
      </x:c>
      <x:c r="H228" s="14" t="str">
        <x:v>lower_is_better</x:v>
      </x:c>
      <x:c r="I228" s="14" t="str">
        <x:v>R06</x:v>
      </x:c>
      <x:c r="J228" s="14" t="str">
        <x:v>Top‑10%:+3; Mittel:0; &gt;150%:‑2; &gt;250%:‑3</x:v>
      </x:c>
      <x:c r="K228" s="14" t="str">
        <x:v>Benchmarkabhängig</x:v>
      </x:c>
      <x:c r="L228" s="14" t="str">
        <x:v>Validierter Benchmark fehlt</x:v>
      </x:c>
      <x:c r="M228" s="14" t="str">
        <x:v>Branche/Region/Technologie</x:v>
      </x:c>
      <x:c r="N228" s="14" t="str">
        <x:v>Ja</x:v>
      </x:c>
      <x:c r="O228" s="14" t="str">
        <x:v>EN 15978/ISO 14067</x:v>
      </x:c>
      <x:c r="P228" s="14" t="str">
        <x:v>ESRS E1, GHG Protocol (Corporate/Scope 1–3), ISO 14064/14067</x:v>
      </x:c>
      <x:c r="Q228" s="14" t="str">
        <x:v>Mess-/Methodenrahmen; aktiver Branchen-/Regional-/Technologiebenchmark separat erforderlich</x:v>
      </x:c>
      <x:c r="R228" s="14" t="str">
        <x:v>Teilbelegt – Benchmarkquelle fehlt</x:v>
      </x:c>
      <x:c r="S228" s="14" t="str">
        <x:v>CEN-15978; ISO-14067</x:v>
      </x:c>
      <x:c r="T228" s="14" t="str">
        <x:v>H49 Verkehr</x:v>
      </x:c>
      <x:c r="U228" s="14" t="str">
        <x:v>Legacy / nicht explizit versioniert</x:v>
      </x:c>
      <x:c r="V228" s="51" t="str"/>
      <x:c r="W228" s="14" t="str">
        <x:v>Migration auf NACE Rev. 2.1 erforderlich</x:v>
      </x:c>
      <x:c r="X228" s="14" t="str">
        <x:v>Gebäude/Standort; Betrieb plus relevante Lebenszyklusmodule</x:v>
      </x:c>
      <x:c r="Y228" s="14" t="str">
        <x:v>Embodied Carbon gem. EN 15978 (A1–A3 ggf. A4–A5); kg CO₂e/m².</x:v>
      </x:c>
      <x:c r="Z228" s="14" t="str">
        <x:v>Primärdaten plus repräsentativer, versionierter Benchmarkdatensatz; Stichprobe und Population offenlegen</x:v>
      </x:c>
      <x:c r="AA228" s="14" t="str">
        <x:v>Messwert-Assurance und unabhängige Benchmark-Governance</x:v>
      </x:c>
      <x:c r="AB228" s="14" t="str">
        <x:v>Prüfung/Parametrisierung erforderlich</x:v>
      </x:c>
      <x:c r="AC228" s="14" t="str">
        <x:v>Hoch</x:v>
      </x:c>
      <x:c r="AD228" s="14" t="str">
        <x:v>Top-10-Prozent, Mittelwert, 150 % und 250 % müssen aus einer dokumentierten Grundgesamtheit stammen.</x:v>
      </x:c>
      <x:c r="AE228" s="14" t="str">
        <x:v>v1.4</x:v>
      </x:c>
      <x:c r="AF228" s="52" t="str">
        <x:v>2026-08-16</x:v>
      </x:c>
      <x:c r="AG228" s="52"/>
    </x:row>
    <x:row r="229" ht="42" customHeight="1">
      <x:c r="A229" s="14" t="str">
        <x:v>WOK-RE-115</x:v>
      </x:c>
      <x:c r="B229" s="14" t="str">
        <x:v>SDG 9 – Industrie/Innovation</x:v>
      </x:c>
      <x:c r="C229" s="14" t="str">
        <x:v>9.1</x:v>
      </x:c>
      <x:c r="D229" s="14" t="str">
        <x:v>Infrastruktur‑Zugänglichkeit</x:v>
      </x:c>
      <x:c r="E229" s="14" t="str">
        <x:v>Infrastruktur‑Zugänglichkeit – ÖPNV‑Erreichbarkeit</x:v>
      </x:c>
      <x:c r="F229" s="14" t="str">
        <x:v>Transit‑Score</x:v>
      </x:c>
      <x:c r="G229" s="14" t="str">
        <x:v>0–1</x:v>
      </x:c>
      <x:c r="H229" s="14" t="str">
        <x:v>higher_is_better</x:v>
      </x:c>
      <x:c r="I229" s="14" t="str">
        <x:v>R14</x:v>
      </x:c>
      <x:c r="J229" s="14" t="str">
        <x:v>≥0,8:+3; 0,6–0,79:+2; 0,4–0,59:0; 0,2–0,39:‑2; &lt;0,2:‑3</x:v>
      </x:c>
      <x:c r="K229" s="14" t="str">
        <x:v>Feste WÖk-Kalibrierung</x:v>
      </x:c>
      <x:c r="L229" s="14" t="str">
        <x:v>Arbeitskalibrierung – fachlich zu validieren</x:v>
      </x:c>
      <x:c r="M229" s="14" t="str">
        <x:v>WÖk-interne Klassenlogik</x:v>
      </x:c>
      <x:c r="N229" s="14" t="str">
        <x:v>Optional/Nein</x:v>
      </x:c>
      <x:c r="O229" s="14" t="str">
        <x:v>Stadt/GIS</x:v>
      </x:c>
      <x:c r="P229" s="14" t="str">
        <x:v>Stadt/GIS</x:v>
      </x:c>
      <x:c r="Q229" s="14" t="str">
        <x:v>Lokale Primärdaten; Datenhalter, Layer, Zeitraum und Methodik je Fall ergänzen</x:v>
      </x:c>
      <x:c r="R229" s="14" t="str">
        <x:v>Platzhalter – konkrete Datenquelle fehlt</x:v>
      </x:c>
      <x:c r="S229" s="14" t="str">
        <x:v>DATA-GIS</x:v>
      </x:c>
      <x:c r="T229" s="14" t="str">
        <x:v>H49 Verkehr</x:v>
      </x:c>
      <x:c r="U229" s="14" t="str">
        <x:v>Legacy / nicht explizit versioniert</x:v>
      </x:c>
      <x:c r="V229" s="51" t="str"/>
      <x:c r="W229" s="14" t="str">
        <x:v>Migration auf NACE Rev. 2.1 erforderlich</x:v>
      </x:c>
      <x:c r="X229" s="14" t="str">
        <x:v>Gebäude/Standort; Betrieb plus relevante Lebenszyklusmodule</x:v>
      </x:c>
      <x:c r="Y229" s="14" t="str">
        <x:v>Siehe Quelle: Definition gemäß Standard (ESRS/GRI/Taxonomie/ISO).</x:v>
      </x:c>
      <x:c r="Z229" s="14" t="str">
        <x:v>Primärdaten oder qualitätsgesicherte Sekundärdaten; Methode, Zeitraum und Systemgrenze dokumentieren</x:v>
      </x:c>
      <x:c r="AA229" s="14" t="str">
        <x:v>Limited Assurance; bei materieller Steuerwirkung risikobasiert vertiefen</x:v>
      </x:c>
      <x:c r="AB229" s="14" t="str">
        <x:v>Produktspezifische bzw. lokale Prüfung erforderlich</x:v>
      </x:c>
      <x:c r="AC229" s="14" t="str">
        <x:v>Hoch</x:v>
      </x:c>
      <x:c r="AD229" s="14" t="str">
        <x:v>Konkreten Datenhalter, GIS-Layer, Stichtag und Methodik ergänzen. Vollständige fünfstufige numerische Regel.</x:v>
      </x:c>
      <x:c r="AE229" s="14" t="str">
        <x:v>v1.4</x:v>
      </x:c>
      <x:c r="AF229" s="52" t="str">
        <x:v>2026-08-16</x:v>
      </x:c>
      <x:c r="AG229" s="52"/>
    </x:row>
    <x:row r="230" ht="42" customHeight="1">
      <x:c r="A230" s="14" t="str">
        <x:v>WOK-P-116</x:v>
      </x:c>
      <x:c r="B230" s="14" t="str">
        <x:v>SDG 9 – Industrie/Innovation</x:v>
      </x:c>
      <x:c r="C230" s="14" t="str">
        <x:v>9.4</x:v>
      </x:c>
      <x:c r="D230" s="14" t="str">
        <x:v>Produkt‑Sicherheit/Qualität</x:v>
      </x:c>
      <x:c r="E230" s="14" t="str">
        <x:v>Produkt‑Sicherheit/Qualität – PCF</x:v>
      </x:c>
      <x:c r="F230" s="14" t="str">
        <x:v>CO₂‑Fußabdruck pro Einheit</x:v>
      </x:c>
      <x:c r="G230" s="14" t="str">
        <x:v>kg CO₂e/Einheit</x:v>
      </x:c>
      <x:c r="H230" s="14" t="str">
        <x:v>lower_is_better</x:v>
      </x:c>
      <x:c r="I230" s="14" t="str">
        <x:v>R07</x:v>
      </x:c>
      <x:c r="J230" s="14" t="str">
        <x:v>Top‑10%:+3; ±Benchmark:0; &gt;150%:‑2; &gt;250%:‑3</x:v>
      </x:c>
      <x:c r="K230" s="14" t="str">
        <x:v>Benchmarkabhängig</x:v>
      </x:c>
      <x:c r="L230" s="14" t="str">
        <x:v>Validierter Benchmark fehlt</x:v>
      </x:c>
      <x:c r="M230" s="14" t="str">
        <x:v>Produktgruppe/Region/Technologie</x:v>
      </x:c>
      <x:c r="N230" s="14" t="str">
        <x:v>Ja</x:v>
      </x:c>
      <x:c r="O230" s="14" t="str">
        <x:v>ISO 14067; ESRS E5; GRI 306/301; WEEE/VerpackG</x:v>
      </x:c>
      <x:c r="P230" s="14" t="str">
        <x:v>ISO 14067/14040/44 (LCA/PCF), PEF/EF 3.1, EU Reparierbarkeitsindex</x:v>
      </x:c>
      <x:c r="Q230" s="14" t="str">
        <x:v>Mess-/Methodenrahmen; aktiver Branchen-/Regional-/Technologiebenchmark separat erforderlich</x:v>
      </x:c>
      <x:c r="R230" s="14" t="str">
        <x:v>Teilbelegt – Benchmarkquelle fehlt</x:v>
      </x:c>
      <x:c r="S230" s="14" t="str">
        <x:v>ISO-14067; EU-ESRS; GRI; EU-WEEE; DE-VERPACKG; EU-PPWR</x:v>
      </x:c>
      <x:c r="T230" s="14" t="str">
        <x:v>C20 Chemie; C24 Stahl; C29 Fahrzeuge</x:v>
      </x:c>
      <x:c r="U230" s="14" t="str">
        <x:v>Legacy / nicht explizit versioniert</x:v>
      </x:c>
      <x:c r="V230" s="51" t="str"/>
      <x:c r="W230" s="14" t="str">
        <x:v>Migration auf NACE Rev. 2.1 erforderlich</x:v>
      </x:c>
      <x:c r="X230" s="14" t="str">
        <x:v>Produkt/Funktionseinheit; Lebenszyklusgrenze mindestens cradle-to-gate, bei Nutzungs-/End-of-Life-Relevanz cradle-to-grave</x:v>
      </x:c>
      <x:c r="Y230" s="14" t="str">
        <x:v>PCF gemäß ISO 14067/PEF; Well‑to‑Gate + Nutzung falls zutreffend.</x:v>
      </x:c>
      <x:c r="Z230" s="14" t="str">
        <x:v>Primärdaten plus repräsentativer, versionierter Benchmarkdatensatz; Stichprobe und Population offenlegen</x:v>
      </x:c>
      <x:c r="AA230" s="14" t="str">
        <x:v>Messwert-Assurance und unabhängige Benchmark-Governance</x:v>
      </x:c>
      <x:c r="AB230" s="14" t="str">
        <x:v>Prüfung/Parametrisierung erforderlich</x:v>
      </x:c>
      <x:c r="AC230" s="14" t="str">
        <x:v>Hoch</x:v>
      </x:c>
      <x:c r="AD230" s="14" t="str">
        <x:v>Produktspezifische Referenzpopulation erforderlich.</x:v>
      </x:c>
      <x:c r="AE230" s="14" t="str">
        <x:v>v1.4</x:v>
      </x:c>
      <x:c r="AF230" s="52" t="str">
        <x:v>2026-08-16</x:v>
      </x:c>
      <x:c r="AG230" s="52"/>
    </x:row>
    <x:row r="231" ht="42" customHeight="1">
      <x:c r="A231" s="14" t="str">
        <x:v>WOK-P-117</x:v>
      </x:c>
      <x:c r="B231" s="14" t="str">
        <x:v>SDG 9 – Industrie/Innovation</x:v>
      </x:c>
      <x:c r="C231" s="14" t="str">
        <x:v>9.4</x:v>
      </x:c>
      <x:c r="D231" s="14" t="str">
        <x:v>Produkt‑Sicherheit/Qualität</x:v>
      </x:c>
      <x:c r="E231" s="14" t="str">
        <x:v>Produkt‑Sicherheit/Qualität – Reparierbarkeit</x:v>
      </x:c>
      <x:c r="F231" s="14" t="str">
        <x:v>Reparierbarkeitsindex</x:v>
      </x:c>
      <x:c r="G231" s="14" t="str">
        <x:v>Score 0–10</x:v>
      </x:c>
      <x:c r="H231" s="14" t="str">
        <x:v>higher_is_better</x:v>
      </x:c>
      <x:c r="I231" s="14" t="str">
        <x:v>R24</x:v>
      </x:c>
      <x:c r="J231" s="14" t="str">
        <x:v>≥8:+3; 6–7,9:+2; 4–5,9:0; 2–3,9:‑2; &lt;2:‑3</x:v>
      </x:c>
      <x:c r="K231" s="14" t="str">
        <x:v>Produktspezifische Indexkalibrierung</x:v>
      </x:c>
      <x:c r="L231" s="14" t="str">
        <x:v>Indexsystem und Produktgruppe müssen ausgewiesen werden</x:v>
      </x:c>
      <x:c r="M231" s="14" t="str">
        <x:v>FR-/EU-Reparierbarkeitssystem je Produktgruppe</x:v>
      </x:c>
      <x:c r="N231" s="14" t="str">
        <x:v>Optional/Nein</x:v>
      </x:c>
      <x:c r="O231" s="14" t="str">
        <x:v>EU/FR Index</x:v>
      </x:c>
      <x:c r="P231" s="14" t="str">
        <x:v>ISO 14067/14040/44 (LCA/PCF), PEF/EF 3.1, EU Reparierbarkeitsindex</x:v>
      </x:c>
      <x:c r="Q231" s="14" t="str">
        <x:v>Produktspezifischer Rechts-/Indexrahmen; System und Produktgruppe explizit auswählen</x:v>
      </x:c>
      <x:c r="R231" s="14" t="str">
        <x:v>Teilbelegt – produktspezifisch zu validieren</x:v>
      </x:c>
      <x:c r="S231" s="14" t="str">
        <x:v>FR-REPAIR; EU-REPAIR; EU-ESPR</x:v>
      </x:c>
      <x:c r="T231" s="14" t="str">
        <x:v>C20 Chemie; C24 Stahl; C29 Fahrzeuge</x:v>
      </x:c>
      <x:c r="U231" s="14" t="str">
        <x:v>Legacy / nicht explizit versioniert</x:v>
      </x:c>
      <x:c r="V231" s="51" t="str"/>
      <x:c r="W231" s="14" t="str">
        <x:v>Migration auf NACE Rev. 2.1 erforderlich</x:v>
      </x:c>
      <x:c r="X231" s="14" t="str">
        <x:v>Produkt/Funktionseinheit; Lebenszyklusgrenze mindestens cradle-to-gate, bei Nutzungs-/End-of-Life-Relevanz cradle-to-grave</x:v>
      </x:c>
      <x:c r="Y231" s="14" t="str">
        <x:v>EU/FR‑Reparierbarkeitsindex: Zerlegbarkeit, Ersatzteile, Doku.</x:v>
      </x:c>
      <x:c r="Z231" s="14" t="str">
        <x:v>Primärdaten oder qualitätsgesicherte Sekundärdaten; Methode, Zeitraum und Systemgrenze dokumentieren</x:v>
      </x:c>
      <x:c r="AA231" s="14" t="str">
        <x:v>Limited Assurance; bei materieller Steuerwirkung risikobasiert vertiefen</x:v>
      </x:c>
      <x:c r="AB231" s="14" t="str">
        <x:v>Produktspezifische bzw. lokale Prüfung erforderlich</x:v>
      </x:c>
      <x:c r="AC231" s="14" t="str">
        <x:v>Hoch</x:v>
      </x:c>
      <x:c r="AD231" s="14" t="str">
        <x:v>Indexsystem, Produktgruppe und Rechtsstand festlegen. Französischer Index und EU-Score sind nicht pauschal austauschbar.</x:v>
      </x:c>
      <x:c r="AE231" s="14" t="str">
        <x:v>v1.4</x:v>
      </x:c>
      <x:c r="AF231" s="52" t="str">
        <x:v>2026-08-16</x:v>
      </x:c>
      <x:c r="AG231" s="52"/>
    </x:row>
    <x:row r="232" ht="42" customHeight="1">
      <x:c r="A232" s="14" t="str">
        <x:v>WOK-P-118</x:v>
      </x:c>
      <x:c r="B232" s="14" t="str">
        <x:v>SDG 9 – Industrie/Innovation</x:v>
      </x:c>
      <x:c r="C232" s="14" t="str">
        <x:v>9.4</x:v>
      </x:c>
      <x:c r="D232" s="14" t="str">
        <x:v>Produkt‑Sicherheit/Qualität</x:v>
      </x:c>
      <x:c r="E232" s="14" t="str">
        <x:v>Produkt‑Sicherheit/Qualität – Rücknahme/Recycling</x:v>
      </x:c>
      <x:c r="F232" s="14" t="str">
        <x:v>Rücknahme‑/Recyclingquote</x:v>
      </x:c>
      <x:c r="G232" s="14" t="str">
        <x:v>%</x:v>
      </x:c>
      <x:c r="H232" s="14" t="str">
        <x:v>higher_is_better</x:v>
      </x:c>
      <x:c r="I232" s="14" t="str">
        <x:v>R22</x:v>
      </x:c>
      <x:c r="J232" s="14" t="str">
        <x:v>≥70:+3; 50–69:+2; 30–49:0; 15–29:‑2; &lt;15:‑3</x:v>
      </x:c>
      <x:c r="K232" s="14" t="str">
        <x:v>Feste WÖk-Kalibrierung</x:v>
      </x:c>
      <x:c r="L232" s="14" t="str">
        <x:v>Arbeitskalibrierung – fachlich zu validieren</x:v>
      </x:c>
      <x:c r="M232" s="14" t="str">
        <x:v>WÖk-interne Klassenlogik</x:v>
      </x:c>
      <x:c r="N232" s="14" t="str">
        <x:v>Optional/Nein</x:v>
      </x:c>
      <x:c r="O232" s="14" t="str">
        <x:v>ESRS E5; GRI 306/301; WEEE/VerpackG</x:v>
      </x:c>
      <x:c r="P232" s="14" t="str">
        <x:v>ESRS E5, GRI 306, WEEE/VerpackG</x:v>
      </x:c>
      <x:c r="Q232" s="14" t="str">
        <x:v>Mess-, Berichts- oder Managementrahmen; Schwellen sind grundsätzlich WÖk-Kalibrierungen</x:v>
      </x:c>
      <x:c r="R232" s="14" t="str">
        <x:v>Messgrundlage belegt; Schwellenkalibrierung offen</x:v>
      </x:c>
      <x:c r="S232" s="14" t="str">
        <x:v>EU-ESRS; GRI; EU-WEEE; DE-VERPACKG; EU-PPWR</x:v>
      </x:c>
      <x:c r="T232" s="14" t="str">
        <x:v>C20 Chemie; C24 Stahl; C29 Fahrzeuge</x:v>
      </x:c>
      <x:c r="U232" s="14" t="str">
        <x:v>Legacy / nicht explizit versioniert</x:v>
      </x:c>
      <x:c r="V232" s="51" t="str"/>
      <x:c r="W232" s="14" t="str">
        <x:v>Migration auf NACE Rev. 2.1 erforderlich</x:v>
      </x:c>
      <x:c r="X232" s="14" t="str">
        <x:v>Produkt/Funktionseinheit; Lebenszyklusgrenze mindestens cradle-to-gate, bei Nutzungs-/End-of-Life-Relevanz cradle-to-grave</x:v>
      </x:c>
      <x:c r="Y232" s="14" t="str">
        <x:v>Siehe Quelle: Definition gemäß Standard (ESRS/GRI/Taxonomie/ISO).</x:v>
      </x:c>
      <x:c r="Z232" s="14" t="str">
        <x:v>Primärdaten bevorzugt; Sekundärdaten nur transparent und versioniert; Methode und Systemgrenze dokumentieren</x:v>
      </x:c>
      <x:c r="AA232" s="14" t="str">
        <x:v>Limited Assurance; risikobasiert höhere Prüftiefe</x:v>
      </x:c>
      <x:c r="AB232" s="14" t="str">
        <x:v>Strukturell nutzbar; Schwellen fachlich zu validieren</x:v>
      </x:c>
      <x:c r="AC232" s="14" t="str">
        <x:v>Mittel</x:v>
      </x:c>
      <x:c r="AD232" s="14" t="str">
        <x:v>Vollständige fünfstufige numerische Regel.</x:v>
      </x:c>
      <x:c r="AE232" s="14" t="str">
        <x:v>v1.4</x:v>
      </x:c>
      <x:c r="AF232" s="52" t="str">
        <x:v>2026-08-16</x:v>
      </x:c>
      <x:c r="AG232" s="52"/>
    </x:row>
    <x:row r="233" ht="42" customHeight="1">
      <x:c r="A233" s="14" t="str">
        <x:v>WOK-SC-119</x:v>
      </x:c>
      <x:c r="B233" s="14" t="str">
        <x:v>SDG 9 – Industrie/Innovation</x:v>
      </x:c>
      <x:c r="C233" s="14" t="str">
        <x:v>9.c</x:v>
      </x:c>
      <x:c r="D233" s="14" t="str">
        <x:v>Lieferkette‑Digitalisierung/Transparenz</x:v>
      </x:c>
      <x:c r="E233" s="14" t="str">
        <x:v>Lieferkette‑Digitalisierung/Transparenz – ESG‑Spend‑Coverage</x:v>
      </x:c>
      <x:c r="F233" s="14" t="str">
        <x:v>Anteil verifizierter ESG‑Daten am Spend</x:v>
      </x:c>
      <x:c r="G233" s="14" t="str">
        <x:v>%</x:v>
      </x:c>
      <x:c r="H233" s="14" t="str">
        <x:v>higher_is_better</x:v>
      </x:c>
      <x:c r="I233" s="14" t="str">
        <x:v>R26</x:v>
      </x:c>
      <x:c r="J233" s="14" t="str">
        <x:v>≥90:+3; 70–89:+2; 50–69:0; 30–49:‑2; &lt;30:‑3</x:v>
      </x:c>
      <x:c r="K233" s="14" t="str">
        <x:v>Feste WÖk-Kalibrierung</x:v>
      </x:c>
      <x:c r="L233" s="14" t="str">
        <x:v>Arbeitskalibrierung – fachlich zu validieren</x:v>
      </x:c>
      <x:c r="M233" s="14" t="str">
        <x:v>WÖk-interne Klassenlogik</x:v>
      </x:c>
      <x:c r="N233" s="14" t="str">
        <x:v>Optional/Nein</x:v>
      </x:c>
      <x:c r="O233" s="14" t="str">
        <x:v>ESRS S2; GRI 308/414/408/409</x:v>
      </x:c>
      <x:c r="P233" s="14" t="str">
        <x:v>ESRS S2, GRI 308/414, OECD Due Diligence</x:v>
      </x:c>
      <x:c r="Q233" s="14" t="str">
        <x:v>Mess-, Berichts- oder Managementrahmen; Schwellen sind grundsätzlich WÖk-Kalibrierungen</x:v>
      </x:c>
      <x:c r="R233" s="14" t="str">
        <x:v>Messgrundlage belegt; Schwellenkalibrierung offen</x:v>
      </x:c>
      <x:c r="S233" s="14" t="str">
        <x:v>EU-ESRS; GRI; OECD-DD; ILO-CORE</x:v>
      </x:c>
      <x:c r="T233" s="14" t="str">
        <x:v>C20 Chemie; C24 Stahl; C29 Fahrzeuge</x:v>
      </x:c>
      <x:c r="U233" s="14" t="str">
        <x:v>Legacy / nicht explizit versioniert</x:v>
      </x:c>
      <x:c r="V233" s="51" t="str"/>
      <x:c r="W233" s="14" t="str">
        <x:v>Migration auf NACE Rev. 2.1 erforderlich</x:v>
      </x:c>
      <x:c r="X233" s="14" t="str">
        <x:v>Vorgelagerte Lieferkette; relevante Tier-Stufen und Beschaffungsvolumen</x:v>
      </x:c>
      <x:c r="Y233" s="14" t="str">
        <x:v>Quote = Zähler / Nenner gemäß Quelle; in %.</x:v>
      </x:c>
      <x:c r="Z233" s="14" t="str">
        <x:v>Primärdaten bevorzugt; Sekundärdaten nur transparent und versioniert; Methode und Systemgrenze dokumentieren</x:v>
      </x:c>
      <x:c r="AA233" s="14" t="str">
        <x:v>Limited Assurance; risikobasiert höhere Prüftiefe</x:v>
      </x:c>
      <x:c r="AB233" s="14" t="str">
        <x:v>Strukturell nutzbar; Schwellen fachlich zu validieren</x:v>
      </x:c>
      <x:c r="AC233" s="14" t="str">
        <x:v>Mittel</x:v>
      </x:c>
      <x:c r="AD233" s="14" t="str">
        <x:v>Vollständige fünfstufige numerische Regel.</x:v>
      </x:c>
      <x:c r="AE233" s="14" t="str">
        <x:v>v1.4</x:v>
      </x:c>
      <x:c r="AF233" s="52" t="str">
        <x:v>2026-08-16</x:v>
      </x:c>
      <x:c r="AG233" s="52"/>
    </x:row>
    <x:row r="234" ht="42" customHeight="1">
      <x:c r="A234" s="14" t="str">
        <x:v>WOK-SC-120</x:v>
      </x:c>
      <x:c r="B234" s="14" t="str">
        <x:v>SDG 9 – Industrie/Innovation</x:v>
      </x:c>
      <x:c r="C234" s="14" t="str">
        <x:v>9.c</x:v>
      </x:c>
      <x:c r="D234" s="14" t="str">
        <x:v>Lieferkette‑Digitalisierung/Transparenz</x:v>
      </x:c>
      <x:c r="E234" s="14" t="str">
        <x:v>Lieferkette‑Digitalisierung/Transparenz – Kinder/Zwangsarbeit</x:v>
      </x:c>
      <x:c r="F234" s="14" t="str">
        <x:v>Audits ohne Verstöße</x:v>
      </x:c>
      <x:c r="G234" s="14" t="str">
        <x:v>% Lieferanten</x:v>
      </x:c>
      <x:c r="H234" s="14" t="str">
        <x:v>higher_is_better</x:v>
      </x:c>
      <x:c r="I234" s="14" t="str">
        <x:v>R28</x:v>
      </x:c>
      <x:c r="J234" s="14" t="str">
        <x:v>≥98:+3; 90–97:+2; 75–89:0; 50–74:‑2; &lt;50:‑3</x:v>
      </x:c>
      <x:c r="K234" s="14" t="str">
        <x:v>Feste WÖk-Kalibrierung</x:v>
      </x:c>
      <x:c r="L234" s="14" t="str">
        <x:v>Arbeitskalibrierung – fachlich zu validieren</x:v>
      </x:c>
      <x:c r="M234" s="14" t="str">
        <x:v>WÖk-interne Klassenlogik</x:v>
      </x:c>
      <x:c r="N234" s="14" t="str">
        <x:v>Optional/Nein</x:v>
      </x:c>
      <x:c r="O234" s="14" t="str">
        <x:v>ESRS S2; GRI 308/414/408/409</x:v>
      </x:c>
      <x:c r="P234" s="14" t="str">
        <x:v>ESRS S2, GRI 308/414, OECD Due Diligence</x:v>
      </x:c>
      <x:c r="Q234" s="14" t="str">
        <x:v>Mess-, Berichts- oder Managementrahmen; Schwellen sind grundsätzlich WÖk-Kalibrierungen</x:v>
      </x:c>
      <x:c r="R234" s="14" t="str">
        <x:v>Messgrundlage belegt; Schwellenkalibrierung offen</x:v>
      </x:c>
      <x:c r="S234" s="14" t="str">
        <x:v>EU-ESRS; GRI; OECD-DD; ILO-CORE</x:v>
      </x:c>
      <x:c r="T234" s="14" t="str">
        <x:v>C20 Chemie; C24 Stahl; C29 Fahrzeuge</x:v>
      </x:c>
      <x:c r="U234" s="14" t="str">
        <x:v>Legacy / nicht explizit versioniert</x:v>
      </x:c>
      <x:c r="V234" s="51" t="str"/>
      <x:c r="W234" s="14" t="str">
        <x:v>Migration auf NACE Rev. 2.1 erforderlich</x:v>
      </x:c>
      <x:c r="X234" s="14" t="str">
        <x:v>Vorgelagerte Lieferkette; relevante Tier-Stufen und Beschaffungsvolumen</x:v>
      </x:c>
      <x:c r="Y234" s="14" t="str">
        <x:v>Quote = Zähler / Nenner gemäß Quelle; in %.</x:v>
      </x:c>
      <x:c r="Z234" s="14" t="str">
        <x:v>Primärdaten bevorzugt; Sekundärdaten nur transparent und versioniert; Methode und Systemgrenze dokumentieren</x:v>
      </x:c>
      <x:c r="AA234" s="14" t="str">
        <x:v>Limited Assurance; risikobasiert höhere Prüftiefe</x:v>
      </x:c>
      <x:c r="AB234" s="14" t="str">
        <x:v>Strukturell nutzbar; Schwellen fachlich zu validieren</x:v>
      </x:c>
      <x:c r="AC234" s="14" t="str">
        <x:v>Mittel</x:v>
      </x:c>
      <x:c r="AD234" s="14" t="str">
        <x:v>Vollständige fünfstufige numerische Regel.</x:v>
      </x:c>
      <x:c r="AE234" s="14" t="str">
        <x:v>v1.4</x:v>
      </x:c>
      <x:c r="AF234" s="52" t="str">
        <x:v>2026-08-16</x:v>
      </x:c>
      <x:c r="AG234" s="52"/>
    </x:row>
    <x:row r="235" ht="42" customHeight="1">
      <x:c r="A235" s="14" t="str">
        <x:v>WOK-SC-121</x:v>
      </x:c>
      <x:c r="B235" s="14" t="str">
        <x:v>SDG 9 – Industrie/Innovation</x:v>
      </x:c>
      <x:c r="C235" s="14" t="str">
        <x:v>9.c</x:v>
      </x:c>
      <x:c r="D235" s="14" t="str">
        <x:v>Lieferkette‑Digitalisierung/Transparenz</x:v>
      </x:c>
      <x:c r="E235" s="14" t="str">
        <x:v>Lieferkette‑Digitalisierung/Transparenz – Scope‑3 Daten</x:v>
      </x:c>
      <x:c r="F235" s="14" t="str">
        <x:v>Primärdaten‑Abdeckung</x:v>
      </x:c>
      <x:c r="G235" s="14" t="str">
        <x:v>% Kategorien</x:v>
      </x:c>
      <x:c r="H235" s="14" t="str">
        <x:v>higher_is_better</x:v>
      </x:c>
      <x:c r="I235" s="14" t="str">
        <x:v>R23</x:v>
      </x:c>
      <x:c r="J235" s="14" t="str">
        <x:v>≥80:+3; 60–79:+2; 40–59:0; 20–39:‑2; &lt;20:‑3</x:v>
      </x:c>
      <x:c r="K235" s="14" t="str">
        <x:v>Feste WÖk-Kalibrierung</x:v>
      </x:c>
      <x:c r="L235" s="14" t="str">
        <x:v>Arbeitskalibrierung – fachlich zu validieren</x:v>
      </x:c>
      <x:c r="M235" s="14" t="str">
        <x:v>WÖk-interne Klassenlogik</x:v>
      </x:c>
      <x:c r="N235" s="14" t="str">
        <x:v>Optional/Nein</x:v>
      </x:c>
      <x:c r="O235" s="14" t="str">
        <x:v>ESRS E1; GHG Protocol</x:v>
      </x:c>
      <x:c r="P235" s="14" t="str">
        <x:v>ESRS E1, GHG Protocol (Corporate/Scope 1–3), ISO 14064/14067</x:v>
      </x:c>
      <x:c r="Q235" s="14" t="str">
        <x:v>Mess-, Berichts- oder Managementrahmen; Schwellen sind grundsätzlich WÖk-Kalibrierungen</x:v>
      </x:c>
      <x:c r="R235" s="14" t="str">
        <x:v>Messgrundlage belegt; Schwellenkalibrierung offen</x:v>
      </x:c>
      <x:c r="S235" s="14" t="str">
        <x:v>EU-ESRS; GHG-CORP; GHG-S3; GHG-PROD</x:v>
      </x:c>
      <x:c r="T235" s="14" t="str">
        <x:v>C20 Chemie; C24 Stahl; C29 Fahrzeuge</x:v>
      </x:c>
      <x:c r="U235" s="14" t="str">
        <x:v>Legacy / nicht explizit versioniert</x:v>
      </x:c>
      <x:c r="V235" s="51" t="str"/>
      <x:c r="W235" s="14" t="str">
        <x:v>Migration auf NACE Rev. 2.1 erforderlich</x:v>
      </x:c>
      <x:c r="X235" s="14" t="str">
        <x:v>Vorgelagerte Lieferkette; relevante Tier-Stufen und Beschaffungsvolumen</x:v>
      </x:c>
      <x:c r="Y235" s="14" t="str">
        <x:v>Quote = Zähler / Nenner gemäß Quelle; in %.</x:v>
      </x:c>
      <x:c r="Z235" s="14" t="str">
        <x:v>Primärdaten bevorzugt; Sekundärdaten nur transparent und versioniert; Methode und Systemgrenze dokumentieren</x:v>
      </x:c>
      <x:c r="AA235" s="14" t="str">
        <x:v>Limited Assurance; risikobasiert höhere Prüftiefe</x:v>
      </x:c>
      <x:c r="AB235" s="14" t="str">
        <x:v>Strukturell nutzbar; Schwellen fachlich zu validieren</x:v>
      </x:c>
      <x:c r="AC235" s="14" t="str">
        <x:v>Mittel</x:v>
      </x:c>
      <x:c r="AD235" s="14" t="str">
        <x:v>Vollständige fünfstufige numerische Regel.</x:v>
      </x:c>
      <x:c r="AE235" s="14" t="str">
        <x:v>v1.4</x:v>
      </x:c>
      <x:c r="AF235" s="52" t="str">
        <x:v>2026-08-16</x:v>
      </x:c>
      <x:c r="AG235" s="52"/>
    </x:row>
    <x:row r="236" ht="42" customHeight="1">
      <x:c r="A236" s="14" t="str">
        <x:v>WOK-E-149</x:v>
      </x:c>
      <x:c r="B236" s="14" t="str">
        <x:v>SDG 9 – Industrie/Innovation</x:v>
      </x:c>
      <x:c r="C236" s="14" t="str">
        <x:v>9.4</x:v>
      </x:c>
      <x:c r="D236" s="14" t="str">
        <x:v>Rohstoff‑Effizienz</x:v>
      </x:c>
      <x:c r="E236" s="14" t="str">
        <x:v>Rohstoff‑Effizienz – Abfallintensität</x:v>
      </x:c>
      <x:c r="F236" s="14" t="str">
        <x:v>Abfallmenge je Output</x:v>
      </x:c>
      <x:c r="G236" s="14" t="str">
        <x:v>kg/t</x:v>
      </x:c>
      <x:c r="H236" s="14" t="str">
        <x:v>lower_is_better</x:v>
      </x:c>
      <x:c r="I236" s="14" t="str">
        <x:v>R06</x:v>
      </x:c>
      <x:c r="J236" s="14" t="str">
        <x:v>Top‑10%:+3; Mittel:0; &gt;150%:‑2; &gt;250%:‑3</x:v>
      </x:c>
      <x:c r="K236" s="14" t="str">
        <x:v>Benchmarkabhängig</x:v>
      </x:c>
      <x:c r="L236" s="14" t="str">
        <x:v>Validierter Benchmark fehlt</x:v>
      </x:c>
      <x:c r="M236" s="14" t="str">
        <x:v>Branche/Region/Technologie</x:v>
      </x:c>
      <x:c r="N236" s="14" t="str">
        <x:v>Ja</x:v>
      </x:c>
      <x:c r="O236" s="14" t="str">
        <x:v>ESRS E5; GRI 306/301</x:v>
      </x:c>
      <x:c r="P236" s="14" t="str">
        <x:v>ESRS E1, ISO 50001 (EnMS), ISO/IEC 30134‑2 (PUE), EU EPBD</x:v>
      </x:c>
      <x:c r="Q236" s="14" t="str">
        <x:v>Mess-/Methodenrahmen; aktiver Branchen-/Regional-/Technologiebenchmark separat erforderlich</x:v>
      </x:c>
      <x:c r="R236" s="14" t="str">
        <x:v>Teilbelegt – Benchmarkquelle fehlt</x:v>
      </x:c>
      <x:c r="S236" s="14" t="str">
        <x:v>EU-ESRS; GRI</x:v>
      </x:c>
      <x:c r="T236" s="14" t="str">
        <x:v>C20 Chemie; C24 Stahl; C29 Fahrzeuge</x:v>
      </x:c>
      <x:c r="U236" s="14" t="str">
        <x:v>Legacy / nicht explizit versioniert</x:v>
      </x:c>
      <x:c r="V236" s="51" t="str"/>
      <x:c r="W236" s="14" t="str">
        <x:v>Migration auf NACE Rev. 2.1 erforderlich</x:v>
      </x:c>
      <x:c r="X236" s="14" t="str">
        <x:v>Standort/Prozess/Aktivität; Bezugsgröße und relevante Umweltmedien</x:v>
      </x:c>
      <x:c r="Y236" s="14" t="str">
        <x:v>Siehe Quelle: Definition gemäß Standard (ESRS/GRI/Taxonomie/ISO).</x:v>
      </x:c>
      <x:c r="Z236" s="14" t="str">
        <x:v>Primärdaten plus repräsentativer, versionierter Benchmarkdatensatz; Stichprobe und Population offenlegen</x:v>
      </x:c>
      <x:c r="AA236" s="14" t="str">
        <x:v>Messwert-Assurance und unabhängige Benchmark-Governance</x:v>
      </x:c>
      <x:c r="AB236" s="14" t="str">
        <x:v>Prüfung/Parametrisierung erforderlich</x:v>
      </x:c>
      <x:c r="AC236" s="14" t="str">
        <x:v>Hoch</x:v>
      </x:c>
      <x:c r="AD236" s="14" t="str">
        <x:v>Top-10-Prozent, Mittelwert, 150 % und 250 % müssen aus einer dokumentierten Grundgesamtheit stammen.</x:v>
      </x:c>
      <x:c r="AE236" s="14" t="str">
        <x:v>v1.4</x:v>
      </x:c>
      <x:c r="AF236" s="52" t="str">
        <x:v>2026-08-16</x:v>
      </x:c>
      <x:c r="AG236" s="52"/>
    </x:row>
    <x:row r="237" ht="42" customHeight="1">
      <x:c r="A237" s="14" t="str">
        <x:v>WOK-E-150</x:v>
      </x:c>
      <x:c r="B237" s="14" t="str">
        <x:v>SDG 9 – Industrie/Innovation</x:v>
      </x:c>
      <x:c r="C237" s="14" t="str">
        <x:v>9.4</x:v>
      </x:c>
      <x:c r="D237" s="14" t="str">
        <x:v>Rohstoff‑Effizienz</x:v>
      </x:c>
      <x:c r="E237" s="14" t="str">
        <x:v>Rohstoff‑Effizienz – Recyclingquote</x:v>
      </x:c>
      <x:c r="F237" s="14" t="str">
        <x:v>Anteil verwerteter Abfälle</x:v>
      </x:c>
      <x:c r="G237" s="14" t="str">
        <x:v>%</x:v>
      </x:c>
      <x:c r="H237" s="14" t="str">
        <x:v>higher_is_better</x:v>
      </x:c>
      <x:c r="I237" s="14" t="str">
        <x:v>R25</x:v>
      </x:c>
      <x:c r="J237" s="14" t="str">
        <x:v>≥90%:+3; 70–89%:+2; 50–69%:0; 30–49%:‑2; &lt;30%:‑3</x:v>
      </x:c>
      <x:c r="K237" s="14" t="str">
        <x:v>Feste WÖk-Kalibrierung</x:v>
      </x:c>
      <x:c r="L237" s="14" t="str">
        <x:v>Arbeitskalibrierung – fachlich zu validieren</x:v>
      </x:c>
      <x:c r="M237" s="14" t="str">
        <x:v>WÖk-interne Klassenlogik</x:v>
      </x:c>
      <x:c r="N237" s="14" t="str">
        <x:v>Optional/Nein</x:v>
      </x:c>
      <x:c r="O237" s="14" t="str">
        <x:v>ESRS E5; GRI 306/301</x:v>
      </x:c>
      <x:c r="P237" s="14" t="str">
        <x:v>ESRS E1, ISO 50001 (EnMS), ISO/IEC 30134‑2 (PUE), EU EPBD</x:v>
      </x:c>
      <x:c r="Q237" s="14" t="str">
        <x:v>Mess-, Berichts- oder Managementrahmen; Schwellen sind grundsätzlich WÖk-Kalibrierungen</x:v>
      </x:c>
      <x:c r="R237" s="14" t="str">
        <x:v>Messgrundlage belegt; Schwellenkalibrierung offen</x:v>
      </x:c>
      <x:c r="S237" s="14" t="str">
        <x:v>EU-ESRS; GRI</x:v>
      </x:c>
      <x:c r="T237" s="14" t="str">
        <x:v>C20 Chemie; C24 Stahl; C29 Fahrzeuge</x:v>
      </x:c>
      <x:c r="U237" s="14" t="str">
        <x:v>Legacy / nicht explizit versioniert</x:v>
      </x:c>
      <x:c r="V237" s="51" t="str"/>
      <x:c r="W237" s="14" t="str">
        <x:v>Migration auf NACE Rev. 2.1 erforderlich</x:v>
      </x:c>
      <x:c r="X237" s="14" t="str">
        <x:v>Standort/Prozess/Aktivität; Bezugsgröße und relevante Umweltmedien</x:v>
      </x:c>
      <x:c r="Y237" s="14" t="str">
        <x:v>Recyclingquote = stofflich verwertete Menge / Gesamtabfall.</x:v>
      </x:c>
      <x:c r="Z237" s="14" t="str">
        <x:v>Primärdaten bevorzugt; Sekundärdaten nur transparent und versioniert; Methode und Systemgrenze dokumentieren</x:v>
      </x:c>
      <x:c r="AA237" s="14" t="str">
        <x:v>Limited Assurance; risikobasiert höhere Prüftiefe</x:v>
      </x:c>
      <x:c r="AB237" s="14" t="str">
        <x:v>Strukturell nutzbar; Schwellen fachlich zu validieren</x:v>
      </x:c>
      <x:c r="AC237" s="14" t="str">
        <x:v>Mittel</x:v>
      </x:c>
      <x:c r="AD237" s="14" t="str">
        <x:v>Vollständige fünfstufige Prozentregel.</x:v>
      </x:c>
      <x:c r="AE237" s="14" t="str">
        <x:v>v1.4</x:v>
      </x:c>
      <x:c r="AF237" s="52" t="str">
        <x:v>2026-08-16</x:v>
      </x:c>
      <x:c r="AG237" s="52"/>
    </x:row>
    <x:row r="238" ht="42" customHeight="1">
      <x:c r="A238" s="14" t="str">
        <x:v>WOK-E-151</x:v>
      </x:c>
      <x:c r="B238" s="14" t="str">
        <x:v>SDG 9 – Industrie/Innovation</x:v>
      </x:c>
      <x:c r="C238" s="14" t="str">
        <x:v>9.4</x:v>
      </x:c>
      <x:c r="D238" s="14" t="str">
        <x:v>Rohstoff‑Effizienz</x:v>
      </x:c>
      <x:c r="E238" s="14" t="str">
        <x:v>Rohstoff‑Effizienz – Gefährlicher Abfall</x:v>
      </x:c>
      <x:c r="F238" s="14" t="str">
        <x:v>Gefährlicher Abfall je Output</x:v>
      </x:c>
      <x:c r="G238" s="14" t="str">
        <x:v>kg/t</x:v>
      </x:c>
      <x:c r="H238" s="14" t="str">
        <x:v>lower_is_better</x:v>
      </x:c>
      <x:c r="I238" s="14" t="str">
        <x:v>R06</x:v>
      </x:c>
      <x:c r="J238" s="14" t="str">
        <x:v>Top‑10%:+3; Mittel:0; &gt;150%:‑2; &gt;250%:‑3</x:v>
      </x:c>
      <x:c r="K238" s="14" t="str">
        <x:v>Benchmarkabhängig</x:v>
      </x:c>
      <x:c r="L238" s="14" t="str">
        <x:v>Validierter Benchmark fehlt</x:v>
      </x:c>
      <x:c r="M238" s="14" t="str">
        <x:v>Branche/Region/Technologie</x:v>
      </x:c>
      <x:c r="N238" s="14" t="str">
        <x:v>Ja</x:v>
      </x:c>
      <x:c r="O238" s="14" t="str">
        <x:v>ESRS E5; GRI 306/301</x:v>
      </x:c>
      <x:c r="P238" s="14" t="str">
        <x:v>ESRS E1, ISO 50001 (EnMS), ISO/IEC 30134‑2 (PUE), EU EPBD</x:v>
      </x:c>
      <x:c r="Q238" s="14" t="str">
        <x:v>Mess-/Methodenrahmen; aktiver Branchen-/Regional-/Technologiebenchmark separat erforderlich</x:v>
      </x:c>
      <x:c r="R238" s="14" t="str">
        <x:v>Teilbelegt – Benchmarkquelle fehlt</x:v>
      </x:c>
      <x:c r="S238" s="14" t="str">
        <x:v>EU-ESRS; GRI</x:v>
      </x:c>
      <x:c r="T238" s="14" t="str">
        <x:v>C20 Chemie; C24 Stahl; C29 Fahrzeuge</x:v>
      </x:c>
      <x:c r="U238" s="14" t="str">
        <x:v>Legacy / nicht explizit versioniert</x:v>
      </x:c>
      <x:c r="V238" s="51" t="str"/>
      <x:c r="W238" s="14" t="str">
        <x:v>Migration auf NACE Rev. 2.1 erforderlich</x:v>
      </x:c>
      <x:c r="X238" s="14" t="str">
        <x:v>Standort/Prozess/Aktivität; Bezugsgröße und relevante Umweltmedien</x:v>
      </x:c>
      <x:c r="Y238" s="14" t="str">
        <x:v>Gefährlicher Abfall‑Intensität = Gefährlicher Abfall / Output bzw. Umsatz.</x:v>
      </x:c>
      <x:c r="Z238" s="14" t="str">
        <x:v>Primärdaten plus repräsentativer, versionierter Benchmarkdatensatz; Stichprobe und Population offenlegen</x:v>
      </x:c>
      <x:c r="AA238" s="14" t="str">
        <x:v>Messwert-Assurance und unabhängige Benchmark-Governance</x:v>
      </x:c>
      <x:c r="AB238" s="14" t="str">
        <x:v>Prüfung/Parametrisierung erforderlich</x:v>
      </x:c>
      <x:c r="AC238" s="14" t="str">
        <x:v>Hoch</x:v>
      </x:c>
      <x:c r="AD238" s="14" t="str">
        <x:v>Top-10-Prozent, Mittelwert, 150 % und 250 % müssen aus einer dokumentierten Grundgesamtheit stammen.</x:v>
      </x:c>
      <x:c r="AE238" s="14" t="str">
        <x:v>v1.4</x:v>
      </x:c>
      <x:c r="AF238" s="52" t="str">
        <x:v>2026-08-16</x:v>
      </x:c>
      <x:c r="AG238" s="52"/>
    </x:row>
    <x:row r="239" ht="42" customHeight="1">
      <x:c r="A239" s="14" t="str">
        <x:v>WOK-SYS-122</x:v>
      </x:c>
      <x:c r="B239" s="14" t="str">
        <x:v>SDG 9 – Industrie/Innovation</x:v>
      </x:c>
      <x:c r="C239" s="14" t="str">
        <x:v>9.5</x:v>
      </x:c>
      <x:c r="D239" s="14" t="str">
        <x:v>Standort‑Innovationsökosystem</x:v>
      </x:c>
      <x:c r="E239" s="14" t="str">
        <x:v>Standort‑Innovationsökosystem – Index</x:v>
      </x:c>
      <x:c r="F239" s="14" t="str">
        <x:v>umsatzgewichteter Index (z. B. Demokratie/Rule of Law)</x:v>
      </x:c>
      <x:c r="G239" s="14" t="str">
        <x:v>0–1</x:v>
      </x:c>
      <x:c r="H239" s="14" t="str">
        <x:v>higher_is_better</x:v>
      </x:c>
      <x:c r="I239" s="14" t="str">
        <x:v>R15</x:v>
      </x:c>
      <x:c r="J239" s="14" t="str">
        <x:v>≥0,8:+3; 0,7–0,79:+2; 0,6–0,69:0; 0,5–0,59:‑2; &lt;0,5:‑3</x:v>
      </x:c>
      <x:c r="K239" s="14" t="str">
        <x:v>Feste WÖk-Kalibrierung</x:v>
      </x:c>
      <x:c r="L239" s="14" t="str">
        <x:v>Arbeitskalibrierung – fachlich zu validieren</x:v>
      </x:c>
      <x:c r="M239" s="14" t="str">
        <x:v>WÖk-interne Klassenlogik</x:v>
      </x:c>
      <x:c r="N239" s="14" t="str">
        <x:v>Optional/Nein</x:v>
      </x:c>
      <x:c r="O239" s="14" t="str">
        <x:v>SROI/SDG17</x:v>
      </x:c>
      <x:c r="P239" s="14" t="str">
        <x:v>OECD Frascati, PATSTAT</x:v>
      </x:c>
      <x:c r="Q239" s="14" t="str">
        <x:v>Methodischer Platzhalter; konkrete Fach- und Primärdatenquelle erforderlich</x:v>
      </x:c>
      <x:c r="R239" s="14" t="str">
        <x:v>Platzhalter – fachliche Operationalisierung offen</x:v>
      </x:c>
      <x:c r="S239" s="14" t="str">
        <x:v>INT-WOEK-TSROI; SVI-SROI; UN-SDG</x:v>
      </x:c>
      <x:c r="T239" s="14" t="str">
        <x:v>C20 Chemie; C24 Stahl; C29 Fahrzeuge</x:v>
      </x:c>
      <x:c r="U239" s="14" t="str">
        <x:v>Legacy / nicht explizit versioniert</x:v>
      </x:c>
      <x:c r="V239" s="51" t="str"/>
      <x:c r="W239" s="14" t="str">
        <x:v>Migration auf NACE Rev. 2.1 erforderlich</x:v>
      </x:c>
      <x:c r="X239" s="14" t="str">
        <x:v>Programm/Portfolio/Systemraum; Empfängergruppe, Region und Zeitraum explizit definieren</x:v>
      </x:c>
      <x:c r="Y239" s="14" t="str">
        <x:v>Siehe Quelle: Definition gemäß Standard (ESRS/GRI/Taxonomie/ISO).</x:v>
      </x:c>
      <x:c r="Z239" s="14" t="str">
        <x:v>Primärdaten bevorzugt; Sekundärdaten nur transparent und versioniert; Methode und Systemgrenze dokumentieren</x:v>
      </x:c>
      <x:c r="AA239" s="14" t="str">
        <x:v>Limited Assurance; risikobasiert höhere Prüftiefe</x:v>
      </x:c>
      <x:c r="AB239" s="14" t="str">
        <x:v>Fachlogik nicht abschließend operationalisiert</x:v>
      </x:c>
      <x:c r="AC239" s="14" t="str">
        <x:v>Kritisch</x:v>
      </x:c>
      <x:c r="AD239" s="14" t="str">
        <x:v>SROI/SDG 17 ist keine hinreichend konkrete Mess- oder Schwellenquelle. Vollständige fünfstufige numerische Regel.</x:v>
      </x:c>
      <x:c r="AE239" s="14" t="str">
        <x:v>v1.4</x:v>
      </x:c>
      <x:c r="AF239" s="52" t="str">
        <x:v>2026-08-16</x:v>
      </x:c>
      <x:c r="AG239" s="52"/>
    </x:row>
    <x:row r="240" ht="42" customHeight="1">
      <x:c r="A240" s="14" t="str">
        <x:v>WOK-SYS-123</x:v>
      </x:c>
      <x:c r="B240" s="14" t="str">
        <x:v>SDG 9 – Industrie/Innovation</x:v>
      </x:c>
      <x:c r="C240" s="14" t="str">
        <x:v>9.5</x:v>
      </x:c>
      <x:c r="D240" s="14" t="str">
        <x:v>Standort‑Innovationsökosystem</x:v>
      </x:c>
      <x:c r="E240" s="14" t="str">
        <x:v>Standort‑Innovationsökosystem – Exposure</x:v>
      </x:c>
      <x:c r="F240" s="14" t="str">
        <x:v>Umsatz in Hochrisikoländern</x:v>
      </x:c>
      <x:c r="G240" s="14" t="str">
        <x:v>%</x:v>
      </x:c>
      <x:c r="H240" s="14" t="str">
        <x:v>lower_is_better</x:v>
      </x:c>
      <x:c r="I240" s="14" t="str">
        <x:v>R13</x:v>
      </x:c>
      <x:c r="J240" s="14" t="str">
        <x:v>≤5:+3; 6–10:+2; 11–20:0; 21–30:‑2; &gt;30:‑3</x:v>
      </x:c>
      <x:c r="K240" s="14" t="str">
        <x:v>Feste WÖk-Kalibrierung</x:v>
      </x:c>
      <x:c r="L240" s="14" t="str">
        <x:v>Arbeitskalibrierung – fachlich zu validieren</x:v>
      </x:c>
      <x:c r="M240" s="14" t="str">
        <x:v>WÖk-interne Klassenlogik</x:v>
      </x:c>
      <x:c r="N240" s="14" t="str">
        <x:v>Optional/Nein</x:v>
      </x:c>
      <x:c r="O240" s="14" t="str">
        <x:v>SROI/SDG17</x:v>
      </x:c>
      <x:c r="P240" s="14" t="str">
        <x:v>OECD Frascati, PATSTAT</x:v>
      </x:c>
      <x:c r="Q240" s="14" t="str">
        <x:v>Methodischer Platzhalter; konkrete Fach- und Primärdatenquelle erforderlich</x:v>
      </x:c>
      <x:c r="R240" s="14" t="str">
        <x:v>Platzhalter – fachliche Operationalisierung offen</x:v>
      </x:c>
      <x:c r="S240" s="14" t="str">
        <x:v>INT-WOEK-TSROI; SVI-SROI; UN-SDG</x:v>
      </x:c>
      <x:c r="T240" s="14" t="str">
        <x:v>C20 Chemie; C24 Stahl; C29 Fahrzeuge</x:v>
      </x:c>
      <x:c r="U240" s="14" t="str">
        <x:v>Legacy / nicht explizit versioniert</x:v>
      </x:c>
      <x:c r="V240" s="51" t="str"/>
      <x:c r="W240" s="14" t="str">
        <x:v>Migration auf NACE Rev. 2.1 erforderlich</x:v>
      </x:c>
      <x:c r="X240" s="14" t="str">
        <x:v>Programm/Portfolio/Systemraum; Empfängergruppe, Region und Zeitraum explizit definieren</x:v>
      </x:c>
      <x:c r="Y240" s="14" t="str">
        <x:v>Siehe Quelle: Definition gemäß Standard (ESRS/GRI/Taxonomie/ISO).</x:v>
      </x:c>
      <x:c r="Z240" s="14" t="str">
        <x:v>Primärdaten bevorzugt; Sekundärdaten nur transparent und versioniert; Methode und Systemgrenze dokumentieren</x:v>
      </x:c>
      <x:c r="AA240" s="14" t="str">
        <x:v>Limited Assurance; risikobasiert höhere Prüftiefe</x:v>
      </x:c>
      <x:c r="AB240" s="14" t="str">
        <x:v>Fachlogik nicht abschließend operationalisiert</x:v>
      </x:c>
      <x:c r="AC240" s="14" t="str">
        <x:v>Kritisch</x:v>
      </x:c>
      <x:c r="AD240" s="14" t="str">
        <x:v>SROI/SDG 17 ist keine hinreichend konkrete Mess- oder Schwellenquelle. Vollständige fünfstufige numerische Regel.</x:v>
      </x:c>
      <x:c r="AE240" s="14" t="str">
        <x:v>v1.4</x:v>
      </x:c>
      <x:c r="AF240" s="52" t="str">
        <x:v>2026-08-16</x:v>
      </x:c>
      <x:c r="AG240" s="52"/>
    </x:row>
    <x:row r="241" ht="42" customHeight="1">
      <x:c r="A241" s="14" t="str">
        <x:v>WOK-SYS-124</x:v>
      </x:c>
      <x:c r="B241" s="14" t="str">
        <x:v>SDG 9 – Industrie/Innovation</x:v>
      </x:c>
      <x:c r="C241" s="14" t="str">
        <x:v>9.5</x:v>
      </x:c>
      <x:c r="D241" s="14" t="str">
        <x:v>Standort‑Innovationsökosystem</x:v>
      </x:c>
      <x:c r="E241" s="14" t="str">
        <x:v>Standort‑Innovationsökosystem – Kooperationen</x:v>
      </x:c>
      <x:c r="F241" s="14" t="str">
        <x:v>aktive, evaluierte Partnerschaften/Jahr</x:v>
      </x:c>
      <x:c r="G241" s="14" t="str">
        <x:v>#/Jahr</x:v>
      </x:c>
      <x:c r="H241" s="14" t="str">
        <x:v>higher_is_better</x:v>
      </x:c>
      <x:c r="I241" s="14" t="str">
        <x:v>R20</x:v>
      </x:c>
      <x:c r="J241" s="14" t="str">
        <x:v>≥5:+3; 3–4:+2; 1–2:0; 0:‑2</x:v>
      </x:c>
      <x:c r="K241" s="14" t="str">
        <x:v>Feste WÖk-Grobkalibrierung</x:v>
      </x:c>
      <x:c r="L241" s="14" t="str">
        <x:v>Klasse −3 nur für negative/unzulässige Werte ergänzt</x:v>
      </x:c>
      <x:c r="M241" s="14" t="str">
        <x:v>WÖk-interne Grobkalibrierung</x:v>
      </x:c>
      <x:c r="N241" s="14" t="str">
        <x:v>Optional/Nein</x:v>
      </x:c>
      <x:c r="O241" s="14" t="str">
        <x:v>SROI/SDG17</x:v>
      </x:c>
      <x:c r="P241" s="14" t="str">
        <x:v>OECD Frascati, PATSTAT</x:v>
      </x:c>
      <x:c r="Q241" s="14" t="str">
        <x:v>Methodischer Platzhalter; konkrete Fach- und Primärdatenquelle erforderlich</x:v>
      </x:c>
      <x:c r="R241" s="14" t="str">
        <x:v>Platzhalter – fachliche Operationalisierung offen</x:v>
      </x:c>
      <x:c r="S241" s="14" t="str">
        <x:v>INT-WOEK-TSROI; SVI-SROI; UN-SDG</x:v>
      </x:c>
      <x:c r="T241" s="14" t="str">
        <x:v>C20 Chemie; C24 Stahl; C29 Fahrzeuge</x:v>
      </x:c>
      <x:c r="U241" s="14" t="str">
        <x:v>Legacy / nicht explizit versioniert</x:v>
      </x:c>
      <x:c r="V241" s="51" t="str"/>
      <x:c r="W241" s="14" t="str">
        <x:v>Migration auf NACE Rev. 2.1 erforderlich</x:v>
      </x:c>
      <x:c r="X241" s="14" t="str">
        <x:v>Programm/Portfolio/Systemraum; Empfängergruppe, Region und Zeitraum explizit definieren</x:v>
      </x:c>
      <x:c r="Y241" s="14" t="str">
        <x:v>Siehe Quelle: Definition gemäß Standard (ESRS/GRI/Taxonomie/ISO).</x:v>
      </x:c>
      <x:c r="Z241" s="14" t="str">
        <x:v>Primärdaten bevorzugt; Sekundärdaten nur transparent und versioniert; Methode und Systemgrenze dokumentieren</x:v>
      </x:c>
      <x:c r="AA241" s="14" t="str">
        <x:v>Limited Assurance; risikobasiert höhere Prüftiefe</x:v>
      </x:c>
      <x:c r="AB241" s="14" t="str">
        <x:v>Fachlogik nicht abschließend operationalisiert</x:v>
      </x:c>
      <x:c r="AC241" s="14" t="str">
        <x:v>Kritisch</x:v>
      </x:c>
      <x:c r="AD241" s="14" t="str">
        <x:v>SROI/SDG 17 ist keine hinreichend konkrete Mess- oder Schwellenquelle. Für sachlogisch nichtnegative Zählwerte ist 0 die schlechteste reguläre Klasse (−2).</x:v>
      </x:c>
      <x:c r="AE241" s="14" t="str">
        <x:v>v1.4</x:v>
      </x:c>
      <x:c r="AF241" s="52" t="str">
        <x:v>2026-08-16</x:v>
      </x:c>
      <x:c r="AG241" s="52"/>
    </x:row>
    <x:row r="242" ht="42" customHeight="1">
      <x:c r="A242" s="14" t="str">
        <x:v>WOK-E-152</x:v>
      </x:c>
      <x:c r="B242" s="14" t="str">
        <x:v>SDG 9 – Industrie/Innovation</x:v>
      </x:c>
      <x:c r="C242" s="14" t="str">
        <x:v>9.4</x:v>
      </x:c>
      <x:c r="D242" s="14" t="str">
        <x:v>Energie‑/Ressourceneffizienz</x:v>
      </x:c>
      <x:c r="E242" s="14" t="str">
        <x:v>Energie‑/Ressourceneffizienz – EE‑Anteil</x:v>
      </x:c>
      <x:c r="F242" s="14" t="str">
        <x:v>Anteil erneuerbarer Energien am Strombezug</x:v>
      </x:c>
      <x:c r="G242" s="14" t="str">
        <x:v>%</x:v>
      </x:c>
      <x:c r="H242" s="14" t="str">
        <x:v>higher_is_better</x:v>
      </x:c>
      <x:c r="I242" s="14" t="str">
        <x:v>R25</x:v>
      </x:c>
      <x:c r="J242" s="14" t="str">
        <x:v>≥90%:+3; 70–89%:+2; 50–69%:0; 30–49%:‑2; &lt;30%:‑3</x:v>
      </x:c>
      <x:c r="K242" s="14" t="str">
        <x:v>Feste WÖk-Kalibrierung</x:v>
      </x:c>
      <x:c r="L242" s="14" t="str">
        <x:v>Arbeitskalibrierung – fachlich zu validieren</x:v>
      </x:c>
      <x:c r="M242" s="14" t="str">
        <x:v>WÖk-interne Klassenlogik</x:v>
      </x:c>
      <x:c r="N242" s="14" t="str">
        <x:v>Optional/Nein</x:v>
      </x:c>
      <x:c r="O242" s="14" t="str">
        <x:v>ESRS E1; GHG Protocol</x:v>
      </x:c>
      <x:c r="P242" s="14" t="str">
        <x:v>ESRS E1, ISO 50001 (EnMS), ISO/IEC 30134‑2 (PUE), EU EPBD</x:v>
      </x:c>
      <x:c r="Q242" s="14" t="str">
        <x:v>Mess-, Berichts- oder Managementrahmen; Schwellen sind grundsätzlich WÖk-Kalibrierungen</x:v>
      </x:c>
      <x:c r="R242" s="14" t="str">
        <x:v>Messgrundlage belegt; Schwellenkalibrierung offen</x:v>
      </x:c>
      <x:c r="S242" s="14" t="str">
        <x:v>EU-ESRS; GHG-CORP; GHG-S3; GHG-PROD</x:v>
      </x:c>
      <x:c r="T242" s="14" t="str">
        <x:v>C20 Chemie; C24 Stahl; C29 Fahrzeuge</x:v>
      </x:c>
      <x:c r="U242" s="14" t="str">
        <x:v>Legacy / nicht explizit versioniert</x:v>
      </x:c>
      <x:c r="V242" s="51" t="str"/>
      <x:c r="W242" s="14" t="str">
        <x:v>Migration auf NACE Rev. 2.1 erforderlich</x:v>
      </x:c>
      <x:c r="X242" s="14" t="str">
        <x:v>Standort/Prozess/Aktivität; Bezugsgröße und relevante Umweltmedien</x:v>
      </x:c>
      <x:c r="Y242" s="14" t="str">
        <x:v>EE‑Anteil = EE‑Strom (inkl. PPA/HKN) / Gesamtstrom.</x:v>
      </x:c>
      <x:c r="Z242" s="14" t="str">
        <x:v>Primärdaten bevorzugt; Sekundärdaten nur transparent und versioniert; Methode und Systemgrenze dokumentieren</x:v>
      </x:c>
      <x:c r="AA242" s="14" t="str">
        <x:v>Limited Assurance; risikobasiert höhere Prüftiefe</x:v>
      </x:c>
      <x:c r="AB242" s="14" t="str">
        <x:v>Strukturell nutzbar; Schwellen fachlich zu validieren</x:v>
      </x:c>
      <x:c r="AC242" s="14" t="str">
        <x:v>Mittel</x:v>
      </x:c>
      <x:c r="AD242" s="14" t="str">
        <x:v>Vollständige fünfstufige Prozentregel.</x:v>
      </x:c>
      <x:c r="AE242" s="14" t="str">
        <x:v>v1.4</x:v>
      </x:c>
      <x:c r="AF242" s="52" t="str">
        <x:v>2026-08-16</x:v>
      </x:c>
      <x:c r="AG242" s="52"/>
    </x:row>
    <x:row r="243" ht="42" customHeight="1">
      <x:c r="A243" s="14" t="str">
        <x:v>WOK-E-153</x:v>
      </x:c>
      <x:c r="B243" s="14" t="str">
        <x:v>SDG 9 – Industrie/Innovation</x:v>
      </x:c>
      <x:c r="C243" s="14" t="str">
        <x:v>9.4</x:v>
      </x:c>
      <x:c r="D243" s="14" t="str">
        <x:v>Energie‑/Ressourceneffizienz</x:v>
      </x:c>
      <x:c r="E243" s="14" t="str">
        <x:v>Energie‑/Ressourceneffizienz – Intensität</x:v>
      </x:c>
      <x:c r="F243" s="14" t="str">
        <x:v>Energie je Output/Umsatz</x:v>
      </x:c>
      <x:c r="G243" s="14" t="str">
        <x:v>kWh/€ Mio bzw. kWh/t</x:v>
      </x:c>
      <x:c r="H243" s="14" t="str">
        <x:v>lower_is_better</x:v>
      </x:c>
      <x:c r="I243" s="14" t="str">
        <x:v>R06</x:v>
      </x:c>
      <x:c r="J243" s="14" t="str">
        <x:v>Top‑10%:+3; Mittel:0; &gt;150%:‑2; &gt;250%:‑3</x:v>
      </x:c>
      <x:c r="K243" s="14" t="str">
        <x:v>Benchmarkabhängig</x:v>
      </x:c>
      <x:c r="L243" s="14" t="str">
        <x:v>Validierter Benchmark fehlt</x:v>
      </x:c>
      <x:c r="M243" s="14" t="str">
        <x:v>Branche/Region/Technologie</x:v>
      </x:c>
      <x:c r="N243" s="14" t="str">
        <x:v>Ja</x:v>
      </x:c>
      <x:c r="O243" s="14" t="str">
        <x:v>ESRS E1; GHG Protocol</x:v>
      </x:c>
      <x:c r="P243" s="14" t="str">
        <x:v>ESRS E1, ISO 50001 (EnMS), ISO/IEC 30134‑2 (PUE), EU EPBD</x:v>
      </x:c>
      <x:c r="Q243" s="14" t="str">
        <x:v>Mess-/Methodenrahmen; aktiver Branchen-/Regional-/Technologiebenchmark separat erforderlich</x:v>
      </x:c>
      <x:c r="R243" s="14" t="str">
        <x:v>Teilbelegt – Benchmarkquelle fehlt</x:v>
      </x:c>
      <x:c r="S243" s="14" t="str">
        <x:v>EU-ESRS; GHG-CORP; GHG-S3; GHG-PROD</x:v>
      </x:c>
      <x:c r="T243" s="14" t="str">
        <x:v>C20 Chemie; C24 Stahl; C29 Fahrzeuge</x:v>
      </x:c>
      <x:c r="U243" s="14" t="str">
        <x:v>Legacy / nicht explizit versioniert</x:v>
      </x:c>
      <x:c r="V243" s="51" t="str"/>
      <x:c r="W243" s="14" t="str">
        <x:v>Migration auf NACE Rev. 2.1 erforderlich</x:v>
      </x:c>
      <x:c r="X243" s="14" t="str">
        <x:v>Standort/Prozess/Aktivität; Bezugsgröße und relevante Umweltmedien</x:v>
      </x:c>
      <x:c r="Y243" s="14" t="str">
        <x:v>Siehe Quelle: Definition gemäß Standard (ESRS/GRI/Taxonomie/ISO).</x:v>
      </x:c>
      <x:c r="Z243" s="14" t="str">
        <x:v>Primärdaten plus repräsentativer, versionierter Benchmarkdatensatz; Stichprobe und Population offenlegen</x:v>
      </x:c>
      <x:c r="AA243" s="14" t="str">
        <x:v>Messwert-Assurance und unabhängige Benchmark-Governance</x:v>
      </x:c>
      <x:c r="AB243" s="14" t="str">
        <x:v>Prüfung/Parametrisierung erforderlich</x:v>
      </x:c>
      <x:c r="AC243" s="14" t="str">
        <x:v>Hoch</x:v>
      </x:c>
      <x:c r="AD243" s="14" t="str">
        <x:v>Top-10-Prozent, Mittelwert, 150 % und 250 % müssen aus einer dokumentierten Grundgesamtheit stammen.</x:v>
      </x:c>
      <x:c r="AE243" s="14" t="str">
        <x:v>v1.4</x:v>
      </x:c>
      <x:c r="AF243" s="52" t="str">
        <x:v>2026-08-16</x:v>
      </x:c>
      <x:c r="AG243" s="52"/>
    </x:row>
    <x:row r="244" ht="42" customHeight="1">
      <x:c r="A244" s="14" t="str">
        <x:v>WOK-E-154</x:v>
      </x:c>
      <x:c r="B244" s="14" t="str">
        <x:v>SDG 9 – Industrie/Innovation</x:v>
      </x:c>
      <x:c r="C244" s="14" t="str">
        <x:v>9.4</x:v>
      </x:c>
      <x:c r="D244" s="14" t="str">
        <x:v>Energie‑/Ressourceneffizienz</x:v>
      </x:c>
      <x:c r="E244" s="14" t="str">
        <x:v>Energie‑/Ressourceneffizienz – Effizienz (PUE)*</x:v>
      </x:c>
      <x:c r="F244" s="14" t="str">
        <x:v>Effizienz Rechenzentrum/IT‑Betrieb (falls zutreffend)</x:v>
      </x:c>
      <x:c r="G244" s="14" t="str">
        <x:v>PUE</x:v>
      </x:c>
      <x:c r="H244" s="14" t="str">
        <x:v>lower_is_better</x:v>
      </x:c>
      <x:c r="I244" s="14" t="str">
        <x:v>R09</x:v>
      </x:c>
      <x:c r="J244" s="14" t="str">
        <x:v>≤1,2:+3; 1,21–1,4:+2; 1,41–1,6:0; 1,61–1,8:‑2; &gt;1,8:‑3</x:v>
      </x:c>
      <x:c r="K244" s="14" t="str">
        <x:v>Feste WÖk-Kalibrierung</x:v>
      </x:c>
      <x:c r="L244" s="14" t="str">
        <x:v>Messstandard belegt; Klassen sind WÖk-Kalibrierung</x:v>
      </x:c>
      <x:c r="M244" s="14" t="str">
        <x:v>PUE-Messung nach ISO/IEC 30134-2; Klassen intern</x:v>
      </x:c>
      <x:c r="N244" s="14" t="str">
        <x:v>Optional/Nein</x:v>
      </x:c>
      <x:c r="O244" s="14" t="str">
        <x:v>ISO 14067/50001/45001/22301/27701/23894</x:v>
      </x:c>
      <x:c r="P244" s="14" t="str">
        <x:v>ESRS E1, ISO 50001 (EnMS), ISO/IEC 30134‑2 (PUE), EU EPBD</x:v>
      </x:c>
      <x:c r="Q244" s="14" t="str">
        <x:v>Mess-, Berichts- oder Managementrahmen; Schwellen sind grundsätzlich WÖk-Kalibrierungen</x:v>
      </x:c>
      <x:c r="R244" s="14" t="str">
        <x:v>Messgrundlage belegt; Schwellenkalibrierung offen</x:v>
      </x:c>
      <x:c r="S244" s="14" t="str">
        <x:v>ISO-14067; ISO-50001; ISO-45001; ISO-22301; ISO-27701; ISO-23894</x:v>
      </x:c>
      <x:c r="T244" s="14" t="str">
        <x:v>C20 Chemie; C24 Stahl; C29 Fahrzeuge</x:v>
      </x:c>
      <x:c r="U244" s="14" t="str">
        <x:v>Legacy / nicht explizit versioniert</x:v>
      </x:c>
      <x:c r="V244" s="51" t="str"/>
      <x:c r="W244" s="14" t="str">
        <x:v>Migration auf NACE Rev. 2.1 erforderlich</x:v>
      </x:c>
      <x:c r="X244" s="14" t="str">
        <x:v>Standort/Prozess/Aktivität; Bezugsgröße und relevante Umweltmedien</x:v>
      </x:c>
      <x:c r="Y244" s="14" t="str">
        <x:v>PUE = Gesamtstrom RZ / IT‑Last (ISO/IEC 30134‑2).</x:v>
      </x:c>
      <x:c r="Z244" s="14" t="str">
        <x:v>Primärdaten bevorzugt; Sekundärdaten nur transparent und versioniert; Methode und Systemgrenze dokumentieren</x:v>
      </x:c>
      <x:c r="AA244" s="14" t="str">
        <x:v>Limited Assurance; risikobasiert höhere Prüftiefe</x:v>
      </x:c>
      <x:c r="AB244" s="14" t="str">
        <x:v>Strukturell nutzbar; Schwellen fachlich zu validieren</x:v>
      </x:c>
      <x:c r="AC244" s="14" t="str">
        <x:v>Mittel</x:v>
      </x:c>
      <x:c r="AD244" s="14" t="str">
        <x:v>Klimazone und Rechenzentrumstyp sind bei der Validierung zu berücksichtigen.</x:v>
      </x:c>
      <x:c r="AE244" s="14" t="str">
        <x:v>v1.4</x:v>
      </x:c>
      <x:c r="AF244" s="52" t="str">
        <x:v>2026-08-16</x:v>
      </x:c>
      <x:c r="AG244" s="52"/>
    </x:row>
    <x:row r="245" ht="42" customHeight="1">
      <x:c r="A245" s="14" t="str">
        <x:v>WOK-G-146</x:v>
      </x:c>
      <x:c r="B245" s="14" t="str">
        <x:v>SDG 9 – Industrie/Innovation</x:v>
      </x:c>
      <x:c r="C245" s="14" t="str">
        <x:v>9.5</x:v>
      </x:c>
      <x:c r="D245" s="14" t="str">
        <x:v>IP/Integrität F&amp;E</x:v>
      </x:c>
      <x:c r="E245" s="14" t="str">
        <x:v>IP/Integrität F&amp;E – Antikorruption</x:v>
      </x:c>
      <x:c r="F245" s="14" t="str">
        <x:v>Bestätigte Fälle/1.000 FTE</x:v>
      </x:c>
      <x:c r="G245" s="14" t="str">
        <x:v>Fälle/1.000 FTE</x:v>
      </x:c>
      <x:c r="H245" s="14" t="str">
        <x:v>lower_is_better</x:v>
      </x:c>
      <x:c r="I245" s="14" t="str">
        <x:v>R01</x:v>
      </x:c>
      <x:c r="J245" s="14" t="str">
        <x:v>0:+3; ≤0,2:+2; ≤0,5:0; ≤1:‑2; &gt;1:‑3</x:v>
      </x:c>
      <x:c r="K245" s="14" t="str">
        <x:v>Feste WÖk-Kalibrierung</x:v>
      </x:c>
      <x:c r="L245" s="14" t="str">
        <x:v>Arbeitskalibrierung – fachlich zu validieren</x:v>
      </x:c>
      <x:c r="M245" s="14" t="str">
        <x:v>WÖk-interne Klassenlogik</x:v>
      </x:c>
      <x:c r="N245" s="14" t="str">
        <x:v>Optional/Nein</x:v>
      </x:c>
      <x:c r="O245" s="14" t="str">
        <x:v>ESRS G1; GRI 205/207</x:v>
      </x:c>
      <x:c r="P245" s="14" t="str">
        <x:v>ESRS G1, GRI 205/207, OECD Anti‑Bribery</x:v>
      </x:c>
      <x:c r="Q245" s="14" t="str">
        <x:v>Mess-, Berichts- oder Managementrahmen; Schwellen sind grundsätzlich WÖk-Kalibrierungen</x:v>
      </x:c>
      <x:c r="R245" s="14" t="str">
        <x:v>Messgrundlage belegt; Schwellenkalibrierung offen</x:v>
      </x:c>
      <x:c r="S245" s="14" t="str">
        <x:v>EU-ESRS; GRI; OECD-AB</x:v>
      </x:c>
      <x:c r="T245" s="14" t="str">
        <x:v>G47 Handel; K Versicherungen; M72 F&amp;E</x:v>
      </x:c>
      <x:c r="U245" s="14" t="str">
        <x:v>Legacy / nicht explizit versioniert</x:v>
      </x:c>
      <x:c r="V245" s="51" t="str"/>
      <x:c r="W245" s="14" t="str">
        <x:v>Migration auf NACE Rev. 2.1 erforderlich</x:v>
      </x:c>
      <x:c r="X245" s="14" t="str">
        <x:v>Organisation/Governance; konsolidierter Kreis und relevante Rechtseinheiten</x:v>
      </x:c>
      <x:c r="Y245" s="14" t="str">
        <x:v>Siehe Quelle: Definition gemäß Standard (ESRS/GRI/Taxonomie/ISO).</x:v>
      </x:c>
      <x:c r="Z245" s="14" t="str">
        <x:v>Primärdaten bevorzugt; Sekundärdaten nur transparent und versioniert; Methode und Systemgrenze dokumentieren</x:v>
      </x:c>
      <x:c r="AA245" s="14" t="str">
        <x:v>Limited Assurance; risikobasiert höhere Prüftiefe</x:v>
      </x:c>
      <x:c r="AB245" s="14" t="str">
        <x:v>Strukturell nutzbar; Schwellen fachlich zu validieren</x:v>
      </x:c>
      <x:c r="AC245" s="14" t="str">
        <x:v>Mittel</x:v>
      </x:c>
      <x:c r="AD245" s="14" t="str">
        <x:v>Vollständige fünfstufige numerische Regel.</x:v>
      </x:c>
      <x:c r="AE245" s="14" t="str">
        <x:v>v1.4</x:v>
      </x:c>
      <x:c r="AF245" s="52" t="str">
        <x:v>2026-08-16</x:v>
      </x:c>
      <x:c r="AG245" s="52"/>
    </x:row>
    <x:row r="246" ht="42" customHeight="1">
      <x:c r="A246" s="14" t="str">
        <x:v>WOK-G-147</x:v>
      </x:c>
      <x:c r="B246" s="14" t="str">
        <x:v>SDG 9 – Industrie/Innovation</x:v>
      </x:c>
      <x:c r="C246" s="14" t="str">
        <x:v>9.5</x:v>
      </x:c>
      <x:c r="D246" s="14" t="str">
        <x:v>IP/Integrität F&amp;E</x:v>
      </x:c>
      <x:c r="E246" s="14" t="str">
        <x:v>IP/Integrität F&amp;E – Whistleblowing</x:v>
      </x:c>
      <x:c r="F246" s="14" t="str">
        <x:v>Wirksamkeits‑Score</x:v>
      </x:c>
      <x:c r="G246" s="14" t="str">
        <x:v>0–1</x:v>
      </x:c>
      <x:c r="H246" s="14" t="str">
        <x:v>higher_is_better</x:v>
      </x:c>
      <x:c r="I246" s="14" t="str">
        <x:v>R16</x:v>
      </x:c>
      <x:c r="J246" s="14" t="str">
        <x:v>≥0,9:+3; 0,75–0,89:+2; 0,6–0,74:0; 0,4–0,59:‑2; &lt;0,4:‑3</x:v>
      </x:c>
      <x:c r="K246" s="14" t="str">
        <x:v>Feste WÖk-Kalibrierung</x:v>
      </x:c>
      <x:c r="L246" s="14" t="str">
        <x:v>Arbeitskalibrierung – fachlich zu validieren</x:v>
      </x:c>
      <x:c r="M246" s="14" t="str">
        <x:v>WÖk-interne Klassenlogik</x:v>
      </x:c>
      <x:c r="N246" s="14" t="str">
        <x:v>Optional/Nein</x:v>
      </x:c>
      <x:c r="O246" s="14" t="str">
        <x:v>ESRS G1; GRI 205/207</x:v>
      </x:c>
      <x:c r="P246" s="14" t="str">
        <x:v>ESRS G1, GRI 205/207, OECD Anti‑Bribery</x:v>
      </x:c>
      <x:c r="Q246" s="14" t="str">
        <x:v>Mess-, Berichts- oder Managementrahmen; Schwellen sind grundsätzlich WÖk-Kalibrierungen</x:v>
      </x:c>
      <x:c r="R246" s="14" t="str">
        <x:v>Messgrundlage belegt; Schwellenkalibrierung offen</x:v>
      </x:c>
      <x:c r="S246" s="14" t="str">
        <x:v>EU-ESRS; GRI; OECD-AB</x:v>
      </x:c>
      <x:c r="T246" s="14" t="str">
        <x:v>G47 Handel; K Versicherungen; M72 F&amp;E</x:v>
      </x:c>
      <x:c r="U246" s="14" t="str">
        <x:v>Legacy / nicht explizit versioniert</x:v>
      </x:c>
      <x:c r="V246" s="51" t="str"/>
      <x:c r="W246" s="14" t="str">
        <x:v>Migration auf NACE Rev. 2.1 erforderlich</x:v>
      </x:c>
      <x:c r="X246" s="14" t="str">
        <x:v>Organisation/Governance; konsolidierter Kreis und relevante Rechtseinheiten</x:v>
      </x:c>
      <x:c r="Y246" s="14" t="str">
        <x:v>Siehe Quelle: Definition gemäß Standard (ESRS/GRI/Taxonomie/ISO).</x:v>
      </x:c>
      <x:c r="Z246" s="14" t="str">
        <x:v>Primärdaten bevorzugt; Sekundärdaten nur transparent und versioniert; Methode und Systemgrenze dokumentieren</x:v>
      </x:c>
      <x:c r="AA246" s="14" t="str">
        <x:v>Limited Assurance; risikobasiert höhere Prüftiefe</x:v>
      </x:c>
      <x:c r="AB246" s="14" t="str">
        <x:v>Strukturell nutzbar; Schwellen fachlich zu validieren</x:v>
      </x:c>
      <x:c r="AC246" s="14" t="str">
        <x:v>Mittel</x:v>
      </x:c>
      <x:c r="AD246" s="14" t="str">
        <x:v>Vollständige fünfstufige numerische Regel.</x:v>
      </x:c>
      <x:c r="AE246" s="14" t="str">
        <x:v>v1.4</x:v>
      </x:c>
      <x:c r="AF246" s="52" t="str">
        <x:v>2026-08-16</x:v>
      </x:c>
      <x:c r="AG246" s="52"/>
    </x:row>
    <x:row r="247" ht="42" customHeight="1">
      <x:c r="A247" s="14" t="str">
        <x:v>WOK-G-148</x:v>
      </x:c>
      <x:c r="B247" s="14" t="str">
        <x:v>SDG 9 – Industrie/Innovation</x:v>
      </x:c>
      <x:c r="C247" s="14" t="str">
        <x:v>9.5</x:v>
      </x:c>
      <x:c r="D247" s="14" t="str">
        <x:v>IP/Integrität F&amp;E</x:v>
      </x:c>
      <x:c r="E247" s="14" t="str">
        <x:v>IP/Integrität F&amp;E – Steuertransparenz</x:v>
      </x:c>
      <x:c r="F247" s="14" t="str">
        <x:v>CbCR‑Offenlegung</x:v>
      </x:c>
      <x:c r="G247" s="14" t="str">
        <x:v>0–1</x:v>
      </x:c>
      <x:c r="H247" s="14" t="str">
        <x:v>higher_is_better</x:v>
      </x:c>
      <x:c r="I247" s="14" t="str">
        <x:v>R08</x:v>
      </x:c>
      <x:c r="J247" s="14" t="str">
        <x:v>vollständig:+3; teilweise:+2; minimal:0; schlecht:‑2</x:v>
      </x:c>
      <x:c r="K247" s="14" t="str">
        <x:v>Qualitativ</x:v>
      </x:c>
      <x:c r="L247" s="14" t="str">
        <x:v>Assurance und Kriterienkatalog erforderlich</x:v>
      </x:c>
      <x:c r="M247" s="14" t="str">
        <x:v>WÖk-interne Kategorien</x:v>
      </x:c>
      <x:c r="N247" s="14" t="str">
        <x:v>Optional/Nein</x:v>
      </x:c>
      <x:c r="O247" s="14" t="str">
        <x:v>ESRS G1; GRI 205/207</x:v>
      </x:c>
      <x:c r="P247" s="14" t="str">
        <x:v>ESRS G1, GRI 205/207, OECD Anti‑Bribery</x:v>
      </x:c>
      <x:c r="Q247" s="14" t="str">
        <x:v>Mess-, Berichts- oder Managementrahmen; Schwellen sind grundsätzlich WÖk-Kalibrierungen</x:v>
      </x:c>
      <x:c r="R247" s="14" t="str">
        <x:v>Messgrundlage belegt; Schwellenkalibrierung offen</x:v>
      </x:c>
      <x:c r="S247" s="14" t="str">
        <x:v>EU-ESRS; GRI; OECD-AB</x:v>
      </x:c>
      <x:c r="T247" s="14" t="str">
        <x:v>G47 Handel; K Versicherungen; M72 F&amp;E</x:v>
      </x:c>
      <x:c r="U247" s="14" t="str">
        <x:v>Legacy / nicht explizit versioniert</x:v>
      </x:c>
      <x:c r="V247" s="51" t="str"/>
      <x:c r="W247" s="14" t="str">
        <x:v>Migration auf NACE Rev. 2.1 erforderlich</x:v>
      </x:c>
      <x:c r="X247" s="14" t="str">
        <x:v>Organisation/Governance; konsolidierter Kreis und relevante Rechtseinheiten</x:v>
      </x:c>
      <x:c r="Y247" s="14" t="str">
        <x:v>Siehe Quelle: Definition gemäß Standard (ESRS/GRI/Taxonomie/ISO).</x:v>
      </x:c>
      <x:c r="Z247" s="14" t="str">
        <x:v>Dokumentierter Kriterienkatalog; nachvollziehbare Evidenz; DQR A/B bevorzugt</x:v>
      </x:c>
      <x:c r="AA247" s="14" t="str">
        <x:v>Unabhängige Fachprüfung/Limited Assurance; bei roten Linien Reasonable Assurance</x:v>
      </x:c>
      <x:c r="AB247" s="14" t="str">
        <x:v>Prüfung/Parametrisierung erforderlich</x:v>
      </x:c>
      <x:c r="AC247" s="14" t="str">
        <x:v>Hoch</x:v>
      </x:c>
      <x:c r="AD247" s="14" t="str">
        <x:v>Die Kategorie −3 fehlt; Vollständigkeit und Wirksamkeit sind feldspezifisch zu definieren.</x:v>
      </x:c>
      <x:c r="AE247" s="14" t="str">
        <x:v>v1.4</x:v>
      </x:c>
      <x:c r="AF247" s="52" t="str">
        <x:v>2026-08-16</x:v>
      </x:c>
      <x:c r="AG247" s="52"/>
    </x:row>
    <x:row r="248" ht="42" customHeight="1">
      <x:c r="A248" s="14" t="str">
        <x:v>WOK-G-149</x:v>
      </x:c>
      <x:c r="B248" s="14" t="str">
        <x:v>SDG 10 – Ungleichheiten</x:v>
      </x:c>
      <x:c r="C248" s="14" t="str">
        <x:v>10.4</x:v>
      </x:c>
      <x:c r="D248" s="14" t="str">
        <x:v>Pay Ratio &amp; Bonus</x:v>
      </x:c>
      <x:c r="E248" s="14" t="str">
        <x:v>Pay Ratio &amp; Bonus – Antikorruption</x:v>
      </x:c>
      <x:c r="F248" s="14" t="str">
        <x:v>Bestätigte Fälle/1.000 FTE</x:v>
      </x:c>
      <x:c r="G248" s="14" t="str">
        <x:v>Fälle/1.000 FTE</x:v>
      </x:c>
      <x:c r="H248" s="14" t="str">
        <x:v>lower_is_better</x:v>
      </x:c>
      <x:c r="I248" s="14" t="str">
        <x:v>R01</x:v>
      </x:c>
      <x:c r="J248" s="14" t="str">
        <x:v>0:+3; ≤0,2:+2; ≤0,5:0; ≤1:‑2; &gt;1:‑3</x:v>
      </x:c>
      <x:c r="K248" s="14" t="str">
        <x:v>Feste WÖk-Kalibrierung</x:v>
      </x:c>
      <x:c r="L248" s="14" t="str">
        <x:v>Arbeitskalibrierung – fachlich zu validieren</x:v>
      </x:c>
      <x:c r="M248" s="14" t="str">
        <x:v>WÖk-interne Klassenlogik</x:v>
      </x:c>
      <x:c r="N248" s="14" t="str">
        <x:v>Optional/Nein</x:v>
      </x:c>
      <x:c r="O248" s="14" t="str">
        <x:v>ESRS G1; GRI 205/207</x:v>
      </x:c>
      <x:c r="P248" s="14" t="str">
        <x:v>ESRS G1, GRI 205/207, OECD Anti‑Bribery</x:v>
      </x:c>
      <x:c r="Q248" s="14" t="str">
        <x:v>Mess-, Berichts- oder Managementrahmen; Schwellen sind grundsätzlich WÖk-Kalibrierungen</x:v>
      </x:c>
      <x:c r="R248" s="14" t="str">
        <x:v>Messgrundlage belegt; Schwellenkalibrierung offen</x:v>
      </x:c>
      <x:c r="S248" s="14" t="str">
        <x:v>EU-ESRS; GRI; OECD-AB</x:v>
      </x:c>
      <x:c r="T248" s="14" t="str">
        <x:v>G47 Handel; K Versicherungen; M72 F&amp;E</x:v>
      </x:c>
      <x:c r="U248" s="14" t="str">
        <x:v>Legacy / nicht explizit versioniert</x:v>
      </x:c>
      <x:c r="V248" s="51" t="str"/>
      <x:c r="W248" s="14" t="str">
        <x:v>Migration auf NACE Rev. 2.1 erforderlich</x:v>
      </x:c>
      <x:c r="X248" s="14" t="str">
        <x:v>Organisation/Governance; konsolidierter Kreis und relevante Rechtseinheiten</x:v>
      </x:c>
      <x:c r="Y248" s="14" t="str">
        <x:v>Siehe Quelle: Definition gemäß Standard (ESRS/GRI/Taxonomie/ISO).</x:v>
      </x:c>
      <x:c r="Z248" s="14" t="str">
        <x:v>Primärdaten bevorzugt; Sekundärdaten nur transparent und versioniert; Methode und Systemgrenze dokumentieren</x:v>
      </x:c>
      <x:c r="AA248" s="14" t="str">
        <x:v>Limited Assurance; risikobasiert höhere Prüftiefe</x:v>
      </x:c>
      <x:c r="AB248" s="14" t="str">
        <x:v>Strukturell nutzbar; Schwellen fachlich zu validieren</x:v>
      </x:c>
      <x:c r="AC248" s="14" t="str">
        <x:v>Mittel</x:v>
      </x:c>
      <x:c r="AD248" s="14" t="str">
        <x:v>Vollständige fünfstufige numerische Regel.</x:v>
      </x:c>
      <x:c r="AE248" s="14" t="str">
        <x:v>v1.4</x:v>
      </x:c>
      <x:c r="AF248" s="52" t="str">
        <x:v>2026-08-16</x:v>
      </x:c>
      <x:c r="AG248" s="52"/>
    </x:row>
    <x:row r="249" ht="42" customHeight="1">
      <x:c r="A249" s="14" t="str">
        <x:v>WOK-G-150</x:v>
      </x:c>
      <x:c r="B249" s="14" t="str">
        <x:v>SDG 10 – Ungleichheiten</x:v>
      </x:c>
      <x:c r="C249" s="14" t="str">
        <x:v>10.4</x:v>
      </x:c>
      <x:c r="D249" s="14" t="str">
        <x:v>Pay Ratio &amp; Bonus</x:v>
      </x:c>
      <x:c r="E249" s="14" t="str">
        <x:v>Pay Ratio &amp; Bonus – Whistleblowing</x:v>
      </x:c>
      <x:c r="F249" s="14" t="str">
        <x:v>Wirksamkeits‑Score</x:v>
      </x:c>
      <x:c r="G249" s="14" t="str">
        <x:v>0–1</x:v>
      </x:c>
      <x:c r="H249" s="14" t="str">
        <x:v>higher_is_better</x:v>
      </x:c>
      <x:c r="I249" s="14" t="str">
        <x:v>R16</x:v>
      </x:c>
      <x:c r="J249" s="14" t="str">
        <x:v>≥0,9:+3; 0,75–0,89:+2; 0,6–0,74:0; 0,4–0,59:‑2; &lt;0,4:‑3</x:v>
      </x:c>
      <x:c r="K249" s="14" t="str">
        <x:v>Feste WÖk-Kalibrierung</x:v>
      </x:c>
      <x:c r="L249" s="14" t="str">
        <x:v>Arbeitskalibrierung – fachlich zu validieren</x:v>
      </x:c>
      <x:c r="M249" s="14" t="str">
        <x:v>WÖk-interne Klassenlogik</x:v>
      </x:c>
      <x:c r="N249" s="14" t="str">
        <x:v>Optional/Nein</x:v>
      </x:c>
      <x:c r="O249" s="14" t="str">
        <x:v>ESRS G1; GRI 205/207</x:v>
      </x:c>
      <x:c r="P249" s="14" t="str">
        <x:v>ESRS G1, GRI 205/207, OECD Anti‑Bribery</x:v>
      </x:c>
      <x:c r="Q249" s="14" t="str">
        <x:v>Mess-, Berichts- oder Managementrahmen; Schwellen sind grundsätzlich WÖk-Kalibrierungen</x:v>
      </x:c>
      <x:c r="R249" s="14" t="str">
        <x:v>Messgrundlage belegt; Schwellenkalibrierung offen</x:v>
      </x:c>
      <x:c r="S249" s="14" t="str">
        <x:v>EU-ESRS; GRI; OECD-AB</x:v>
      </x:c>
      <x:c r="T249" s="14" t="str">
        <x:v>G47 Handel; K Versicherungen; M72 F&amp;E</x:v>
      </x:c>
      <x:c r="U249" s="14" t="str">
        <x:v>Legacy / nicht explizit versioniert</x:v>
      </x:c>
      <x:c r="V249" s="51" t="str"/>
      <x:c r="W249" s="14" t="str">
        <x:v>Migration auf NACE Rev. 2.1 erforderlich</x:v>
      </x:c>
      <x:c r="X249" s="14" t="str">
        <x:v>Organisation/Governance; konsolidierter Kreis und relevante Rechtseinheiten</x:v>
      </x:c>
      <x:c r="Y249" s="14" t="str">
        <x:v>Siehe Quelle: Definition gemäß Standard (ESRS/GRI/Taxonomie/ISO).</x:v>
      </x:c>
      <x:c r="Z249" s="14" t="str">
        <x:v>Primärdaten bevorzugt; Sekundärdaten nur transparent und versioniert; Methode und Systemgrenze dokumentieren</x:v>
      </x:c>
      <x:c r="AA249" s="14" t="str">
        <x:v>Limited Assurance; risikobasiert höhere Prüftiefe</x:v>
      </x:c>
      <x:c r="AB249" s="14" t="str">
        <x:v>Strukturell nutzbar; Schwellen fachlich zu validieren</x:v>
      </x:c>
      <x:c r="AC249" s="14" t="str">
        <x:v>Mittel</x:v>
      </x:c>
      <x:c r="AD249" s="14" t="str">
        <x:v>Vollständige fünfstufige numerische Regel.</x:v>
      </x:c>
      <x:c r="AE249" s="14" t="str">
        <x:v>v1.4</x:v>
      </x:c>
      <x:c r="AF249" s="52" t="str">
        <x:v>2026-08-16</x:v>
      </x:c>
      <x:c r="AG249" s="52"/>
    </x:row>
    <x:row r="250" ht="42" customHeight="1">
      <x:c r="A250" s="14" t="str">
        <x:v>WOK-G-151</x:v>
      </x:c>
      <x:c r="B250" s="14" t="str">
        <x:v>SDG 10 – Ungleichheiten</x:v>
      </x:c>
      <x:c r="C250" s="14" t="str">
        <x:v>10.4</x:v>
      </x:c>
      <x:c r="D250" s="14" t="str">
        <x:v>Pay Ratio &amp; Bonus</x:v>
      </x:c>
      <x:c r="E250" s="14" t="str">
        <x:v>Pay Ratio &amp; Bonus – Steuertransparenz</x:v>
      </x:c>
      <x:c r="F250" s="14" t="str">
        <x:v>CbCR‑Offenlegung</x:v>
      </x:c>
      <x:c r="G250" s="14" t="str">
        <x:v>0–1</x:v>
      </x:c>
      <x:c r="H250" s="14" t="str">
        <x:v>higher_is_better</x:v>
      </x:c>
      <x:c r="I250" s="14" t="str">
        <x:v>R08</x:v>
      </x:c>
      <x:c r="J250" s="14" t="str">
        <x:v>vollständig:+3; teilweise:+2; minimal:0; schlecht:‑2</x:v>
      </x:c>
      <x:c r="K250" s="14" t="str">
        <x:v>Qualitativ</x:v>
      </x:c>
      <x:c r="L250" s="14" t="str">
        <x:v>Assurance und Kriterienkatalog erforderlich</x:v>
      </x:c>
      <x:c r="M250" s="14" t="str">
        <x:v>WÖk-interne Kategorien</x:v>
      </x:c>
      <x:c r="N250" s="14" t="str">
        <x:v>Optional/Nein</x:v>
      </x:c>
      <x:c r="O250" s="14" t="str">
        <x:v>ESRS G1; GRI 205/207</x:v>
      </x:c>
      <x:c r="P250" s="14" t="str">
        <x:v>ESRS G1, GRI 205/207, OECD Anti‑Bribery</x:v>
      </x:c>
      <x:c r="Q250" s="14" t="str">
        <x:v>Mess-, Berichts- oder Managementrahmen; Schwellen sind grundsätzlich WÖk-Kalibrierungen</x:v>
      </x:c>
      <x:c r="R250" s="14" t="str">
        <x:v>Messgrundlage belegt; Schwellenkalibrierung offen</x:v>
      </x:c>
      <x:c r="S250" s="14" t="str">
        <x:v>EU-ESRS; GRI; OECD-AB</x:v>
      </x:c>
      <x:c r="T250" s="14" t="str">
        <x:v>G47 Handel; K Versicherungen; M72 F&amp;E</x:v>
      </x:c>
      <x:c r="U250" s="14" t="str">
        <x:v>Legacy / nicht explizit versioniert</x:v>
      </x:c>
      <x:c r="V250" s="51" t="str"/>
      <x:c r="W250" s="14" t="str">
        <x:v>Migration auf NACE Rev. 2.1 erforderlich</x:v>
      </x:c>
      <x:c r="X250" s="14" t="str">
        <x:v>Organisation/Governance; konsolidierter Kreis und relevante Rechtseinheiten</x:v>
      </x:c>
      <x:c r="Y250" s="14" t="str">
        <x:v>Siehe Quelle: Definition gemäß Standard (ESRS/GRI/Taxonomie/ISO).</x:v>
      </x:c>
      <x:c r="Z250" s="14" t="str">
        <x:v>Dokumentierter Kriterienkatalog; nachvollziehbare Evidenz; DQR A/B bevorzugt</x:v>
      </x:c>
      <x:c r="AA250" s="14" t="str">
        <x:v>Unabhängige Fachprüfung/Limited Assurance; bei roten Linien Reasonable Assurance</x:v>
      </x:c>
      <x:c r="AB250" s="14" t="str">
        <x:v>Prüfung/Parametrisierung erforderlich</x:v>
      </x:c>
      <x:c r="AC250" s="14" t="str">
        <x:v>Hoch</x:v>
      </x:c>
      <x:c r="AD250" s="14" t="str">
        <x:v>Die Kategorie −3 fehlt; Vollständigkeit und Wirksamkeit sind feldspezifisch zu definieren.</x:v>
      </x:c>
      <x:c r="AE250" s="14" t="str">
        <x:v>v1.4</x:v>
      </x:c>
      <x:c r="AF250" s="52" t="str">
        <x:v>2026-08-16</x:v>
      </x:c>
      <x:c r="AG250" s="52"/>
    </x:row>
    <x:row r="251" ht="42" customHeight="1">
      <x:c r="A251" s="14" t="str">
        <x:v>WOK-S-161</x:v>
      </x:c>
      <x:c r="B251" s="14" t="str">
        <x:v>SDG 10 – Ungleichheiten</x:v>
      </x:c>
      <x:c r="C251" s="14" t="str">
        <x:v>10.2</x:v>
      </x:c>
      <x:c r="D251" s="14" t="str">
        <x:v>Inklusionsquote</x:v>
      </x:c>
      <x:c r="E251" s="14" t="str">
        <x:v>Inklusionsquote – Gender Pay Gap</x:v>
      </x:c>
      <x:c r="F251" s="14" t="str">
        <x:v>Bereinigter Lohnunterschied</x:v>
      </x:c>
      <x:c r="G251" s="14" t="str">
        <x:v>%</x:v>
      </x:c>
      <x:c r="H251" s="14" t="str">
        <x:v>lower_is_better</x:v>
      </x:c>
      <x:c r="I251" s="14" t="str">
        <x:v>R11</x:v>
      </x:c>
      <x:c r="J251" s="14" t="str">
        <x:v>≤2:+3; ≤5:+2; ≤8:0; &gt;8:‑2/‑3</x:v>
      </x:c>
      <x:c r="K251" s="14" t="str">
        <x:v>Unvollständige Grenzauflösung</x:v>
      </x:c>
      <x:c r="L251" s="14" t="str">
        <x:v>Grenze zwischen −2 und −3 offen</x:v>
      </x:c>
      <x:c r="M251" s="14" t="str">
        <x:v>WÖk-Arbeitskalibrierung</x:v>
      </x:c>
      <x:c r="N251" s="14" t="str">
        <x:v>Optional/Nein</x:v>
      </x:c>
      <x:c r="O251" s="14" t="str">
        <x:v>ESRS S1; GRI 401/403/405/406</x:v>
      </x:c>
      <x:c r="P251" s="14" t="str">
        <x:v>ESRS S1, GRI 401/403/405/406, ILO</x:v>
      </x:c>
      <x:c r="Q251" s="14" t="str">
        <x:v>Mess-, Berichts- oder Managementrahmen; Schwellen sind grundsätzlich WÖk-Kalibrierungen</x:v>
      </x:c>
      <x:c r="R251" s="14" t="str">
        <x:v>Messgrundlage belegt; Schwellenkalibrierung offen</x:v>
      </x:c>
      <x:c r="S251" s="14" t="str">
        <x:v>EU-ESRS; GRI; ISO-45001; ILO-LW; ILO-CORE</x:v>
      </x:c>
      <x:c r="T251" s="14" t="str">
        <x:v>G47 Handel; K Versicherungen; M72 F&amp;E</x:v>
      </x:c>
      <x:c r="U251" s="14" t="str">
        <x:v>Legacy / nicht explizit versioniert</x:v>
      </x:c>
      <x:c r="V251" s="51" t="str"/>
      <x:c r="W251" s="14" t="str">
        <x:v>Migration auf NACE Rev. 2.1 erforderlich</x:v>
      </x:c>
      <x:c r="X251" s="14" t="str">
        <x:v>Eigene Belegschaft/Organisation; FTE, Beschäftigtengruppe und Zeitraum</x:v>
      </x:c>
      <x:c r="Y251" s="14" t="str">
        <x:v>Bereinigter Gender Pay Gap gem. ESRS S1 / GRI 405.</x:v>
      </x:c>
      <x:c r="Z251" s="14" t="str">
        <x:v>Primärdaten oder qualitätsgesicherte Sekundärdaten; Methode, Zeitraum und Systemgrenze dokumentieren</x:v>
      </x:c>
      <x:c r="AA251" s="14" t="str">
        <x:v>Limited Assurance; bei materieller Steuerwirkung risikobasiert vertiefen</x:v>
      </x:c>
      <x:c r="AB251" s="14" t="str">
        <x:v>Prüfung/Parametrisierung erforderlich</x:v>
      </x:c>
      <x:c r="AC251" s="14" t="str">
        <x:v>Hoch</x:v>
      </x:c>
      <x:c r="AD251" s="14" t="str">
        <x:v>Werte &gt;8 werden bis zur Fachentscheidung konservativ mit −2 bewertet; manuelle Verschärfung über Assurance möglich.</x:v>
      </x:c>
      <x:c r="AE251" s="14" t="str">
        <x:v>v1.4</x:v>
      </x:c>
      <x:c r="AF251" s="52" t="str">
        <x:v>2026-08-16</x:v>
      </x:c>
      <x:c r="AG251" s="52"/>
    </x:row>
    <x:row r="252" ht="42" customHeight="1">
      <x:c r="A252" s="14" t="str">
        <x:v>WOK-S-162</x:v>
      </x:c>
      <x:c r="B252" s="14" t="str">
        <x:v>SDG 10 – Ungleichheiten</x:v>
      </x:c>
      <x:c r="C252" s="14" t="str">
        <x:v>10.2</x:v>
      </x:c>
      <x:c r="D252" s="14" t="str">
        <x:v>Inklusionsquote</x:v>
      </x:c>
      <x:c r="E252" s="14" t="str">
        <x:v>Inklusionsquote – Führung Diversität</x:v>
      </x:c>
      <x:c r="F252" s="14" t="str">
        <x:v>Frauenanteil Leitungsorgane</x:v>
      </x:c>
      <x:c r="G252" s="14" t="str">
        <x:v>%</x:v>
      </x:c>
      <x:c r="H252" s="14" t="str">
        <x:v>higher_is_better</x:v>
      </x:c>
      <x:c r="I252" s="14" t="str">
        <x:v>R18</x:v>
      </x:c>
      <x:c r="J252" s="14" t="str">
        <x:v>≥50:+3; ≥40:+2; ≥30:0; &lt;30:‑2/‑3</x:v>
      </x:c>
      <x:c r="K252" s="14" t="str">
        <x:v>Unvollständige Grenzauflösung</x:v>
      </x:c>
      <x:c r="L252" s="14" t="str">
        <x:v>Grenze zwischen −2 und −3 offen</x:v>
      </x:c>
      <x:c r="M252" s="14" t="str">
        <x:v>WÖk-Arbeitskalibrierung</x:v>
      </x:c>
      <x:c r="N252" s="14" t="str">
        <x:v>Optional/Nein</x:v>
      </x:c>
      <x:c r="O252" s="14" t="str">
        <x:v>ESRS G1; GRI 205/207</x:v>
      </x:c>
      <x:c r="P252" s="14" t="str">
        <x:v>ESRS S1, GRI 401/403/405/406, ILO</x:v>
      </x:c>
      <x:c r="Q252" s="14" t="str">
        <x:v>Mess-, Berichts- oder Managementrahmen; Schwellen sind grundsätzlich WÖk-Kalibrierungen</x:v>
      </x:c>
      <x:c r="R252" s="14" t="str">
        <x:v>Messgrundlage belegt; Schwellenkalibrierung offen</x:v>
      </x:c>
      <x:c r="S252" s="14" t="str">
        <x:v>EU-ESRS; GRI; OECD-AB</x:v>
      </x:c>
      <x:c r="T252" s="14" t="str">
        <x:v>G47 Handel; K Versicherungen; M72 F&amp;E</x:v>
      </x:c>
      <x:c r="U252" s="14" t="str">
        <x:v>Legacy / nicht explizit versioniert</x:v>
      </x:c>
      <x:c r="V252" s="51" t="str"/>
      <x:c r="W252" s="14" t="str">
        <x:v>Migration auf NACE Rev. 2.1 erforderlich</x:v>
      </x:c>
      <x:c r="X252" s="14" t="str">
        <x:v>Eigene Belegschaft/Organisation; FTE, Beschäftigtengruppe und Zeitraum</x:v>
      </x:c>
      <x:c r="Y252" s="14" t="str">
        <x:v>Quote = Zähler / Nenner gemäß Quelle; in %.</x:v>
      </x:c>
      <x:c r="Z252" s="14" t="str">
        <x:v>Primärdaten oder qualitätsgesicherte Sekundärdaten; Methode, Zeitraum und Systemgrenze dokumentieren</x:v>
      </x:c>
      <x:c r="AA252" s="14" t="str">
        <x:v>Limited Assurance; bei materieller Steuerwirkung risikobasiert vertiefen</x:v>
      </x:c>
      <x:c r="AB252" s="14" t="str">
        <x:v>Prüfung/Parametrisierung erforderlich</x:v>
      </x:c>
      <x:c r="AC252" s="14" t="str">
        <x:v>Hoch</x:v>
      </x:c>
      <x:c r="AD252" s="14" t="str">
        <x:v>Werte &lt;30 werden bis zur Fachentscheidung mit −2 bewertet; manuelle Verschärfung über Assurance möglich.</x:v>
      </x:c>
      <x:c r="AE252" s="14" t="str">
        <x:v>v1.4</x:v>
      </x:c>
      <x:c r="AF252" s="52" t="str">
        <x:v>2026-08-16</x:v>
      </x:c>
      <x:c r="AG252" s="52"/>
    </x:row>
    <x:row r="253" ht="42" customHeight="1">
      <x:c r="A253" s="14" t="str">
        <x:v>WOK-S-163</x:v>
      </x:c>
      <x:c r="B253" s="14" t="str">
        <x:v>SDG 10 – Ungleichheiten</x:v>
      </x:c>
      <x:c r="C253" s="14" t="str">
        <x:v>10.2</x:v>
      </x:c>
      <x:c r="D253" s="14" t="str">
        <x:v>Inklusionsquote</x:v>
      </x:c>
      <x:c r="E253" s="14" t="str">
        <x:v>Inklusionsquote – Inklusion</x:v>
      </x:c>
      <x:c r="F253" s="14" t="str">
        <x:v>Beschäftigte mit Behinderung</x:v>
      </x:c>
      <x:c r="G253" s="14" t="str">
        <x:v>%</x:v>
      </x:c>
      <x:c r="H253" s="14" t="str">
        <x:v>higher_is_better</x:v>
      </x:c>
      <x:c r="I253" s="14" t="str">
        <x:v>R21</x:v>
      </x:c>
      <x:c r="J253" s="14" t="str">
        <x:v>≥6:+3; 4–5,9:+2; 2–3,9:0; 1–1,9:‑2; &lt;1:‑3</x:v>
      </x:c>
      <x:c r="K253" s="14" t="str">
        <x:v>Feste WÖk-Kalibrierung</x:v>
      </x:c>
      <x:c r="L253" s="14" t="str">
        <x:v>Arbeitskalibrierung – fachlich zu validieren</x:v>
      </x:c>
      <x:c r="M253" s="14" t="str">
        <x:v>WÖk-interne Klassenlogik</x:v>
      </x:c>
      <x:c r="N253" s="14" t="str">
        <x:v>Optional/Nein</x:v>
      </x:c>
      <x:c r="O253" s="14" t="str">
        <x:v>ESRS S1; GRI 401/403/405/406</x:v>
      </x:c>
      <x:c r="P253" s="14" t="str">
        <x:v>ESRS S1, GRI 401/403/405/406, ILO</x:v>
      </x:c>
      <x:c r="Q253" s="14" t="str">
        <x:v>Mess-, Berichts- oder Managementrahmen; Schwellen sind grundsätzlich WÖk-Kalibrierungen</x:v>
      </x:c>
      <x:c r="R253" s="14" t="str">
        <x:v>Messgrundlage belegt; Schwellenkalibrierung offen</x:v>
      </x:c>
      <x:c r="S253" s="14" t="str">
        <x:v>EU-ESRS; GRI; ISO-45001; ILO-LW; ILO-CORE</x:v>
      </x:c>
      <x:c r="T253" s="14" t="str">
        <x:v>G47 Handel; K Versicherungen; M72 F&amp;E</x:v>
      </x:c>
      <x:c r="U253" s="14" t="str">
        <x:v>Legacy / nicht explizit versioniert</x:v>
      </x:c>
      <x:c r="V253" s="51" t="str"/>
      <x:c r="W253" s="14" t="str">
        <x:v>Migration auf NACE Rev. 2.1 erforderlich</x:v>
      </x:c>
      <x:c r="X253" s="14" t="str">
        <x:v>Eigene Belegschaft/Organisation; FTE, Beschäftigtengruppe und Zeitraum</x:v>
      </x:c>
      <x:c r="Y253" s="14" t="str">
        <x:v>Quote = Zähler / Nenner gemäß Quelle; in %.</x:v>
      </x:c>
      <x:c r="Z253" s="14" t="str">
        <x:v>Primärdaten bevorzugt; Sekundärdaten nur transparent und versioniert; Methode und Systemgrenze dokumentieren</x:v>
      </x:c>
      <x:c r="AA253" s="14" t="str">
        <x:v>Limited Assurance; risikobasiert höhere Prüftiefe</x:v>
      </x:c>
      <x:c r="AB253" s="14" t="str">
        <x:v>Strukturell nutzbar; Schwellen fachlich zu validieren</x:v>
      </x:c>
      <x:c r="AC253" s="14" t="str">
        <x:v>Mittel</x:v>
      </x:c>
      <x:c r="AD253" s="14" t="str">
        <x:v>Vollständige fünfstufige numerische Regel.</x:v>
      </x:c>
      <x:c r="AE253" s="14" t="str">
        <x:v>v1.4</x:v>
      </x:c>
      <x:c r="AF253" s="52" t="str">
        <x:v>2026-08-16</x:v>
      </x:c>
      <x:c r="AG253" s="52"/>
    </x:row>
    <x:row r="254" ht="42" customHeight="1">
      <x:c r="A254" s="14" t="str">
        <x:v>WOK-S-164</x:v>
      </x:c>
      <x:c r="B254" s="14" t="str">
        <x:v>SDG 10 – Ungleichheiten</x:v>
      </x:c>
      <x:c r="C254" s="14" t="str">
        <x:v>10.3</x:v>
      </x:c>
      <x:c r="D254" s="14" t="str">
        <x:v>Diskriminierungsfälle</x:v>
      </x:c>
      <x:c r="E254" s="14" t="str">
        <x:v>Diskriminierungsfälle – Gender Pay Gap</x:v>
      </x:c>
      <x:c r="F254" s="14" t="str">
        <x:v>Bereinigter Lohnunterschied</x:v>
      </x:c>
      <x:c r="G254" s="14" t="str">
        <x:v>%</x:v>
      </x:c>
      <x:c r="H254" s="14" t="str">
        <x:v>lower_is_better</x:v>
      </x:c>
      <x:c r="I254" s="14" t="str">
        <x:v>R11</x:v>
      </x:c>
      <x:c r="J254" s="14" t="str">
        <x:v>≤2:+3; ≤5:+2; ≤8:0; &gt;8:‑2/‑3</x:v>
      </x:c>
      <x:c r="K254" s="14" t="str">
        <x:v>Unvollständige Grenzauflösung</x:v>
      </x:c>
      <x:c r="L254" s="14" t="str">
        <x:v>Grenze zwischen −2 und −3 offen</x:v>
      </x:c>
      <x:c r="M254" s="14" t="str">
        <x:v>WÖk-Arbeitskalibrierung</x:v>
      </x:c>
      <x:c r="N254" s="14" t="str">
        <x:v>Optional/Nein</x:v>
      </x:c>
      <x:c r="O254" s="14" t="str">
        <x:v>ESRS S1; GRI 401/403/405/406</x:v>
      </x:c>
      <x:c r="P254" s="14" t="str">
        <x:v>ESRS S1, GRI 401/403/405/406, ILO</x:v>
      </x:c>
      <x:c r="Q254" s="14" t="str">
        <x:v>Mess-, Berichts- oder Managementrahmen; Schwellen sind grundsätzlich WÖk-Kalibrierungen</x:v>
      </x:c>
      <x:c r="R254" s="14" t="str">
        <x:v>Messgrundlage belegt; Schwellenkalibrierung offen</x:v>
      </x:c>
      <x:c r="S254" s="14" t="str">
        <x:v>EU-ESRS; GRI; ISO-45001; ILO-LW; ILO-CORE</x:v>
      </x:c>
      <x:c r="T254" s="14" t="str">
        <x:v>G47 Handel; K Versicherungen; M72 F&amp;E</x:v>
      </x:c>
      <x:c r="U254" s="14" t="str">
        <x:v>Legacy / nicht explizit versioniert</x:v>
      </x:c>
      <x:c r="V254" s="51" t="str"/>
      <x:c r="W254" s="14" t="str">
        <x:v>Migration auf NACE Rev. 2.1 erforderlich</x:v>
      </x:c>
      <x:c r="X254" s="14" t="str">
        <x:v>Eigene Belegschaft/Organisation; FTE, Beschäftigtengruppe und Zeitraum</x:v>
      </x:c>
      <x:c r="Y254" s="14" t="str">
        <x:v>Bereinigter Gender Pay Gap gem. ESRS S1 / GRI 405.</x:v>
      </x:c>
      <x:c r="Z254" s="14" t="str">
        <x:v>Primärdaten oder qualitätsgesicherte Sekundärdaten; Methode, Zeitraum und Systemgrenze dokumentieren</x:v>
      </x:c>
      <x:c r="AA254" s="14" t="str">
        <x:v>Limited Assurance; bei materieller Steuerwirkung risikobasiert vertiefen</x:v>
      </x:c>
      <x:c r="AB254" s="14" t="str">
        <x:v>Prüfung/Parametrisierung erforderlich</x:v>
      </x:c>
      <x:c r="AC254" s="14" t="str">
        <x:v>Hoch</x:v>
      </x:c>
      <x:c r="AD254" s="14" t="str">
        <x:v>Werte &gt;8 werden bis zur Fachentscheidung konservativ mit −2 bewertet; manuelle Verschärfung über Assurance möglich.</x:v>
      </x:c>
      <x:c r="AE254" s="14" t="str">
        <x:v>v1.4</x:v>
      </x:c>
      <x:c r="AF254" s="52" t="str">
        <x:v>2026-08-16</x:v>
      </x:c>
      <x:c r="AG254" s="52"/>
    </x:row>
    <x:row r="255" ht="42" customHeight="1">
      <x:c r="A255" s="14" t="str">
        <x:v>WOK-S-165</x:v>
      </x:c>
      <x:c r="B255" s="14" t="str">
        <x:v>SDG 10 – Ungleichheiten</x:v>
      </x:c>
      <x:c r="C255" s="14" t="str">
        <x:v>10.3</x:v>
      </x:c>
      <x:c r="D255" s="14" t="str">
        <x:v>Diskriminierungsfälle</x:v>
      </x:c>
      <x:c r="E255" s="14" t="str">
        <x:v>Diskriminierungsfälle – Führung Diversität</x:v>
      </x:c>
      <x:c r="F255" s="14" t="str">
        <x:v>Frauenanteil Leitungsorgane</x:v>
      </x:c>
      <x:c r="G255" s="14" t="str">
        <x:v>%</x:v>
      </x:c>
      <x:c r="H255" s="14" t="str">
        <x:v>higher_is_better</x:v>
      </x:c>
      <x:c r="I255" s="14" t="str">
        <x:v>R18</x:v>
      </x:c>
      <x:c r="J255" s="14" t="str">
        <x:v>≥50:+3; ≥40:+2; ≥30:0; &lt;30:‑2/‑3</x:v>
      </x:c>
      <x:c r="K255" s="14" t="str">
        <x:v>Unvollständige Grenzauflösung</x:v>
      </x:c>
      <x:c r="L255" s="14" t="str">
        <x:v>Grenze zwischen −2 und −3 offen</x:v>
      </x:c>
      <x:c r="M255" s="14" t="str">
        <x:v>WÖk-Arbeitskalibrierung</x:v>
      </x:c>
      <x:c r="N255" s="14" t="str">
        <x:v>Optional/Nein</x:v>
      </x:c>
      <x:c r="O255" s="14" t="str">
        <x:v>ESRS G1; GRI 205/207</x:v>
      </x:c>
      <x:c r="P255" s="14" t="str">
        <x:v>ESRS G1; GRI 205/207</x:v>
      </x:c>
      <x:c r="Q255" s="14" t="str">
        <x:v>Mess-, Berichts- oder Managementrahmen; Schwellen sind grundsätzlich WÖk-Kalibrierungen</x:v>
      </x:c>
      <x:c r="R255" s="14" t="str">
        <x:v>Messgrundlage belegt; Schwellenkalibrierung offen</x:v>
      </x:c>
      <x:c r="S255" s="14" t="str">
        <x:v>EU-ESRS; GRI; OECD-AB</x:v>
      </x:c>
      <x:c r="T255" s="14" t="str">
        <x:v>G47 Handel; K Versicherungen; M72 F&amp;E</x:v>
      </x:c>
      <x:c r="U255" s="14" t="str">
        <x:v>Legacy / nicht explizit versioniert</x:v>
      </x:c>
      <x:c r="V255" s="51" t="str"/>
      <x:c r="W255" s="14" t="str">
        <x:v>Migration auf NACE Rev. 2.1 erforderlich</x:v>
      </x:c>
      <x:c r="X255" s="14" t="str">
        <x:v>Eigene Belegschaft/Organisation; FTE, Beschäftigtengruppe und Zeitraum</x:v>
      </x:c>
      <x:c r="Y255" s="14" t="str">
        <x:v>Quote = Zähler / Nenner gemäß Quelle; in %.</x:v>
      </x:c>
      <x:c r="Z255" s="14" t="str">
        <x:v>Primärdaten oder qualitätsgesicherte Sekundärdaten; Methode, Zeitraum und Systemgrenze dokumentieren</x:v>
      </x:c>
      <x:c r="AA255" s="14" t="str">
        <x:v>Limited Assurance; bei materieller Steuerwirkung risikobasiert vertiefen</x:v>
      </x:c>
      <x:c r="AB255" s="14" t="str">
        <x:v>Prüfung/Parametrisierung erforderlich</x:v>
      </x:c>
      <x:c r="AC255" s="14" t="str">
        <x:v>Hoch</x:v>
      </x:c>
      <x:c r="AD255" s="14" t="str">
        <x:v>Werte &lt;30 werden bis zur Fachentscheidung mit −2 bewertet; manuelle Verschärfung über Assurance möglich.</x:v>
      </x:c>
      <x:c r="AE255" s="14" t="str">
        <x:v>v1.4</x:v>
      </x:c>
      <x:c r="AF255" s="52" t="str">
        <x:v>2026-08-16</x:v>
      </x:c>
      <x:c r="AG255" s="52"/>
    </x:row>
    <x:row r="256" ht="42" customHeight="1">
      <x:c r="A256" s="14" t="str">
        <x:v>WOK-S-166</x:v>
      </x:c>
      <x:c r="B256" s="14" t="str">
        <x:v>SDG 10 – Ungleichheiten</x:v>
      </x:c>
      <x:c r="C256" s="14" t="str">
        <x:v>10.3</x:v>
      </x:c>
      <x:c r="D256" s="14" t="str">
        <x:v>Diskriminierungsfälle</x:v>
      </x:c>
      <x:c r="E256" s="14" t="str">
        <x:v>Diskriminierungsfälle – Inklusion</x:v>
      </x:c>
      <x:c r="F256" s="14" t="str">
        <x:v>Beschäftigte mit Behinderung</x:v>
      </x:c>
      <x:c r="G256" s="14" t="str">
        <x:v>%</x:v>
      </x:c>
      <x:c r="H256" s="14" t="str">
        <x:v>higher_is_better</x:v>
      </x:c>
      <x:c r="I256" s="14" t="str">
        <x:v>R21</x:v>
      </x:c>
      <x:c r="J256" s="14" t="str">
        <x:v>≥6:+3; 4–5,9:+2; 2–3,9:0; 1–1,9:‑2; &lt;1:‑3</x:v>
      </x:c>
      <x:c r="K256" s="14" t="str">
        <x:v>Feste WÖk-Kalibrierung</x:v>
      </x:c>
      <x:c r="L256" s="14" t="str">
        <x:v>Arbeitskalibrierung – fachlich zu validieren</x:v>
      </x:c>
      <x:c r="M256" s="14" t="str">
        <x:v>WÖk-interne Klassenlogik</x:v>
      </x:c>
      <x:c r="N256" s="14" t="str">
        <x:v>Optional/Nein</x:v>
      </x:c>
      <x:c r="O256" s="14" t="str">
        <x:v>ESRS S1; GRI 401/403/405/406</x:v>
      </x:c>
      <x:c r="P256" s="14" t="str">
        <x:v>ESRS S1, GRI 401/403/405/406, ILO</x:v>
      </x:c>
      <x:c r="Q256" s="14" t="str">
        <x:v>Mess-, Berichts- oder Managementrahmen; Schwellen sind grundsätzlich WÖk-Kalibrierungen</x:v>
      </x:c>
      <x:c r="R256" s="14" t="str">
        <x:v>Messgrundlage belegt; Schwellenkalibrierung offen</x:v>
      </x:c>
      <x:c r="S256" s="14" t="str">
        <x:v>EU-ESRS; GRI; ISO-45001; ILO-LW; ILO-CORE</x:v>
      </x:c>
      <x:c r="T256" s="14" t="str">
        <x:v>G47 Handel; K Versicherungen; M72 F&amp;E</x:v>
      </x:c>
      <x:c r="U256" s="14" t="str">
        <x:v>Legacy / nicht explizit versioniert</x:v>
      </x:c>
      <x:c r="V256" s="51" t="str"/>
      <x:c r="W256" s="14" t="str">
        <x:v>Migration auf NACE Rev. 2.1 erforderlich</x:v>
      </x:c>
      <x:c r="X256" s="14" t="str">
        <x:v>Eigene Belegschaft/Organisation; FTE, Beschäftigtengruppe und Zeitraum</x:v>
      </x:c>
      <x:c r="Y256" s="14" t="str">
        <x:v>Quote = Zähler / Nenner gemäß Quelle; in %.</x:v>
      </x:c>
      <x:c r="Z256" s="14" t="str">
        <x:v>Primärdaten bevorzugt; Sekundärdaten nur transparent und versioniert; Methode und Systemgrenze dokumentieren</x:v>
      </x:c>
      <x:c r="AA256" s="14" t="str">
        <x:v>Limited Assurance; risikobasiert höhere Prüftiefe</x:v>
      </x:c>
      <x:c r="AB256" s="14" t="str">
        <x:v>Strukturell nutzbar; Schwellen fachlich zu validieren</x:v>
      </x:c>
      <x:c r="AC256" s="14" t="str">
        <x:v>Mittel</x:v>
      </x:c>
      <x:c r="AD256" s="14" t="str">
        <x:v>Vollständige fünfstufige numerische Regel.</x:v>
      </x:c>
      <x:c r="AE256" s="14" t="str">
        <x:v>v1.4</x:v>
      </x:c>
      <x:c r="AF256" s="52" t="str">
        <x:v>2026-08-16</x:v>
      </x:c>
      <x:c r="AG256" s="52"/>
    </x:row>
    <x:row r="257" ht="42" customHeight="1">
      <x:c r="A257" s="14" t="str">
        <x:v>WOK-SYS-125</x:v>
      </x:c>
      <x:c r="B257" s="14" t="str">
        <x:v>SDG 10 – Ungleichheiten</x:v>
      </x:c>
      <x:c r="C257" s="14" t="str">
        <x:v>10.c</x:v>
      </x:c>
      <x:c r="D257" s="14" t="str">
        <x:v>Erschwinglichkeit Produkte/Services</x:v>
      </x:c>
      <x:c r="E257" s="14" t="str">
        <x:v>Erschwinglichkeit Produkte/Services – Index</x:v>
      </x:c>
      <x:c r="F257" s="14" t="str">
        <x:v>umsatzgewichteter Index (z. B. Demokratie/Rule of Law)</x:v>
      </x:c>
      <x:c r="G257" s="14" t="str">
        <x:v>0–1</x:v>
      </x:c>
      <x:c r="H257" s="14" t="str">
        <x:v>higher_is_better</x:v>
      </x:c>
      <x:c r="I257" s="14" t="str">
        <x:v>R15</x:v>
      </x:c>
      <x:c r="J257" s="14" t="str">
        <x:v>≥0,8:+3; 0,7–0,79:+2; 0,6–0,69:0; 0,5–0,59:‑2; &lt;0,5:‑3</x:v>
      </x:c>
      <x:c r="K257" s="14" t="str">
        <x:v>Feste WÖk-Kalibrierung</x:v>
      </x:c>
      <x:c r="L257" s="14" t="str">
        <x:v>Arbeitskalibrierung – fachlich zu validieren</x:v>
      </x:c>
      <x:c r="M257" s="14" t="str">
        <x:v>WÖk-interne Klassenlogik</x:v>
      </x:c>
      <x:c r="N257" s="14" t="str">
        <x:v>Optional/Nein</x:v>
      </x:c>
      <x:c r="O257" s="14" t="str">
        <x:v>SROI/SDG17</x:v>
      </x:c>
      <x:c r="P257" s="14" t="str">
        <x:v>ISO 14067/14040/44 (LCA/PCF), PEF/EF 3.1, EU Reparierbarkeitsindex</x:v>
      </x:c>
      <x:c r="Q257" s="14" t="str">
        <x:v>Methodischer Platzhalter; konkrete Fach- und Primärdatenquelle erforderlich</x:v>
      </x:c>
      <x:c r="R257" s="14" t="str">
        <x:v>Platzhalter – fachliche Operationalisierung offen</x:v>
      </x:c>
      <x:c r="S257" s="14" t="str">
        <x:v>INT-WOEK-TSROI; SVI-SROI; UN-SDG</x:v>
      </x:c>
      <x:c r="T257" s="14" t="str">
        <x:v>G47 Handel; K Versicherungen; M72 F&amp;E</x:v>
      </x:c>
      <x:c r="U257" s="14" t="str">
        <x:v>Legacy / nicht explizit versioniert</x:v>
      </x:c>
      <x:c r="V257" s="51" t="str"/>
      <x:c r="W257" s="14" t="str">
        <x:v>Migration auf NACE Rev. 2.1 erforderlich</x:v>
      </x:c>
      <x:c r="X257" s="14" t="str">
        <x:v>Programm/Portfolio/Systemraum; Empfängergruppe, Region und Zeitraum explizit definieren</x:v>
      </x:c>
      <x:c r="Y257" s="14" t="str">
        <x:v>Siehe Quelle: Definition gemäß Standard (ESRS/GRI/Taxonomie/ISO).</x:v>
      </x:c>
      <x:c r="Z257" s="14" t="str">
        <x:v>Primärdaten bevorzugt; Sekundärdaten nur transparent und versioniert; Methode und Systemgrenze dokumentieren</x:v>
      </x:c>
      <x:c r="AA257" s="14" t="str">
        <x:v>Limited Assurance; risikobasiert höhere Prüftiefe</x:v>
      </x:c>
      <x:c r="AB257" s="14" t="str">
        <x:v>Fachlogik nicht abschließend operationalisiert</x:v>
      </x:c>
      <x:c r="AC257" s="14" t="str">
        <x:v>Kritisch</x:v>
      </x:c>
      <x:c r="AD257" s="14" t="str">
        <x:v>SROI/SDG 17 ist keine hinreichend konkrete Mess- oder Schwellenquelle. Vollständige fünfstufige numerische Regel.</x:v>
      </x:c>
      <x:c r="AE257" s="14" t="str">
        <x:v>v1.4</x:v>
      </x:c>
      <x:c r="AF257" s="52" t="str">
        <x:v>2026-08-16</x:v>
      </x:c>
      <x:c r="AG257" s="52"/>
    </x:row>
    <x:row r="258" ht="42" customHeight="1">
      <x:c r="A258" s="14" t="str">
        <x:v>WOK-SYS-126</x:v>
      </x:c>
      <x:c r="B258" s="14" t="str">
        <x:v>SDG 10 – Ungleichheiten</x:v>
      </x:c>
      <x:c r="C258" s="14" t="str">
        <x:v>10.c</x:v>
      </x:c>
      <x:c r="D258" s="14" t="str">
        <x:v>Erschwinglichkeit Produkte/Services</x:v>
      </x:c>
      <x:c r="E258" s="14" t="str">
        <x:v>Erschwinglichkeit Produkte/Services – Exposure</x:v>
      </x:c>
      <x:c r="F258" s="14" t="str">
        <x:v>Umsatz in Hochrisikoländern</x:v>
      </x:c>
      <x:c r="G258" s="14" t="str">
        <x:v>%</x:v>
      </x:c>
      <x:c r="H258" s="14" t="str">
        <x:v>lower_is_better</x:v>
      </x:c>
      <x:c r="I258" s="14" t="str">
        <x:v>R13</x:v>
      </x:c>
      <x:c r="J258" s="14" t="str">
        <x:v>≤5:+3; 6–10:+2; 11–20:0; 21–30:‑2; &gt;30:‑3</x:v>
      </x:c>
      <x:c r="K258" s="14" t="str">
        <x:v>Feste WÖk-Kalibrierung</x:v>
      </x:c>
      <x:c r="L258" s="14" t="str">
        <x:v>Arbeitskalibrierung – fachlich zu validieren</x:v>
      </x:c>
      <x:c r="M258" s="14" t="str">
        <x:v>WÖk-interne Klassenlogik</x:v>
      </x:c>
      <x:c r="N258" s="14" t="str">
        <x:v>Optional/Nein</x:v>
      </x:c>
      <x:c r="O258" s="14" t="str">
        <x:v>SROI/SDG17</x:v>
      </x:c>
      <x:c r="P258" s="14" t="str">
        <x:v>ISO 14067/14040/44 (LCA/PCF), PEF/EF 3.1, EU Reparierbarkeitsindex</x:v>
      </x:c>
      <x:c r="Q258" s="14" t="str">
        <x:v>Methodischer Platzhalter; konkrete Fach- und Primärdatenquelle erforderlich</x:v>
      </x:c>
      <x:c r="R258" s="14" t="str">
        <x:v>Platzhalter – fachliche Operationalisierung offen</x:v>
      </x:c>
      <x:c r="S258" s="14" t="str">
        <x:v>INT-WOEK-TSROI; SVI-SROI; UN-SDG</x:v>
      </x:c>
      <x:c r="T258" s="14" t="str">
        <x:v>G47 Handel; K Versicherungen; M72 F&amp;E</x:v>
      </x:c>
      <x:c r="U258" s="14" t="str">
        <x:v>Legacy / nicht explizit versioniert</x:v>
      </x:c>
      <x:c r="V258" s="51" t="str"/>
      <x:c r="W258" s="14" t="str">
        <x:v>Migration auf NACE Rev. 2.1 erforderlich</x:v>
      </x:c>
      <x:c r="X258" s="14" t="str">
        <x:v>Programm/Portfolio/Systemraum; Empfängergruppe, Region und Zeitraum explizit definieren</x:v>
      </x:c>
      <x:c r="Y258" s="14" t="str">
        <x:v>Siehe Quelle: Definition gemäß Standard (ESRS/GRI/Taxonomie/ISO).</x:v>
      </x:c>
      <x:c r="Z258" s="14" t="str">
        <x:v>Primärdaten bevorzugt; Sekundärdaten nur transparent und versioniert; Methode und Systemgrenze dokumentieren</x:v>
      </x:c>
      <x:c r="AA258" s="14" t="str">
        <x:v>Limited Assurance; risikobasiert höhere Prüftiefe</x:v>
      </x:c>
      <x:c r="AB258" s="14" t="str">
        <x:v>Fachlogik nicht abschließend operationalisiert</x:v>
      </x:c>
      <x:c r="AC258" s="14" t="str">
        <x:v>Kritisch</x:v>
      </x:c>
      <x:c r="AD258" s="14" t="str">
        <x:v>SROI/SDG 17 ist keine hinreichend konkrete Mess- oder Schwellenquelle. Vollständige fünfstufige numerische Regel.</x:v>
      </x:c>
      <x:c r="AE258" s="14" t="str">
        <x:v>v1.4</x:v>
      </x:c>
      <x:c r="AF258" s="52" t="str">
        <x:v>2026-08-16</x:v>
      </x:c>
      <x:c r="AG258" s="52"/>
    </x:row>
    <x:row r="259" ht="42" customHeight="1">
      <x:c r="A259" s="14" t="str">
        <x:v>WOK-SYS-127</x:v>
      </x:c>
      <x:c r="B259" s="14" t="str">
        <x:v>SDG 10 – Ungleichheiten</x:v>
      </x:c>
      <x:c r="C259" s="14" t="str">
        <x:v>10.c</x:v>
      </x:c>
      <x:c r="D259" s="14" t="str">
        <x:v>Erschwinglichkeit Produkte/Services</x:v>
      </x:c>
      <x:c r="E259" s="14" t="str">
        <x:v>Erschwinglichkeit Produkte/Services – Kooperationen</x:v>
      </x:c>
      <x:c r="F259" s="14" t="str">
        <x:v>aktive, evaluierte Partnerschaften/Jahr</x:v>
      </x:c>
      <x:c r="G259" s="14" t="str">
        <x:v>#/Jahr</x:v>
      </x:c>
      <x:c r="H259" s="14" t="str">
        <x:v>higher_is_better</x:v>
      </x:c>
      <x:c r="I259" s="14" t="str">
        <x:v>R20</x:v>
      </x:c>
      <x:c r="J259" s="14" t="str">
        <x:v>≥5:+3; 3–4:+2; 1–2:0; 0:‑2</x:v>
      </x:c>
      <x:c r="K259" s="14" t="str">
        <x:v>Feste WÖk-Grobkalibrierung</x:v>
      </x:c>
      <x:c r="L259" s="14" t="str">
        <x:v>Klasse −3 nur für negative/unzulässige Werte ergänzt</x:v>
      </x:c>
      <x:c r="M259" s="14" t="str">
        <x:v>WÖk-interne Grobkalibrierung</x:v>
      </x:c>
      <x:c r="N259" s="14" t="str">
        <x:v>Optional/Nein</x:v>
      </x:c>
      <x:c r="O259" s="14" t="str">
        <x:v>SROI/SDG17</x:v>
      </x:c>
      <x:c r="P259" s="14" t="str">
        <x:v>ISO 14067/14040/44 (LCA/PCF), PEF/EF 3.1, EU Reparierbarkeitsindex</x:v>
      </x:c>
      <x:c r="Q259" s="14" t="str">
        <x:v>Methodischer Platzhalter; konkrete Fach- und Primärdatenquelle erforderlich</x:v>
      </x:c>
      <x:c r="R259" s="14" t="str">
        <x:v>Platzhalter – fachliche Operationalisierung offen</x:v>
      </x:c>
      <x:c r="S259" s="14" t="str">
        <x:v>INT-WOEK-TSROI; SVI-SROI; UN-SDG</x:v>
      </x:c>
      <x:c r="T259" s="14" t="str">
        <x:v>G47 Handel; K Versicherungen; M72 F&amp;E</x:v>
      </x:c>
      <x:c r="U259" s="14" t="str">
        <x:v>Legacy / nicht explizit versioniert</x:v>
      </x:c>
      <x:c r="V259" s="51" t="str"/>
      <x:c r="W259" s="14" t="str">
        <x:v>Migration auf NACE Rev. 2.1 erforderlich</x:v>
      </x:c>
      <x:c r="X259" s="14" t="str">
        <x:v>Programm/Portfolio/Systemraum; Empfängergruppe, Region und Zeitraum explizit definieren</x:v>
      </x:c>
      <x:c r="Y259" s="14" t="str">
        <x:v>Siehe Quelle: Definition gemäß Standard (ESRS/GRI/Taxonomie/ISO).</x:v>
      </x:c>
      <x:c r="Z259" s="14" t="str">
        <x:v>Primärdaten bevorzugt; Sekundärdaten nur transparent und versioniert; Methode und Systemgrenze dokumentieren</x:v>
      </x:c>
      <x:c r="AA259" s="14" t="str">
        <x:v>Limited Assurance; risikobasiert höhere Prüftiefe</x:v>
      </x:c>
      <x:c r="AB259" s="14" t="str">
        <x:v>Fachlogik nicht abschließend operationalisiert</x:v>
      </x:c>
      <x:c r="AC259" s="14" t="str">
        <x:v>Kritisch</x:v>
      </x:c>
      <x:c r="AD259" s="14" t="str">
        <x:v>SROI/SDG 17 ist keine hinreichend konkrete Mess- oder Schwellenquelle. Für sachlogisch nichtnegative Zählwerte ist 0 die schlechteste reguläre Klasse (−2).</x:v>
      </x:c>
      <x:c r="AE259" s="14" t="str">
        <x:v>v1.4</x:v>
      </x:c>
      <x:c r="AF259" s="52" t="str">
        <x:v>2026-08-16</x:v>
      </x:c>
      <x:c r="AG259" s="52"/>
    </x:row>
    <x:row r="260" ht="42" customHeight="1">
      <x:c r="A260" s="14" t="str">
        <x:v>WOK-G-152</x:v>
      </x:c>
      <x:c r="B260" s="14" t="str">
        <x:v>SDG 10 – Ungleichheiten</x:v>
      </x:c>
      <x:c r="C260" s="14" t="str">
        <x:v>10.4</x:v>
      </x:c>
      <x:c r="D260" s="14" t="str">
        <x:v>Transparenz Lohnbänder</x:v>
      </x:c>
      <x:c r="E260" s="14" t="str">
        <x:v>Transparenz Lohnbänder – Antikorruption</x:v>
      </x:c>
      <x:c r="F260" s="14" t="str">
        <x:v>Bestätigte Fälle/1.000 FTE</x:v>
      </x:c>
      <x:c r="G260" s="14" t="str">
        <x:v>Fälle/1.000 FTE</x:v>
      </x:c>
      <x:c r="H260" s="14" t="str">
        <x:v>lower_is_better</x:v>
      </x:c>
      <x:c r="I260" s="14" t="str">
        <x:v>R01</x:v>
      </x:c>
      <x:c r="J260" s="14" t="str">
        <x:v>0:+3; ≤0,2:+2; ≤0,5:0; ≤1:‑2; &gt;1:‑3</x:v>
      </x:c>
      <x:c r="K260" s="14" t="str">
        <x:v>Feste WÖk-Kalibrierung</x:v>
      </x:c>
      <x:c r="L260" s="14" t="str">
        <x:v>Arbeitskalibrierung – fachlich zu validieren</x:v>
      </x:c>
      <x:c r="M260" s="14" t="str">
        <x:v>WÖk-interne Klassenlogik</x:v>
      </x:c>
      <x:c r="N260" s="14" t="str">
        <x:v>Optional/Nein</x:v>
      </x:c>
      <x:c r="O260" s="14" t="str">
        <x:v>ESRS G1; GRI 205/207</x:v>
      </x:c>
      <x:c r="P260" s="14" t="str">
        <x:v>ESRS S1, GRI 401/403/405/406, ILO</x:v>
      </x:c>
      <x:c r="Q260" s="14" t="str">
        <x:v>Mess-, Berichts- oder Managementrahmen; Schwellen sind grundsätzlich WÖk-Kalibrierungen</x:v>
      </x:c>
      <x:c r="R260" s="14" t="str">
        <x:v>Messgrundlage belegt; Schwellenkalibrierung offen</x:v>
      </x:c>
      <x:c r="S260" s="14" t="str">
        <x:v>EU-ESRS; GRI; OECD-AB</x:v>
      </x:c>
      <x:c r="T260" s="14" t="str">
        <x:v>G47 Handel; K Versicherungen; M72 F&amp;E</x:v>
      </x:c>
      <x:c r="U260" s="14" t="str">
        <x:v>Legacy / nicht explizit versioniert</x:v>
      </x:c>
      <x:c r="V260" s="51" t="str"/>
      <x:c r="W260" s="14" t="str">
        <x:v>Migration auf NACE Rev. 2.1 erforderlich</x:v>
      </x:c>
      <x:c r="X260" s="14" t="str">
        <x:v>Organisation/Governance; konsolidierter Kreis und relevante Rechtseinheiten</x:v>
      </x:c>
      <x:c r="Y260" s="14" t="str">
        <x:v>Siehe Quelle: Definition gemäß Standard (ESRS/GRI/Taxonomie/ISO).</x:v>
      </x:c>
      <x:c r="Z260" s="14" t="str">
        <x:v>Primärdaten bevorzugt; Sekundärdaten nur transparent und versioniert; Methode und Systemgrenze dokumentieren</x:v>
      </x:c>
      <x:c r="AA260" s="14" t="str">
        <x:v>Limited Assurance; risikobasiert höhere Prüftiefe</x:v>
      </x:c>
      <x:c r="AB260" s="14" t="str">
        <x:v>Strukturell nutzbar; Schwellen fachlich zu validieren</x:v>
      </x:c>
      <x:c r="AC260" s="14" t="str">
        <x:v>Mittel</x:v>
      </x:c>
      <x:c r="AD260" s="14" t="str">
        <x:v>Vollständige fünfstufige numerische Regel.</x:v>
      </x:c>
      <x:c r="AE260" s="14" t="str">
        <x:v>v1.4</x:v>
      </x:c>
      <x:c r="AF260" s="52" t="str">
        <x:v>2026-08-16</x:v>
      </x:c>
      <x:c r="AG260" s="52"/>
    </x:row>
    <x:row r="261" ht="42" customHeight="1">
      <x:c r="A261" s="14" t="str">
        <x:v>WOK-G-153</x:v>
      </x:c>
      <x:c r="B261" s="14" t="str">
        <x:v>SDG 10 – Ungleichheiten</x:v>
      </x:c>
      <x:c r="C261" s="14" t="str">
        <x:v>10.4</x:v>
      </x:c>
      <x:c r="D261" s="14" t="str">
        <x:v>Transparenz Lohnbänder</x:v>
      </x:c>
      <x:c r="E261" s="14" t="str">
        <x:v>Transparenz Lohnbänder – Whistleblowing</x:v>
      </x:c>
      <x:c r="F261" s="14" t="str">
        <x:v>Wirksamkeits‑Score</x:v>
      </x:c>
      <x:c r="G261" s="14" t="str">
        <x:v>0–1</x:v>
      </x:c>
      <x:c r="H261" s="14" t="str">
        <x:v>higher_is_better</x:v>
      </x:c>
      <x:c r="I261" s="14" t="str">
        <x:v>R16</x:v>
      </x:c>
      <x:c r="J261" s="14" t="str">
        <x:v>≥0,9:+3; 0,75–0,89:+2; 0,6–0,74:0; 0,4–0,59:‑2; &lt;0,4:‑3</x:v>
      </x:c>
      <x:c r="K261" s="14" t="str">
        <x:v>Feste WÖk-Kalibrierung</x:v>
      </x:c>
      <x:c r="L261" s="14" t="str">
        <x:v>Arbeitskalibrierung – fachlich zu validieren</x:v>
      </x:c>
      <x:c r="M261" s="14" t="str">
        <x:v>WÖk-interne Klassenlogik</x:v>
      </x:c>
      <x:c r="N261" s="14" t="str">
        <x:v>Optional/Nein</x:v>
      </x:c>
      <x:c r="O261" s="14" t="str">
        <x:v>ESRS G1; GRI 205/207</x:v>
      </x:c>
      <x:c r="P261" s="14" t="str">
        <x:v>ESRS S1, GRI 401/403/405/406, ILO</x:v>
      </x:c>
      <x:c r="Q261" s="14" t="str">
        <x:v>Mess-, Berichts- oder Managementrahmen; Schwellen sind grundsätzlich WÖk-Kalibrierungen</x:v>
      </x:c>
      <x:c r="R261" s="14" t="str">
        <x:v>Messgrundlage belegt; Schwellenkalibrierung offen</x:v>
      </x:c>
      <x:c r="S261" s="14" t="str">
        <x:v>EU-ESRS; GRI; OECD-AB</x:v>
      </x:c>
      <x:c r="T261" s="14" t="str">
        <x:v>G47 Handel; K Versicherungen; M72 F&amp;E</x:v>
      </x:c>
      <x:c r="U261" s="14" t="str">
        <x:v>Legacy / nicht explizit versioniert</x:v>
      </x:c>
      <x:c r="V261" s="51" t="str"/>
      <x:c r="W261" s="14" t="str">
        <x:v>Migration auf NACE Rev. 2.1 erforderlich</x:v>
      </x:c>
      <x:c r="X261" s="14" t="str">
        <x:v>Organisation/Governance; konsolidierter Kreis und relevante Rechtseinheiten</x:v>
      </x:c>
      <x:c r="Y261" s="14" t="str">
        <x:v>Siehe Quelle: Definition gemäß Standard (ESRS/GRI/Taxonomie/ISO).</x:v>
      </x:c>
      <x:c r="Z261" s="14" t="str">
        <x:v>Primärdaten bevorzugt; Sekundärdaten nur transparent und versioniert; Methode und Systemgrenze dokumentieren</x:v>
      </x:c>
      <x:c r="AA261" s="14" t="str">
        <x:v>Limited Assurance; risikobasiert höhere Prüftiefe</x:v>
      </x:c>
      <x:c r="AB261" s="14" t="str">
        <x:v>Strukturell nutzbar; Schwellen fachlich zu validieren</x:v>
      </x:c>
      <x:c r="AC261" s="14" t="str">
        <x:v>Mittel</x:v>
      </x:c>
      <x:c r="AD261" s="14" t="str">
        <x:v>Vollständige fünfstufige numerische Regel.</x:v>
      </x:c>
      <x:c r="AE261" s="14" t="str">
        <x:v>v1.4</x:v>
      </x:c>
      <x:c r="AF261" s="52" t="str">
        <x:v>2026-08-16</x:v>
      </x:c>
      <x:c r="AG261" s="52"/>
    </x:row>
    <x:row r="262" ht="42" customHeight="1">
      <x:c r="A262" s="14" t="str">
        <x:v>WOK-G-154</x:v>
      </x:c>
      <x:c r="B262" s="14" t="str">
        <x:v>SDG 10 – Ungleichheiten</x:v>
      </x:c>
      <x:c r="C262" s="14" t="str">
        <x:v>10.4</x:v>
      </x:c>
      <x:c r="D262" s="14" t="str">
        <x:v>Transparenz Lohnbänder</x:v>
      </x:c>
      <x:c r="E262" s="14" t="str">
        <x:v>Transparenz Lohnbänder – Steuertransparenz</x:v>
      </x:c>
      <x:c r="F262" s="14" t="str">
        <x:v>CbCR‑Offenlegung</x:v>
      </x:c>
      <x:c r="G262" s="14" t="str">
        <x:v>0–1</x:v>
      </x:c>
      <x:c r="H262" s="14" t="str">
        <x:v>higher_is_better</x:v>
      </x:c>
      <x:c r="I262" s="14" t="str">
        <x:v>R08</x:v>
      </x:c>
      <x:c r="J262" s="14" t="str">
        <x:v>vollständig:+3; teilweise:+2; minimal:0; schlecht:‑2</x:v>
      </x:c>
      <x:c r="K262" s="14" t="str">
        <x:v>Qualitativ</x:v>
      </x:c>
      <x:c r="L262" s="14" t="str">
        <x:v>Assurance und Kriterienkatalog erforderlich</x:v>
      </x:c>
      <x:c r="M262" s="14" t="str">
        <x:v>WÖk-interne Kategorien</x:v>
      </x:c>
      <x:c r="N262" s="14" t="str">
        <x:v>Optional/Nein</x:v>
      </x:c>
      <x:c r="O262" s="14" t="str">
        <x:v>ESRS G1; GRI 205/207</x:v>
      </x:c>
      <x:c r="P262" s="14" t="str">
        <x:v>ESRS S1, GRI 401/403/405/406, ILO</x:v>
      </x:c>
      <x:c r="Q262" s="14" t="str">
        <x:v>Mess-, Berichts- oder Managementrahmen; Schwellen sind grundsätzlich WÖk-Kalibrierungen</x:v>
      </x:c>
      <x:c r="R262" s="14" t="str">
        <x:v>Messgrundlage belegt; Schwellenkalibrierung offen</x:v>
      </x:c>
      <x:c r="S262" s="14" t="str">
        <x:v>EU-ESRS; GRI; OECD-AB</x:v>
      </x:c>
      <x:c r="T262" s="14" t="str">
        <x:v>G47 Handel; K Versicherungen; M72 F&amp;E</x:v>
      </x:c>
      <x:c r="U262" s="14" t="str">
        <x:v>Legacy / nicht explizit versioniert</x:v>
      </x:c>
      <x:c r="V262" s="51" t="str"/>
      <x:c r="W262" s="14" t="str">
        <x:v>Migration auf NACE Rev. 2.1 erforderlich</x:v>
      </x:c>
      <x:c r="X262" s="14" t="str">
        <x:v>Organisation/Governance; konsolidierter Kreis und relevante Rechtseinheiten</x:v>
      </x:c>
      <x:c r="Y262" s="14" t="str">
        <x:v>Siehe Quelle: Definition gemäß Standard (ESRS/GRI/Taxonomie/ISO).</x:v>
      </x:c>
      <x:c r="Z262" s="14" t="str">
        <x:v>Dokumentierter Kriterienkatalog; nachvollziehbare Evidenz; DQR A/B bevorzugt</x:v>
      </x:c>
      <x:c r="AA262" s="14" t="str">
        <x:v>Unabhängige Fachprüfung/Limited Assurance; bei roten Linien Reasonable Assurance</x:v>
      </x:c>
      <x:c r="AB262" s="14" t="str">
        <x:v>Prüfung/Parametrisierung erforderlich</x:v>
      </x:c>
      <x:c r="AC262" s="14" t="str">
        <x:v>Hoch</x:v>
      </x:c>
      <x:c r="AD262" s="14" t="str">
        <x:v>Die Kategorie −3 fehlt; Vollständigkeit und Wirksamkeit sind feldspezifisch zu definieren.</x:v>
      </x:c>
      <x:c r="AE262" s="14" t="str">
        <x:v>v1.4</x:v>
      </x:c>
      <x:c r="AF262" s="52" t="str">
        <x:v>2026-08-16</x:v>
      </x:c>
      <x:c r="AG262" s="52"/>
    </x:row>
    <x:row r="263" ht="42" customHeight="1">
      <x:c r="A263" s="14" t="str">
        <x:v>WOK-S-167</x:v>
      </x:c>
      <x:c r="B263" s="14" t="str">
        <x:v>SDG 10 – Ungleichheiten</x:v>
      </x:c>
      <x:c r="C263" s="14" t="str">
        <x:v>10.2</x:v>
      </x:c>
      <x:c r="D263" s="14" t="str">
        <x:v>Barrierefreiheit</x:v>
      </x:c>
      <x:c r="E263" s="14" t="str">
        <x:v>Barrierefreiheit – Living Wage</x:v>
      </x:c>
      <x:c r="F263" s="14" t="str">
        <x:v>Abdeckung Lebenslohn</x:v>
      </x:c>
      <x:c r="G263" s="14" t="str">
        <x:v>% Beschäftigte</x:v>
      </x:c>
      <x:c r="H263" s="14" t="str">
        <x:v>higher_is_better</x:v>
      </x:c>
      <x:c r="I263" s="14" t="str">
        <x:v>R27</x:v>
      </x:c>
      <x:c r="J263" s="14" t="str">
        <x:v>≥95:+3; 80–94:+2; 60–79:0; 40–59:‑2; &lt;40:‑3</x:v>
      </x:c>
      <x:c r="K263" s="14" t="str">
        <x:v>Feste WÖk-Kalibrierung</x:v>
      </x:c>
      <x:c r="L263" s="14" t="str">
        <x:v>Arbeitskalibrierung – fachlich zu validieren</x:v>
      </x:c>
      <x:c r="M263" s="14" t="str">
        <x:v>WÖk-interne Klassenlogik</x:v>
      </x:c>
      <x:c r="N263" s="14" t="str">
        <x:v>Optional/Nein</x:v>
      </x:c>
      <x:c r="O263" s="14" t="str">
        <x:v>ESRS S1; GRI 401/403/405/406</x:v>
      </x:c>
      <x:c r="P263" s="14" t="str">
        <x:v>ESRS S1, GRI 401/403/405/406, ILO</x:v>
      </x:c>
      <x:c r="Q263" s="14" t="str">
        <x:v>Mess-, Berichts- oder Managementrahmen; Schwellen sind grundsätzlich WÖk-Kalibrierungen</x:v>
      </x:c>
      <x:c r="R263" s="14" t="str">
        <x:v>Messgrundlage belegt; Schwellenkalibrierung offen</x:v>
      </x:c>
      <x:c r="S263" s="14" t="str">
        <x:v>EU-ESRS; GRI; ISO-45001; ILO-LW; ILO-CORE</x:v>
      </x:c>
      <x:c r="T263" s="14" t="str">
        <x:v>G47 Handel; K Versicherungen; M72 F&amp;E</x:v>
      </x:c>
      <x:c r="U263" s="14" t="str">
        <x:v>Legacy / nicht explizit versioniert</x:v>
      </x:c>
      <x:c r="V263" s="51" t="str"/>
      <x:c r="W263" s="14" t="str">
        <x:v>Migration auf NACE Rev. 2.1 erforderlich</x:v>
      </x:c>
      <x:c r="X263" s="14" t="str">
        <x:v>Eigene Belegschaft/Organisation; FTE, Beschäftigtengruppe und Zeitraum</x:v>
      </x:c>
      <x:c r="Y263" s="14" t="str">
        <x:v>Anteil Beschäftigte ≥ Living Wage (zertifizierte Methodik).</x:v>
      </x:c>
      <x:c r="Z263" s="14" t="str">
        <x:v>Primärdaten bevorzugt; Sekundärdaten nur transparent und versioniert; Methode und Systemgrenze dokumentieren</x:v>
      </x:c>
      <x:c r="AA263" s="14" t="str">
        <x:v>Limited Assurance; risikobasiert höhere Prüftiefe</x:v>
      </x:c>
      <x:c r="AB263" s="14" t="str">
        <x:v>Strukturell nutzbar; Schwellen fachlich zu validieren</x:v>
      </x:c>
      <x:c r="AC263" s="14" t="str">
        <x:v>Mittel</x:v>
      </x:c>
      <x:c r="AD263" s="14" t="str">
        <x:v>Vollständige fünfstufige numerische Regel.</x:v>
      </x:c>
      <x:c r="AE263" s="14" t="str">
        <x:v>v1.4</x:v>
      </x:c>
      <x:c r="AF263" s="52" t="str">
        <x:v>2026-08-16</x:v>
      </x:c>
      <x:c r="AG263" s="52"/>
    </x:row>
    <x:row r="264" ht="42" customHeight="1">
      <x:c r="A264" s="14" t="str">
        <x:v>WOK-S-168</x:v>
      </x:c>
      <x:c r="B264" s="14" t="str">
        <x:v>SDG 10 – Ungleichheiten</x:v>
      </x:c>
      <x:c r="C264" s="14" t="str">
        <x:v>10.2</x:v>
      </x:c>
      <x:c r="D264" s="14" t="str">
        <x:v>Barrierefreiheit</x:v>
      </x:c>
      <x:c r="E264" s="14" t="str">
        <x:v>Barrierefreiheit – Tarifbindung</x:v>
      </x:c>
      <x:c r="F264" s="14" t="str">
        <x:v>Beschäftigte unter Kollektivvertrag</x:v>
      </x:c>
      <x:c r="G264" s="14" t="str">
        <x:v>%</x:v>
      </x:c>
      <x:c r="H264" s="14" t="str">
        <x:v>higher_is_better</x:v>
      </x:c>
      <x:c r="I264" s="14" t="str">
        <x:v>R26</x:v>
      </x:c>
      <x:c r="J264" s="14" t="str">
        <x:v>≥90:+3; 70–89:+2; 50–69:0; 30–49:‑2; &lt;30:‑3</x:v>
      </x:c>
      <x:c r="K264" s="14" t="str">
        <x:v>Feste WÖk-Kalibrierung</x:v>
      </x:c>
      <x:c r="L264" s="14" t="str">
        <x:v>Arbeitskalibrierung – fachlich zu validieren</x:v>
      </x:c>
      <x:c r="M264" s="14" t="str">
        <x:v>WÖk-interne Klassenlogik</x:v>
      </x:c>
      <x:c r="N264" s="14" t="str">
        <x:v>Optional/Nein</x:v>
      </x:c>
      <x:c r="O264" s="14" t="str">
        <x:v>ESRS S1; GRI 401/403/405/406</x:v>
      </x:c>
      <x:c r="P264" s="14" t="str">
        <x:v>ESRS S1, GRI 401/403/405/406, ILO</x:v>
      </x:c>
      <x:c r="Q264" s="14" t="str">
        <x:v>Mess-, Berichts- oder Managementrahmen; Schwellen sind grundsätzlich WÖk-Kalibrierungen</x:v>
      </x:c>
      <x:c r="R264" s="14" t="str">
        <x:v>Messgrundlage belegt; Schwellenkalibrierung offen</x:v>
      </x:c>
      <x:c r="S264" s="14" t="str">
        <x:v>EU-ESRS; GRI; ISO-45001; ILO-LW; ILO-CORE</x:v>
      </x:c>
      <x:c r="T264" s="14" t="str">
        <x:v>G47 Handel; K Versicherungen; M72 F&amp;E</x:v>
      </x:c>
      <x:c r="U264" s="14" t="str">
        <x:v>Legacy / nicht explizit versioniert</x:v>
      </x:c>
      <x:c r="V264" s="51" t="str"/>
      <x:c r="W264" s="14" t="str">
        <x:v>Migration auf NACE Rev. 2.1 erforderlich</x:v>
      </x:c>
      <x:c r="X264" s="14" t="str">
        <x:v>Eigene Belegschaft/Organisation; FTE, Beschäftigtengruppe und Zeitraum</x:v>
      </x:c>
      <x:c r="Y264" s="14" t="str">
        <x:v>Quote = Zähler / Nenner gemäß Quelle; in %.</x:v>
      </x:c>
      <x:c r="Z264" s="14" t="str">
        <x:v>Primärdaten bevorzugt; Sekundärdaten nur transparent und versioniert; Methode und Systemgrenze dokumentieren</x:v>
      </x:c>
      <x:c r="AA264" s="14" t="str">
        <x:v>Limited Assurance; risikobasiert höhere Prüftiefe</x:v>
      </x:c>
      <x:c r="AB264" s="14" t="str">
        <x:v>Strukturell nutzbar; Schwellen fachlich zu validieren</x:v>
      </x:c>
      <x:c r="AC264" s="14" t="str">
        <x:v>Mittel</x:v>
      </x:c>
      <x:c r="AD264" s="14" t="str">
        <x:v>Vollständige fünfstufige numerische Regel.</x:v>
      </x:c>
      <x:c r="AE264" s="14" t="str">
        <x:v>v1.4</x:v>
      </x:c>
      <x:c r="AF264" s="52" t="str">
        <x:v>2026-08-16</x:v>
      </x:c>
      <x:c r="AG264" s="52"/>
    </x:row>
    <x:row r="265" ht="42" customHeight="1">
      <x:c r="A265" s="14" t="str">
        <x:v>WOK-S-169</x:v>
      </x:c>
      <x:c r="B265" s="14" t="str">
        <x:v>SDG 10 – Ungleichheiten</x:v>
      </x:c>
      <x:c r="C265" s="14" t="str">
        <x:v>10.2</x:v>
      </x:c>
      <x:c r="D265" s="14" t="str">
        <x:v>Barrierefreiheit</x:v>
      </x:c>
      <x:c r="E265" s="14" t="str">
        <x:v>Barrierefreiheit – LTIFR</x:v>
      </x:c>
      <x:c r="F265" s="14" t="str">
        <x:v>Arbeitsunfälle pro Mio Stunden</x:v>
      </x:c>
      <x:c r="G265" s="14" t="str">
        <x:v>Unfälle/Mio Std.</x:v>
      </x:c>
      <x:c r="H265" s="14" t="str">
        <x:v>lower_is_better</x:v>
      </x:c>
      <x:c r="I265" s="14" t="str">
        <x:v>R02</x:v>
      </x:c>
      <x:c r="J265" s="14" t="str">
        <x:v>0:+3; ≤1:+2; ≤3:0; ≤5:‑2; &gt;5:‑3</x:v>
      </x:c>
      <x:c r="K265" s="14" t="str">
        <x:v>Feste WÖk-Kalibrierung</x:v>
      </x:c>
      <x:c r="L265" s="14" t="str">
        <x:v>Arbeitskalibrierung – fachlich zu validieren</x:v>
      </x:c>
      <x:c r="M265" s="14" t="str">
        <x:v>WÖk-interne Klassenlogik</x:v>
      </x:c>
      <x:c r="N265" s="14" t="str">
        <x:v>Optional/Nein</x:v>
      </x:c>
      <x:c r="O265" s="14" t="str">
        <x:v>ESRS S1; GRI 401/403/405/406</x:v>
      </x:c>
      <x:c r="P265" s="14" t="str">
        <x:v>ESRS S1, GRI 401/403/405/406, ILO</x:v>
      </x:c>
      <x:c r="Q265" s="14" t="str">
        <x:v>Mess-, Berichts- oder Managementrahmen; Schwellen sind grundsätzlich WÖk-Kalibrierungen</x:v>
      </x:c>
      <x:c r="R265" s="14" t="str">
        <x:v>Messgrundlage belegt; Schwellenkalibrierung offen</x:v>
      </x:c>
      <x:c r="S265" s="14" t="str">
        <x:v>EU-ESRS; GRI; ISO-45001; ILO-LW; ILO-CORE</x:v>
      </x:c>
      <x:c r="T265" s="14" t="str">
        <x:v>G47 Handel; K Versicherungen; M72 F&amp;E</x:v>
      </x:c>
      <x:c r="U265" s="14" t="str">
        <x:v>Legacy / nicht explizit versioniert</x:v>
      </x:c>
      <x:c r="V265" s="51" t="str"/>
      <x:c r="W265" s="14" t="str">
        <x:v>Migration auf NACE Rev. 2.1 erforderlich</x:v>
      </x:c>
      <x:c r="X265" s="14" t="str">
        <x:v>Eigene Belegschaft/Organisation; FTE, Beschäftigtengruppe und Zeitraum</x:v>
      </x:c>
      <x:c r="Y265" s="14" t="str">
        <x:v>LTIFR = Unfälle mit Ausfallzeit / 1 Mio. Std. (ILO/GRI 403).</x:v>
      </x:c>
      <x:c r="Z265" s="14" t="str">
        <x:v>Primärdaten bevorzugt; Sekundärdaten nur transparent und versioniert; Methode und Systemgrenze dokumentieren</x:v>
      </x:c>
      <x:c r="AA265" s="14" t="str">
        <x:v>Limited Assurance; risikobasiert höhere Prüftiefe</x:v>
      </x:c>
      <x:c r="AB265" s="14" t="str">
        <x:v>Strukturell nutzbar; Schwellen fachlich zu validieren</x:v>
      </x:c>
      <x:c r="AC265" s="14" t="str">
        <x:v>Mittel</x:v>
      </x:c>
      <x:c r="AD265" s="14" t="str">
        <x:v>Vollständige fünfstufige numerische Regel.</x:v>
      </x:c>
      <x:c r="AE265" s="14" t="str">
        <x:v>v1.4</x:v>
      </x:c>
      <x:c r="AF265" s="52" t="str">
        <x:v>2026-08-16</x:v>
      </x:c>
      <x:c r="AG265" s="52"/>
    </x:row>
    <x:row r="266" ht="42" customHeight="1">
      <x:c r="A266" s="14" t="str">
        <x:v>WOK-SC-122</x:v>
      </x:c>
      <x:c r="B266" s="14" t="str">
        <x:v>SDG 10 – Ungleichheiten</x:v>
      </x:c>
      <x:c r="C266" s="14" t="str">
        <x:v>10.b</x:v>
      </x:c>
      <x:c r="D266" s="14" t="str">
        <x:v>Fairer Zugang Lieferanten (SME)</x:v>
      </x:c>
      <x:c r="E266" s="14" t="str">
        <x:v>Fairer Zugang Lieferanten (SME) – ESG‑Spend‑Coverage</x:v>
      </x:c>
      <x:c r="F266" s="14" t="str">
        <x:v>Anteil verifizierter ESG‑Daten am Spend</x:v>
      </x:c>
      <x:c r="G266" s="14" t="str">
        <x:v>%</x:v>
      </x:c>
      <x:c r="H266" s="14" t="str">
        <x:v>higher_is_better</x:v>
      </x:c>
      <x:c r="I266" s="14" t="str">
        <x:v>R26</x:v>
      </x:c>
      <x:c r="J266" s="14" t="str">
        <x:v>≥90:+3; 70–89:+2; 50–69:0; 30–49:‑2; &lt;30:‑3</x:v>
      </x:c>
      <x:c r="K266" s="14" t="str">
        <x:v>Feste WÖk-Kalibrierung</x:v>
      </x:c>
      <x:c r="L266" s="14" t="str">
        <x:v>Arbeitskalibrierung – fachlich zu validieren</x:v>
      </x:c>
      <x:c r="M266" s="14" t="str">
        <x:v>WÖk-interne Klassenlogik</x:v>
      </x:c>
      <x:c r="N266" s="14" t="str">
        <x:v>Optional/Nein</x:v>
      </x:c>
      <x:c r="O266" s="14" t="str">
        <x:v>ESRS S2; GRI 308/414/408/409</x:v>
      </x:c>
      <x:c r="P266" s="14" t="str">
        <x:v>ESRS S2; GRI 308/414/408/409</x:v>
      </x:c>
      <x:c r="Q266" s="14" t="str">
        <x:v>Mess-, Berichts- oder Managementrahmen; Schwellen sind grundsätzlich WÖk-Kalibrierungen</x:v>
      </x:c>
      <x:c r="R266" s="14" t="str">
        <x:v>Messgrundlage belegt; Schwellenkalibrierung offen</x:v>
      </x:c>
      <x:c r="S266" s="14" t="str">
        <x:v>EU-ESRS; GRI; OECD-DD; ILO-CORE</x:v>
      </x:c>
      <x:c r="T266" s="14" t="str">
        <x:v>G47 Handel; K Versicherungen; M72 F&amp;E</x:v>
      </x:c>
      <x:c r="U266" s="14" t="str">
        <x:v>Legacy / nicht explizit versioniert</x:v>
      </x:c>
      <x:c r="V266" s="51" t="str"/>
      <x:c r="W266" s="14" t="str">
        <x:v>Migration auf NACE Rev. 2.1 erforderlich</x:v>
      </x:c>
      <x:c r="X266" s="14" t="str">
        <x:v>Vorgelagerte Lieferkette; relevante Tier-Stufen und Beschaffungsvolumen</x:v>
      </x:c>
      <x:c r="Y266" s="14" t="str">
        <x:v>Quote = Zähler / Nenner gemäß Quelle; in %.</x:v>
      </x:c>
      <x:c r="Z266" s="14" t="str">
        <x:v>Primärdaten bevorzugt; Sekundärdaten nur transparent und versioniert; Methode und Systemgrenze dokumentieren</x:v>
      </x:c>
      <x:c r="AA266" s="14" t="str">
        <x:v>Limited Assurance; risikobasiert höhere Prüftiefe</x:v>
      </x:c>
      <x:c r="AB266" s="14" t="str">
        <x:v>Strukturell nutzbar; Schwellen fachlich zu validieren</x:v>
      </x:c>
      <x:c r="AC266" s="14" t="str">
        <x:v>Mittel</x:v>
      </x:c>
      <x:c r="AD266" s="14" t="str">
        <x:v>Vollständige fünfstufige numerische Regel.</x:v>
      </x:c>
      <x:c r="AE266" s="14" t="str">
        <x:v>v1.4</x:v>
      </x:c>
      <x:c r="AF266" s="52" t="str">
        <x:v>2026-08-16</x:v>
      </x:c>
      <x:c r="AG266" s="52"/>
    </x:row>
    <x:row r="267" ht="42" customHeight="1">
      <x:c r="A267" s="14" t="str">
        <x:v>WOK-SC-123</x:v>
      </x:c>
      <x:c r="B267" s="14" t="str">
        <x:v>SDG 10 – Ungleichheiten</x:v>
      </x:c>
      <x:c r="C267" s="14" t="str">
        <x:v>10.b</x:v>
      </x:c>
      <x:c r="D267" s="14" t="str">
        <x:v>Fairer Zugang Lieferanten (SME)</x:v>
      </x:c>
      <x:c r="E267" s="14" t="str">
        <x:v>Fairer Zugang Lieferanten (SME) – Kinder/Zwangsarbeit</x:v>
      </x:c>
      <x:c r="F267" s="14" t="str">
        <x:v>Audits ohne Verstöße</x:v>
      </x:c>
      <x:c r="G267" s="14" t="str">
        <x:v>% Lieferanten</x:v>
      </x:c>
      <x:c r="H267" s="14" t="str">
        <x:v>higher_is_better</x:v>
      </x:c>
      <x:c r="I267" s="14" t="str">
        <x:v>R28</x:v>
      </x:c>
      <x:c r="J267" s="14" t="str">
        <x:v>≥98:+3; 90–97:+2; 75–89:0; 50–74:‑2; &lt;50:‑3</x:v>
      </x:c>
      <x:c r="K267" s="14" t="str">
        <x:v>Feste WÖk-Kalibrierung</x:v>
      </x:c>
      <x:c r="L267" s="14" t="str">
        <x:v>Arbeitskalibrierung – fachlich zu validieren</x:v>
      </x:c>
      <x:c r="M267" s="14" t="str">
        <x:v>WÖk-interne Klassenlogik</x:v>
      </x:c>
      <x:c r="N267" s="14" t="str">
        <x:v>Optional/Nein</x:v>
      </x:c>
      <x:c r="O267" s="14" t="str">
        <x:v>ESRS S2; GRI 308/414/408/409</x:v>
      </x:c>
      <x:c r="P267" s="14" t="str">
        <x:v>ESRS S2, GRI 308/414, OECD Due Diligence</x:v>
      </x:c>
      <x:c r="Q267" s="14" t="str">
        <x:v>Mess-, Berichts- oder Managementrahmen; Schwellen sind grundsätzlich WÖk-Kalibrierungen</x:v>
      </x:c>
      <x:c r="R267" s="14" t="str">
        <x:v>Messgrundlage belegt; Schwellenkalibrierung offen</x:v>
      </x:c>
      <x:c r="S267" s="14" t="str">
        <x:v>EU-ESRS; GRI; OECD-DD; ILO-CORE</x:v>
      </x:c>
      <x:c r="T267" s="14" t="str">
        <x:v>G47 Handel; K Versicherungen; M72 F&amp;E</x:v>
      </x:c>
      <x:c r="U267" s="14" t="str">
        <x:v>Legacy / nicht explizit versioniert</x:v>
      </x:c>
      <x:c r="V267" s="51" t="str"/>
      <x:c r="W267" s="14" t="str">
        <x:v>Migration auf NACE Rev. 2.1 erforderlich</x:v>
      </x:c>
      <x:c r="X267" s="14" t="str">
        <x:v>Vorgelagerte Lieferkette; relevante Tier-Stufen und Beschaffungsvolumen</x:v>
      </x:c>
      <x:c r="Y267" s="14" t="str">
        <x:v>Quote = Zähler / Nenner gemäß Quelle; in %.</x:v>
      </x:c>
      <x:c r="Z267" s="14" t="str">
        <x:v>Primärdaten bevorzugt; Sekundärdaten nur transparent und versioniert; Methode und Systemgrenze dokumentieren</x:v>
      </x:c>
      <x:c r="AA267" s="14" t="str">
        <x:v>Limited Assurance; risikobasiert höhere Prüftiefe</x:v>
      </x:c>
      <x:c r="AB267" s="14" t="str">
        <x:v>Strukturell nutzbar; Schwellen fachlich zu validieren</x:v>
      </x:c>
      <x:c r="AC267" s="14" t="str">
        <x:v>Mittel</x:v>
      </x:c>
      <x:c r="AD267" s="14" t="str">
        <x:v>Vollständige fünfstufige numerische Regel.</x:v>
      </x:c>
      <x:c r="AE267" s="14" t="str">
        <x:v>v1.4</x:v>
      </x:c>
      <x:c r="AF267" s="52" t="str">
        <x:v>2026-08-16</x:v>
      </x:c>
      <x:c r="AG267" s="52"/>
    </x:row>
    <x:row r="268" ht="42" customHeight="1">
      <x:c r="A268" s="14" t="str">
        <x:v>WOK-SC-124</x:v>
      </x:c>
      <x:c r="B268" s="14" t="str">
        <x:v>SDG 10 – Ungleichheiten</x:v>
      </x:c>
      <x:c r="C268" s="14" t="str">
        <x:v>10.b</x:v>
      </x:c>
      <x:c r="D268" s="14" t="str">
        <x:v>Fairer Zugang Lieferanten (SME)</x:v>
      </x:c>
      <x:c r="E268" s="14" t="str">
        <x:v>Fairer Zugang Lieferanten (SME) – Scope‑3 Daten</x:v>
      </x:c>
      <x:c r="F268" s="14" t="str">
        <x:v>Primärdaten‑Abdeckung</x:v>
      </x:c>
      <x:c r="G268" s="14" t="str">
        <x:v>% Kategorien</x:v>
      </x:c>
      <x:c r="H268" s="14" t="str">
        <x:v>higher_is_better</x:v>
      </x:c>
      <x:c r="I268" s="14" t="str">
        <x:v>R23</x:v>
      </x:c>
      <x:c r="J268" s="14" t="str">
        <x:v>≥80:+3; 60–79:+2; 40–59:0; 20–39:‑2; &lt;20:‑3</x:v>
      </x:c>
      <x:c r="K268" s="14" t="str">
        <x:v>Feste WÖk-Kalibrierung</x:v>
      </x:c>
      <x:c r="L268" s="14" t="str">
        <x:v>Arbeitskalibrierung – fachlich zu validieren</x:v>
      </x:c>
      <x:c r="M268" s="14" t="str">
        <x:v>WÖk-interne Klassenlogik</x:v>
      </x:c>
      <x:c r="N268" s="14" t="str">
        <x:v>Optional/Nein</x:v>
      </x:c>
      <x:c r="O268" s="14" t="str">
        <x:v>ESRS E1; GHG Protocol</x:v>
      </x:c>
      <x:c r="P268" s="14" t="str">
        <x:v>ESRS E1, GHG Protocol (Corporate/Scope 1–3), ISO 14064/14067</x:v>
      </x:c>
      <x:c r="Q268" s="14" t="str">
        <x:v>Mess-, Berichts- oder Managementrahmen; Schwellen sind grundsätzlich WÖk-Kalibrierungen</x:v>
      </x:c>
      <x:c r="R268" s="14" t="str">
        <x:v>Messgrundlage belegt; Schwellenkalibrierung offen</x:v>
      </x:c>
      <x:c r="S268" s="14" t="str">
        <x:v>EU-ESRS; GHG-CORP; GHG-S3; GHG-PROD</x:v>
      </x:c>
      <x:c r="T268" s="14" t="str">
        <x:v>G47 Handel; K Versicherungen; M72 F&amp;E</x:v>
      </x:c>
      <x:c r="U268" s="14" t="str">
        <x:v>Legacy / nicht explizit versioniert</x:v>
      </x:c>
      <x:c r="V268" s="51" t="str"/>
      <x:c r="W268" s="14" t="str">
        <x:v>Migration auf NACE Rev. 2.1 erforderlich</x:v>
      </x:c>
      <x:c r="X268" s="14" t="str">
        <x:v>Vorgelagerte Lieferkette; relevante Tier-Stufen und Beschaffungsvolumen</x:v>
      </x:c>
      <x:c r="Y268" s="14" t="str">
        <x:v>Quote = Zähler / Nenner gemäß Quelle; in %.</x:v>
      </x:c>
      <x:c r="Z268" s="14" t="str">
        <x:v>Primärdaten bevorzugt; Sekundärdaten nur transparent und versioniert; Methode und Systemgrenze dokumentieren</x:v>
      </x:c>
      <x:c r="AA268" s="14" t="str">
        <x:v>Limited Assurance; risikobasiert höhere Prüftiefe</x:v>
      </x:c>
      <x:c r="AB268" s="14" t="str">
        <x:v>Strukturell nutzbar; Schwellen fachlich zu validieren</x:v>
      </x:c>
      <x:c r="AC268" s="14" t="str">
        <x:v>Mittel</x:v>
      </x:c>
      <x:c r="AD268" s="14" t="str">
        <x:v>Vollständige fünfstufige numerische Regel.</x:v>
      </x:c>
      <x:c r="AE268" s="14" t="str">
        <x:v>v1.4</x:v>
      </x:c>
      <x:c r="AF268" s="52" t="str">
        <x:v>2026-08-16</x:v>
      </x:c>
      <x:c r="AG268" s="52"/>
    </x:row>
    <x:row r="269" ht="42" customHeight="1">
      <x:c r="A269" s="14" t="str">
        <x:v>WOK-SYS-128</x:v>
      </x:c>
      <x:c r="B269" s="14" t="str">
        <x:v>SDG 10 – Ungleichheiten</x:v>
      </x:c>
      <x:c r="C269" s="14" t="str">
        <x:v>10.2</x:v>
      </x:c>
      <x:c r="D269" s="14" t="str">
        <x:v>Regionale Gerechtigkeit</x:v>
      </x:c>
      <x:c r="E269" s="14" t="str">
        <x:v>Regionale Gerechtigkeit – Index</x:v>
      </x:c>
      <x:c r="F269" s="14" t="str">
        <x:v>umsatzgewichteter Index (z. B. Demokratie/Rule of Law)</x:v>
      </x:c>
      <x:c r="G269" s="14" t="str">
        <x:v>0–1</x:v>
      </x:c>
      <x:c r="H269" s="14" t="str">
        <x:v>higher_is_better</x:v>
      </x:c>
      <x:c r="I269" s="14" t="str">
        <x:v>R15</x:v>
      </x:c>
      <x:c r="J269" s="14" t="str">
        <x:v>≥0,8:+3; 0,7–0,79:+2; 0,6–0,69:0; 0,5–0,59:‑2; &lt;0,5:‑3</x:v>
      </x:c>
      <x:c r="K269" s="14" t="str">
        <x:v>Feste WÖk-Kalibrierung</x:v>
      </x:c>
      <x:c r="L269" s="14" t="str">
        <x:v>Arbeitskalibrierung – fachlich zu validieren</x:v>
      </x:c>
      <x:c r="M269" s="14" t="str">
        <x:v>WÖk-interne Klassenlogik</x:v>
      </x:c>
      <x:c r="N269" s="14" t="str">
        <x:v>Optional/Nein</x:v>
      </x:c>
      <x:c r="O269" s="14" t="str">
        <x:v>SROI/SDG17</x:v>
      </x:c>
      <x:c r="P269" s="14" t="str">
        <x:v>SDG 16/17, WJP, V‑Dem</x:v>
      </x:c>
      <x:c r="Q269" s="14" t="str">
        <x:v>Methodischer Platzhalter; konkrete Fach- und Primärdatenquelle erforderlich</x:v>
      </x:c>
      <x:c r="R269" s="14" t="str">
        <x:v>Platzhalter – fachliche Operationalisierung offen</x:v>
      </x:c>
      <x:c r="S269" s="14" t="str">
        <x:v>INT-WOEK-TSROI; SVI-SROI; UN-SDG</x:v>
      </x:c>
      <x:c r="T269" s="14" t="str">
        <x:v>G47 Handel; K Versicherungen; M72 F&amp;E</x:v>
      </x:c>
      <x:c r="U269" s="14" t="str">
        <x:v>Legacy / nicht explizit versioniert</x:v>
      </x:c>
      <x:c r="V269" s="51" t="str"/>
      <x:c r="W269" s="14" t="str">
        <x:v>Migration auf NACE Rev. 2.1 erforderlich</x:v>
      </x:c>
      <x:c r="X269" s="14" t="str">
        <x:v>Programm/Portfolio/Systemraum; Empfängergruppe, Region und Zeitraum explizit definieren</x:v>
      </x:c>
      <x:c r="Y269" s="14" t="str">
        <x:v>Siehe Quelle: Definition gemäß Standard (ESRS/GRI/Taxonomie/ISO).</x:v>
      </x:c>
      <x:c r="Z269" s="14" t="str">
        <x:v>Primärdaten bevorzugt; Sekundärdaten nur transparent und versioniert; Methode und Systemgrenze dokumentieren</x:v>
      </x:c>
      <x:c r="AA269" s="14" t="str">
        <x:v>Limited Assurance; risikobasiert höhere Prüftiefe</x:v>
      </x:c>
      <x:c r="AB269" s="14" t="str">
        <x:v>Fachlogik nicht abschließend operationalisiert</x:v>
      </x:c>
      <x:c r="AC269" s="14" t="str">
        <x:v>Kritisch</x:v>
      </x:c>
      <x:c r="AD269" s="14" t="str">
        <x:v>SROI/SDG 17 ist keine hinreichend konkrete Mess- oder Schwellenquelle. Vollständige fünfstufige numerische Regel.</x:v>
      </x:c>
      <x:c r="AE269" s="14" t="str">
        <x:v>v1.4</x:v>
      </x:c>
      <x:c r="AF269" s="52" t="str">
        <x:v>2026-08-16</x:v>
      </x:c>
      <x:c r="AG269" s="52"/>
    </x:row>
    <x:row r="270" ht="42" customHeight="1">
      <x:c r="A270" s="14" t="str">
        <x:v>WOK-SYS-129</x:v>
      </x:c>
      <x:c r="B270" s="14" t="str">
        <x:v>SDG 10 – Ungleichheiten</x:v>
      </x:c>
      <x:c r="C270" s="14" t="str">
        <x:v>10.2</x:v>
      </x:c>
      <x:c r="D270" s="14" t="str">
        <x:v>Regionale Gerechtigkeit</x:v>
      </x:c>
      <x:c r="E270" s="14" t="str">
        <x:v>Regionale Gerechtigkeit – Exposure</x:v>
      </x:c>
      <x:c r="F270" s="14" t="str">
        <x:v>Umsatz in Hochrisikoländern</x:v>
      </x:c>
      <x:c r="G270" s="14" t="str">
        <x:v>%</x:v>
      </x:c>
      <x:c r="H270" s="14" t="str">
        <x:v>lower_is_better</x:v>
      </x:c>
      <x:c r="I270" s="14" t="str">
        <x:v>R13</x:v>
      </x:c>
      <x:c r="J270" s="14" t="str">
        <x:v>≤5:+3; 6–10:+2; 11–20:0; 21–30:‑2; &gt;30:‑3</x:v>
      </x:c>
      <x:c r="K270" s="14" t="str">
        <x:v>Feste WÖk-Kalibrierung</x:v>
      </x:c>
      <x:c r="L270" s="14" t="str">
        <x:v>Arbeitskalibrierung – fachlich zu validieren</x:v>
      </x:c>
      <x:c r="M270" s="14" t="str">
        <x:v>WÖk-interne Klassenlogik</x:v>
      </x:c>
      <x:c r="N270" s="14" t="str">
        <x:v>Optional/Nein</x:v>
      </x:c>
      <x:c r="O270" s="14" t="str">
        <x:v>SROI/SDG17</x:v>
      </x:c>
      <x:c r="P270" s="14" t="str">
        <x:v>SROI/SDG17</x:v>
      </x:c>
      <x:c r="Q270" s="14" t="str">
        <x:v>Methodischer Platzhalter; konkrete Fach- und Primärdatenquelle erforderlich</x:v>
      </x:c>
      <x:c r="R270" s="14" t="str">
        <x:v>Platzhalter – fachliche Operationalisierung offen</x:v>
      </x:c>
      <x:c r="S270" s="14" t="str">
        <x:v>INT-WOEK-TSROI; SVI-SROI; UN-SDG</x:v>
      </x:c>
      <x:c r="T270" s="14" t="str">
        <x:v>G47 Handel; K Versicherungen; M72 F&amp;E</x:v>
      </x:c>
      <x:c r="U270" s="14" t="str">
        <x:v>Legacy / nicht explizit versioniert</x:v>
      </x:c>
      <x:c r="V270" s="51" t="str"/>
      <x:c r="W270" s="14" t="str">
        <x:v>Migration auf NACE Rev. 2.1 erforderlich</x:v>
      </x:c>
      <x:c r="X270" s="14" t="str">
        <x:v>Programm/Portfolio/Systemraum; Empfängergruppe, Region und Zeitraum explizit definieren</x:v>
      </x:c>
      <x:c r="Y270" s="14" t="str">
        <x:v>Siehe Quelle: Definition gemäß Standard (ESRS/GRI/Taxonomie/ISO).</x:v>
      </x:c>
      <x:c r="Z270" s="14" t="str">
        <x:v>Primärdaten bevorzugt; Sekundärdaten nur transparent und versioniert; Methode und Systemgrenze dokumentieren</x:v>
      </x:c>
      <x:c r="AA270" s="14" t="str">
        <x:v>Limited Assurance; risikobasiert höhere Prüftiefe</x:v>
      </x:c>
      <x:c r="AB270" s="14" t="str">
        <x:v>Fachlogik nicht abschließend operationalisiert</x:v>
      </x:c>
      <x:c r="AC270" s="14" t="str">
        <x:v>Kritisch</x:v>
      </x:c>
      <x:c r="AD270" s="14" t="str">
        <x:v>SROI/SDG 17 ist keine hinreichend konkrete Mess- oder Schwellenquelle. Vollständige fünfstufige numerische Regel.</x:v>
      </x:c>
      <x:c r="AE270" s="14" t="str">
        <x:v>v1.4</x:v>
      </x:c>
      <x:c r="AF270" s="52" t="str">
        <x:v>2026-08-16</x:v>
      </x:c>
      <x:c r="AG270" s="52"/>
    </x:row>
    <x:row r="271" ht="42" customHeight="1">
      <x:c r="A271" s="14" t="str">
        <x:v>WOK-SYS-130</x:v>
      </x:c>
      <x:c r="B271" s="14" t="str">
        <x:v>SDG 10 – Ungleichheiten</x:v>
      </x:c>
      <x:c r="C271" s="14" t="str">
        <x:v>10.2</x:v>
      </x:c>
      <x:c r="D271" s="14" t="str">
        <x:v>Regionale Gerechtigkeit</x:v>
      </x:c>
      <x:c r="E271" s="14" t="str">
        <x:v>Regionale Gerechtigkeit – Kooperationen</x:v>
      </x:c>
      <x:c r="F271" s="14" t="str">
        <x:v>aktive, evaluierte Partnerschaften/Jahr</x:v>
      </x:c>
      <x:c r="G271" s="14" t="str">
        <x:v>#/Jahr</x:v>
      </x:c>
      <x:c r="H271" s="14" t="str">
        <x:v>higher_is_better</x:v>
      </x:c>
      <x:c r="I271" s="14" t="str">
        <x:v>R20</x:v>
      </x:c>
      <x:c r="J271" s="14" t="str">
        <x:v>≥5:+3; 3–4:+2; 1–2:0; 0:‑2</x:v>
      </x:c>
      <x:c r="K271" s="14" t="str">
        <x:v>Feste WÖk-Grobkalibrierung</x:v>
      </x:c>
      <x:c r="L271" s="14" t="str">
        <x:v>Klasse −3 nur für negative/unzulässige Werte ergänzt</x:v>
      </x:c>
      <x:c r="M271" s="14" t="str">
        <x:v>WÖk-interne Grobkalibrierung</x:v>
      </x:c>
      <x:c r="N271" s="14" t="str">
        <x:v>Optional/Nein</x:v>
      </x:c>
      <x:c r="O271" s="14" t="str">
        <x:v>SROI/SDG17</x:v>
      </x:c>
      <x:c r="P271" s="14" t="str">
        <x:v>SDG 16/17, WJP, V‑Dem</x:v>
      </x:c>
      <x:c r="Q271" s="14" t="str">
        <x:v>Methodischer Platzhalter; konkrete Fach- und Primärdatenquelle erforderlich</x:v>
      </x:c>
      <x:c r="R271" s="14" t="str">
        <x:v>Platzhalter – fachliche Operationalisierung offen</x:v>
      </x:c>
      <x:c r="S271" s="14" t="str">
        <x:v>INT-WOEK-TSROI; SVI-SROI; UN-SDG</x:v>
      </x:c>
      <x:c r="T271" s="14" t="str">
        <x:v>G47 Handel; K Versicherungen; M72 F&amp;E</x:v>
      </x:c>
      <x:c r="U271" s="14" t="str">
        <x:v>Legacy / nicht explizit versioniert</x:v>
      </x:c>
      <x:c r="V271" s="51" t="str"/>
      <x:c r="W271" s="14" t="str">
        <x:v>Migration auf NACE Rev. 2.1 erforderlich</x:v>
      </x:c>
      <x:c r="X271" s="14" t="str">
        <x:v>Programm/Portfolio/Systemraum; Empfängergruppe, Region und Zeitraum explizit definieren</x:v>
      </x:c>
      <x:c r="Y271" s="14" t="str">
        <x:v>Siehe Quelle: Definition gemäß Standard (ESRS/GRI/Taxonomie/ISO).</x:v>
      </x:c>
      <x:c r="Z271" s="14" t="str">
        <x:v>Primärdaten bevorzugt; Sekundärdaten nur transparent und versioniert; Methode und Systemgrenze dokumentieren</x:v>
      </x:c>
      <x:c r="AA271" s="14" t="str">
        <x:v>Limited Assurance; risikobasiert höhere Prüftiefe</x:v>
      </x:c>
      <x:c r="AB271" s="14" t="str">
        <x:v>Fachlogik nicht abschließend operationalisiert</x:v>
      </x:c>
      <x:c r="AC271" s="14" t="str">
        <x:v>Kritisch</x:v>
      </x:c>
      <x:c r="AD271" s="14" t="str">
        <x:v>SROI/SDG 17 ist keine hinreichend konkrete Mess- oder Schwellenquelle. Für sachlogisch nichtnegative Zählwerte ist 0 die schlechteste reguläre Klasse (−2).</x:v>
      </x:c>
      <x:c r="AE271" s="14" t="str">
        <x:v>v1.4</x:v>
      </x:c>
      <x:c r="AF271" s="52" t="str">
        <x:v>2026-08-16</x:v>
      </x:c>
      <x:c r="AG271" s="52"/>
    </x:row>
    <x:row r="272" ht="42" customHeight="1">
      <x:c r="A272" s="14" t="str">
        <x:v>WOK-G-155</x:v>
      </x:c>
      <x:c r="B272" s="14" t="str">
        <x:v>SDG 10 – Ungleichheiten</x:v>
      </x:c>
      <x:c r="C272" s="14" t="str">
        <x:v>10.3</x:v>
      </x:c>
      <x:c r="D272" s="14" t="str">
        <x:v>Responsible Marketing (keine Exklusion)</x:v>
      </x:c>
      <x:c r="E272" s="14" t="str">
        <x:v>Responsible Marketing (keine Exklusion) – Antikorruption</x:v>
      </x:c>
      <x:c r="F272" s="14" t="str">
        <x:v>Bestätigte Fälle/1.000 FTE</x:v>
      </x:c>
      <x:c r="G272" s="14" t="str">
        <x:v>Fälle/1.000 FTE</x:v>
      </x:c>
      <x:c r="H272" s="14" t="str">
        <x:v>lower_is_better</x:v>
      </x:c>
      <x:c r="I272" s="14" t="str">
        <x:v>R01</x:v>
      </x:c>
      <x:c r="J272" s="14" t="str">
        <x:v>0:+3; ≤0,2:+2; ≤0,5:0; ≤1:‑2; &gt;1:‑3</x:v>
      </x:c>
      <x:c r="K272" s="14" t="str">
        <x:v>Feste WÖk-Kalibrierung</x:v>
      </x:c>
      <x:c r="L272" s="14" t="str">
        <x:v>Arbeitskalibrierung – fachlich zu validieren</x:v>
      </x:c>
      <x:c r="M272" s="14" t="str">
        <x:v>WÖk-interne Klassenlogik</x:v>
      </x:c>
      <x:c r="N272" s="14" t="str">
        <x:v>Optional/Nein</x:v>
      </x:c>
      <x:c r="O272" s="14" t="str">
        <x:v>ESRS G1; GRI 205/207</x:v>
      </x:c>
      <x:c r="P272" s="14" t="str">
        <x:v>ESRS G1, GRI 205/207, OECD Anti‑Bribery</x:v>
      </x:c>
      <x:c r="Q272" s="14" t="str">
        <x:v>Mess-, Berichts- oder Managementrahmen; Schwellen sind grundsätzlich WÖk-Kalibrierungen</x:v>
      </x:c>
      <x:c r="R272" s="14" t="str">
        <x:v>Messgrundlage belegt; Schwellenkalibrierung offen</x:v>
      </x:c>
      <x:c r="S272" s="14" t="str">
        <x:v>EU-ESRS; GRI; OECD-AB</x:v>
      </x:c>
      <x:c r="T272" s="14" t="str">
        <x:v>J58/J60/J63 Medien/Plattformen</x:v>
      </x:c>
      <x:c r="U272" s="14" t="str">
        <x:v>Legacy / nicht explizit versioniert</x:v>
      </x:c>
      <x:c r="V272" s="51" t="str"/>
      <x:c r="W272" s="14" t="str">
        <x:v>Migration auf NACE Rev. 2.1 erforderlich</x:v>
      </x:c>
      <x:c r="X272" s="14" t="str">
        <x:v>Organisation/Governance; konsolidierter Kreis und relevante Rechtseinheiten</x:v>
      </x:c>
      <x:c r="Y272" s="14" t="str">
        <x:v>Siehe Quelle: Definition gemäß Standard (ESRS/GRI/Taxonomie/ISO).</x:v>
      </x:c>
      <x:c r="Z272" s="14" t="str">
        <x:v>Primärdaten bevorzugt; Sekundärdaten nur transparent und versioniert; Methode und Systemgrenze dokumentieren</x:v>
      </x:c>
      <x:c r="AA272" s="14" t="str">
        <x:v>Limited Assurance; risikobasiert höhere Prüftiefe</x:v>
      </x:c>
      <x:c r="AB272" s="14" t="str">
        <x:v>Strukturell nutzbar; Schwellen fachlich zu validieren</x:v>
      </x:c>
      <x:c r="AC272" s="14" t="str">
        <x:v>Mittel</x:v>
      </x:c>
      <x:c r="AD272" s="14" t="str">
        <x:v>Vollständige fünfstufige numerische Regel.</x:v>
      </x:c>
      <x:c r="AE272" s="14" t="str">
        <x:v>v1.4</x:v>
      </x:c>
      <x:c r="AF272" s="52" t="str">
        <x:v>2026-08-16</x:v>
      </x:c>
      <x:c r="AG272" s="52"/>
    </x:row>
    <x:row r="273" ht="42" customHeight="1">
      <x:c r="A273" s="14" t="str">
        <x:v>WOK-G-156</x:v>
      </x:c>
      <x:c r="B273" s="14" t="str">
        <x:v>SDG 10 – Ungleichheiten</x:v>
      </x:c>
      <x:c r="C273" s="14" t="str">
        <x:v>10.3</x:v>
      </x:c>
      <x:c r="D273" s="14" t="str">
        <x:v>Responsible Marketing (keine Exklusion)</x:v>
      </x:c>
      <x:c r="E273" s="14" t="str">
        <x:v>Responsible Marketing (keine Exklusion) – Whistleblowing</x:v>
      </x:c>
      <x:c r="F273" s="14" t="str">
        <x:v>Wirksamkeits‑Score</x:v>
      </x:c>
      <x:c r="G273" s="14" t="str">
        <x:v>0–1</x:v>
      </x:c>
      <x:c r="H273" s="14" t="str">
        <x:v>higher_is_better</x:v>
      </x:c>
      <x:c r="I273" s="14" t="str">
        <x:v>R16</x:v>
      </x:c>
      <x:c r="J273" s="14" t="str">
        <x:v>≥0,9:+3; 0,75–0,89:+2; 0,6–0,74:0; 0,4–0,59:‑2; &lt;0,4:‑3</x:v>
      </x:c>
      <x:c r="K273" s="14" t="str">
        <x:v>Feste WÖk-Kalibrierung</x:v>
      </x:c>
      <x:c r="L273" s="14" t="str">
        <x:v>Arbeitskalibrierung – fachlich zu validieren</x:v>
      </x:c>
      <x:c r="M273" s="14" t="str">
        <x:v>WÖk-interne Klassenlogik</x:v>
      </x:c>
      <x:c r="N273" s="14" t="str">
        <x:v>Optional/Nein</x:v>
      </x:c>
      <x:c r="O273" s="14" t="str">
        <x:v>ESRS G1; GRI 205/207</x:v>
      </x:c>
      <x:c r="P273" s="14" t="str">
        <x:v>ESRS G1, GRI 205/207, OECD Anti‑Bribery</x:v>
      </x:c>
      <x:c r="Q273" s="14" t="str">
        <x:v>Mess-, Berichts- oder Managementrahmen; Schwellen sind grundsätzlich WÖk-Kalibrierungen</x:v>
      </x:c>
      <x:c r="R273" s="14" t="str">
        <x:v>Messgrundlage belegt; Schwellenkalibrierung offen</x:v>
      </x:c>
      <x:c r="S273" s="14" t="str">
        <x:v>EU-ESRS; GRI; OECD-AB</x:v>
      </x:c>
      <x:c r="T273" s="14" t="str">
        <x:v>J58/J60/J63 Medien/Plattformen</x:v>
      </x:c>
      <x:c r="U273" s="14" t="str">
        <x:v>Legacy / nicht explizit versioniert</x:v>
      </x:c>
      <x:c r="V273" s="51" t="str"/>
      <x:c r="W273" s="14" t="str">
        <x:v>Migration auf NACE Rev. 2.1 erforderlich</x:v>
      </x:c>
      <x:c r="X273" s="14" t="str">
        <x:v>Organisation/Governance; konsolidierter Kreis und relevante Rechtseinheiten</x:v>
      </x:c>
      <x:c r="Y273" s="14" t="str">
        <x:v>Siehe Quelle: Definition gemäß Standard (ESRS/GRI/Taxonomie/ISO).</x:v>
      </x:c>
      <x:c r="Z273" s="14" t="str">
        <x:v>Primärdaten bevorzugt; Sekundärdaten nur transparent und versioniert; Methode und Systemgrenze dokumentieren</x:v>
      </x:c>
      <x:c r="AA273" s="14" t="str">
        <x:v>Limited Assurance; risikobasiert höhere Prüftiefe</x:v>
      </x:c>
      <x:c r="AB273" s="14" t="str">
        <x:v>Strukturell nutzbar; Schwellen fachlich zu validieren</x:v>
      </x:c>
      <x:c r="AC273" s="14" t="str">
        <x:v>Mittel</x:v>
      </x:c>
      <x:c r="AD273" s="14" t="str">
        <x:v>Vollständige fünfstufige numerische Regel.</x:v>
      </x:c>
      <x:c r="AE273" s="14" t="str">
        <x:v>v1.4</x:v>
      </x:c>
      <x:c r="AF273" s="52" t="str">
        <x:v>2026-08-16</x:v>
      </x:c>
      <x:c r="AG273" s="52"/>
    </x:row>
    <x:row r="274" ht="42" customHeight="1">
      <x:c r="A274" s="14" t="str">
        <x:v>WOK-G-157</x:v>
      </x:c>
      <x:c r="B274" s="14" t="str">
        <x:v>SDG 10 – Ungleichheiten</x:v>
      </x:c>
      <x:c r="C274" s="14" t="str">
        <x:v>10.3</x:v>
      </x:c>
      <x:c r="D274" s="14" t="str">
        <x:v>Responsible Marketing (keine Exklusion)</x:v>
      </x:c>
      <x:c r="E274" s="14" t="str">
        <x:v>Responsible Marketing (keine Exklusion) – Steuertransparenz</x:v>
      </x:c>
      <x:c r="F274" s="14" t="str">
        <x:v>CbCR‑Offenlegung</x:v>
      </x:c>
      <x:c r="G274" s="14" t="str">
        <x:v>0–1</x:v>
      </x:c>
      <x:c r="H274" s="14" t="str">
        <x:v>higher_is_better</x:v>
      </x:c>
      <x:c r="I274" s="14" t="str">
        <x:v>R08</x:v>
      </x:c>
      <x:c r="J274" s="14" t="str">
        <x:v>vollständig:+3; teilweise:+2; minimal:0; schlecht:‑2</x:v>
      </x:c>
      <x:c r="K274" s="14" t="str">
        <x:v>Qualitativ</x:v>
      </x:c>
      <x:c r="L274" s="14" t="str">
        <x:v>Assurance und Kriterienkatalog erforderlich</x:v>
      </x:c>
      <x:c r="M274" s="14" t="str">
        <x:v>WÖk-interne Kategorien</x:v>
      </x:c>
      <x:c r="N274" s="14" t="str">
        <x:v>Optional/Nein</x:v>
      </x:c>
      <x:c r="O274" s="14" t="str">
        <x:v>ESRS G1; GRI 205/207</x:v>
      </x:c>
      <x:c r="P274" s="14" t="str">
        <x:v>ESRS G1, GRI 205/207, OECD Anti‑Bribery</x:v>
      </x:c>
      <x:c r="Q274" s="14" t="str">
        <x:v>Mess-, Berichts- oder Managementrahmen; Schwellen sind grundsätzlich WÖk-Kalibrierungen</x:v>
      </x:c>
      <x:c r="R274" s="14" t="str">
        <x:v>Messgrundlage belegt; Schwellenkalibrierung offen</x:v>
      </x:c>
      <x:c r="S274" s="14" t="str">
        <x:v>EU-ESRS; GRI; OECD-AB</x:v>
      </x:c>
      <x:c r="T274" s="14" t="str">
        <x:v>J58/J60/J63 Medien/Plattformen</x:v>
      </x:c>
      <x:c r="U274" s="14" t="str">
        <x:v>Legacy / nicht explizit versioniert</x:v>
      </x:c>
      <x:c r="V274" s="51" t="str"/>
      <x:c r="W274" s="14" t="str">
        <x:v>Migration auf NACE Rev. 2.1 erforderlich</x:v>
      </x:c>
      <x:c r="X274" s="14" t="str">
        <x:v>Organisation/Governance; konsolidierter Kreis und relevante Rechtseinheiten</x:v>
      </x:c>
      <x:c r="Y274" s="14" t="str">
        <x:v>Siehe Quelle: Definition gemäß Standard (ESRS/GRI/Taxonomie/ISO).</x:v>
      </x:c>
      <x:c r="Z274" s="14" t="str">
        <x:v>Dokumentierter Kriterienkatalog; nachvollziehbare Evidenz; DQR A/B bevorzugt</x:v>
      </x:c>
      <x:c r="AA274" s="14" t="str">
        <x:v>Unabhängige Fachprüfung/Limited Assurance; bei roten Linien Reasonable Assurance</x:v>
      </x:c>
      <x:c r="AB274" s="14" t="str">
        <x:v>Prüfung/Parametrisierung erforderlich</x:v>
      </x:c>
      <x:c r="AC274" s="14" t="str">
        <x:v>Hoch</x:v>
      </x:c>
      <x:c r="AD274" s="14" t="str">
        <x:v>Die Kategorie −3 fehlt; Vollständigkeit und Wirksamkeit sind feldspezifisch zu definieren.</x:v>
      </x:c>
      <x:c r="AE274" s="14" t="str">
        <x:v>v1.4</x:v>
      </x:c>
      <x:c r="AF274" s="52" t="str">
        <x:v>2026-08-16</x:v>
      </x:c>
      <x:c r="AG274" s="52"/>
    </x:row>
    <x:row r="275" ht="42" customHeight="1">
      <x:c r="A275" s="14" t="str">
        <x:v>WOK-RE-116</x:v>
      </x:c>
      <x:c r="B275" s="14" t="str">
        <x:v>SDG 11 – Städte</x:v>
      </x:c>
      <x:c r="C275" s="14" t="str">
        <x:v>11.6</x:v>
      </x:c>
      <x:c r="D275" s="14" t="str">
        <x:v>Gebäudeenergiebedarf</x:v>
      </x:c>
      <x:c r="E275" s="14" t="str">
        <x:v>Gebäudeenergiebedarf – Betriebsenergie</x:v>
      </x:c>
      <x:c r="F275" s="14" t="str">
        <x:v>Endenergiebedarf</x:v>
      </x:c>
      <x:c r="G275" s="14" t="str">
        <x:v>kWh/m²a</x:v>
      </x:c>
      <x:c r="H275" s="14" t="str">
        <x:v>lower_is_better</x:v>
      </x:c>
      <x:c r="I275" s="14" t="str">
        <x:v>R05</x:v>
      </x:c>
      <x:c r="J275" s="14" t="str">
        <x:v>Top 15%:+3; +15–30%:+2; +31–60%:0; &gt;+60%:‑2/‑3</x:v>
      </x:c>
      <x:c r="K275" s="14" t="str">
        <x:v>Benchmarkabhängig</x:v>
      </x:c>
      <x:c r="L275" s="14" t="str">
        <x:v>Validierter Benchmark fehlt</x:v>
      </x:c>
      <x:c r="M275" s="14" t="str">
        <x:v>Branche/Region/Technologie</x:v>
      </x:c>
      <x:c r="N275" s="14" t="str">
        <x:v>Ja</x:v>
      </x:c>
      <x:c r="O275" s="14" t="str">
        <x:v>EPBD; EN 15978</x:v>
      </x:c>
      <x:c r="P275" s="14" t="str">
        <x:v>ESRS E1, ISO 50001 (EnMS), ISO/IEC 30134‑2 (PUE), EU EPBD</x:v>
      </x:c>
      <x:c r="Q275" s="14" t="str">
        <x:v>Mess-/Methodenrahmen; aktiver Branchen-/Regional-/Technologiebenchmark separat erforderlich</x:v>
      </x:c>
      <x:c r="R275" s="14" t="str">
        <x:v>Teilbelegt – Benchmarkquelle fehlt</x:v>
      </x:c>
      <x:c r="S275" s="14" t="str">
        <x:v>EU-EPBD; CEN-15978</x:v>
      </x:c>
      <x:c r="T275" s="14" t="str">
        <x:v>L68 Immobilien; F41/F42 Bau</x:v>
      </x:c>
      <x:c r="U275" s="14" t="str">
        <x:v>Legacy / nicht explizit versioniert</x:v>
      </x:c>
      <x:c r="V275" s="51" t="str"/>
      <x:c r="W275" s="14" t="str">
        <x:v>Migration auf NACE Rev. 2.1 erforderlich</x:v>
      </x:c>
      <x:c r="X275" s="14" t="str">
        <x:v>Gebäude/Standort; Betrieb plus relevante Lebenszyklusmodule</x:v>
      </x:c>
      <x:c r="Y275" s="14" t="str">
        <x:v>Siehe Quelle: Definition gemäß Standard (ESRS/GRI/Taxonomie/ISO).</x:v>
      </x:c>
      <x:c r="Z275" s="14" t="str">
        <x:v>Primärdaten plus repräsentativer, versionierter Benchmarkdatensatz; Stichprobe und Population offenlegen</x:v>
      </x:c>
      <x:c r="AA275" s="14" t="str">
        <x:v>Messwert-Assurance und unabhängige Benchmark-Governance</x:v>
      </x:c>
      <x:c r="AB275" s="14" t="str">
        <x:v>Prüfung/Parametrisierung erforderlich</x:v>
      </x:c>
      <x:c r="AC275" s="14" t="str">
        <x:v>Hoch</x:v>
      </x:c>
      <x:c r="AD275" s="14" t="str">
        <x:v>Die Grenze &gt;+60 % ist derzeit nicht eindeutig in −2/−3 aufgelöst.</x:v>
      </x:c>
      <x:c r="AE275" s="14" t="str">
        <x:v>v1.4</x:v>
      </x:c>
      <x:c r="AF275" s="52" t="str">
        <x:v>2026-08-16</x:v>
      </x:c>
      <x:c r="AG275" s="52"/>
    </x:row>
    <x:row r="276" ht="42" customHeight="1">
      <x:c r="A276" s="14" t="str">
        <x:v>WOK-RE-117</x:v>
      </x:c>
      <x:c r="B276" s="14" t="str">
        <x:v>SDG 11 – Städte</x:v>
      </x:c>
      <x:c r="C276" s="14" t="str">
        <x:v>11.6</x:v>
      </x:c>
      <x:c r="D276" s="14" t="str">
        <x:v>Gebäudeenergiebedarf</x:v>
      </x:c>
      <x:c r="E276" s="14" t="str">
        <x:v>Gebäudeenergiebedarf – Graue Emissionen</x:v>
      </x:c>
      <x:c r="F276" s="14" t="str">
        <x:v>Embodied Carbon (A1–A3)</x:v>
      </x:c>
      <x:c r="G276" s="14" t="str">
        <x:v>kg CO₂e/m²</x:v>
      </x:c>
      <x:c r="H276" s="14" t="str">
        <x:v>lower_is_better</x:v>
      </x:c>
      <x:c r="I276" s="14" t="str">
        <x:v>R06</x:v>
      </x:c>
      <x:c r="J276" s="14" t="str">
        <x:v>Top‑10%:+3; Mittel:0; &gt;150%:‑2; &gt;250%:‑3</x:v>
      </x:c>
      <x:c r="K276" s="14" t="str">
        <x:v>Benchmarkabhängig</x:v>
      </x:c>
      <x:c r="L276" s="14" t="str">
        <x:v>Validierter Benchmark fehlt</x:v>
      </x:c>
      <x:c r="M276" s="14" t="str">
        <x:v>Branche/Region/Technologie</x:v>
      </x:c>
      <x:c r="N276" s="14" t="str">
        <x:v>Ja</x:v>
      </x:c>
      <x:c r="O276" s="14" t="str">
        <x:v>EN 15978/ISO 14067</x:v>
      </x:c>
      <x:c r="P276" s="14" t="str">
        <x:v>ESRS E1, GHG Protocol (Corporate/Scope 1–3), ISO 14064/14067</x:v>
      </x:c>
      <x:c r="Q276" s="14" t="str">
        <x:v>Mess-/Methodenrahmen; aktiver Branchen-/Regional-/Technologiebenchmark separat erforderlich</x:v>
      </x:c>
      <x:c r="R276" s="14" t="str">
        <x:v>Teilbelegt – Benchmarkquelle fehlt</x:v>
      </x:c>
      <x:c r="S276" s="14" t="str">
        <x:v>CEN-15978; ISO-14067</x:v>
      </x:c>
      <x:c r="T276" s="14" t="str">
        <x:v>L68 Immobilien; F41/F42 Bau</x:v>
      </x:c>
      <x:c r="U276" s="14" t="str">
        <x:v>Legacy / nicht explizit versioniert</x:v>
      </x:c>
      <x:c r="V276" s="51" t="str"/>
      <x:c r="W276" s="14" t="str">
        <x:v>Migration auf NACE Rev. 2.1 erforderlich</x:v>
      </x:c>
      <x:c r="X276" s="14" t="str">
        <x:v>Gebäude/Standort; Betrieb plus relevante Lebenszyklusmodule</x:v>
      </x:c>
      <x:c r="Y276" s="14" t="str">
        <x:v>Embodied Carbon gem. EN 15978 (A1–A3 ggf. A4–A5); kg CO₂e/m².</x:v>
      </x:c>
      <x:c r="Z276" s="14" t="str">
        <x:v>Primärdaten plus repräsentativer, versionierter Benchmarkdatensatz; Stichprobe und Population offenlegen</x:v>
      </x:c>
      <x:c r="AA276" s="14" t="str">
        <x:v>Messwert-Assurance und unabhängige Benchmark-Governance</x:v>
      </x:c>
      <x:c r="AB276" s="14" t="str">
        <x:v>Prüfung/Parametrisierung erforderlich</x:v>
      </x:c>
      <x:c r="AC276" s="14" t="str">
        <x:v>Hoch</x:v>
      </x:c>
      <x:c r="AD276" s="14" t="str">
        <x:v>Top-10-Prozent, Mittelwert, 150 % und 250 % müssen aus einer dokumentierten Grundgesamtheit stammen.</x:v>
      </x:c>
      <x:c r="AE276" s="14" t="str">
        <x:v>v1.4</x:v>
      </x:c>
      <x:c r="AF276" s="52" t="str">
        <x:v>2026-08-16</x:v>
      </x:c>
      <x:c r="AG276" s="52"/>
    </x:row>
    <x:row r="277" ht="42" customHeight="1">
      <x:c r="A277" s="14" t="str">
        <x:v>WOK-RE-118</x:v>
      </x:c>
      <x:c r="B277" s="14" t="str">
        <x:v>SDG 11 – Städte</x:v>
      </x:c>
      <x:c r="C277" s="14" t="str">
        <x:v>11.6</x:v>
      </x:c>
      <x:c r="D277" s="14" t="str">
        <x:v>Gebäudeenergiebedarf</x:v>
      </x:c>
      <x:c r="E277" s="14" t="str">
        <x:v>Gebäudeenergiebedarf – ÖPNV‑Erreichbarkeit</x:v>
      </x:c>
      <x:c r="F277" s="14" t="str">
        <x:v>Transit‑Score</x:v>
      </x:c>
      <x:c r="G277" s="14" t="str">
        <x:v>0–1</x:v>
      </x:c>
      <x:c r="H277" s="14" t="str">
        <x:v>higher_is_better</x:v>
      </x:c>
      <x:c r="I277" s="14" t="str">
        <x:v>R14</x:v>
      </x:c>
      <x:c r="J277" s="14" t="str">
        <x:v>≥0,8:+3; 0,6–0,79:+2; 0,4–0,59:0; 0,2–0,39:‑2; &lt;0,2:‑3</x:v>
      </x:c>
      <x:c r="K277" s="14" t="str">
        <x:v>Feste WÖk-Kalibrierung</x:v>
      </x:c>
      <x:c r="L277" s="14" t="str">
        <x:v>Arbeitskalibrierung – fachlich zu validieren</x:v>
      </x:c>
      <x:c r="M277" s="14" t="str">
        <x:v>WÖk-interne Klassenlogik</x:v>
      </x:c>
      <x:c r="N277" s="14" t="str">
        <x:v>Optional/Nein</x:v>
      </x:c>
      <x:c r="O277" s="14" t="str">
        <x:v>Stadt/GIS</x:v>
      </x:c>
      <x:c r="P277" s="14" t="str">
        <x:v>ESRS E1, ISO 50001 (EnMS), ISO/IEC 30134‑2 (PUE), EU EPBD</x:v>
      </x:c>
      <x:c r="Q277" s="14" t="str">
        <x:v>Lokale Primärdaten; Datenhalter, Layer, Zeitraum und Methodik je Fall ergänzen</x:v>
      </x:c>
      <x:c r="R277" s="14" t="str">
        <x:v>Platzhalter – konkrete Datenquelle fehlt</x:v>
      </x:c>
      <x:c r="S277" s="14" t="str">
        <x:v>DATA-GIS</x:v>
      </x:c>
      <x:c r="T277" s="14" t="str">
        <x:v>L68 Immobilien; F41/F42 Bau</x:v>
      </x:c>
      <x:c r="U277" s="14" t="str">
        <x:v>Legacy / nicht explizit versioniert</x:v>
      </x:c>
      <x:c r="V277" s="51" t="str"/>
      <x:c r="W277" s="14" t="str">
        <x:v>Migration auf NACE Rev. 2.1 erforderlich</x:v>
      </x:c>
      <x:c r="X277" s="14" t="str">
        <x:v>Gebäude/Standort; Betrieb plus relevante Lebenszyklusmodule</x:v>
      </x:c>
      <x:c r="Y277" s="14" t="str">
        <x:v>Siehe Quelle: Definition gemäß Standard (ESRS/GRI/Taxonomie/ISO).</x:v>
      </x:c>
      <x:c r="Z277" s="14" t="str">
        <x:v>Primärdaten oder qualitätsgesicherte Sekundärdaten; Methode, Zeitraum und Systemgrenze dokumentieren</x:v>
      </x:c>
      <x:c r="AA277" s="14" t="str">
        <x:v>Limited Assurance; bei materieller Steuerwirkung risikobasiert vertiefen</x:v>
      </x:c>
      <x:c r="AB277" s="14" t="str">
        <x:v>Produktspezifische bzw. lokale Prüfung erforderlich</x:v>
      </x:c>
      <x:c r="AC277" s="14" t="str">
        <x:v>Hoch</x:v>
      </x:c>
      <x:c r="AD277" s="14" t="str">
        <x:v>Konkreten Datenhalter, GIS-Layer, Stichtag und Methodik ergänzen. Vollständige fünfstufige numerische Regel.</x:v>
      </x:c>
      <x:c r="AE277" s="14" t="str">
        <x:v>v1.4</x:v>
      </x:c>
      <x:c r="AF277" s="52" t="str">
        <x:v>2026-08-16</x:v>
      </x:c>
      <x:c r="AG277" s="52"/>
    </x:row>
    <x:row r="278" ht="42" customHeight="1">
      <x:c r="A278" s="14" t="str">
        <x:v>WOK-RE-119</x:v>
      </x:c>
      <x:c r="B278" s="14" t="str">
        <x:v>SDG 11 – Städte</x:v>
      </x:c>
      <x:c r="C278" s="14" t="str">
        <x:v>11.2</x:v>
      </x:c>
      <x:c r="D278" s="14" t="str">
        <x:v>ÖPNV‑Erreichbarkeit</x:v>
      </x:c>
      <x:c r="E278" s="14" t="str">
        <x:v>ÖPNV‑Erreichbarkeit – Betriebsenergie</x:v>
      </x:c>
      <x:c r="F278" s="14" t="str">
        <x:v>Endenergiebedarf</x:v>
      </x:c>
      <x:c r="G278" s="14" t="str">
        <x:v>kWh/m²a</x:v>
      </x:c>
      <x:c r="H278" s="14" t="str">
        <x:v>lower_is_better</x:v>
      </x:c>
      <x:c r="I278" s="14" t="str">
        <x:v>R05</x:v>
      </x:c>
      <x:c r="J278" s="14" t="str">
        <x:v>Top 15%:+3; +15–30%:+2; +31–60%:0; &gt;+60%:‑2/‑3</x:v>
      </x:c>
      <x:c r="K278" s="14" t="str">
        <x:v>Benchmarkabhängig</x:v>
      </x:c>
      <x:c r="L278" s="14" t="str">
        <x:v>Validierter Benchmark fehlt</x:v>
      </x:c>
      <x:c r="M278" s="14" t="str">
        <x:v>Branche/Region/Technologie</x:v>
      </x:c>
      <x:c r="N278" s="14" t="str">
        <x:v>Ja</x:v>
      </x:c>
      <x:c r="O278" s="14" t="str">
        <x:v>EPBD; EN 15978</x:v>
      </x:c>
      <x:c r="P278" s="14" t="str">
        <x:v>ESRS E1, ISO 50001 (EnMS), ISO/IEC 30134‑2 (PUE), EU EPBD</x:v>
      </x:c>
      <x:c r="Q278" s="14" t="str">
        <x:v>Mess-/Methodenrahmen; aktiver Branchen-/Regional-/Technologiebenchmark separat erforderlich</x:v>
      </x:c>
      <x:c r="R278" s="14" t="str">
        <x:v>Teilbelegt – Benchmarkquelle fehlt</x:v>
      </x:c>
      <x:c r="S278" s="14" t="str">
        <x:v>EU-EPBD; CEN-15978</x:v>
      </x:c>
      <x:c r="T278" s="14" t="str">
        <x:v>L68 Immobilien; F41/F42 Bau</x:v>
      </x:c>
      <x:c r="U278" s="14" t="str">
        <x:v>Legacy / nicht explizit versioniert</x:v>
      </x:c>
      <x:c r="V278" s="51" t="str"/>
      <x:c r="W278" s="14" t="str">
        <x:v>Migration auf NACE Rev. 2.1 erforderlich</x:v>
      </x:c>
      <x:c r="X278" s="14" t="str">
        <x:v>Gebäude/Standort; Betrieb plus relevante Lebenszyklusmodule</x:v>
      </x:c>
      <x:c r="Y278" s="14" t="str">
        <x:v>Siehe Quelle: Definition gemäß Standard (ESRS/GRI/Taxonomie/ISO).</x:v>
      </x:c>
      <x:c r="Z278" s="14" t="str">
        <x:v>Primärdaten plus repräsentativer, versionierter Benchmarkdatensatz; Stichprobe und Population offenlegen</x:v>
      </x:c>
      <x:c r="AA278" s="14" t="str">
        <x:v>Messwert-Assurance und unabhängige Benchmark-Governance</x:v>
      </x:c>
      <x:c r="AB278" s="14" t="str">
        <x:v>Prüfung/Parametrisierung erforderlich</x:v>
      </x:c>
      <x:c r="AC278" s="14" t="str">
        <x:v>Hoch</x:v>
      </x:c>
      <x:c r="AD278" s="14" t="str">
        <x:v>Die Grenze &gt;+60 % ist derzeit nicht eindeutig in −2/−3 aufgelöst.</x:v>
      </x:c>
      <x:c r="AE278" s="14" t="str">
        <x:v>v1.4</x:v>
      </x:c>
      <x:c r="AF278" s="52" t="str">
        <x:v>2026-08-16</x:v>
      </x:c>
      <x:c r="AG278" s="52"/>
    </x:row>
    <x:row r="279" ht="42" customHeight="1">
      <x:c r="A279" s="14" t="str">
        <x:v>WOK-RE-120</x:v>
      </x:c>
      <x:c r="B279" s="14" t="str">
        <x:v>SDG 11 – Städte</x:v>
      </x:c>
      <x:c r="C279" s="14" t="str">
        <x:v>11.2</x:v>
      </x:c>
      <x:c r="D279" s="14" t="str">
        <x:v>ÖPNV‑Erreichbarkeit</x:v>
      </x:c>
      <x:c r="E279" s="14" t="str">
        <x:v>ÖPNV‑Erreichbarkeit – Graue Emissionen</x:v>
      </x:c>
      <x:c r="F279" s="14" t="str">
        <x:v>Embodied Carbon (A1–A3)</x:v>
      </x:c>
      <x:c r="G279" s="14" t="str">
        <x:v>kg CO₂e/m²</x:v>
      </x:c>
      <x:c r="H279" s="14" t="str">
        <x:v>lower_is_better</x:v>
      </x:c>
      <x:c r="I279" s="14" t="str">
        <x:v>R06</x:v>
      </x:c>
      <x:c r="J279" s="14" t="str">
        <x:v>Top‑10%:+3; Mittel:0; &gt;150%:‑2; &gt;250%:‑3</x:v>
      </x:c>
      <x:c r="K279" s="14" t="str">
        <x:v>Benchmarkabhängig</x:v>
      </x:c>
      <x:c r="L279" s="14" t="str">
        <x:v>Validierter Benchmark fehlt</x:v>
      </x:c>
      <x:c r="M279" s="14" t="str">
        <x:v>Branche/Region/Technologie</x:v>
      </x:c>
      <x:c r="N279" s="14" t="str">
        <x:v>Ja</x:v>
      </x:c>
      <x:c r="O279" s="14" t="str">
        <x:v>EN 15978/ISO 14067</x:v>
      </x:c>
      <x:c r="P279" s="14" t="str">
        <x:v>ESRS E1, GHG Protocol (Corporate/Scope 1–3), ISO 14064/14067</x:v>
      </x:c>
      <x:c r="Q279" s="14" t="str">
        <x:v>Mess-/Methodenrahmen; aktiver Branchen-/Regional-/Technologiebenchmark separat erforderlich</x:v>
      </x:c>
      <x:c r="R279" s="14" t="str">
        <x:v>Teilbelegt – Benchmarkquelle fehlt</x:v>
      </x:c>
      <x:c r="S279" s="14" t="str">
        <x:v>CEN-15978; ISO-14067</x:v>
      </x:c>
      <x:c r="T279" s="14" t="str">
        <x:v>L68 Immobilien; F41/F42 Bau</x:v>
      </x:c>
      <x:c r="U279" s="14" t="str">
        <x:v>Legacy / nicht explizit versioniert</x:v>
      </x:c>
      <x:c r="V279" s="51" t="str"/>
      <x:c r="W279" s="14" t="str">
        <x:v>Migration auf NACE Rev. 2.1 erforderlich</x:v>
      </x:c>
      <x:c r="X279" s="14" t="str">
        <x:v>Gebäude/Standort; Betrieb plus relevante Lebenszyklusmodule</x:v>
      </x:c>
      <x:c r="Y279" s="14" t="str">
        <x:v>Embodied Carbon gem. EN 15978 (A1–A3 ggf. A4–A5); kg CO₂e/m².</x:v>
      </x:c>
      <x:c r="Z279" s="14" t="str">
        <x:v>Primärdaten plus repräsentativer, versionierter Benchmarkdatensatz; Stichprobe und Population offenlegen</x:v>
      </x:c>
      <x:c r="AA279" s="14" t="str">
        <x:v>Messwert-Assurance und unabhängige Benchmark-Governance</x:v>
      </x:c>
      <x:c r="AB279" s="14" t="str">
        <x:v>Prüfung/Parametrisierung erforderlich</x:v>
      </x:c>
      <x:c r="AC279" s="14" t="str">
        <x:v>Hoch</x:v>
      </x:c>
      <x:c r="AD279" s="14" t="str">
        <x:v>Top-10-Prozent, Mittelwert, 150 % und 250 % müssen aus einer dokumentierten Grundgesamtheit stammen.</x:v>
      </x:c>
      <x:c r="AE279" s="14" t="str">
        <x:v>v1.4</x:v>
      </x:c>
      <x:c r="AF279" s="52" t="str">
        <x:v>2026-08-16</x:v>
      </x:c>
      <x:c r="AG279" s="52"/>
    </x:row>
    <x:row r="280" ht="42" customHeight="1">
      <x:c r="A280" s="14" t="str">
        <x:v>WOK-RE-121</x:v>
      </x:c>
      <x:c r="B280" s="14" t="str">
        <x:v>SDG 11 – Städte</x:v>
      </x:c>
      <x:c r="C280" s="14" t="str">
        <x:v>11.2</x:v>
      </x:c>
      <x:c r="D280" s="14" t="str">
        <x:v>ÖPNV‑Erreichbarkeit</x:v>
      </x:c>
      <x:c r="E280" s="14" t="str">
        <x:v>ÖPNV‑Erreichbarkeit – ÖPNV‑Erreichbarkeit</x:v>
      </x:c>
      <x:c r="F280" s="14" t="str">
        <x:v>Transit‑Score</x:v>
      </x:c>
      <x:c r="G280" s="14" t="str">
        <x:v>0–1</x:v>
      </x:c>
      <x:c r="H280" s="14" t="str">
        <x:v>higher_is_better</x:v>
      </x:c>
      <x:c r="I280" s="14" t="str">
        <x:v>R14</x:v>
      </x:c>
      <x:c r="J280" s="14" t="str">
        <x:v>≥0,8:+3; 0,6–0,79:+2; 0,4–0,59:0; 0,2–0,39:‑2; &lt;0,2:‑3</x:v>
      </x:c>
      <x:c r="K280" s="14" t="str">
        <x:v>Feste WÖk-Kalibrierung</x:v>
      </x:c>
      <x:c r="L280" s="14" t="str">
        <x:v>Arbeitskalibrierung – fachlich zu validieren</x:v>
      </x:c>
      <x:c r="M280" s="14" t="str">
        <x:v>WÖk-interne Klassenlogik</x:v>
      </x:c>
      <x:c r="N280" s="14" t="str">
        <x:v>Optional/Nein</x:v>
      </x:c>
      <x:c r="O280" s="14" t="str">
        <x:v>Stadt/GIS</x:v>
      </x:c>
      <x:c r="P280" s="14" t="str">
        <x:v>Stadt/GIS</x:v>
      </x:c>
      <x:c r="Q280" s="14" t="str">
        <x:v>Lokale Primärdaten; Datenhalter, Layer, Zeitraum und Methodik je Fall ergänzen</x:v>
      </x:c>
      <x:c r="R280" s="14" t="str">
        <x:v>Platzhalter – konkrete Datenquelle fehlt</x:v>
      </x:c>
      <x:c r="S280" s="14" t="str">
        <x:v>DATA-GIS</x:v>
      </x:c>
      <x:c r="T280" s="14" t="str">
        <x:v>L68 Immobilien; F41/F42 Bau</x:v>
      </x:c>
      <x:c r="U280" s="14" t="str">
        <x:v>Legacy / nicht explizit versioniert</x:v>
      </x:c>
      <x:c r="V280" s="51" t="str"/>
      <x:c r="W280" s="14" t="str">
        <x:v>Migration auf NACE Rev. 2.1 erforderlich</x:v>
      </x:c>
      <x:c r="X280" s="14" t="str">
        <x:v>Gebäude/Standort; Betrieb plus relevante Lebenszyklusmodule</x:v>
      </x:c>
      <x:c r="Y280" s="14" t="str">
        <x:v>Siehe Quelle: Definition gemäß Standard (ESRS/GRI/Taxonomie/ISO).</x:v>
      </x:c>
      <x:c r="Z280" s="14" t="str">
        <x:v>Primärdaten oder qualitätsgesicherte Sekundärdaten; Methode, Zeitraum und Systemgrenze dokumentieren</x:v>
      </x:c>
      <x:c r="AA280" s="14" t="str">
        <x:v>Limited Assurance; bei materieller Steuerwirkung risikobasiert vertiefen</x:v>
      </x:c>
      <x:c r="AB280" s="14" t="str">
        <x:v>Produktspezifische bzw. lokale Prüfung erforderlich</x:v>
      </x:c>
      <x:c r="AC280" s="14" t="str">
        <x:v>Hoch</x:v>
      </x:c>
      <x:c r="AD280" s="14" t="str">
        <x:v>Konkreten Datenhalter, GIS-Layer, Stichtag und Methodik ergänzen. Vollständige fünfstufige numerische Regel.</x:v>
      </x:c>
      <x:c r="AE280" s="14" t="str">
        <x:v>v1.4</x:v>
      </x:c>
      <x:c r="AF280" s="52" t="str">
        <x:v>2026-08-16</x:v>
      </x:c>
      <x:c r="AG280" s="52"/>
    </x:row>
    <x:row r="281" ht="42" customHeight="1">
      <x:c r="A281" s="14" t="str">
        <x:v>WOK-E-155</x:v>
      </x:c>
      <x:c r="B281" s="14" t="str">
        <x:v>SDG 11 – Städte</x:v>
      </x:c>
      <x:c r="C281" s="14" t="str">
        <x:v>11.6</x:v>
      </x:c>
      <x:c r="D281" s="14" t="str">
        <x:v>Luftqualitätsbeitrag</x:v>
      </x:c>
      <x:c r="E281" s="14" t="str">
        <x:v>Luftqualitätsbeitrag – Antikorruption</x:v>
      </x:c>
      <x:c r="F281" s="14" t="str">
        <x:v>Bestätigte Fälle/1.000 FTE</x:v>
      </x:c>
      <x:c r="G281" s="14" t="str">
        <x:v>Fälle/1.000 FTE</x:v>
      </x:c>
      <x:c r="H281" s="14" t="str">
        <x:v>lower_is_better</x:v>
      </x:c>
      <x:c r="I281" s="14" t="str">
        <x:v>R01</x:v>
      </x:c>
      <x:c r="J281" s="14" t="str">
        <x:v>0:+3; ≤0,2:+2; ≤0,5:0; ≤1:‑2; &gt;1:‑3</x:v>
      </x:c>
      <x:c r="K281" s="14" t="str">
        <x:v>Feste WÖk-Kalibrierung</x:v>
      </x:c>
      <x:c r="L281" s="14" t="str">
        <x:v>Arbeitskalibrierung – fachlich zu validieren</x:v>
      </x:c>
      <x:c r="M281" s="14" t="str">
        <x:v>WÖk-interne Klassenlogik</x:v>
      </x:c>
      <x:c r="N281" s="14" t="str">
        <x:v>Optional/Nein</x:v>
      </x:c>
      <x:c r="O281" s="14" t="str">
        <x:v>ESRS G1; GRI 205/207</x:v>
      </x:c>
      <x:c r="P281" s="14" t="str">
        <x:v>ESRS G1, GRI 205/207, OECD Anti‑Bribery</x:v>
      </x:c>
      <x:c r="Q281" s="14" t="str">
        <x:v>Mess-, Berichts- oder Managementrahmen; Schwellen sind grundsätzlich WÖk-Kalibrierungen</x:v>
      </x:c>
      <x:c r="R281" s="14" t="str">
        <x:v>Messgrundlage belegt; Schwellenkalibrierung offen</x:v>
      </x:c>
      <x:c r="S281" s="14" t="str">
        <x:v>EU-ESRS; GRI; OECD-AB</x:v>
      </x:c>
      <x:c r="T281" s="14" t="str">
        <x:v>H49 Verkehr</x:v>
      </x:c>
      <x:c r="U281" s="14" t="str">
        <x:v>Legacy / nicht explizit versioniert</x:v>
      </x:c>
      <x:c r="V281" s="51" t="str"/>
      <x:c r="W281" s="14" t="str">
        <x:v>Migration auf NACE Rev. 2.1 erforderlich</x:v>
      </x:c>
      <x:c r="X281" s="14" t="str">
        <x:v>Standort/Prozess/Aktivität; Bezugsgröße und relevante Umweltmedien</x:v>
      </x:c>
      <x:c r="Y281" s="14" t="str">
        <x:v>Siehe Quelle: Definition gemäß Standard (ESRS/GRI/Taxonomie/ISO).</x:v>
      </x:c>
      <x:c r="Z281" s="14" t="str">
        <x:v>Primärdaten bevorzugt; Sekundärdaten nur transparent und versioniert; Methode und Systemgrenze dokumentieren</x:v>
      </x:c>
      <x:c r="AA281" s="14" t="str">
        <x:v>Limited Assurance; risikobasiert höhere Prüftiefe</x:v>
      </x:c>
      <x:c r="AB281" s="14" t="str">
        <x:v>Strukturell nutzbar; Schwellen fachlich zu validieren</x:v>
      </x:c>
      <x:c r="AC281" s="14" t="str">
        <x:v>Mittel</x:v>
      </x:c>
      <x:c r="AD281" s="14" t="str">
        <x:v>Vollständige fünfstufige numerische Regel.</x:v>
      </x:c>
      <x:c r="AE281" s="14" t="str">
        <x:v>v1.4</x:v>
      </x:c>
      <x:c r="AF281" s="52" t="str">
        <x:v>2026-08-16</x:v>
      </x:c>
      <x:c r="AG281" s="52"/>
    </x:row>
    <x:row r="282" ht="42" customHeight="1">
      <x:c r="A282" s="14" t="str">
        <x:v>WOK-E-156</x:v>
      </x:c>
      <x:c r="B282" s="14" t="str">
        <x:v>SDG 11 – Städte</x:v>
      </x:c>
      <x:c r="C282" s="14" t="str">
        <x:v>11.6</x:v>
      </x:c>
      <x:c r="D282" s="14" t="str">
        <x:v>Luftqualitätsbeitrag</x:v>
      </x:c>
      <x:c r="E282" s="14" t="str">
        <x:v>Luftqualitätsbeitrag – Whistleblowing</x:v>
      </x:c>
      <x:c r="F282" s="14" t="str">
        <x:v>Wirksamkeits‑Score</x:v>
      </x:c>
      <x:c r="G282" s="14" t="str">
        <x:v>0–1</x:v>
      </x:c>
      <x:c r="H282" s="14" t="str">
        <x:v>higher_is_better</x:v>
      </x:c>
      <x:c r="I282" s="14" t="str">
        <x:v>R16</x:v>
      </x:c>
      <x:c r="J282" s="14" t="str">
        <x:v>≥0,9:+3; 0,75–0,89:+2; 0,6–0,74:0; 0,4–0,59:‑2; &lt;0,4:‑3</x:v>
      </x:c>
      <x:c r="K282" s="14" t="str">
        <x:v>Feste WÖk-Kalibrierung</x:v>
      </x:c>
      <x:c r="L282" s="14" t="str">
        <x:v>Arbeitskalibrierung – fachlich zu validieren</x:v>
      </x:c>
      <x:c r="M282" s="14" t="str">
        <x:v>WÖk-interne Klassenlogik</x:v>
      </x:c>
      <x:c r="N282" s="14" t="str">
        <x:v>Optional/Nein</x:v>
      </x:c>
      <x:c r="O282" s="14" t="str">
        <x:v>ESRS G1; GRI 205/207</x:v>
      </x:c>
      <x:c r="P282" s="14" t="str">
        <x:v>ESRS G1, GRI 205/207, OECD Anti‑Bribery</x:v>
      </x:c>
      <x:c r="Q282" s="14" t="str">
        <x:v>Mess-, Berichts- oder Managementrahmen; Schwellen sind grundsätzlich WÖk-Kalibrierungen</x:v>
      </x:c>
      <x:c r="R282" s="14" t="str">
        <x:v>Messgrundlage belegt; Schwellenkalibrierung offen</x:v>
      </x:c>
      <x:c r="S282" s="14" t="str">
        <x:v>EU-ESRS; GRI; OECD-AB</x:v>
      </x:c>
      <x:c r="T282" s="14" t="str">
        <x:v>H49 Verkehr</x:v>
      </x:c>
      <x:c r="U282" s="14" t="str">
        <x:v>Legacy / nicht explizit versioniert</x:v>
      </x:c>
      <x:c r="V282" s="51" t="str"/>
      <x:c r="W282" s="14" t="str">
        <x:v>Migration auf NACE Rev. 2.1 erforderlich</x:v>
      </x:c>
      <x:c r="X282" s="14" t="str">
        <x:v>Standort/Prozess/Aktivität; Bezugsgröße und relevante Umweltmedien</x:v>
      </x:c>
      <x:c r="Y282" s="14" t="str">
        <x:v>Siehe Quelle: Definition gemäß Standard (ESRS/GRI/Taxonomie/ISO).</x:v>
      </x:c>
      <x:c r="Z282" s="14" t="str">
        <x:v>Primärdaten bevorzugt; Sekundärdaten nur transparent und versioniert; Methode und Systemgrenze dokumentieren</x:v>
      </x:c>
      <x:c r="AA282" s="14" t="str">
        <x:v>Limited Assurance; risikobasiert höhere Prüftiefe</x:v>
      </x:c>
      <x:c r="AB282" s="14" t="str">
        <x:v>Strukturell nutzbar; Schwellen fachlich zu validieren</x:v>
      </x:c>
      <x:c r="AC282" s="14" t="str">
        <x:v>Mittel</x:v>
      </x:c>
      <x:c r="AD282" s="14" t="str">
        <x:v>Vollständige fünfstufige numerische Regel.</x:v>
      </x:c>
      <x:c r="AE282" s="14" t="str">
        <x:v>v1.4</x:v>
      </x:c>
      <x:c r="AF282" s="52" t="str">
        <x:v>2026-08-16</x:v>
      </x:c>
      <x:c r="AG282" s="52"/>
    </x:row>
    <x:row r="283" ht="42" customHeight="1">
      <x:c r="A283" s="14" t="str">
        <x:v>WOK-E-157</x:v>
      </x:c>
      <x:c r="B283" s="14" t="str">
        <x:v>SDG 11 – Städte</x:v>
      </x:c>
      <x:c r="C283" s="14" t="str">
        <x:v>11.6</x:v>
      </x:c>
      <x:c r="D283" s="14" t="str">
        <x:v>Luftqualitätsbeitrag</x:v>
      </x:c>
      <x:c r="E283" s="14" t="str">
        <x:v>Luftqualitätsbeitrag – Steuertransparenz</x:v>
      </x:c>
      <x:c r="F283" s="14" t="str">
        <x:v>CbCR‑Offenlegung</x:v>
      </x:c>
      <x:c r="G283" s="14" t="str">
        <x:v>0–1</x:v>
      </x:c>
      <x:c r="H283" s="14" t="str">
        <x:v>higher_is_better</x:v>
      </x:c>
      <x:c r="I283" s="14" t="str">
        <x:v>R08</x:v>
      </x:c>
      <x:c r="J283" s="14" t="str">
        <x:v>vollständig:+3; teilweise:+2; minimal:0; schlecht:‑2</x:v>
      </x:c>
      <x:c r="K283" s="14" t="str">
        <x:v>Qualitativ</x:v>
      </x:c>
      <x:c r="L283" s="14" t="str">
        <x:v>Assurance und Kriterienkatalog erforderlich</x:v>
      </x:c>
      <x:c r="M283" s="14" t="str">
        <x:v>WÖk-interne Kategorien</x:v>
      </x:c>
      <x:c r="N283" s="14" t="str">
        <x:v>Optional/Nein</x:v>
      </x:c>
      <x:c r="O283" s="14" t="str">
        <x:v>ESRS G1; GRI 205/207</x:v>
      </x:c>
      <x:c r="P283" s="14" t="str">
        <x:v>ESRS G1, GRI 205/207, OECD Anti‑Bribery</x:v>
      </x:c>
      <x:c r="Q283" s="14" t="str">
        <x:v>Mess-, Berichts- oder Managementrahmen; Schwellen sind grundsätzlich WÖk-Kalibrierungen</x:v>
      </x:c>
      <x:c r="R283" s="14" t="str">
        <x:v>Messgrundlage belegt; Schwellenkalibrierung offen</x:v>
      </x:c>
      <x:c r="S283" s="14" t="str">
        <x:v>EU-ESRS; GRI; OECD-AB</x:v>
      </x:c>
      <x:c r="T283" s="14" t="str">
        <x:v>H49 Verkehr</x:v>
      </x:c>
      <x:c r="U283" s="14" t="str">
        <x:v>Legacy / nicht explizit versioniert</x:v>
      </x:c>
      <x:c r="V283" s="51" t="str"/>
      <x:c r="W283" s="14" t="str">
        <x:v>Migration auf NACE Rev. 2.1 erforderlich</x:v>
      </x:c>
      <x:c r="X283" s="14" t="str">
        <x:v>Standort/Prozess/Aktivität; Bezugsgröße und relevante Umweltmedien</x:v>
      </x:c>
      <x:c r="Y283" s="14" t="str">
        <x:v>Siehe Quelle: Definition gemäß Standard (ESRS/GRI/Taxonomie/ISO).</x:v>
      </x:c>
      <x:c r="Z283" s="14" t="str">
        <x:v>Dokumentierter Kriterienkatalog; nachvollziehbare Evidenz; DQR A/B bevorzugt</x:v>
      </x:c>
      <x:c r="AA283" s="14" t="str">
        <x:v>Unabhängige Fachprüfung/Limited Assurance; bei roten Linien Reasonable Assurance</x:v>
      </x:c>
      <x:c r="AB283" s="14" t="str">
        <x:v>Prüfung/Parametrisierung erforderlich</x:v>
      </x:c>
      <x:c r="AC283" s="14" t="str">
        <x:v>Hoch</x:v>
      </x:c>
      <x:c r="AD283" s="14" t="str">
        <x:v>Die Kategorie −3 fehlt; Vollständigkeit und Wirksamkeit sind feldspezifisch zu definieren.</x:v>
      </x:c>
      <x:c r="AE283" s="14" t="str">
        <x:v>v1.4</x:v>
      </x:c>
      <x:c r="AF283" s="52" t="str">
        <x:v>2026-08-16</x:v>
      </x:c>
      <x:c r="AG283" s="52"/>
    </x:row>
    <x:row r="284" ht="42" customHeight="1">
      <x:c r="A284" s="14" t="str">
        <x:v>WOK-E-158</x:v>
      </x:c>
      <x:c r="B284" s="14" t="str">
        <x:v>SDG 11 – Städte</x:v>
      </x:c>
      <x:c r="C284" s="14" t="str">
        <x:v>11.6</x:v>
      </x:c>
      <x:c r="D284" s="14" t="str">
        <x:v>Abfallmanagement Stadt</x:v>
      </x:c>
      <x:c r="E284" s="14" t="str">
        <x:v>Abfallmanagement Stadt – Abfallintensität</x:v>
      </x:c>
      <x:c r="F284" s="14" t="str">
        <x:v>Abfallmenge je Output</x:v>
      </x:c>
      <x:c r="G284" s="14" t="str">
        <x:v>kg/t</x:v>
      </x:c>
      <x:c r="H284" s="14" t="str">
        <x:v>lower_is_better</x:v>
      </x:c>
      <x:c r="I284" s="14" t="str">
        <x:v>R06</x:v>
      </x:c>
      <x:c r="J284" s="14" t="str">
        <x:v>Top‑10%:+3; Mittel:0; &gt;150%:‑2; &gt;250%:‑3</x:v>
      </x:c>
      <x:c r="K284" s="14" t="str">
        <x:v>Benchmarkabhängig</x:v>
      </x:c>
      <x:c r="L284" s="14" t="str">
        <x:v>Validierter Benchmark fehlt</x:v>
      </x:c>
      <x:c r="M284" s="14" t="str">
        <x:v>Branche/Region/Technologie</x:v>
      </x:c>
      <x:c r="N284" s="14" t="str">
        <x:v>Ja</x:v>
      </x:c>
      <x:c r="O284" s="14" t="str">
        <x:v>ESRS E5; GRI 306/301</x:v>
      </x:c>
      <x:c r="P284" s="14" t="str">
        <x:v>ESRS E5, GRI 306, WEEE/VerpackG</x:v>
      </x:c>
      <x:c r="Q284" s="14" t="str">
        <x:v>Mess-/Methodenrahmen; aktiver Branchen-/Regional-/Technologiebenchmark separat erforderlich</x:v>
      </x:c>
      <x:c r="R284" s="14" t="str">
        <x:v>Teilbelegt – Benchmarkquelle fehlt</x:v>
      </x:c>
      <x:c r="S284" s="14" t="str">
        <x:v>EU-ESRS; GRI</x:v>
      </x:c>
      <x:c r="T284" s="14" t="str">
        <x:v>E38 Entsorgung</x:v>
      </x:c>
      <x:c r="U284" s="14" t="str">
        <x:v>Legacy / nicht explizit versioniert</x:v>
      </x:c>
      <x:c r="V284" s="51" t="str"/>
      <x:c r="W284" s="14" t="str">
        <x:v>Migration auf NACE Rev. 2.1 erforderlich</x:v>
      </x:c>
      <x:c r="X284" s="14" t="str">
        <x:v>Standort/Prozess/Aktivität; Bezugsgröße und relevante Umweltmedien</x:v>
      </x:c>
      <x:c r="Y284" s="14" t="str">
        <x:v>Siehe Quelle: Definition gemäß Standard (ESRS/GRI/Taxonomie/ISO).</x:v>
      </x:c>
      <x:c r="Z284" s="14" t="str">
        <x:v>Primärdaten plus repräsentativer, versionierter Benchmarkdatensatz; Stichprobe und Population offenlegen</x:v>
      </x:c>
      <x:c r="AA284" s="14" t="str">
        <x:v>Messwert-Assurance und unabhängige Benchmark-Governance</x:v>
      </x:c>
      <x:c r="AB284" s="14" t="str">
        <x:v>Prüfung/Parametrisierung erforderlich</x:v>
      </x:c>
      <x:c r="AC284" s="14" t="str">
        <x:v>Hoch</x:v>
      </x:c>
      <x:c r="AD284" s="14" t="str">
        <x:v>Top-10-Prozent, Mittelwert, 150 % und 250 % müssen aus einer dokumentierten Grundgesamtheit stammen.</x:v>
      </x:c>
      <x:c r="AE284" s="14" t="str">
        <x:v>v1.4</x:v>
      </x:c>
      <x:c r="AF284" s="52" t="str">
        <x:v>2026-08-16</x:v>
      </x:c>
      <x:c r="AG284" s="52"/>
    </x:row>
    <x:row r="285" ht="42" customHeight="1">
      <x:c r="A285" s="14" t="str">
        <x:v>WOK-E-159</x:v>
      </x:c>
      <x:c r="B285" s="14" t="str">
        <x:v>SDG 11 – Städte</x:v>
      </x:c>
      <x:c r="C285" s="14" t="str">
        <x:v>11.6</x:v>
      </x:c>
      <x:c r="D285" s="14" t="str">
        <x:v>Abfallmanagement Stadt</x:v>
      </x:c>
      <x:c r="E285" s="14" t="str">
        <x:v>Abfallmanagement Stadt – Recyclingquote</x:v>
      </x:c>
      <x:c r="F285" s="14" t="str">
        <x:v>Anteil verwerteter Abfälle</x:v>
      </x:c>
      <x:c r="G285" s="14" t="str">
        <x:v>%</x:v>
      </x:c>
      <x:c r="H285" s="14" t="str">
        <x:v>higher_is_better</x:v>
      </x:c>
      <x:c r="I285" s="14" t="str">
        <x:v>R25</x:v>
      </x:c>
      <x:c r="J285" s="14" t="str">
        <x:v>≥90%:+3; 70–89%:+2; 50–69%:0; 30–49%:‑2; &lt;30%:‑3</x:v>
      </x:c>
      <x:c r="K285" s="14" t="str">
        <x:v>Feste WÖk-Kalibrierung</x:v>
      </x:c>
      <x:c r="L285" s="14" t="str">
        <x:v>Arbeitskalibrierung – fachlich zu validieren</x:v>
      </x:c>
      <x:c r="M285" s="14" t="str">
        <x:v>WÖk-interne Klassenlogik</x:v>
      </x:c>
      <x:c r="N285" s="14" t="str">
        <x:v>Optional/Nein</x:v>
      </x:c>
      <x:c r="O285" s="14" t="str">
        <x:v>ESRS E5; GRI 306/301</x:v>
      </x:c>
      <x:c r="P285" s="14" t="str">
        <x:v>ESRS E5, GRI 306, WEEE/VerpackG</x:v>
      </x:c>
      <x:c r="Q285" s="14" t="str">
        <x:v>Mess-, Berichts- oder Managementrahmen; Schwellen sind grundsätzlich WÖk-Kalibrierungen</x:v>
      </x:c>
      <x:c r="R285" s="14" t="str">
        <x:v>Messgrundlage belegt; Schwellenkalibrierung offen</x:v>
      </x:c>
      <x:c r="S285" s="14" t="str">
        <x:v>EU-ESRS; GRI</x:v>
      </x:c>
      <x:c r="T285" s="14" t="str">
        <x:v>E38 Entsorgung</x:v>
      </x:c>
      <x:c r="U285" s="14" t="str">
        <x:v>Legacy / nicht explizit versioniert</x:v>
      </x:c>
      <x:c r="V285" s="51" t="str"/>
      <x:c r="W285" s="14" t="str">
        <x:v>Migration auf NACE Rev. 2.1 erforderlich</x:v>
      </x:c>
      <x:c r="X285" s="14" t="str">
        <x:v>Standort/Prozess/Aktivität; Bezugsgröße und relevante Umweltmedien</x:v>
      </x:c>
      <x:c r="Y285" s="14" t="str">
        <x:v>Recyclingquote = stofflich verwertete Menge / Gesamtabfall.</x:v>
      </x:c>
      <x:c r="Z285" s="14" t="str">
        <x:v>Primärdaten bevorzugt; Sekundärdaten nur transparent und versioniert; Methode und Systemgrenze dokumentieren</x:v>
      </x:c>
      <x:c r="AA285" s="14" t="str">
        <x:v>Limited Assurance; risikobasiert höhere Prüftiefe</x:v>
      </x:c>
      <x:c r="AB285" s="14" t="str">
        <x:v>Strukturell nutzbar; Schwellen fachlich zu validieren</x:v>
      </x:c>
      <x:c r="AC285" s="14" t="str">
        <x:v>Mittel</x:v>
      </x:c>
      <x:c r="AD285" s="14" t="str">
        <x:v>Vollständige fünfstufige Prozentregel.</x:v>
      </x:c>
      <x:c r="AE285" s="14" t="str">
        <x:v>v1.4</x:v>
      </x:c>
      <x:c r="AF285" s="52" t="str">
        <x:v>2026-08-16</x:v>
      </x:c>
      <x:c r="AG285" s="52"/>
    </x:row>
    <x:row r="286" ht="42" customHeight="1">
      <x:c r="A286" s="14" t="str">
        <x:v>WOK-E-160</x:v>
      </x:c>
      <x:c r="B286" s="14" t="str">
        <x:v>SDG 11 – Städte</x:v>
      </x:c>
      <x:c r="C286" s="14" t="str">
        <x:v>11.6</x:v>
      </x:c>
      <x:c r="D286" s="14" t="str">
        <x:v>Abfallmanagement Stadt</x:v>
      </x:c>
      <x:c r="E286" s="14" t="str">
        <x:v>Abfallmanagement Stadt – Gefährlicher Abfall</x:v>
      </x:c>
      <x:c r="F286" s="14" t="str">
        <x:v>Gefährlicher Abfall je Output</x:v>
      </x:c>
      <x:c r="G286" s="14" t="str">
        <x:v>kg/t</x:v>
      </x:c>
      <x:c r="H286" s="14" t="str">
        <x:v>lower_is_better</x:v>
      </x:c>
      <x:c r="I286" s="14" t="str">
        <x:v>R06</x:v>
      </x:c>
      <x:c r="J286" s="14" t="str">
        <x:v>Top‑10%:+3; Mittel:0; &gt;150%:‑2; &gt;250%:‑3</x:v>
      </x:c>
      <x:c r="K286" s="14" t="str">
        <x:v>Benchmarkabhängig</x:v>
      </x:c>
      <x:c r="L286" s="14" t="str">
        <x:v>Validierter Benchmark fehlt</x:v>
      </x:c>
      <x:c r="M286" s="14" t="str">
        <x:v>Branche/Region/Technologie</x:v>
      </x:c>
      <x:c r="N286" s="14" t="str">
        <x:v>Ja</x:v>
      </x:c>
      <x:c r="O286" s="14" t="str">
        <x:v>ESRS E5; GRI 306/301</x:v>
      </x:c>
      <x:c r="P286" s="14" t="str">
        <x:v>ESRS E5, GRI 306, WEEE/VerpackG</x:v>
      </x:c>
      <x:c r="Q286" s="14" t="str">
        <x:v>Mess-/Methodenrahmen; aktiver Branchen-/Regional-/Technologiebenchmark separat erforderlich</x:v>
      </x:c>
      <x:c r="R286" s="14" t="str">
        <x:v>Teilbelegt – Benchmarkquelle fehlt</x:v>
      </x:c>
      <x:c r="S286" s="14" t="str">
        <x:v>EU-ESRS; GRI</x:v>
      </x:c>
      <x:c r="T286" s="14" t="str">
        <x:v>E38 Entsorgung</x:v>
      </x:c>
      <x:c r="U286" s="14" t="str">
        <x:v>Legacy / nicht explizit versioniert</x:v>
      </x:c>
      <x:c r="V286" s="51" t="str"/>
      <x:c r="W286" s="14" t="str">
        <x:v>Migration auf NACE Rev. 2.1 erforderlich</x:v>
      </x:c>
      <x:c r="X286" s="14" t="str">
        <x:v>Standort/Prozess/Aktivität; Bezugsgröße und relevante Umweltmedien</x:v>
      </x:c>
      <x:c r="Y286" s="14" t="str">
        <x:v>Gefährlicher Abfall‑Intensität = Gefährlicher Abfall / Output bzw. Umsatz.</x:v>
      </x:c>
      <x:c r="Z286" s="14" t="str">
        <x:v>Primärdaten plus repräsentativer, versionierter Benchmarkdatensatz; Stichprobe und Population offenlegen</x:v>
      </x:c>
      <x:c r="AA286" s="14" t="str">
        <x:v>Messwert-Assurance und unabhängige Benchmark-Governance</x:v>
      </x:c>
      <x:c r="AB286" s="14" t="str">
        <x:v>Prüfung/Parametrisierung erforderlich</x:v>
      </x:c>
      <x:c r="AC286" s="14" t="str">
        <x:v>Hoch</x:v>
      </x:c>
      <x:c r="AD286" s="14" t="str">
        <x:v>Top-10-Prozent, Mittelwert, 150 % und 250 % müssen aus einer dokumentierten Grundgesamtheit stammen.</x:v>
      </x:c>
      <x:c r="AE286" s="14" t="str">
        <x:v>v1.4</x:v>
      </x:c>
      <x:c r="AF286" s="52" t="str">
        <x:v>2026-08-16</x:v>
      </x:c>
      <x:c r="AG286" s="52"/>
    </x:row>
    <x:row r="287" ht="42" customHeight="1">
      <x:c r="A287" s="14" t="str">
        <x:v>WOK-P-119</x:v>
      </x:c>
      <x:c r="B287" s="14" t="str">
        <x:v>SDG 11 – Städte</x:v>
      </x:c>
      <x:c r="C287" s="14" t="str">
        <x:v>11.c</x:v>
      </x:c>
      <x:c r="D287" s="14" t="str">
        <x:v>Sichere Bauprodukte</x:v>
      </x:c>
      <x:c r="E287" s="14" t="str">
        <x:v>Sichere Bauprodukte – PCF</x:v>
      </x:c>
      <x:c r="F287" s="14" t="str">
        <x:v>CO₂‑Fußabdruck pro Einheit</x:v>
      </x:c>
      <x:c r="G287" s="14" t="str">
        <x:v>kg CO₂e/Einheit</x:v>
      </x:c>
      <x:c r="H287" s="14" t="str">
        <x:v>lower_is_better</x:v>
      </x:c>
      <x:c r="I287" s="14" t="str">
        <x:v>R07</x:v>
      </x:c>
      <x:c r="J287" s="14" t="str">
        <x:v>Top‑10%:+3; ±Benchmark:0; &gt;150%:‑2; &gt;250%:‑3</x:v>
      </x:c>
      <x:c r="K287" s="14" t="str">
        <x:v>Benchmarkabhängig</x:v>
      </x:c>
      <x:c r="L287" s="14" t="str">
        <x:v>Validierter Benchmark fehlt</x:v>
      </x:c>
      <x:c r="M287" s="14" t="str">
        <x:v>Produktgruppe/Region/Technologie</x:v>
      </x:c>
      <x:c r="N287" s="14" t="str">
        <x:v>Ja</x:v>
      </x:c>
      <x:c r="O287" s="14" t="str">
        <x:v>ISO 14067; ESRS E5; GRI 306/301; WEEE/VerpackG</x:v>
      </x:c>
      <x:c r="P287" s="14" t="str">
        <x:v>ISO 14067/14040/44 (LCA/PCF), PEF/EF 3.1, EU Reparierbarkeitsindex</x:v>
      </x:c>
      <x:c r="Q287" s="14" t="str">
        <x:v>Mess-/Methodenrahmen; aktiver Branchen-/Regional-/Technologiebenchmark separat erforderlich</x:v>
      </x:c>
      <x:c r="R287" s="14" t="str">
        <x:v>Teilbelegt – Benchmarkquelle fehlt</x:v>
      </x:c>
      <x:c r="S287" s="14" t="str">
        <x:v>ISO-14067; EU-ESRS; GRI; EU-WEEE; DE-VERPACKG; EU-PPWR</x:v>
      </x:c>
      <x:c r="T287" s="14" t="str">
        <x:v>C20 Chemie; C24 Stahl; C29 Fahrzeuge</x:v>
      </x:c>
      <x:c r="U287" s="14" t="str">
        <x:v>Legacy / nicht explizit versioniert</x:v>
      </x:c>
      <x:c r="V287" s="51" t="str"/>
      <x:c r="W287" s="14" t="str">
        <x:v>Migration auf NACE Rev. 2.1 erforderlich</x:v>
      </x:c>
      <x:c r="X287" s="14" t="str">
        <x:v>Produkt/Funktionseinheit; Lebenszyklusgrenze mindestens cradle-to-gate, bei Nutzungs-/End-of-Life-Relevanz cradle-to-grave</x:v>
      </x:c>
      <x:c r="Y287" s="14" t="str">
        <x:v>PCF gemäß ISO 14067/PEF; Well‑to‑Gate + Nutzung falls zutreffend.</x:v>
      </x:c>
      <x:c r="Z287" s="14" t="str">
        <x:v>Primärdaten plus repräsentativer, versionierter Benchmarkdatensatz; Stichprobe und Population offenlegen</x:v>
      </x:c>
      <x:c r="AA287" s="14" t="str">
        <x:v>Messwert-Assurance und unabhängige Benchmark-Governance</x:v>
      </x:c>
      <x:c r="AB287" s="14" t="str">
        <x:v>Prüfung/Parametrisierung erforderlich</x:v>
      </x:c>
      <x:c r="AC287" s="14" t="str">
        <x:v>Hoch</x:v>
      </x:c>
      <x:c r="AD287" s="14" t="str">
        <x:v>Produktspezifische Referenzpopulation erforderlich.</x:v>
      </x:c>
      <x:c r="AE287" s="14" t="str">
        <x:v>v1.4</x:v>
      </x:c>
      <x:c r="AF287" s="52" t="str">
        <x:v>2026-08-16</x:v>
      </x:c>
      <x:c r="AG287" s="52"/>
    </x:row>
    <x:row r="288" ht="42" customHeight="1">
      <x:c r="A288" s="14" t="str">
        <x:v>WOK-P-120</x:v>
      </x:c>
      <x:c r="B288" s="14" t="str">
        <x:v>SDG 11 – Städte</x:v>
      </x:c>
      <x:c r="C288" s="14" t="str">
        <x:v>11.c</x:v>
      </x:c>
      <x:c r="D288" s="14" t="str">
        <x:v>Sichere Bauprodukte</x:v>
      </x:c>
      <x:c r="E288" s="14" t="str">
        <x:v>Sichere Bauprodukte – Reparierbarkeit</x:v>
      </x:c>
      <x:c r="F288" s="14" t="str">
        <x:v>Reparierbarkeitsindex</x:v>
      </x:c>
      <x:c r="G288" s="14" t="str">
        <x:v>Score 0–10</x:v>
      </x:c>
      <x:c r="H288" s="14" t="str">
        <x:v>higher_is_better</x:v>
      </x:c>
      <x:c r="I288" s="14" t="str">
        <x:v>R24</x:v>
      </x:c>
      <x:c r="J288" s="14" t="str">
        <x:v>≥8:+3; 6–7,9:+2; 4–5,9:0; 2–3,9:‑2; &lt;2:‑3</x:v>
      </x:c>
      <x:c r="K288" s="14" t="str">
        <x:v>Produktspezifische Indexkalibrierung</x:v>
      </x:c>
      <x:c r="L288" s="14" t="str">
        <x:v>Indexsystem und Produktgruppe müssen ausgewiesen werden</x:v>
      </x:c>
      <x:c r="M288" s="14" t="str">
        <x:v>FR-/EU-Reparierbarkeitssystem je Produktgruppe</x:v>
      </x:c>
      <x:c r="N288" s="14" t="str">
        <x:v>Optional/Nein</x:v>
      </x:c>
      <x:c r="O288" s="14" t="str">
        <x:v>EU/FR Index</x:v>
      </x:c>
      <x:c r="P288" s="14" t="str">
        <x:v>ISO 14067/14040/44 (LCA/PCF), PEF/EF 3.1, EU Reparierbarkeitsindex</x:v>
      </x:c>
      <x:c r="Q288" s="14" t="str">
        <x:v>Produktspezifischer Rechts-/Indexrahmen; System und Produktgruppe explizit auswählen</x:v>
      </x:c>
      <x:c r="R288" s="14" t="str">
        <x:v>Teilbelegt – produktspezifisch zu validieren</x:v>
      </x:c>
      <x:c r="S288" s="14" t="str">
        <x:v>FR-REPAIR; EU-REPAIR; EU-ESPR</x:v>
      </x:c>
      <x:c r="T288" s="14" t="str">
        <x:v>C20 Chemie; C24 Stahl; C29 Fahrzeuge</x:v>
      </x:c>
      <x:c r="U288" s="14" t="str">
        <x:v>Legacy / nicht explizit versioniert</x:v>
      </x:c>
      <x:c r="V288" s="51" t="str"/>
      <x:c r="W288" s="14" t="str">
        <x:v>Migration auf NACE Rev. 2.1 erforderlich</x:v>
      </x:c>
      <x:c r="X288" s="14" t="str">
        <x:v>Produkt/Funktionseinheit; Lebenszyklusgrenze mindestens cradle-to-gate, bei Nutzungs-/End-of-Life-Relevanz cradle-to-grave</x:v>
      </x:c>
      <x:c r="Y288" s="14" t="str">
        <x:v>EU/FR‑Reparierbarkeitsindex: Zerlegbarkeit, Ersatzteile, Doku.</x:v>
      </x:c>
      <x:c r="Z288" s="14" t="str">
        <x:v>Primärdaten oder qualitätsgesicherte Sekundärdaten; Methode, Zeitraum und Systemgrenze dokumentieren</x:v>
      </x:c>
      <x:c r="AA288" s="14" t="str">
        <x:v>Limited Assurance; bei materieller Steuerwirkung risikobasiert vertiefen</x:v>
      </x:c>
      <x:c r="AB288" s="14" t="str">
        <x:v>Produktspezifische bzw. lokale Prüfung erforderlich</x:v>
      </x:c>
      <x:c r="AC288" s="14" t="str">
        <x:v>Hoch</x:v>
      </x:c>
      <x:c r="AD288" s="14" t="str">
        <x:v>Indexsystem, Produktgruppe und Rechtsstand festlegen. Französischer Index und EU-Score sind nicht pauschal austauschbar.</x:v>
      </x:c>
      <x:c r="AE288" s="14" t="str">
        <x:v>v1.4</x:v>
      </x:c>
      <x:c r="AF288" s="52" t="str">
        <x:v>2026-08-16</x:v>
      </x:c>
      <x:c r="AG288" s="52"/>
    </x:row>
    <x:row r="289" ht="42" customHeight="1">
      <x:c r="A289" s="14" t="str">
        <x:v>WOK-P-121</x:v>
      </x:c>
      <x:c r="B289" s="14" t="str">
        <x:v>SDG 11 – Städte</x:v>
      </x:c>
      <x:c r="C289" s="14" t="str">
        <x:v>11.c</x:v>
      </x:c>
      <x:c r="D289" s="14" t="str">
        <x:v>Sichere Bauprodukte</x:v>
      </x:c>
      <x:c r="E289" s="14" t="str">
        <x:v>Sichere Bauprodukte – Rücknahme/Recycling</x:v>
      </x:c>
      <x:c r="F289" s="14" t="str">
        <x:v>Rücknahme‑/Recyclingquote</x:v>
      </x:c>
      <x:c r="G289" s="14" t="str">
        <x:v>%</x:v>
      </x:c>
      <x:c r="H289" s="14" t="str">
        <x:v>higher_is_better</x:v>
      </x:c>
      <x:c r="I289" s="14" t="str">
        <x:v>R22</x:v>
      </x:c>
      <x:c r="J289" s="14" t="str">
        <x:v>≥70:+3; 50–69:+2; 30–49:0; 15–29:‑2; &lt;15:‑3</x:v>
      </x:c>
      <x:c r="K289" s="14" t="str">
        <x:v>Feste WÖk-Kalibrierung</x:v>
      </x:c>
      <x:c r="L289" s="14" t="str">
        <x:v>Arbeitskalibrierung – fachlich zu validieren</x:v>
      </x:c>
      <x:c r="M289" s="14" t="str">
        <x:v>WÖk-interne Klassenlogik</x:v>
      </x:c>
      <x:c r="N289" s="14" t="str">
        <x:v>Optional/Nein</x:v>
      </x:c>
      <x:c r="O289" s="14" t="str">
        <x:v>ESRS E5; GRI 306/301; WEEE/VerpackG</x:v>
      </x:c>
      <x:c r="P289" s="14" t="str">
        <x:v>ESRS E5, GRI 306, WEEE/VerpackG</x:v>
      </x:c>
      <x:c r="Q289" s="14" t="str">
        <x:v>Mess-, Berichts- oder Managementrahmen; Schwellen sind grundsätzlich WÖk-Kalibrierungen</x:v>
      </x:c>
      <x:c r="R289" s="14" t="str">
        <x:v>Messgrundlage belegt; Schwellenkalibrierung offen</x:v>
      </x:c>
      <x:c r="S289" s="14" t="str">
        <x:v>EU-ESRS; GRI; EU-WEEE; DE-VERPACKG; EU-PPWR</x:v>
      </x:c>
      <x:c r="T289" s="14" t="str">
        <x:v>C20 Chemie; C24 Stahl; C29 Fahrzeuge</x:v>
      </x:c>
      <x:c r="U289" s="14" t="str">
        <x:v>Legacy / nicht explizit versioniert</x:v>
      </x:c>
      <x:c r="V289" s="51" t="str"/>
      <x:c r="W289" s="14" t="str">
        <x:v>Migration auf NACE Rev. 2.1 erforderlich</x:v>
      </x:c>
      <x:c r="X289" s="14" t="str">
        <x:v>Produkt/Funktionseinheit; Lebenszyklusgrenze mindestens cradle-to-gate, bei Nutzungs-/End-of-Life-Relevanz cradle-to-grave</x:v>
      </x:c>
      <x:c r="Y289" s="14" t="str">
        <x:v>Siehe Quelle: Definition gemäß Standard (ESRS/GRI/Taxonomie/ISO).</x:v>
      </x:c>
      <x:c r="Z289" s="14" t="str">
        <x:v>Primärdaten bevorzugt; Sekundärdaten nur transparent und versioniert; Methode und Systemgrenze dokumentieren</x:v>
      </x:c>
      <x:c r="AA289" s="14" t="str">
        <x:v>Limited Assurance; risikobasiert höhere Prüftiefe</x:v>
      </x:c>
      <x:c r="AB289" s="14" t="str">
        <x:v>Strukturell nutzbar; Schwellen fachlich zu validieren</x:v>
      </x:c>
      <x:c r="AC289" s="14" t="str">
        <x:v>Mittel</x:v>
      </x:c>
      <x:c r="AD289" s="14" t="str">
        <x:v>Vollständige fünfstufige numerische Regel.</x:v>
      </x:c>
      <x:c r="AE289" s="14" t="str">
        <x:v>v1.4</x:v>
      </x:c>
      <x:c r="AF289" s="52" t="str">
        <x:v>2026-08-16</x:v>
      </x:c>
      <x:c r="AG289" s="52"/>
    </x:row>
    <x:row r="290" ht="42" customHeight="1">
      <x:c r="A290" s="14" t="str">
        <x:v>WOK-SYS-131</x:v>
      </x:c>
      <x:c r="B290" s="14" t="str">
        <x:v>SDG 11 – Städte</x:v>
      </x:c>
      <x:c r="C290" s="14" t="str">
        <x:v>11.4</x:v>
      </x:c>
      <x:c r="D290" s="14" t="str">
        <x:v>Kultur &amp; Teilhabe</x:v>
      </x:c>
      <x:c r="E290" s="14" t="str">
        <x:v>Kultur &amp; Teilhabe – Index</x:v>
      </x:c>
      <x:c r="F290" s="14" t="str">
        <x:v>umsatzgewichteter Index (z. B. Demokratie/Rule of Law)</x:v>
      </x:c>
      <x:c r="G290" s="14" t="str">
        <x:v>0–1</x:v>
      </x:c>
      <x:c r="H290" s="14" t="str">
        <x:v>higher_is_better</x:v>
      </x:c>
      <x:c r="I290" s="14" t="str">
        <x:v>R15</x:v>
      </x:c>
      <x:c r="J290" s="14" t="str">
        <x:v>≥0,8:+3; 0,7–0,79:+2; 0,6–0,69:0; 0,5–0,59:‑2; &lt;0,5:‑3</x:v>
      </x:c>
      <x:c r="K290" s="14" t="str">
        <x:v>Feste WÖk-Kalibrierung</x:v>
      </x:c>
      <x:c r="L290" s="14" t="str">
        <x:v>Arbeitskalibrierung – fachlich zu validieren</x:v>
      </x:c>
      <x:c r="M290" s="14" t="str">
        <x:v>WÖk-interne Klassenlogik</x:v>
      </x:c>
      <x:c r="N290" s="14" t="str">
        <x:v>Optional/Nein</x:v>
      </x:c>
      <x:c r="O290" s="14" t="str">
        <x:v>SROI/SDG17</x:v>
      </x:c>
      <x:c r="P290" s="14" t="str">
        <x:v>SDG 16/17, WJP, V‑Dem</x:v>
      </x:c>
      <x:c r="Q290" s="14" t="str">
        <x:v>Methodischer Platzhalter; konkrete Fach- und Primärdatenquelle erforderlich</x:v>
      </x:c>
      <x:c r="R290" s="14" t="str">
        <x:v>Platzhalter – fachliche Operationalisierung offen</x:v>
      </x:c>
      <x:c r="S290" s="14" t="str">
        <x:v>INT-WOEK-TSROI; SVI-SROI; UN-SDG</x:v>
      </x:c>
      <x:c r="T290" s="14" t="str">
        <x:v>G47 Handel; K Versicherungen; M72 F&amp;E</x:v>
      </x:c>
      <x:c r="U290" s="14" t="str">
        <x:v>Legacy / nicht explizit versioniert</x:v>
      </x:c>
      <x:c r="V290" s="51" t="str"/>
      <x:c r="W290" s="14" t="str">
        <x:v>Migration auf NACE Rev. 2.1 erforderlich</x:v>
      </x:c>
      <x:c r="X290" s="14" t="str">
        <x:v>Programm/Portfolio/Systemraum; Empfängergruppe, Region und Zeitraum explizit definieren</x:v>
      </x:c>
      <x:c r="Y290" s="14" t="str">
        <x:v>Siehe Quelle: Definition gemäß Standard (ESRS/GRI/Taxonomie/ISO).</x:v>
      </x:c>
      <x:c r="Z290" s="14" t="str">
        <x:v>Primärdaten bevorzugt; Sekundärdaten nur transparent und versioniert; Methode und Systemgrenze dokumentieren</x:v>
      </x:c>
      <x:c r="AA290" s="14" t="str">
        <x:v>Limited Assurance; risikobasiert höhere Prüftiefe</x:v>
      </x:c>
      <x:c r="AB290" s="14" t="str">
        <x:v>Fachlogik nicht abschließend operationalisiert</x:v>
      </x:c>
      <x:c r="AC290" s="14" t="str">
        <x:v>Kritisch</x:v>
      </x:c>
      <x:c r="AD290" s="14" t="str">
        <x:v>SROI/SDG 17 ist keine hinreichend konkrete Mess- oder Schwellenquelle. Vollständige fünfstufige numerische Regel.</x:v>
      </x:c>
      <x:c r="AE290" s="14" t="str">
        <x:v>v1.4</x:v>
      </x:c>
      <x:c r="AF290" s="52" t="str">
        <x:v>2026-08-16</x:v>
      </x:c>
      <x:c r="AG290" s="52"/>
    </x:row>
    <x:row r="291" ht="42" customHeight="1">
      <x:c r="A291" s="14" t="str">
        <x:v>WOK-SYS-132</x:v>
      </x:c>
      <x:c r="B291" s="14" t="str">
        <x:v>SDG 11 – Städte</x:v>
      </x:c>
      <x:c r="C291" s="14" t="str">
        <x:v>11.4</x:v>
      </x:c>
      <x:c r="D291" s="14" t="str">
        <x:v>Kultur &amp; Teilhabe</x:v>
      </x:c>
      <x:c r="E291" s="14" t="str">
        <x:v>Kultur &amp; Teilhabe – Exposure</x:v>
      </x:c>
      <x:c r="F291" s="14" t="str">
        <x:v>Umsatz in Hochrisikoländern</x:v>
      </x:c>
      <x:c r="G291" s="14" t="str">
        <x:v>%</x:v>
      </x:c>
      <x:c r="H291" s="14" t="str">
        <x:v>lower_is_better</x:v>
      </x:c>
      <x:c r="I291" s="14" t="str">
        <x:v>R13</x:v>
      </x:c>
      <x:c r="J291" s="14" t="str">
        <x:v>≤5:+3; 6–10:+2; 11–20:0; 21–30:‑2; &gt;30:‑3</x:v>
      </x:c>
      <x:c r="K291" s="14" t="str">
        <x:v>Feste WÖk-Kalibrierung</x:v>
      </x:c>
      <x:c r="L291" s="14" t="str">
        <x:v>Arbeitskalibrierung – fachlich zu validieren</x:v>
      </x:c>
      <x:c r="M291" s="14" t="str">
        <x:v>WÖk-interne Klassenlogik</x:v>
      </x:c>
      <x:c r="N291" s="14" t="str">
        <x:v>Optional/Nein</x:v>
      </x:c>
      <x:c r="O291" s="14" t="str">
        <x:v>SROI/SDG17</x:v>
      </x:c>
      <x:c r="P291" s="14" t="str">
        <x:v>SROI/SDG17</x:v>
      </x:c>
      <x:c r="Q291" s="14" t="str">
        <x:v>Methodischer Platzhalter; konkrete Fach- und Primärdatenquelle erforderlich</x:v>
      </x:c>
      <x:c r="R291" s="14" t="str">
        <x:v>Platzhalter – fachliche Operationalisierung offen</x:v>
      </x:c>
      <x:c r="S291" s="14" t="str">
        <x:v>INT-WOEK-TSROI; SVI-SROI; UN-SDG</x:v>
      </x:c>
      <x:c r="T291" s="14" t="str">
        <x:v>G47 Handel; K Versicherungen; M72 F&amp;E</x:v>
      </x:c>
      <x:c r="U291" s="14" t="str">
        <x:v>Legacy / nicht explizit versioniert</x:v>
      </x:c>
      <x:c r="V291" s="51" t="str"/>
      <x:c r="W291" s="14" t="str">
        <x:v>Migration auf NACE Rev. 2.1 erforderlich</x:v>
      </x:c>
      <x:c r="X291" s="14" t="str">
        <x:v>Programm/Portfolio/Systemraum; Empfängergruppe, Region und Zeitraum explizit definieren</x:v>
      </x:c>
      <x:c r="Y291" s="14" t="str">
        <x:v>Siehe Quelle: Definition gemäß Standard (ESRS/GRI/Taxonomie/ISO).</x:v>
      </x:c>
      <x:c r="Z291" s="14" t="str">
        <x:v>Primärdaten bevorzugt; Sekundärdaten nur transparent und versioniert; Methode und Systemgrenze dokumentieren</x:v>
      </x:c>
      <x:c r="AA291" s="14" t="str">
        <x:v>Limited Assurance; risikobasiert höhere Prüftiefe</x:v>
      </x:c>
      <x:c r="AB291" s="14" t="str">
        <x:v>Fachlogik nicht abschließend operationalisiert</x:v>
      </x:c>
      <x:c r="AC291" s="14" t="str">
        <x:v>Kritisch</x:v>
      </x:c>
      <x:c r="AD291" s="14" t="str">
        <x:v>SROI/SDG 17 ist keine hinreichend konkrete Mess- oder Schwellenquelle. Vollständige fünfstufige numerische Regel.</x:v>
      </x:c>
      <x:c r="AE291" s="14" t="str">
        <x:v>v1.4</x:v>
      </x:c>
      <x:c r="AF291" s="52" t="str">
        <x:v>2026-08-16</x:v>
      </x:c>
      <x:c r="AG291" s="52"/>
    </x:row>
    <x:row r="292" ht="42" customHeight="1">
      <x:c r="A292" s="14" t="str">
        <x:v>WOK-SYS-133</x:v>
      </x:c>
      <x:c r="B292" s="14" t="str">
        <x:v>SDG 11 – Städte</x:v>
      </x:c>
      <x:c r="C292" s="14" t="str">
        <x:v>11.4</x:v>
      </x:c>
      <x:c r="D292" s="14" t="str">
        <x:v>Kultur &amp; Teilhabe</x:v>
      </x:c>
      <x:c r="E292" s="14" t="str">
        <x:v>Kultur &amp; Teilhabe – Kooperationen</x:v>
      </x:c>
      <x:c r="F292" s="14" t="str">
        <x:v>aktive, evaluierte Partnerschaften/Jahr</x:v>
      </x:c>
      <x:c r="G292" s="14" t="str">
        <x:v>#/Jahr</x:v>
      </x:c>
      <x:c r="H292" s="14" t="str">
        <x:v>higher_is_better</x:v>
      </x:c>
      <x:c r="I292" s="14" t="str">
        <x:v>R20</x:v>
      </x:c>
      <x:c r="J292" s="14" t="str">
        <x:v>≥5:+3; 3–4:+2; 1–2:0; 0:‑2</x:v>
      </x:c>
      <x:c r="K292" s="14" t="str">
        <x:v>Feste WÖk-Grobkalibrierung</x:v>
      </x:c>
      <x:c r="L292" s="14" t="str">
        <x:v>Klasse −3 nur für negative/unzulässige Werte ergänzt</x:v>
      </x:c>
      <x:c r="M292" s="14" t="str">
        <x:v>WÖk-interne Grobkalibrierung</x:v>
      </x:c>
      <x:c r="N292" s="14" t="str">
        <x:v>Optional/Nein</x:v>
      </x:c>
      <x:c r="O292" s="14" t="str">
        <x:v>SROI/SDG17</x:v>
      </x:c>
      <x:c r="P292" s="14" t="str">
        <x:v>SDG 16/17, WJP, V‑Dem</x:v>
      </x:c>
      <x:c r="Q292" s="14" t="str">
        <x:v>Methodischer Platzhalter; konkrete Fach- und Primärdatenquelle erforderlich</x:v>
      </x:c>
      <x:c r="R292" s="14" t="str">
        <x:v>Platzhalter – fachliche Operationalisierung offen</x:v>
      </x:c>
      <x:c r="S292" s="14" t="str">
        <x:v>INT-WOEK-TSROI; SVI-SROI; UN-SDG</x:v>
      </x:c>
      <x:c r="T292" s="14" t="str">
        <x:v>G47 Handel; K Versicherungen; M72 F&amp;E</x:v>
      </x:c>
      <x:c r="U292" s="14" t="str">
        <x:v>Legacy / nicht explizit versioniert</x:v>
      </x:c>
      <x:c r="V292" s="51" t="str"/>
      <x:c r="W292" s="14" t="str">
        <x:v>Migration auf NACE Rev. 2.1 erforderlich</x:v>
      </x:c>
      <x:c r="X292" s="14" t="str">
        <x:v>Programm/Portfolio/Systemraum; Empfängergruppe, Region und Zeitraum explizit definieren</x:v>
      </x:c>
      <x:c r="Y292" s="14" t="str">
        <x:v>Siehe Quelle: Definition gemäß Standard (ESRS/GRI/Taxonomie/ISO).</x:v>
      </x:c>
      <x:c r="Z292" s="14" t="str">
        <x:v>Primärdaten bevorzugt; Sekundärdaten nur transparent und versioniert; Methode und Systemgrenze dokumentieren</x:v>
      </x:c>
      <x:c r="AA292" s="14" t="str">
        <x:v>Limited Assurance; risikobasiert höhere Prüftiefe</x:v>
      </x:c>
      <x:c r="AB292" s="14" t="str">
        <x:v>Fachlogik nicht abschließend operationalisiert</x:v>
      </x:c>
      <x:c r="AC292" s="14" t="str">
        <x:v>Kritisch</x:v>
      </x:c>
      <x:c r="AD292" s="14" t="str">
        <x:v>SROI/SDG 17 ist keine hinreichend konkrete Mess- oder Schwellenquelle. Für sachlogisch nichtnegative Zählwerte ist 0 die schlechteste reguläre Klasse (−2).</x:v>
      </x:c>
      <x:c r="AE292" s="14" t="str">
        <x:v>v1.4</x:v>
      </x:c>
      <x:c r="AF292" s="52" t="str">
        <x:v>2026-08-16</x:v>
      </x:c>
      <x:c r="AG292" s="52"/>
    </x:row>
    <x:row r="293" ht="42" customHeight="1">
      <x:c r="A293" s="14" t="str">
        <x:v>WOK-E-161</x:v>
      </x:c>
      <x:c r="B293" s="14" t="str">
        <x:v>SDG 11 – Städte</x:v>
      </x:c>
      <x:c r="C293" s="14" t="str">
        <x:v>11.7</x:v>
      </x:c>
      <x:c r="D293" s="14" t="str">
        <x:v>Stadtgrün/Flächenversiegelung</x:v>
      </x:c>
      <x:c r="E293" s="14" t="str">
        <x:v>Stadtgrün/Flächenversiegelung – Nettoeffekt</x:v>
      </x:c>
      <x:c r="F293" s="14" t="str">
        <x:v>Net Gain/No Net Loss/Net Loss</x:v>
      </x:c>
      <x:c r="G293" s="14" t="str">
        <x:v>Qualitativ → Klasse</x:v>
      </x:c>
      <x:c r="H293" s="14" t="str">
        <x:v>higher_is_better</x:v>
      </x:c>
      <x:c r="I293" s="14" t="str">
        <x:v>R03</x:v>
      </x:c>
      <x:c r="J293" s="14" t="str">
        <x:v>Net Gain:+3; No Net Loss:0; Net Loss:‑2/‑3</x:v>
      </x:c>
      <x:c r="K293" s="14" t="str">
        <x:v>Qualitativ</x:v>
      </x:c>
      <x:c r="L293" s="14" t="str">
        <x:v>Assurance und Kriterienkatalog erforderlich</x:v>
      </x:c>
      <x:c r="M293" s="14" t="str">
        <x:v>WÖk-Kategorien; fachliche Definition je Wirkungsfeld</x:v>
      </x:c>
      <x:c r="N293" s="14" t="str">
        <x:v>Optional/Nein</x:v>
      </x:c>
      <x:c r="O293" s="14" t="str">
        <x:v>ESRS E4; GIS/KBA</x:v>
      </x:c>
      <x:c r="P293" s="14" t="str">
        <x:v>ESRS E4, CBD/GBF, EN 15978 (Bau)</x:v>
      </x:c>
      <x:c r="Q293" s="14" t="str">
        <x:v>Mess-, Berichts- oder Managementrahmen; Schwellen sind grundsätzlich WÖk-Kalibrierungen</x:v>
      </x:c>
      <x:c r="R293" s="14" t="str">
        <x:v>Messgrundlage belegt; Schwellenkalibrierung offen</x:v>
      </x:c>
      <x:c r="S293" s="14" t="str">
        <x:v>EU-ESRS; CBD-GBF; KBA-DATA; DATA-GIS</x:v>
      </x:c>
      <x:c r="T293" s="14" t="str">
        <x:v>L68 Immobilien; F41/F42 Bau</x:v>
      </x:c>
      <x:c r="U293" s="14" t="str">
        <x:v>Legacy / nicht explizit versioniert</x:v>
      </x:c>
      <x:c r="V293" s="51" t="str"/>
      <x:c r="W293" s="14" t="str">
        <x:v>Migration auf NACE Rev. 2.1 erforderlich</x:v>
      </x:c>
      <x:c r="X293" s="14" t="str">
        <x:v>Standort/Prozess/Aktivität; Bezugsgröße und relevante Umweltmedien</x:v>
      </x:c>
      <x:c r="Y293" s="14" t="str">
        <x:v>Siehe Quelle: Definition gemäß Standard (ESRS/GRI/Taxonomie/ISO).</x:v>
      </x:c>
      <x:c r="Z293" s="14" t="str">
        <x:v>Dokumentierter Kriterienkatalog; nachvollziehbare Evidenz; DQR A/B bevorzugt</x:v>
      </x:c>
      <x:c r="AA293" s="14" t="str">
        <x:v>Unabhängige Fachprüfung/Limited Assurance; bei roten Linien Reasonable Assurance</x:v>
      </x:c>
      <x:c r="AB293" s="14" t="str">
        <x:v>Prüfung/Parametrisierung erforderlich</x:v>
      </x:c>
      <x:c r="AC293" s="14" t="str">
        <x:v>Hoch</x:v>
      </x:c>
      <x:c r="AD293" s="14" t="str">
        <x:v>Net Gain/No Net Loss/Net Loss ist ohne feldspezifischen Nachweis nicht automatisierbar.</x:v>
      </x:c>
      <x:c r="AE293" s="14" t="str">
        <x:v>v1.4</x:v>
      </x:c>
      <x:c r="AF293" s="52" t="str">
        <x:v>2026-08-16</x:v>
      </x:c>
      <x:c r="AG293" s="52"/>
    </x:row>
    <x:row r="294" ht="42" customHeight="1">
      <x:c r="A294" s="14" t="str">
        <x:v>WOK-E-162</x:v>
      </x:c>
      <x:c r="B294" s="14" t="str">
        <x:v>SDG 11 – Städte</x:v>
      </x:c>
      <x:c r="C294" s="14" t="str">
        <x:v>11.7</x:v>
      </x:c>
      <x:c r="D294" s="14" t="str">
        <x:v>Stadtgrün/Flächenversiegelung</x:v>
      </x:c>
      <x:c r="E294" s="14" t="str">
        <x:v>Stadtgrün/Flächenversiegelung – Landumwandlung</x:v>
      </x:c>
      <x:c r="F294" s="14" t="str">
        <x:v>Neue Flächen mit hohem Risiko</x:v>
      </x:c>
      <x:c r="G294" s="14" t="str">
        <x:v>ha/Jahr</x:v>
      </x:c>
      <x:c r="H294" s="14" t="str">
        <x:v>lower_is_better</x:v>
      </x:c>
      <x:c r="I294" s="14" t="str">
        <x:v>R02</x:v>
      </x:c>
      <x:c r="J294" s="14" t="str">
        <x:v>0:+3; ≤1:+2; ≤3:0; ≤5:‑2; &gt;5:‑3</x:v>
      </x:c>
      <x:c r="K294" s="14" t="str">
        <x:v>Feste WÖk-Kalibrierung</x:v>
      </x:c>
      <x:c r="L294" s="14" t="str">
        <x:v>Arbeitskalibrierung – fachlich zu validieren</x:v>
      </x:c>
      <x:c r="M294" s="14" t="str">
        <x:v>WÖk-interne Klassenlogik</x:v>
      </x:c>
      <x:c r="N294" s="14" t="str">
        <x:v>Optional/Nein</x:v>
      </x:c>
      <x:c r="O294" s="14" t="str">
        <x:v>ESRS E4; GIS/KBA</x:v>
      </x:c>
      <x:c r="P294" s="14" t="str">
        <x:v>ESRS E4, CBD/GBF, EN 15978 (Bau)</x:v>
      </x:c>
      <x:c r="Q294" s="14" t="str">
        <x:v>Mess-, Berichts- oder Managementrahmen; Schwellen sind grundsätzlich WÖk-Kalibrierungen</x:v>
      </x:c>
      <x:c r="R294" s="14" t="str">
        <x:v>Messgrundlage belegt; Schwellenkalibrierung offen</x:v>
      </x:c>
      <x:c r="S294" s="14" t="str">
        <x:v>EU-ESRS; CBD-GBF; KBA-DATA; DATA-GIS</x:v>
      </x:c>
      <x:c r="T294" s="14" t="str">
        <x:v>L68 Immobilien; F41/F42 Bau</x:v>
      </x:c>
      <x:c r="U294" s="14" t="str">
        <x:v>Legacy / nicht explizit versioniert</x:v>
      </x:c>
      <x:c r="V294" s="51" t="str"/>
      <x:c r="W294" s="14" t="str">
        <x:v>Migration auf NACE Rev. 2.1 erforderlich</x:v>
      </x:c>
      <x:c r="X294" s="14" t="str">
        <x:v>Standort/Prozess/Aktivität; Bezugsgröße und relevante Umweltmedien</x:v>
      </x:c>
      <x:c r="Y294" s="14" t="str">
        <x:v>Siehe Quelle: Definition gemäß Standard (ESRS/GRI/Taxonomie/ISO).</x:v>
      </x:c>
      <x:c r="Z294" s="14" t="str">
        <x:v>Primärdaten bevorzugt; Sekundärdaten nur transparent und versioniert; Methode und Systemgrenze dokumentieren</x:v>
      </x:c>
      <x:c r="AA294" s="14" t="str">
        <x:v>Limited Assurance; risikobasiert höhere Prüftiefe</x:v>
      </x:c>
      <x:c r="AB294" s="14" t="str">
        <x:v>Strukturell nutzbar; Schwellen fachlich zu validieren</x:v>
      </x:c>
      <x:c r="AC294" s="14" t="str">
        <x:v>Mittel</x:v>
      </x:c>
      <x:c r="AD294" s="14" t="str">
        <x:v>Vollständige fünfstufige numerische Regel.</x:v>
      </x:c>
      <x:c r="AE294" s="14" t="str">
        <x:v>v1.4</x:v>
      </x:c>
      <x:c r="AF294" s="52" t="str">
        <x:v>2026-08-16</x:v>
      </x:c>
      <x:c r="AG294" s="52"/>
    </x:row>
    <x:row r="295" ht="42" customHeight="1">
      <x:c r="A295" s="14" t="str">
        <x:v>WOK-E-163</x:v>
      </x:c>
      <x:c r="B295" s="14" t="str">
        <x:v>SDG 11 – Städte</x:v>
      </x:c>
      <x:c r="C295" s="14" t="str">
        <x:v>11.7</x:v>
      </x:c>
      <x:c r="D295" s="14" t="str">
        <x:v>Stadtgrün/Flächenversiegelung</x:v>
      </x:c>
      <x:c r="E295" s="14" t="str">
        <x:v>Stadtgrün/Flächenversiegelung – Deforestationsfrei</x:v>
      </x:c>
      <x:c r="F295" s="14" t="str">
        <x:v>Anteil deforestationsfreie Rohstoffe</x:v>
      </x:c>
      <x:c r="G295" s="14" t="str">
        <x:v>%</x:v>
      </x:c>
      <x:c r="H295" s="14" t="str">
        <x:v>higher_is_better</x:v>
      </x:c>
      <x:c r="I295" s="14" t="str">
        <x:v>R28</x:v>
      </x:c>
      <x:c r="J295" s="14" t="str">
        <x:v>≥98:+3; 90–97:+2; 75–89:0; 50–74:‑2; &lt;50:‑3</x:v>
      </x:c>
      <x:c r="K295" s="14" t="str">
        <x:v>Feste WÖk-Kalibrierung</x:v>
      </x:c>
      <x:c r="L295" s="14" t="str">
        <x:v>Arbeitskalibrierung – fachlich zu validieren</x:v>
      </x:c>
      <x:c r="M295" s="14" t="str">
        <x:v>WÖk-interne Klassenlogik</x:v>
      </x:c>
      <x:c r="N295" s="14" t="str">
        <x:v>Optional/Nein</x:v>
      </x:c>
      <x:c r="O295" s="14" t="str">
        <x:v>ESRS E4; GIS/KBA</x:v>
      </x:c>
      <x:c r="P295" s="14" t="str">
        <x:v>ESRS E4, CBD/GBF, EN 15978 (Bau)</x:v>
      </x:c>
      <x:c r="Q295" s="14" t="str">
        <x:v>Mess-, Berichts- oder Managementrahmen; Schwellen sind grundsätzlich WÖk-Kalibrierungen</x:v>
      </x:c>
      <x:c r="R295" s="14" t="str">
        <x:v>Messgrundlage belegt; Schwellenkalibrierung offen</x:v>
      </x:c>
      <x:c r="S295" s="14" t="str">
        <x:v>EU-ESRS; CBD-GBF; KBA-DATA; DATA-GIS</x:v>
      </x:c>
      <x:c r="T295" s="14" t="str">
        <x:v>L68 Immobilien; F41/F42 Bau</x:v>
      </x:c>
      <x:c r="U295" s="14" t="str">
        <x:v>Legacy / nicht explizit versioniert</x:v>
      </x:c>
      <x:c r="V295" s="51" t="str"/>
      <x:c r="W295" s="14" t="str">
        <x:v>Migration auf NACE Rev. 2.1 erforderlich</x:v>
      </x:c>
      <x:c r="X295" s="14" t="str">
        <x:v>Standort/Prozess/Aktivität; Bezugsgröße und relevante Umweltmedien</x:v>
      </x:c>
      <x:c r="Y295" s="14" t="str">
        <x:v>Quote = Zähler / Nenner gemäß Quelle; in %.</x:v>
      </x:c>
      <x:c r="Z295" s="14" t="str">
        <x:v>Primärdaten bevorzugt; Sekundärdaten nur transparent und versioniert; Methode und Systemgrenze dokumentieren</x:v>
      </x:c>
      <x:c r="AA295" s="14" t="str">
        <x:v>Limited Assurance; risikobasiert höhere Prüftiefe</x:v>
      </x:c>
      <x:c r="AB295" s="14" t="str">
        <x:v>Strukturell nutzbar; Schwellen fachlich zu validieren</x:v>
      </x:c>
      <x:c r="AC295" s="14" t="str">
        <x:v>Mittel</x:v>
      </x:c>
      <x:c r="AD295" s="14" t="str">
        <x:v>Vollständige fünfstufige numerische Regel.</x:v>
      </x:c>
      <x:c r="AE295" s="14" t="str">
        <x:v>v1.4</x:v>
      </x:c>
      <x:c r="AF295" s="52" t="str">
        <x:v>2026-08-16</x:v>
      </x:c>
      <x:c r="AG295" s="52"/>
    </x:row>
    <x:row r="296" ht="42" customHeight="1">
      <x:c r="A296" s="14" t="str">
        <x:v>WOK-G-158</x:v>
      </x:c>
      <x:c r="B296" s="14" t="str">
        <x:v>SDG 11 – Städte</x:v>
      </x:c>
      <x:c r="C296" s="14" t="str">
        <x:v>11.3</x:v>
      </x:c>
      <x:c r="D296" s="14" t="str">
        <x:v>Partizipation/Transparenz Stadtprojekte</x:v>
      </x:c>
      <x:c r="E296" s="14" t="str">
        <x:v>Partizipation/Transparenz Stadtprojekte – Antikorruption</x:v>
      </x:c>
      <x:c r="F296" s="14" t="str">
        <x:v>Bestätigte Fälle/1.000 FTE</x:v>
      </x:c>
      <x:c r="G296" s="14" t="str">
        <x:v>Fälle/1.000 FTE</x:v>
      </x:c>
      <x:c r="H296" s="14" t="str">
        <x:v>lower_is_better</x:v>
      </x:c>
      <x:c r="I296" s="14" t="str">
        <x:v>R01</x:v>
      </x:c>
      <x:c r="J296" s="14" t="str">
        <x:v>0:+3; ≤0,2:+2; ≤0,5:0; ≤1:‑2; &gt;1:‑3</x:v>
      </x:c>
      <x:c r="K296" s="14" t="str">
        <x:v>Feste WÖk-Kalibrierung</x:v>
      </x:c>
      <x:c r="L296" s="14" t="str">
        <x:v>Arbeitskalibrierung – fachlich zu validieren</x:v>
      </x:c>
      <x:c r="M296" s="14" t="str">
        <x:v>WÖk-interne Klassenlogik</x:v>
      </x:c>
      <x:c r="N296" s="14" t="str">
        <x:v>Optional/Nein</x:v>
      </x:c>
      <x:c r="O296" s="14" t="str">
        <x:v>ESRS G1; GRI 205/207</x:v>
      </x:c>
      <x:c r="P296" s="14" t="str">
        <x:v>ESRS G1, GRI 205/207, OECD Anti‑Bribery</x:v>
      </x:c>
      <x:c r="Q296" s="14" t="str">
        <x:v>Mess-, Berichts- oder Managementrahmen; Schwellen sind grundsätzlich WÖk-Kalibrierungen</x:v>
      </x:c>
      <x:c r="R296" s="14" t="str">
        <x:v>Messgrundlage belegt; Schwellenkalibrierung offen</x:v>
      </x:c>
      <x:c r="S296" s="14" t="str">
        <x:v>EU-ESRS; GRI; OECD-AB</x:v>
      </x:c>
      <x:c r="T296" s="14" t="str">
        <x:v>G47 Handel; K Versicherungen; M72 F&amp;E</x:v>
      </x:c>
      <x:c r="U296" s="14" t="str">
        <x:v>Legacy / nicht explizit versioniert</x:v>
      </x:c>
      <x:c r="V296" s="51" t="str"/>
      <x:c r="W296" s="14" t="str">
        <x:v>Migration auf NACE Rev. 2.1 erforderlich</x:v>
      </x:c>
      <x:c r="X296" s="14" t="str">
        <x:v>Organisation/Governance; konsolidierter Kreis und relevante Rechtseinheiten</x:v>
      </x:c>
      <x:c r="Y296" s="14" t="str">
        <x:v>Siehe Quelle: Definition gemäß Standard (ESRS/GRI/Taxonomie/ISO).</x:v>
      </x:c>
      <x:c r="Z296" s="14" t="str">
        <x:v>Primärdaten bevorzugt; Sekundärdaten nur transparent und versioniert; Methode und Systemgrenze dokumentieren</x:v>
      </x:c>
      <x:c r="AA296" s="14" t="str">
        <x:v>Limited Assurance; risikobasiert höhere Prüftiefe</x:v>
      </x:c>
      <x:c r="AB296" s="14" t="str">
        <x:v>Strukturell nutzbar; Schwellen fachlich zu validieren</x:v>
      </x:c>
      <x:c r="AC296" s="14" t="str">
        <x:v>Mittel</x:v>
      </x:c>
      <x:c r="AD296" s="14" t="str">
        <x:v>Vollständige fünfstufige numerische Regel.</x:v>
      </x:c>
      <x:c r="AE296" s="14" t="str">
        <x:v>v1.4</x:v>
      </x:c>
      <x:c r="AF296" s="52" t="str">
        <x:v>2026-08-16</x:v>
      </x:c>
      <x:c r="AG296" s="52"/>
    </x:row>
    <x:row r="297" ht="42" customHeight="1">
      <x:c r="A297" s="14" t="str">
        <x:v>WOK-G-159</x:v>
      </x:c>
      <x:c r="B297" s="14" t="str">
        <x:v>SDG 11 – Städte</x:v>
      </x:c>
      <x:c r="C297" s="14" t="str">
        <x:v>11.3</x:v>
      </x:c>
      <x:c r="D297" s="14" t="str">
        <x:v>Partizipation/Transparenz Stadtprojekte</x:v>
      </x:c>
      <x:c r="E297" s="14" t="str">
        <x:v>Partizipation/Transparenz Stadtprojekte – Whistleblowing</x:v>
      </x:c>
      <x:c r="F297" s="14" t="str">
        <x:v>Wirksamkeits‑Score</x:v>
      </x:c>
      <x:c r="G297" s="14" t="str">
        <x:v>0–1</x:v>
      </x:c>
      <x:c r="H297" s="14" t="str">
        <x:v>higher_is_better</x:v>
      </x:c>
      <x:c r="I297" s="14" t="str">
        <x:v>R16</x:v>
      </x:c>
      <x:c r="J297" s="14" t="str">
        <x:v>≥0,9:+3; 0,75–0,89:+2; 0,6–0,74:0; 0,4–0,59:‑2; &lt;0,4:‑3</x:v>
      </x:c>
      <x:c r="K297" s="14" t="str">
        <x:v>Feste WÖk-Kalibrierung</x:v>
      </x:c>
      <x:c r="L297" s="14" t="str">
        <x:v>Arbeitskalibrierung – fachlich zu validieren</x:v>
      </x:c>
      <x:c r="M297" s="14" t="str">
        <x:v>WÖk-interne Klassenlogik</x:v>
      </x:c>
      <x:c r="N297" s="14" t="str">
        <x:v>Optional/Nein</x:v>
      </x:c>
      <x:c r="O297" s="14" t="str">
        <x:v>ESRS G1; GRI 205/207</x:v>
      </x:c>
      <x:c r="P297" s="14" t="str">
        <x:v>ESRS G1, GRI 205/207, OECD Anti‑Bribery</x:v>
      </x:c>
      <x:c r="Q297" s="14" t="str">
        <x:v>Mess-, Berichts- oder Managementrahmen; Schwellen sind grundsätzlich WÖk-Kalibrierungen</x:v>
      </x:c>
      <x:c r="R297" s="14" t="str">
        <x:v>Messgrundlage belegt; Schwellenkalibrierung offen</x:v>
      </x:c>
      <x:c r="S297" s="14" t="str">
        <x:v>EU-ESRS; GRI; OECD-AB</x:v>
      </x:c>
      <x:c r="T297" s="14" t="str">
        <x:v>G47 Handel; K Versicherungen; M72 F&amp;E</x:v>
      </x:c>
      <x:c r="U297" s="14" t="str">
        <x:v>Legacy / nicht explizit versioniert</x:v>
      </x:c>
      <x:c r="V297" s="51" t="str"/>
      <x:c r="W297" s="14" t="str">
        <x:v>Migration auf NACE Rev. 2.1 erforderlich</x:v>
      </x:c>
      <x:c r="X297" s="14" t="str">
        <x:v>Organisation/Governance; konsolidierter Kreis und relevante Rechtseinheiten</x:v>
      </x:c>
      <x:c r="Y297" s="14" t="str">
        <x:v>Siehe Quelle: Definition gemäß Standard (ESRS/GRI/Taxonomie/ISO).</x:v>
      </x:c>
      <x:c r="Z297" s="14" t="str">
        <x:v>Primärdaten bevorzugt; Sekundärdaten nur transparent und versioniert; Methode und Systemgrenze dokumentieren</x:v>
      </x:c>
      <x:c r="AA297" s="14" t="str">
        <x:v>Limited Assurance; risikobasiert höhere Prüftiefe</x:v>
      </x:c>
      <x:c r="AB297" s="14" t="str">
        <x:v>Strukturell nutzbar; Schwellen fachlich zu validieren</x:v>
      </x:c>
      <x:c r="AC297" s="14" t="str">
        <x:v>Mittel</x:v>
      </x:c>
      <x:c r="AD297" s="14" t="str">
        <x:v>Vollständige fünfstufige numerische Regel.</x:v>
      </x:c>
      <x:c r="AE297" s="14" t="str">
        <x:v>v1.4</x:v>
      </x:c>
      <x:c r="AF297" s="52" t="str">
        <x:v>2026-08-16</x:v>
      </x:c>
      <x:c r="AG297" s="52"/>
    </x:row>
    <x:row r="298" ht="42" customHeight="1">
      <x:c r="A298" s="14" t="str">
        <x:v>WOK-G-160</x:v>
      </x:c>
      <x:c r="B298" s="14" t="str">
        <x:v>SDG 11 – Städte</x:v>
      </x:c>
      <x:c r="C298" s="14" t="str">
        <x:v>11.3</x:v>
      </x:c>
      <x:c r="D298" s="14" t="str">
        <x:v>Partizipation/Transparenz Stadtprojekte</x:v>
      </x:c>
      <x:c r="E298" s="14" t="str">
        <x:v>Partizipation/Transparenz Stadtprojekte – Steuertransparenz</x:v>
      </x:c>
      <x:c r="F298" s="14" t="str">
        <x:v>CbCR‑Offenlegung</x:v>
      </x:c>
      <x:c r="G298" s="14" t="str">
        <x:v>0–1</x:v>
      </x:c>
      <x:c r="H298" s="14" t="str">
        <x:v>higher_is_better</x:v>
      </x:c>
      <x:c r="I298" s="14" t="str">
        <x:v>R08</x:v>
      </x:c>
      <x:c r="J298" s="14" t="str">
        <x:v>vollständig:+3; teilweise:+2; minimal:0; schlecht:‑2</x:v>
      </x:c>
      <x:c r="K298" s="14" t="str">
        <x:v>Qualitativ</x:v>
      </x:c>
      <x:c r="L298" s="14" t="str">
        <x:v>Assurance und Kriterienkatalog erforderlich</x:v>
      </x:c>
      <x:c r="M298" s="14" t="str">
        <x:v>WÖk-interne Kategorien</x:v>
      </x:c>
      <x:c r="N298" s="14" t="str">
        <x:v>Optional/Nein</x:v>
      </x:c>
      <x:c r="O298" s="14" t="str">
        <x:v>ESRS G1; GRI 205/207</x:v>
      </x:c>
      <x:c r="P298" s="14" t="str">
        <x:v>ESRS G1, GRI 205/207, OECD Anti‑Bribery</x:v>
      </x:c>
      <x:c r="Q298" s="14" t="str">
        <x:v>Mess-, Berichts- oder Managementrahmen; Schwellen sind grundsätzlich WÖk-Kalibrierungen</x:v>
      </x:c>
      <x:c r="R298" s="14" t="str">
        <x:v>Messgrundlage belegt; Schwellenkalibrierung offen</x:v>
      </x:c>
      <x:c r="S298" s="14" t="str">
        <x:v>EU-ESRS; GRI; OECD-AB</x:v>
      </x:c>
      <x:c r="T298" s="14" t="str">
        <x:v>G47 Handel; K Versicherungen; M72 F&amp;E</x:v>
      </x:c>
      <x:c r="U298" s="14" t="str">
        <x:v>Legacy / nicht explizit versioniert</x:v>
      </x:c>
      <x:c r="V298" s="51" t="str"/>
      <x:c r="W298" s="14" t="str">
        <x:v>Migration auf NACE Rev. 2.1 erforderlich</x:v>
      </x:c>
      <x:c r="X298" s="14" t="str">
        <x:v>Organisation/Governance; konsolidierter Kreis und relevante Rechtseinheiten</x:v>
      </x:c>
      <x:c r="Y298" s="14" t="str">
        <x:v>Siehe Quelle: Definition gemäß Standard (ESRS/GRI/Taxonomie/ISO).</x:v>
      </x:c>
      <x:c r="Z298" s="14" t="str">
        <x:v>Dokumentierter Kriterienkatalog; nachvollziehbare Evidenz; DQR A/B bevorzugt</x:v>
      </x:c>
      <x:c r="AA298" s="14" t="str">
        <x:v>Unabhängige Fachprüfung/Limited Assurance; bei roten Linien Reasonable Assurance</x:v>
      </x:c>
      <x:c r="AB298" s="14" t="str">
        <x:v>Prüfung/Parametrisierung erforderlich</x:v>
      </x:c>
      <x:c r="AC298" s="14" t="str">
        <x:v>Hoch</x:v>
      </x:c>
      <x:c r="AD298" s="14" t="str">
        <x:v>Die Kategorie −3 fehlt; Vollständigkeit und Wirksamkeit sind feldspezifisch zu definieren.</x:v>
      </x:c>
      <x:c r="AE298" s="14" t="str">
        <x:v>v1.4</x:v>
      </x:c>
      <x:c r="AF298" s="52" t="str">
        <x:v>2026-08-16</x:v>
      </x:c>
      <x:c r="AG298" s="52"/>
    </x:row>
    <x:row r="299" ht="42" customHeight="1">
      <x:c r="A299" s="14" t="str">
        <x:v>WOK-E-164</x:v>
      </x:c>
      <x:c r="B299" s="14" t="str">
        <x:v>SDG 11 – Städte</x:v>
      </x:c>
      <x:c r="C299" s="14" t="str">
        <x:v>11.6</x:v>
      </x:c>
      <x:c r="D299" s="14" t="str">
        <x:v>Lärm‑Exposition</x:v>
      </x:c>
      <x:c r="E299" s="14" t="str">
        <x:v>Lärm‑Exposition – Antikorruption</x:v>
      </x:c>
      <x:c r="F299" s="14" t="str">
        <x:v>Bestätigte Fälle/1.000 FTE</x:v>
      </x:c>
      <x:c r="G299" s="14" t="str">
        <x:v>Fälle/1.000 FTE</x:v>
      </x:c>
      <x:c r="H299" s="14" t="str">
        <x:v>lower_is_better</x:v>
      </x:c>
      <x:c r="I299" s="14" t="str">
        <x:v>R01</x:v>
      </x:c>
      <x:c r="J299" s="14" t="str">
        <x:v>0:+3; ≤0,2:+2; ≤0,5:0; ≤1:‑2; &gt;1:‑3</x:v>
      </x:c>
      <x:c r="K299" s="14" t="str">
        <x:v>Feste WÖk-Kalibrierung</x:v>
      </x:c>
      <x:c r="L299" s="14" t="str">
        <x:v>Arbeitskalibrierung – fachlich zu validieren</x:v>
      </x:c>
      <x:c r="M299" s="14" t="str">
        <x:v>WÖk-interne Klassenlogik</x:v>
      </x:c>
      <x:c r="N299" s="14" t="str">
        <x:v>Optional/Nein</x:v>
      </x:c>
      <x:c r="O299" s="14" t="str">
        <x:v>ESRS G1; GRI 205/207</x:v>
      </x:c>
      <x:c r="P299" s="14" t="str">
        <x:v>ESRS G1, GRI 205/207, OECD Anti‑Bribery</x:v>
      </x:c>
      <x:c r="Q299" s="14" t="str">
        <x:v>Mess-, Berichts- oder Managementrahmen; Schwellen sind grundsätzlich WÖk-Kalibrierungen</x:v>
      </x:c>
      <x:c r="R299" s="14" t="str">
        <x:v>Messgrundlage belegt; Schwellenkalibrierung offen</x:v>
      </x:c>
      <x:c r="S299" s="14" t="str">
        <x:v>EU-ESRS; GRI; OECD-AB</x:v>
      </x:c>
      <x:c r="T299" s="14" t="str">
        <x:v>H49 Verkehr</x:v>
      </x:c>
      <x:c r="U299" s="14" t="str">
        <x:v>Legacy / nicht explizit versioniert</x:v>
      </x:c>
      <x:c r="V299" s="51" t="str"/>
      <x:c r="W299" s="14" t="str">
        <x:v>Migration auf NACE Rev. 2.1 erforderlich</x:v>
      </x:c>
      <x:c r="X299" s="14" t="str">
        <x:v>Standort/Prozess/Aktivität; Bezugsgröße und relevante Umweltmedien</x:v>
      </x:c>
      <x:c r="Y299" s="14" t="str">
        <x:v>Siehe Quelle: Definition gemäß Standard (ESRS/GRI/Taxonomie/ISO).</x:v>
      </x:c>
      <x:c r="Z299" s="14" t="str">
        <x:v>Primärdaten bevorzugt; Sekundärdaten nur transparent und versioniert; Methode und Systemgrenze dokumentieren</x:v>
      </x:c>
      <x:c r="AA299" s="14" t="str">
        <x:v>Limited Assurance; risikobasiert höhere Prüftiefe</x:v>
      </x:c>
      <x:c r="AB299" s="14" t="str">
        <x:v>Strukturell nutzbar; Schwellen fachlich zu validieren</x:v>
      </x:c>
      <x:c r="AC299" s="14" t="str">
        <x:v>Mittel</x:v>
      </x:c>
      <x:c r="AD299" s="14" t="str">
        <x:v>Vollständige fünfstufige numerische Regel.</x:v>
      </x:c>
      <x:c r="AE299" s="14" t="str">
        <x:v>v1.4</x:v>
      </x:c>
      <x:c r="AF299" s="52" t="str">
        <x:v>2026-08-16</x:v>
      </x:c>
      <x:c r="AG299" s="52"/>
    </x:row>
    <x:row r="300" ht="42" customHeight="1">
      <x:c r="A300" s="14" t="str">
        <x:v>WOK-E-165</x:v>
      </x:c>
      <x:c r="B300" s="14" t="str">
        <x:v>SDG 11 – Städte</x:v>
      </x:c>
      <x:c r="C300" s="14" t="str">
        <x:v>11.6</x:v>
      </x:c>
      <x:c r="D300" s="14" t="str">
        <x:v>Lärm‑Exposition</x:v>
      </x:c>
      <x:c r="E300" s="14" t="str">
        <x:v>Lärm‑Exposition – Whistleblowing</x:v>
      </x:c>
      <x:c r="F300" s="14" t="str">
        <x:v>Wirksamkeits‑Score</x:v>
      </x:c>
      <x:c r="G300" s="14" t="str">
        <x:v>0–1</x:v>
      </x:c>
      <x:c r="H300" s="14" t="str">
        <x:v>higher_is_better</x:v>
      </x:c>
      <x:c r="I300" s="14" t="str">
        <x:v>R16</x:v>
      </x:c>
      <x:c r="J300" s="14" t="str">
        <x:v>≥0,9:+3; 0,75–0,89:+2; 0,6–0,74:0; 0,4–0,59:‑2; &lt;0,4:‑3</x:v>
      </x:c>
      <x:c r="K300" s="14" t="str">
        <x:v>Feste WÖk-Kalibrierung</x:v>
      </x:c>
      <x:c r="L300" s="14" t="str">
        <x:v>Arbeitskalibrierung – fachlich zu validieren</x:v>
      </x:c>
      <x:c r="M300" s="14" t="str">
        <x:v>WÖk-interne Klassenlogik</x:v>
      </x:c>
      <x:c r="N300" s="14" t="str">
        <x:v>Optional/Nein</x:v>
      </x:c>
      <x:c r="O300" s="14" t="str">
        <x:v>ESRS G1; GRI 205/207</x:v>
      </x:c>
      <x:c r="P300" s="14" t="str">
        <x:v>ESRS G1, GRI 205/207, OECD Anti‑Bribery</x:v>
      </x:c>
      <x:c r="Q300" s="14" t="str">
        <x:v>Mess-, Berichts- oder Managementrahmen; Schwellen sind grundsätzlich WÖk-Kalibrierungen</x:v>
      </x:c>
      <x:c r="R300" s="14" t="str">
        <x:v>Messgrundlage belegt; Schwellenkalibrierung offen</x:v>
      </x:c>
      <x:c r="S300" s="14" t="str">
        <x:v>EU-ESRS; GRI; OECD-AB</x:v>
      </x:c>
      <x:c r="T300" s="14" t="str">
        <x:v>H49 Verkehr</x:v>
      </x:c>
      <x:c r="U300" s="14" t="str">
        <x:v>Legacy / nicht explizit versioniert</x:v>
      </x:c>
      <x:c r="V300" s="51" t="str"/>
      <x:c r="W300" s="14" t="str">
        <x:v>Migration auf NACE Rev. 2.1 erforderlich</x:v>
      </x:c>
      <x:c r="X300" s="14" t="str">
        <x:v>Standort/Prozess/Aktivität; Bezugsgröße und relevante Umweltmedien</x:v>
      </x:c>
      <x:c r="Y300" s="14" t="str">
        <x:v>Siehe Quelle: Definition gemäß Standard (ESRS/GRI/Taxonomie/ISO).</x:v>
      </x:c>
      <x:c r="Z300" s="14" t="str">
        <x:v>Primärdaten bevorzugt; Sekundärdaten nur transparent und versioniert; Methode und Systemgrenze dokumentieren</x:v>
      </x:c>
      <x:c r="AA300" s="14" t="str">
        <x:v>Limited Assurance; risikobasiert höhere Prüftiefe</x:v>
      </x:c>
      <x:c r="AB300" s="14" t="str">
        <x:v>Strukturell nutzbar; Schwellen fachlich zu validieren</x:v>
      </x:c>
      <x:c r="AC300" s="14" t="str">
        <x:v>Mittel</x:v>
      </x:c>
      <x:c r="AD300" s="14" t="str">
        <x:v>Vollständige fünfstufige numerische Regel.</x:v>
      </x:c>
      <x:c r="AE300" s="14" t="str">
        <x:v>v1.4</x:v>
      </x:c>
      <x:c r="AF300" s="52" t="str">
        <x:v>2026-08-16</x:v>
      </x:c>
      <x:c r="AG300" s="52"/>
    </x:row>
    <x:row r="301" ht="42" customHeight="1">
      <x:c r="A301" s="14" t="str">
        <x:v>WOK-E-166</x:v>
      </x:c>
      <x:c r="B301" s="14" t="str">
        <x:v>SDG 11 – Städte</x:v>
      </x:c>
      <x:c r="C301" s="14" t="str">
        <x:v>11.6</x:v>
      </x:c>
      <x:c r="D301" s="14" t="str">
        <x:v>Lärm‑Exposition</x:v>
      </x:c>
      <x:c r="E301" s="14" t="str">
        <x:v>Lärm‑Exposition – Steuertransparenz</x:v>
      </x:c>
      <x:c r="F301" s="14" t="str">
        <x:v>CbCR‑Offenlegung</x:v>
      </x:c>
      <x:c r="G301" s="14" t="str">
        <x:v>0–1</x:v>
      </x:c>
      <x:c r="H301" s="14" t="str">
        <x:v>higher_is_better</x:v>
      </x:c>
      <x:c r="I301" s="14" t="str">
        <x:v>R08</x:v>
      </x:c>
      <x:c r="J301" s="14" t="str">
        <x:v>vollständig:+3; teilweise:+2; minimal:0; schlecht:‑2</x:v>
      </x:c>
      <x:c r="K301" s="14" t="str">
        <x:v>Qualitativ</x:v>
      </x:c>
      <x:c r="L301" s="14" t="str">
        <x:v>Assurance und Kriterienkatalog erforderlich</x:v>
      </x:c>
      <x:c r="M301" s="14" t="str">
        <x:v>WÖk-interne Kategorien</x:v>
      </x:c>
      <x:c r="N301" s="14" t="str">
        <x:v>Optional/Nein</x:v>
      </x:c>
      <x:c r="O301" s="14" t="str">
        <x:v>ESRS G1; GRI 205/207</x:v>
      </x:c>
      <x:c r="P301" s="14" t="str">
        <x:v>ESRS G1, GRI 205/207, OECD Anti‑Bribery</x:v>
      </x:c>
      <x:c r="Q301" s="14" t="str">
        <x:v>Mess-, Berichts- oder Managementrahmen; Schwellen sind grundsätzlich WÖk-Kalibrierungen</x:v>
      </x:c>
      <x:c r="R301" s="14" t="str">
        <x:v>Messgrundlage belegt; Schwellenkalibrierung offen</x:v>
      </x:c>
      <x:c r="S301" s="14" t="str">
        <x:v>EU-ESRS; GRI; OECD-AB</x:v>
      </x:c>
      <x:c r="T301" s="14" t="str">
        <x:v>H49 Verkehr</x:v>
      </x:c>
      <x:c r="U301" s="14" t="str">
        <x:v>Legacy / nicht explizit versioniert</x:v>
      </x:c>
      <x:c r="V301" s="51" t="str"/>
      <x:c r="W301" s="14" t="str">
        <x:v>Migration auf NACE Rev. 2.1 erforderlich</x:v>
      </x:c>
      <x:c r="X301" s="14" t="str">
        <x:v>Standort/Prozess/Aktivität; Bezugsgröße und relevante Umweltmedien</x:v>
      </x:c>
      <x:c r="Y301" s="14" t="str">
        <x:v>Siehe Quelle: Definition gemäß Standard (ESRS/GRI/Taxonomie/ISO).</x:v>
      </x:c>
      <x:c r="Z301" s="14" t="str">
        <x:v>Dokumentierter Kriterienkatalog; nachvollziehbare Evidenz; DQR A/B bevorzugt</x:v>
      </x:c>
      <x:c r="AA301" s="14" t="str">
        <x:v>Unabhängige Fachprüfung/Limited Assurance; bei roten Linien Reasonable Assurance</x:v>
      </x:c>
      <x:c r="AB301" s="14" t="str">
        <x:v>Prüfung/Parametrisierung erforderlich</x:v>
      </x:c>
      <x:c r="AC301" s="14" t="str">
        <x:v>Hoch</x:v>
      </x:c>
      <x:c r="AD301" s="14" t="str">
        <x:v>Die Kategorie −3 fehlt; Vollständigkeit und Wirksamkeit sind feldspezifisch zu definieren.</x:v>
      </x:c>
      <x:c r="AE301" s="14" t="str">
        <x:v>v1.4</x:v>
      </x:c>
      <x:c r="AF301" s="52" t="str">
        <x:v>2026-08-16</x:v>
      </x:c>
      <x:c r="AG301" s="52"/>
    </x:row>
    <x:row r="302" ht="42" customHeight="1">
      <x:c r="A302" s="14" t="str">
        <x:v>WOK-E-167</x:v>
      </x:c>
      <x:c r="B302" s="14" t="str">
        <x:v>SDG 12 – Konsum/Produktion</x:v>
      </x:c>
      <x:c r="C302" s="14" t="str">
        <x:v>12.2</x:v>
      </x:c>
      <x:c r="D302" s="14" t="str">
        <x:v>Materialintensität</x:v>
      </x:c>
      <x:c r="E302" s="14" t="str">
        <x:v>Materialintensität – Abfallintensität</x:v>
      </x:c>
      <x:c r="F302" s="14" t="str">
        <x:v>Abfallmenge je Output</x:v>
      </x:c>
      <x:c r="G302" s="14" t="str">
        <x:v>kg/t</x:v>
      </x:c>
      <x:c r="H302" s="14" t="str">
        <x:v>lower_is_better</x:v>
      </x:c>
      <x:c r="I302" s="14" t="str">
        <x:v>R06</x:v>
      </x:c>
      <x:c r="J302" s="14" t="str">
        <x:v>Top‑10%:+3; Mittel:0; &gt;150%:‑2; &gt;250%:‑3</x:v>
      </x:c>
      <x:c r="K302" s="14" t="str">
        <x:v>Benchmarkabhängig</x:v>
      </x:c>
      <x:c r="L302" s="14" t="str">
        <x:v>Validierter Benchmark fehlt</x:v>
      </x:c>
      <x:c r="M302" s="14" t="str">
        <x:v>Branche/Region/Technologie</x:v>
      </x:c>
      <x:c r="N302" s="14" t="str">
        <x:v>Ja</x:v>
      </x:c>
      <x:c r="O302" s="14" t="str">
        <x:v>ESRS E5; GRI 306/301</x:v>
      </x:c>
      <x:c r="P302" s="14" t="str">
        <x:v>ESRS E5, GRI 306, WEEE/VerpackG</x:v>
      </x:c>
      <x:c r="Q302" s="14" t="str">
        <x:v>Mess-/Methodenrahmen; aktiver Branchen-/Regional-/Technologiebenchmark separat erforderlich</x:v>
      </x:c>
      <x:c r="R302" s="14" t="str">
        <x:v>Teilbelegt – Benchmarkquelle fehlt</x:v>
      </x:c>
      <x:c r="S302" s="14" t="str">
        <x:v>EU-ESRS; GRI</x:v>
      </x:c>
      <x:c r="T302" s="14" t="str">
        <x:v>C20 Chemie; C24 Stahl; C29 Fahrzeuge</x:v>
      </x:c>
      <x:c r="U302" s="14" t="str">
        <x:v>Legacy / nicht explizit versioniert</x:v>
      </x:c>
      <x:c r="V302" s="51" t="str"/>
      <x:c r="W302" s="14" t="str">
        <x:v>Migration auf NACE Rev. 2.1 erforderlich</x:v>
      </x:c>
      <x:c r="X302" s="14" t="str">
        <x:v>Standort/Prozess/Aktivität; Bezugsgröße und relevante Umweltmedien</x:v>
      </x:c>
      <x:c r="Y302" s="14" t="str">
        <x:v>Siehe Quelle: Definition gemäß Standard (ESRS/GRI/Taxonomie/ISO).</x:v>
      </x:c>
      <x:c r="Z302" s="14" t="str">
        <x:v>Primärdaten plus repräsentativer, versionierter Benchmarkdatensatz; Stichprobe und Population offenlegen</x:v>
      </x:c>
      <x:c r="AA302" s="14" t="str">
        <x:v>Messwert-Assurance und unabhängige Benchmark-Governance</x:v>
      </x:c>
      <x:c r="AB302" s="14" t="str">
        <x:v>Prüfung/Parametrisierung erforderlich</x:v>
      </x:c>
      <x:c r="AC302" s="14" t="str">
        <x:v>Hoch</x:v>
      </x:c>
      <x:c r="AD302" s="14" t="str">
        <x:v>Top-10-Prozent, Mittelwert, 150 % und 250 % müssen aus einer dokumentierten Grundgesamtheit stammen.</x:v>
      </x:c>
      <x:c r="AE302" s="14" t="str">
        <x:v>v1.4</x:v>
      </x:c>
      <x:c r="AF302" s="52" t="str">
        <x:v>2026-08-16</x:v>
      </x:c>
      <x:c r="AG302" s="52"/>
    </x:row>
    <x:row r="303" ht="42" customHeight="1">
      <x:c r="A303" s="14" t="str">
        <x:v>WOK-E-168</x:v>
      </x:c>
      <x:c r="B303" s="14" t="str">
        <x:v>SDG 12 – Konsum/Produktion</x:v>
      </x:c>
      <x:c r="C303" s="14" t="str">
        <x:v>12.2</x:v>
      </x:c>
      <x:c r="D303" s="14" t="str">
        <x:v>Materialintensität</x:v>
      </x:c>
      <x:c r="E303" s="14" t="str">
        <x:v>Materialintensität – Recyclingquote</x:v>
      </x:c>
      <x:c r="F303" s="14" t="str">
        <x:v>Anteil verwerteter Abfälle</x:v>
      </x:c>
      <x:c r="G303" s="14" t="str">
        <x:v>%</x:v>
      </x:c>
      <x:c r="H303" s="14" t="str">
        <x:v>higher_is_better</x:v>
      </x:c>
      <x:c r="I303" s="14" t="str">
        <x:v>R25</x:v>
      </x:c>
      <x:c r="J303" s="14" t="str">
        <x:v>≥90%:+3; 70–89%:+2; 50–69%:0; 30–49%:‑2; &lt;30%:‑3</x:v>
      </x:c>
      <x:c r="K303" s="14" t="str">
        <x:v>Feste WÖk-Kalibrierung</x:v>
      </x:c>
      <x:c r="L303" s="14" t="str">
        <x:v>Arbeitskalibrierung – fachlich zu validieren</x:v>
      </x:c>
      <x:c r="M303" s="14" t="str">
        <x:v>WÖk-interne Klassenlogik</x:v>
      </x:c>
      <x:c r="N303" s="14" t="str">
        <x:v>Optional/Nein</x:v>
      </x:c>
      <x:c r="O303" s="14" t="str">
        <x:v>ESRS E5; GRI 306/301</x:v>
      </x:c>
      <x:c r="P303" s="14" t="str">
        <x:v>ESRS E5, GRI 306, WEEE/VerpackG</x:v>
      </x:c>
      <x:c r="Q303" s="14" t="str">
        <x:v>Mess-, Berichts- oder Managementrahmen; Schwellen sind grundsätzlich WÖk-Kalibrierungen</x:v>
      </x:c>
      <x:c r="R303" s="14" t="str">
        <x:v>Messgrundlage belegt; Schwellenkalibrierung offen</x:v>
      </x:c>
      <x:c r="S303" s="14" t="str">
        <x:v>EU-ESRS; GRI</x:v>
      </x:c>
      <x:c r="T303" s="14" t="str">
        <x:v>C20 Chemie; C24 Stahl; C29 Fahrzeuge</x:v>
      </x:c>
      <x:c r="U303" s="14" t="str">
        <x:v>Legacy / nicht explizit versioniert</x:v>
      </x:c>
      <x:c r="V303" s="51" t="str"/>
      <x:c r="W303" s="14" t="str">
        <x:v>Migration auf NACE Rev. 2.1 erforderlich</x:v>
      </x:c>
      <x:c r="X303" s="14" t="str">
        <x:v>Standort/Prozess/Aktivität; Bezugsgröße und relevante Umweltmedien</x:v>
      </x:c>
      <x:c r="Y303" s="14" t="str">
        <x:v>Recyclingquote = stofflich verwertete Menge / Gesamtabfall.</x:v>
      </x:c>
      <x:c r="Z303" s="14" t="str">
        <x:v>Primärdaten bevorzugt; Sekundärdaten nur transparent und versioniert; Methode und Systemgrenze dokumentieren</x:v>
      </x:c>
      <x:c r="AA303" s="14" t="str">
        <x:v>Limited Assurance; risikobasiert höhere Prüftiefe</x:v>
      </x:c>
      <x:c r="AB303" s="14" t="str">
        <x:v>Strukturell nutzbar; Schwellen fachlich zu validieren</x:v>
      </x:c>
      <x:c r="AC303" s="14" t="str">
        <x:v>Mittel</x:v>
      </x:c>
      <x:c r="AD303" s="14" t="str">
        <x:v>Vollständige fünfstufige Prozentregel.</x:v>
      </x:c>
      <x:c r="AE303" s="14" t="str">
        <x:v>v1.4</x:v>
      </x:c>
      <x:c r="AF303" s="52" t="str">
        <x:v>2026-08-16</x:v>
      </x:c>
      <x:c r="AG303" s="52"/>
    </x:row>
    <x:row r="304" ht="42" customHeight="1">
      <x:c r="A304" s="14" t="str">
        <x:v>WOK-E-169</x:v>
      </x:c>
      <x:c r="B304" s="14" t="str">
        <x:v>SDG 12 – Konsum/Produktion</x:v>
      </x:c>
      <x:c r="C304" s="14" t="str">
        <x:v>12.2</x:v>
      </x:c>
      <x:c r="D304" s="14" t="str">
        <x:v>Materialintensität</x:v>
      </x:c>
      <x:c r="E304" s="14" t="str">
        <x:v>Materialintensität – Gefährlicher Abfall</x:v>
      </x:c>
      <x:c r="F304" s="14" t="str">
        <x:v>Gefährlicher Abfall je Output</x:v>
      </x:c>
      <x:c r="G304" s="14" t="str">
        <x:v>kg/t</x:v>
      </x:c>
      <x:c r="H304" s="14" t="str">
        <x:v>lower_is_better</x:v>
      </x:c>
      <x:c r="I304" s="14" t="str">
        <x:v>R06</x:v>
      </x:c>
      <x:c r="J304" s="14" t="str">
        <x:v>Top‑10%:+3; Mittel:0; &gt;150%:‑2; &gt;250%:‑3</x:v>
      </x:c>
      <x:c r="K304" s="14" t="str">
        <x:v>Benchmarkabhängig</x:v>
      </x:c>
      <x:c r="L304" s="14" t="str">
        <x:v>Validierter Benchmark fehlt</x:v>
      </x:c>
      <x:c r="M304" s="14" t="str">
        <x:v>Branche/Region/Technologie</x:v>
      </x:c>
      <x:c r="N304" s="14" t="str">
        <x:v>Ja</x:v>
      </x:c>
      <x:c r="O304" s="14" t="str">
        <x:v>ESRS E5; GRI 306/301</x:v>
      </x:c>
      <x:c r="P304" s="14" t="str">
        <x:v>ESRS E5, GRI 306, WEEE/VerpackG</x:v>
      </x:c>
      <x:c r="Q304" s="14" t="str">
        <x:v>Mess-/Methodenrahmen; aktiver Branchen-/Regional-/Technologiebenchmark separat erforderlich</x:v>
      </x:c>
      <x:c r="R304" s="14" t="str">
        <x:v>Teilbelegt – Benchmarkquelle fehlt</x:v>
      </x:c>
      <x:c r="S304" s="14" t="str">
        <x:v>EU-ESRS; GRI</x:v>
      </x:c>
      <x:c r="T304" s="14" t="str">
        <x:v>C20 Chemie; C24 Stahl; C29 Fahrzeuge</x:v>
      </x:c>
      <x:c r="U304" s="14" t="str">
        <x:v>Legacy / nicht explizit versioniert</x:v>
      </x:c>
      <x:c r="V304" s="51" t="str"/>
      <x:c r="W304" s="14" t="str">
        <x:v>Migration auf NACE Rev. 2.1 erforderlich</x:v>
      </x:c>
      <x:c r="X304" s="14" t="str">
        <x:v>Standort/Prozess/Aktivität; Bezugsgröße und relevante Umweltmedien</x:v>
      </x:c>
      <x:c r="Y304" s="14" t="str">
        <x:v>Gefährlicher Abfall‑Intensität = Gefährlicher Abfall / Output bzw. Umsatz.</x:v>
      </x:c>
      <x:c r="Z304" s="14" t="str">
        <x:v>Primärdaten plus repräsentativer, versionierter Benchmarkdatensatz; Stichprobe und Population offenlegen</x:v>
      </x:c>
      <x:c r="AA304" s="14" t="str">
        <x:v>Messwert-Assurance und unabhängige Benchmark-Governance</x:v>
      </x:c>
      <x:c r="AB304" s="14" t="str">
        <x:v>Prüfung/Parametrisierung erforderlich</x:v>
      </x:c>
      <x:c r="AC304" s="14" t="str">
        <x:v>Hoch</x:v>
      </x:c>
      <x:c r="AD304" s="14" t="str">
        <x:v>Top-10-Prozent, Mittelwert, 150 % und 250 % müssen aus einer dokumentierten Grundgesamtheit stammen.</x:v>
      </x:c>
      <x:c r="AE304" s="14" t="str">
        <x:v>v1.4</x:v>
      </x:c>
      <x:c r="AF304" s="52" t="str">
        <x:v>2026-08-16</x:v>
      </x:c>
      <x:c r="AG304" s="52"/>
    </x:row>
    <x:row r="305" ht="42" customHeight="1">
      <x:c r="A305" s="14" t="str">
        <x:v>WOK-E-170</x:v>
      </x:c>
      <x:c r="B305" s="14" t="str">
        <x:v>SDG 12 – Konsum/Produktion</x:v>
      </x:c>
      <x:c r="C305" s="14" t="str">
        <x:v>12.5</x:v>
      </x:c>
      <x:c r="D305" s="14" t="str">
        <x:v>Abfallvermeidung</x:v>
      </x:c>
      <x:c r="E305" s="14" t="str">
        <x:v>Abfallvermeidung – Abfallintensität</x:v>
      </x:c>
      <x:c r="F305" s="14" t="str">
        <x:v>Abfallmenge je Output</x:v>
      </x:c>
      <x:c r="G305" s="14" t="str">
        <x:v>kg/t</x:v>
      </x:c>
      <x:c r="H305" s="14" t="str">
        <x:v>lower_is_better</x:v>
      </x:c>
      <x:c r="I305" s="14" t="str">
        <x:v>R06</x:v>
      </x:c>
      <x:c r="J305" s="14" t="str">
        <x:v>Top‑10%:+3; Mittel:0; &gt;150%:‑2; &gt;250%:‑3</x:v>
      </x:c>
      <x:c r="K305" s="14" t="str">
        <x:v>Benchmarkabhängig</x:v>
      </x:c>
      <x:c r="L305" s="14" t="str">
        <x:v>Validierter Benchmark fehlt</x:v>
      </x:c>
      <x:c r="M305" s="14" t="str">
        <x:v>Branche/Region/Technologie</x:v>
      </x:c>
      <x:c r="N305" s="14" t="str">
        <x:v>Ja</x:v>
      </x:c>
      <x:c r="O305" s="14" t="str">
        <x:v>ESRS E5; GRI 306/301</x:v>
      </x:c>
      <x:c r="P305" s="14" t="str">
        <x:v>ESRS E5, GRI 306, WEEE/VerpackG</x:v>
      </x:c>
      <x:c r="Q305" s="14" t="str">
        <x:v>Mess-/Methodenrahmen; aktiver Branchen-/Regional-/Technologiebenchmark separat erforderlich</x:v>
      </x:c>
      <x:c r="R305" s="14" t="str">
        <x:v>Teilbelegt – Benchmarkquelle fehlt</x:v>
      </x:c>
      <x:c r="S305" s="14" t="str">
        <x:v>EU-ESRS; GRI</x:v>
      </x:c>
      <x:c r="T305" s="14" t="str">
        <x:v>C20 Chemie; C24 Stahl; C29 Fahrzeuge</x:v>
      </x:c>
      <x:c r="U305" s="14" t="str">
        <x:v>Legacy / nicht explizit versioniert</x:v>
      </x:c>
      <x:c r="V305" s="51" t="str"/>
      <x:c r="W305" s="14" t="str">
        <x:v>Migration auf NACE Rev. 2.1 erforderlich</x:v>
      </x:c>
      <x:c r="X305" s="14" t="str">
        <x:v>Standort/Prozess/Aktivität; Bezugsgröße und relevante Umweltmedien</x:v>
      </x:c>
      <x:c r="Y305" s="14" t="str">
        <x:v>Siehe Quelle: Definition gemäß Standard (ESRS/GRI/Taxonomie/ISO).</x:v>
      </x:c>
      <x:c r="Z305" s="14" t="str">
        <x:v>Primärdaten plus repräsentativer, versionierter Benchmarkdatensatz; Stichprobe und Population offenlegen</x:v>
      </x:c>
      <x:c r="AA305" s="14" t="str">
        <x:v>Messwert-Assurance und unabhängige Benchmark-Governance</x:v>
      </x:c>
      <x:c r="AB305" s="14" t="str">
        <x:v>Prüfung/Parametrisierung erforderlich</x:v>
      </x:c>
      <x:c r="AC305" s="14" t="str">
        <x:v>Hoch</x:v>
      </x:c>
      <x:c r="AD305" s="14" t="str">
        <x:v>Top-10-Prozent, Mittelwert, 150 % und 250 % müssen aus einer dokumentierten Grundgesamtheit stammen.</x:v>
      </x:c>
      <x:c r="AE305" s="14" t="str">
        <x:v>v1.4</x:v>
      </x:c>
      <x:c r="AF305" s="52" t="str">
        <x:v>2026-08-16</x:v>
      </x:c>
      <x:c r="AG305" s="52"/>
    </x:row>
    <x:row r="306" ht="42" customHeight="1">
      <x:c r="A306" s="14" t="str">
        <x:v>WOK-E-171</x:v>
      </x:c>
      <x:c r="B306" s="14" t="str">
        <x:v>SDG 12 – Konsum/Produktion</x:v>
      </x:c>
      <x:c r="C306" s="14" t="str">
        <x:v>12.5</x:v>
      </x:c>
      <x:c r="D306" s="14" t="str">
        <x:v>Abfallvermeidung</x:v>
      </x:c>
      <x:c r="E306" s="14" t="str">
        <x:v>Abfallvermeidung – Recyclingquote</x:v>
      </x:c>
      <x:c r="F306" s="14" t="str">
        <x:v>Anteil verwerteter Abfälle</x:v>
      </x:c>
      <x:c r="G306" s="14" t="str">
        <x:v>%</x:v>
      </x:c>
      <x:c r="H306" s="14" t="str">
        <x:v>higher_is_better</x:v>
      </x:c>
      <x:c r="I306" s="14" t="str">
        <x:v>R25</x:v>
      </x:c>
      <x:c r="J306" s="14" t="str">
        <x:v>≥90%:+3; 70–89%:+2; 50–69%:0; 30–49%:‑2; &lt;30%:‑3</x:v>
      </x:c>
      <x:c r="K306" s="14" t="str">
        <x:v>Feste WÖk-Kalibrierung</x:v>
      </x:c>
      <x:c r="L306" s="14" t="str">
        <x:v>Arbeitskalibrierung – fachlich zu validieren</x:v>
      </x:c>
      <x:c r="M306" s="14" t="str">
        <x:v>WÖk-interne Klassenlogik</x:v>
      </x:c>
      <x:c r="N306" s="14" t="str">
        <x:v>Optional/Nein</x:v>
      </x:c>
      <x:c r="O306" s="14" t="str">
        <x:v>ESRS E5; GRI 306/301</x:v>
      </x:c>
      <x:c r="P306" s="14" t="str">
        <x:v>ESRS E5, GRI 306, WEEE/VerpackG</x:v>
      </x:c>
      <x:c r="Q306" s="14" t="str">
        <x:v>Mess-, Berichts- oder Managementrahmen; Schwellen sind grundsätzlich WÖk-Kalibrierungen</x:v>
      </x:c>
      <x:c r="R306" s="14" t="str">
        <x:v>Messgrundlage belegt; Schwellenkalibrierung offen</x:v>
      </x:c>
      <x:c r="S306" s="14" t="str">
        <x:v>EU-ESRS; GRI</x:v>
      </x:c>
      <x:c r="T306" s="14" t="str">
        <x:v>C20 Chemie; C24 Stahl; C29 Fahrzeuge</x:v>
      </x:c>
      <x:c r="U306" s="14" t="str">
        <x:v>Legacy / nicht explizit versioniert</x:v>
      </x:c>
      <x:c r="V306" s="51" t="str"/>
      <x:c r="W306" s="14" t="str">
        <x:v>Migration auf NACE Rev. 2.1 erforderlich</x:v>
      </x:c>
      <x:c r="X306" s="14" t="str">
        <x:v>Standort/Prozess/Aktivität; Bezugsgröße und relevante Umweltmedien</x:v>
      </x:c>
      <x:c r="Y306" s="14" t="str">
        <x:v>Recyclingquote = stofflich verwertete Menge / Gesamtabfall.</x:v>
      </x:c>
      <x:c r="Z306" s="14" t="str">
        <x:v>Primärdaten bevorzugt; Sekundärdaten nur transparent und versioniert; Methode und Systemgrenze dokumentieren</x:v>
      </x:c>
      <x:c r="AA306" s="14" t="str">
        <x:v>Limited Assurance; risikobasiert höhere Prüftiefe</x:v>
      </x:c>
      <x:c r="AB306" s="14" t="str">
        <x:v>Strukturell nutzbar; Schwellen fachlich zu validieren</x:v>
      </x:c>
      <x:c r="AC306" s="14" t="str">
        <x:v>Mittel</x:v>
      </x:c>
      <x:c r="AD306" s="14" t="str">
        <x:v>Vollständige fünfstufige Prozentregel.</x:v>
      </x:c>
      <x:c r="AE306" s="14" t="str">
        <x:v>v1.4</x:v>
      </x:c>
      <x:c r="AF306" s="52" t="str">
        <x:v>2026-08-16</x:v>
      </x:c>
      <x:c r="AG306" s="52"/>
    </x:row>
    <x:row r="307" ht="42" customHeight="1">
      <x:c r="A307" s="14" t="str">
        <x:v>WOK-E-172</x:v>
      </x:c>
      <x:c r="B307" s="14" t="str">
        <x:v>SDG 12 – Konsum/Produktion</x:v>
      </x:c>
      <x:c r="C307" s="14" t="str">
        <x:v>12.5</x:v>
      </x:c>
      <x:c r="D307" s="14" t="str">
        <x:v>Abfallvermeidung</x:v>
      </x:c>
      <x:c r="E307" s="14" t="str">
        <x:v>Abfallvermeidung – Gefährlicher Abfall</x:v>
      </x:c>
      <x:c r="F307" s="14" t="str">
        <x:v>Gefährlicher Abfall je Output</x:v>
      </x:c>
      <x:c r="G307" s="14" t="str">
        <x:v>kg/t</x:v>
      </x:c>
      <x:c r="H307" s="14" t="str">
        <x:v>lower_is_better</x:v>
      </x:c>
      <x:c r="I307" s="14" t="str">
        <x:v>R06</x:v>
      </x:c>
      <x:c r="J307" s="14" t="str">
        <x:v>Top‑10%:+3; Mittel:0; &gt;150%:‑2; &gt;250%:‑3</x:v>
      </x:c>
      <x:c r="K307" s="14" t="str">
        <x:v>Benchmarkabhängig</x:v>
      </x:c>
      <x:c r="L307" s="14" t="str">
        <x:v>Validierter Benchmark fehlt</x:v>
      </x:c>
      <x:c r="M307" s="14" t="str">
        <x:v>Branche/Region/Technologie</x:v>
      </x:c>
      <x:c r="N307" s="14" t="str">
        <x:v>Ja</x:v>
      </x:c>
      <x:c r="O307" s="14" t="str">
        <x:v>ESRS E5; GRI 306/301</x:v>
      </x:c>
      <x:c r="P307" s="14" t="str">
        <x:v>ESRS E5, GRI 306, WEEE/VerpackG</x:v>
      </x:c>
      <x:c r="Q307" s="14" t="str">
        <x:v>Mess-/Methodenrahmen; aktiver Branchen-/Regional-/Technologiebenchmark separat erforderlich</x:v>
      </x:c>
      <x:c r="R307" s="14" t="str">
        <x:v>Teilbelegt – Benchmarkquelle fehlt</x:v>
      </x:c>
      <x:c r="S307" s="14" t="str">
        <x:v>EU-ESRS; GRI</x:v>
      </x:c>
      <x:c r="T307" s="14" t="str">
        <x:v>C20 Chemie; C24 Stahl; C29 Fahrzeuge</x:v>
      </x:c>
      <x:c r="U307" s="14" t="str">
        <x:v>Legacy / nicht explizit versioniert</x:v>
      </x:c>
      <x:c r="V307" s="51" t="str"/>
      <x:c r="W307" s="14" t="str">
        <x:v>Migration auf NACE Rev. 2.1 erforderlich</x:v>
      </x:c>
      <x:c r="X307" s="14" t="str">
        <x:v>Standort/Prozess/Aktivität; Bezugsgröße und relevante Umweltmedien</x:v>
      </x:c>
      <x:c r="Y307" s="14" t="str">
        <x:v>Gefährlicher Abfall‑Intensität = Gefährlicher Abfall / Output bzw. Umsatz.</x:v>
      </x:c>
      <x:c r="Z307" s="14" t="str">
        <x:v>Primärdaten plus repräsentativer, versionierter Benchmarkdatensatz; Stichprobe und Population offenlegen</x:v>
      </x:c>
      <x:c r="AA307" s="14" t="str">
        <x:v>Messwert-Assurance und unabhängige Benchmark-Governance</x:v>
      </x:c>
      <x:c r="AB307" s="14" t="str">
        <x:v>Prüfung/Parametrisierung erforderlich</x:v>
      </x:c>
      <x:c r="AC307" s="14" t="str">
        <x:v>Hoch</x:v>
      </x:c>
      <x:c r="AD307" s="14" t="str">
        <x:v>Top-10-Prozent, Mittelwert, 150 % und 250 % müssen aus einer dokumentierten Grundgesamtheit stammen.</x:v>
      </x:c>
      <x:c r="AE307" s="14" t="str">
        <x:v>v1.4</x:v>
      </x:c>
      <x:c r="AF307" s="52" t="str">
        <x:v>2026-08-16</x:v>
      </x:c>
      <x:c r="AG307" s="52"/>
    </x:row>
    <x:row r="308" ht="42" customHeight="1">
      <x:c r="A308" s="14" t="str">
        <x:v>WOK-P-122</x:v>
      </x:c>
      <x:c r="B308" s="14" t="str">
        <x:v>SDG 12 – Konsum/Produktion</x:v>
      </x:c>
      <x:c r="C308" s="14" t="str">
        <x:v>12.5</x:v>
      </x:c>
      <x:c r="D308" s="14" t="str">
        <x:v>PCF/Reparierbarkeit/Rücknahme</x:v>
      </x:c>
      <x:c r="E308" s="14" t="str">
        <x:v>PCF/Reparierbarkeit/Rücknahme – PCF</x:v>
      </x:c>
      <x:c r="F308" s="14" t="str">
        <x:v>CO₂‑Fußabdruck pro Einheit</x:v>
      </x:c>
      <x:c r="G308" s="14" t="str">
        <x:v>kg CO₂e/Einheit</x:v>
      </x:c>
      <x:c r="H308" s="14" t="str">
        <x:v>lower_is_better</x:v>
      </x:c>
      <x:c r="I308" s="14" t="str">
        <x:v>R07</x:v>
      </x:c>
      <x:c r="J308" s="14" t="str">
        <x:v>Top‑10%:+3; ±Benchmark:0; &gt;150%:‑2; &gt;250%:‑3</x:v>
      </x:c>
      <x:c r="K308" s="14" t="str">
        <x:v>Benchmarkabhängig</x:v>
      </x:c>
      <x:c r="L308" s="14" t="str">
        <x:v>Validierter Benchmark fehlt</x:v>
      </x:c>
      <x:c r="M308" s="14" t="str">
        <x:v>Produktgruppe/Region/Technologie</x:v>
      </x:c>
      <x:c r="N308" s="14" t="str">
        <x:v>Ja</x:v>
      </x:c>
      <x:c r="O308" s="14" t="str">
        <x:v>ISO 14067; ESRS E5; GRI 306/301; WEEE/VerpackG</x:v>
      </x:c>
      <x:c r="P308" s="14" t="str">
        <x:v>ESRS E5, GRI 306, WEEE/VerpackG</x:v>
      </x:c>
      <x:c r="Q308" s="14" t="str">
        <x:v>Mess-/Methodenrahmen; aktiver Branchen-/Regional-/Technologiebenchmark separat erforderlich</x:v>
      </x:c>
      <x:c r="R308" s="14" t="str">
        <x:v>Teilbelegt – Benchmarkquelle fehlt</x:v>
      </x:c>
      <x:c r="S308" s="14" t="str">
        <x:v>ISO-14067; EU-ESRS; GRI; EU-WEEE; DE-VERPACKG; EU-PPWR</x:v>
      </x:c>
      <x:c r="T308" s="14" t="str">
        <x:v>C20 Chemie; C24 Stahl; C29 Fahrzeuge</x:v>
      </x:c>
      <x:c r="U308" s="14" t="str">
        <x:v>Legacy / nicht explizit versioniert</x:v>
      </x:c>
      <x:c r="V308" s="51" t="str"/>
      <x:c r="W308" s="14" t="str">
        <x:v>Migration auf NACE Rev. 2.1 erforderlich</x:v>
      </x:c>
      <x:c r="X308" s="14" t="str">
        <x:v>Produkt/Funktionseinheit; Lebenszyklusgrenze mindestens cradle-to-gate, bei Nutzungs-/End-of-Life-Relevanz cradle-to-grave</x:v>
      </x:c>
      <x:c r="Y308" s="14" t="str">
        <x:v>PCF gemäß ISO 14067/PEF; Well‑to‑Gate + Nutzung falls zutreffend.</x:v>
      </x:c>
      <x:c r="Z308" s="14" t="str">
        <x:v>Primärdaten plus repräsentativer, versionierter Benchmarkdatensatz; Stichprobe und Population offenlegen</x:v>
      </x:c>
      <x:c r="AA308" s="14" t="str">
        <x:v>Messwert-Assurance und unabhängige Benchmark-Governance</x:v>
      </x:c>
      <x:c r="AB308" s="14" t="str">
        <x:v>Prüfung/Parametrisierung erforderlich</x:v>
      </x:c>
      <x:c r="AC308" s="14" t="str">
        <x:v>Hoch</x:v>
      </x:c>
      <x:c r="AD308" s="14" t="str">
        <x:v>Produktspezifische Referenzpopulation erforderlich.</x:v>
      </x:c>
      <x:c r="AE308" s="14" t="str">
        <x:v>v1.4</x:v>
      </x:c>
      <x:c r="AF308" s="52" t="str">
        <x:v>2026-08-16</x:v>
      </x:c>
      <x:c r="AG308" s="52"/>
    </x:row>
    <x:row r="309" ht="42" customHeight="1">
      <x:c r="A309" s="14" t="str">
        <x:v>WOK-P-123</x:v>
      </x:c>
      <x:c r="B309" s="14" t="str">
        <x:v>SDG 12 – Konsum/Produktion</x:v>
      </x:c>
      <x:c r="C309" s="14" t="str">
        <x:v>12.5</x:v>
      </x:c>
      <x:c r="D309" s="14" t="str">
        <x:v>PCF/Reparierbarkeit/Rücknahme</x:v>
      </x:c>
      <x:c r="E309" s="14" t="str">
        <x:v>PCF/Reparierbarkeit/Rücknahme – Reparierbarkeit</x:v>
      </x:c>
      <x:c r="F309" s="14" t="str">
        <x:v>Reparierbarkeitsindex</x:v>
      </x:c>
      <x:c r="G309" s="14" t="str">
        <x:v>Score 0–10</x:v>
      </x:c>
      <x:c r="H309" s="14" t="str">
        <x:v>higher_is_better</x:v>
      </x:c>
      <x:c r="I309" s="14" t="str">
        <x:v>R24</x:v>
      </x:c>
      <x:c r="J309" s="14" t="str">
        <x:v>≥8:+3; 6–7,9:+2; 4–5,9:0; 2–3,9:‑2; &lt;2:‑3</x:v>
      </x:c>
      <x:c r="K309" s="14" t="str">
        <x:v>Produktspezifische Indexkalibrierung</x:v>
      </x:c>
      <x:c r="L309" s="14" t="str">
        <x:v>Indexsystem und Produktgruppe müssen ausgewiesen werden</x:v>
      </x:c>
      <x:c r="M309" s="14" t="str">
        <x:v>FR-/EU-Reparierbarkeitssystem je Produktgruppe</x:v>
      </x:c>
      <x:c r="N309" s="14" t="str">
        <x:v>Optional/Nein</x:v>
      </x:c>
      <x:c r="O309" s="14" t="str">
        <x:v>EU/FR Index</x:v>
      </x:c>
      <x:c r="P309" s="14" t="str">
        <x:v>ESRS E5, GRI 306, WEEE/VerpackG</x:v>
      </x:c>
      <x:c r="Q309" s="14" t="str">
        <x:v>Produktspezifischer Rechts-/Indexrahmen; System und Produktgruppe explizit auswählen</x:v>
      </x:c>
      <x:c r="R309" s="14" t="str">
        <x:v>Teilbelegt – produktspezifisch zu validieren</x:v>
      </x:c>
      <x:c r="S309" s="14" t="str">
        <x:v>FR-REPAIR; EU-REPAIR; EU-ESPR</x:v>
      </x:c>
      <x:c r="T309" s="14" t="str">
        <x:v>C20 Chemie; C24 Stahl; C29 Fahrzeuge</x:v>
      </x:c>
      <x:c r="U309" s="14" t="str">
        <x:v>Legacy / nicht explizit versioniert</x:v>
      </x:c>
      <x:c r="V309" s="51" t="str"/>
      <x:c r="W309" s="14" t="str">
        <x:v>Migration auf NACE Rev. 2.1 erforderlich</x:v>
      </x:c>
      <x:c r="X309" s="14" t="str">
        <x:v>Produkt/Funktionseinheit; Lebenszyklusgrenze mindestens cradle-to-gate, bei Nutzungs-/End-of-Life-Relevanz cradle-to-grave</x:v>
      </x:c>
      <x:c r="Y309" s="14" t="str">
        <x:v>PCF gemäß ISO 14067/PEF; Well‑to‑Gate + Nutzung falls zutreffend.</x:v>
      </x:c>
      <x:c r="Z309" s="14" t="str">
        <x:v>Primärdaten oder qualitätsgesicherte Sekundärdaten; Methode, Zeitraum und Systemgrenze dokumentieren</x:v>
      </x:c>
      <x:c r="AA309" s="14" t="str">
        <x:v>Limited Assurance; bei materieller Steuerwirkung risikobasiert vertiefen</x:v>
      </x:c>
      <x:c r="AB309" s="14" t="str">
        <x:v>Produktspezifische bzw. lokale Prüfung erforderlich</x:v>
      </x:c>
      <x:c r="AC309" s="14" t="str">
        <x:v>Hoch</x:v>
      </x:c>
      <x:c r="AD309" s="14" t="str">
        <x:v>Indexsystem, Produktgruppe und Rechtsstand festlegen. Französischer Index und EU-Score sind nicht pauschal austauschbar.</x:v>
      </x:c>
      <x:c r="AE309" s="14" t="str">
        <x:v>v1.4</x:v>
      </x:c>
      <x:c r="AF309" s="52" t="str">
        <x:v>2026-08-16</x:v>
      </x:c>
      <x:c r="AG309" s="52"/>
    </x:row>
    <x:row r="310" ht="42" customHeight="1">
      <x:c r="A310" s="14" t="str">
        <x:v>WOK-P-124</x:v>
      </x:c>
      <x:c r="B310" s="14" t="str">
        <x:v>SDG 12 – Konsum/Produktion</x:v>
      </x:c>
      <x:c r="C310" s="14" t="str">
        <x:v>12.5</x:v>
      </x:c>
      <x:c r="D310" s="14" t="str">
        <x:v>PCF/Reparierbarkeit/Rücknahme</x:v>
      </x:c>
      <x:c r="E310" s="14" t="str">
        <x:v>PCF/Reparierbarkeit/Rücknahme – Rücknahme/Recycling</x:v>
      </x:c>
      <x:c r="F310" s="14" t="str">
        <x:v>Rücknahme‑/Recyclingquote</x:v>
      </x:c>
      <x:c r="G310" s="14" t="str">
        <x:v>%</x:v>
      </x:c>
      <x:c r="H310" s="14" t="str">
        <x:v>higher_is_better</x:v>
      </x:c>
      <x:c r="I310" s="14" t="str">
        <x:v>R22</x:v>
      </x:c>
      <x:c r="J310" s="14" t="str">
        <x:v>≥70:+3; 50–69:+2; 30–49:0; 15–29:‑2; &lt;15:‑3</x:v>
      </x:c>
      <x:c r="K310" s="14" t="str">
        <x:v>Feste WÖk-Kalibrierung</x:v>
      </x:c>
      <x:c r="L310" s="14" t="str">
        <x:v>Arbeitskalibrierung – fachlich zu validieren</x:v>
      </x:c>
      <x:c r="M310" s="14" t="str">
        <x:v>WÖk-interne Klassenlogik</x:v>
      </x:c>
      <x:c r="N310" s="14" t="str">
        <x:v>Optional/Nein</x:v>
      </x:c>
      <x:c r="O310" s="14" t="str">
        <x:v>ESRS E5; GRI 306/301; WEEE/VerpackG</x:v>
      </x:c>
      <x:c r="P310" s="14" t="str">
        <x:v>ESRS E5, GRI 306, WEEE/VerpackG</x:v>
      </x:c>
      <x:c r="Q310" s="14" t="str">
        <x:v>Mess-, Berichts- oder Managementrahmen; Schwellen sind grundsätzlich WÖk-Kalibrierungen</x:v>
      </x:c>
      <x:c r="R310" s="14" t="str">
        <x:v>Messgrundlage belegt; Schwellenkalibrierung offen</x:v>
      </x:c>
      <x:c r="S310" s="14" t="str">
        <x:v>EU-ESRS; GRI; EU-WEEE; DE-VERPACKG; EU-PPWR</x:v>
      </x:c>
      <x:c r="T310" s="14" t="str">
        <x:v>C20 Chemie; C24 Stahl; C29 Fahrzeuge</x:v>
      </x:c>
      <x:c r="U310" s="14" t="str">
        <x:v>Legacy / nicht explizit versioniert</x:v>
      </x:c>
      <x:c r="V310" s="51" t="str"/>
      <x:c r="W310" s="14" t="str">
        <x:v>Migration auf NACE Rev. 2.1 erforderlich</x:v>
      </x:c>
      <x:c r="X310" s="14" t="str">
        <x:v>Produkt/Funktionseinheit; Lebenszyklusgrenze mindestens cradle-to-gate, bei Nutzungs-/End-of-Life-Relevanz cradle-to-grave</x:v>
      </x:c>
      <x:c r="Y310" s="14" t="str">
        <x:v>PCF gemäß ISO 14067/PEF; Well‑to‑Gate + Nutzung falls zutreffend.</x:v>
      </x:c>
      <x:c r="Z310" s="14" t="str">
        <x:v>Primärdaten bevorzugt; Sekundärdaten nur transparent und versioniert; Methode und Systemgrenze dokumentieren</x:v>
      </x:c>
      <x:c r="AA310" s="14" t="str">
        <x:v>Limited Assurance; risikobasiert höhere Prüftiefe</x:v>
      </x:c>
      <x:c r="AB310" s="14" t="str">
        <x:v>Strukturell nutzbar; Schwellen fachlich zu validieren</x:v>
      </x:c>
      <x:c r="AC310" s="14" t="str">
        <x:v>Mittel</x:v>
      </x:c>
      <x:c r="AD310" s="14" t="str">
        <x:v>Vollständige fünfstufige numerische Regel.</x:v>
      </x:c>
      <x:c r="AE310" s="14" t="str">
        <x:v>v1.4</x:v>
      </x:c>
      <x:c r="AF310" s="52" t="str">
        <x:v>2026-08-16</x:v>
      </x:c>
      <x:c r="AG310" s="52"/>
    </x:row>
    <x:row r="311" ht="42" customHeight="1">
      <x:c r="A311" s="14" t="str">
        <x:v>WOK-SC-125</x:v>
      </x:c>
      <x:c r="B311" s="14" t="str">
        <x:v>SDG 12 – Konsum/Produktion</x:v>
      </x:c>
      <x:c r="C311" s="14" t="str">
        <x:v>12.5</x:v>
      </x:c>
      <x:c r="D311" s="14" t="str">
        <x:v>Lieferkette – Zirkularität</x:v>
      </x:c>
      <x:c r="E311" s="14" t="str">
        <x:v>Lieferkette – Zirkularität – ESG‑Spend‑Coverage</x:v>
      </x:c>
      <x:c r="F311" s="14" t="str">
        <x:v>Anteil verifizierter ESG‑Daten am Spend</x:v>
      </x:c>
      <x:c r="G311" s="14" t="str">
        <x:v>%</x:v>
      </x:c>
      <x:c r="H311" s="14" t="str">
        <x:v>higher_is_better</x:v>
      </x:c>
      <x:c r="I311" s="14" t="str">
        <x:v>R26</x:v>
      </x:c>
      <x:c r="J311" s="14" t="str">
        <x:v>≥90:+3; 70–89:+2; 50–69:0; 30–49:‑2; &lt;30:‑3</x:v>
      </x:c>
      <x:c r="K311" s="14" t="str">
        <x:v>Feste WÖk-Kalibrierung</x:v>
      </x:c>
      <x:c r="L311" s="14" t="str">
        <x:v>Arbeitskalibrierung – fachlich zu validieren</x:v>
      </x:c>
      <x:c r="M311" s="14" t="str">
        <x:v>WÖk-interne Klassenlogik</x:v>
      </x:c>
      <x:c r="N311" s="14" t="str">
        <x:v>Optional/Nein</x:v>
      </x:c>
      <x:c r="O311" s="14" t="str">
        <x:v>ESRS S2; GRI 308/414/408/409</x:v>
      </x:c>
      <x:c r="P311" s="14" t="str">
        <x:v>ESRS S2, GRI 308/414, OECD Due Diligence</x:v>
      </x:c>
      <x:c r="Q311" s="14" t="str">
        <x:v>Mess-, Berichts- oder Managementrahmen; Schwellen sind grundsätzlich WÖk-Kalibrierungen</x:v>
      </x:c>
      <x:c r="R311" s="14" t="str">
        <x:v>Messgrundlage belegt; Schwellenkalibrierung offen</x:v>
      </x:c>
      <x:c r="S311" s="14" t="str">
        <x:v>EU-ESRS; GRI; OECD-DD; ILO-CORE</x:v>
      </x:c>
      <x:c r="T311" s="14" t="str">
        <x:v>C20 Chemie; C24 Stahl; C29 Fahrzeuge</x:v>
      </x:c>
      <x:c r="U311" s="14" t="str">
        <x:v>Legacy / nicht explizit versioniert</x:v>
      </x:c>
      <x:c r="V311" s="51" t="str"/>
      <x:c r="W311" s="14" t="str">
        <x:v>Migration auf NACE Rev. 2.1 erforderlich</x:v>
      </x:c>
      <x:c r="X311" s="14" t="str">
        <x:v>Vorgelagerte Lieferkette; relevante Tier-Stufen und Beschaffungsvolumen</x:v>
      </x:c>
      <x:c r="Y311" s="14" t="str">
        <x:v>Quote = Zähler / Nenner gemäß Quelle; in %.</x:v>
      </x:c>
      <x:c r="Z311" s="14" t="str">
        <x:v>Primärdaten bevorzugt; Sekundärdaten nur transparent und versioniert; Methode und Systemgrenze dokumentieren</x:v>
      </x:c>
      <x:c r="AA311" s="14" t="str">
        <x:v>Limited Assurance; risikobasiert höhere Prüftiefe</x:v>
      </x:c>
      <x:c r="AB311" s="14" t="str">
        <x:v>Strukturell nutzbar; Schwellen fachlich zu validieren</x:v>
      </x:c>
      <x:c r="AC311" s="14" t="str">
        <x:v>Mittel</x:v>
      </x:c>
      <x:c r="AD311" s="14" t="str">
        <x:v>Vollständige fünfstufige numerische Regel.</x:v>
      </x:c>
      <x:c r="AE311" s="14" t="str">
        <x:v>v1.4</x:v>
      </x:c>
      <x:c r="AF311" s="52" t="str">
        <x:v>2026-08-16</x:v>
      </x:c>
      <x:c r="AG311" s="52"/>
    </x:row>
    <x:row r="312" ht="42" customHeight="1">
      <x:c r="A312" s="14" t="str">
        <x:v>WOK-SC-126</x:v>
      </x:c>
      <x:c r="B312" s="14" t="str">
        <x:v>SDG 12 – Konsum/Produktion</x:v>
      </x:c>
      <x:c r="C312" s="14" t="str">
        <x:v>12.5</x:v>
      </x:c>
      <x:c r="D312" s="14" t="str">
        <x:v>Lieferkette – Zirkularität</x:v>
      </x:c>
      <x:c r="E312" s="14" t="str">
        <x:v>Lieferkette – Zirkularität – Kinder/Zwangsarbeit</x:v>
      </x:c>
      <x:c r="F312" s="14" t="str">
        <x:v>Audits ohne Verstöße</x:v>
      </x:c>
      <x:c r="G312" s="14" t="str">
        <x:v>% Lieferanten</x:v>
      </x:c>
      <x:c r="H312" s="14" t="str">
        <x:v>higher_is_better</x:v>
      </x:c>
      <x:c r="I312" s="14" t="str">
        <x:v>R28</x:v>
      </x:c>
      <x:c r="J312" s="14" t="str">
        <x:v>≥98:+3; 90–97:+2; 75–89:0; 50–74:‑2; &lt;50:‑3</x:v>
      </x:c>
      <x:c r="K312" s="14" t="str">
        <x:v>Feste WÖk-Kalibrierung</x:v>
      </x:c>
      <x:c r="L312" s="14" t="str">
        <x:v>Arbeitskalibrierung – fachlich zu validieren</x:v>
      </x:c>
      <x:c r="M312" s="14" t="str">
        <x:v>WÖk-interne Klassenlogik</x:v>
      </x:c>
      <x:c r="N312" s="14" t="str">
        <x:v>Optional/Nein</x:v>
      </x:c>
      <x:c r="O312" s="14" t="str">
        <x:v>ESRS S2; GRI 308/414/408/409</x:v>
      </x:c>
      <x:c r="P312" s="14" t="str">
        <x:v>ESRS S2, GRI 308/414, OECD Due Diligence</x:v>
      </x:c>
      <x:c r="Q312" s="14" t="str">
        <x:v>Mess-, Berichts- oder Managementrahmen; Schwellen sind grundsätzlich WÖk-Kalibrierungen</x:v>
      </x:c>
      <x:c r="R312" s="14" t="str">
        <x:v>Messgrundlage belegt; Schwellenkalibrierung offen</x:v>
      </x:c>
      <x:c r="S312" s="14" t="str">
        <x:v>EU-ESRS; GRI; OECD-DD; ILO-CORE</x:v>
      </x:c>
      <x:c r="T312" s="14" t="str">
        <x:v>C20 Chemie; C24 Stahl; C29 Fahrzeuge</x:v>
      </x:c>
      <x:c r="U312" s="14" t="str">
        <x:v>Legacy / nicht explizit versioniert</x:v>
      </x:c>
      <x:c r="V312" s="51" t="str"/>
      <x:c r="W312" s="14" t="str">
        <x:v>Migration auf NACE Rev. 2.1 erforderlich</x:v>
      </x:c>
      <x:c r="X312" s="14" t="str">
        <x:v>Vorgelagerte Lieferkette; relevante Tier-Stufen und Beschaffungsvolumen</x:v>
      </x:c>
      <x:c r="Y312" s="14" t="str">
        <x:v>Quote = Zähler / Nenner gemäß Quelle; in %.</x:v>
      </x:c>
      <x:c r="Z312" s="14" t="str">
        <x:v>Primärdaten bevorzugt; Sekundärdaten nur transparent und versioniert; Methode und Systemgrenze dokumentieren</x:v>
      </x:c>
      <x:c r="AA312" s="14" t="str">
        <x:v>Limited Assurance; risikobasiert höhere Prüftiefe</x:v>
      </x:c>
      <x:c r="AB312" s="14" t="str">
        <x:v>Strukturell nutzbar; Schwellen fachlich zu validieren</x:v>
      </x:c>
      <x:c r="AC312" s="14" t="str">
        <x:v>Mittel</x:v>
      </x:c>
      <x:c r="AD312" s="14" t="str">
        <x:v>Vollständige fünfstufige numerische Regel.</x:v>
      </x:c>
      <x:c r="AE312" s="14" t="str">
        <x:v>v1.4</x:v>
      </x:c>
      <x:c r="AF312" s="52" t="str">
        <x:v>2026-08-16</x:v>
      </x:c>
      <x:c r="AG312" s="52"/>
    </x:row>
    <x:row r="313" ht="42" customHeight="1">
      <x:c r="A313" s="14" t="str">
        <x:v>WOK-SC-127</x:v>
      </x:c>
      <x:c r="B313" s="14" t="str">
        <x:v>SDG 12 – Konsum/Produktion</x:v>
      </x:c>
      <x:c r="C313" s="14" t="str">
        <x:v>12.5</x:v>
      </x:c>
      <x:c r="D313" s="14" t="str">
        <x:v>Lieferkette – Zirkularität</x:v>
      </x:c>
      <x:c r="E313" s="14" t="str">
        <x:v>Lieferkette – Zirkularität – Scope‑3 Daten</x:v>
      </x:c>
      <x:c r="F313" s="14" t="str">
        <x:v>Primärdaten‑Abdeckung</x:v>
      </x:c>
      <x:c r="G313" s="14" t="str">
        <x:v>% Kategorien</x:v>
      </x:c>
      <x:c r="H313" s="14" t="str">
        <x:v>higher_is_better</x:v>
      </x:c>
      <x:c r="I313" s="14" t="str">
        <x:v>R23</x:v>
      </x:c>
      <x:c r="J313" s="14" t="str">
        <x:v>≥80:+3; 60–79:+2; 40–59:0; 20–39:‑2; &lt;20:‑3</x:v>
      </x:c>
      <x:c r="K313" s="14" t="str">
        <x:v>Feste WÖk-Kalibrierung</x:v>
      </x:c>
      <x:c r="L313" s="14" t="str">
        <x:v>Arbeitskalibrierung – fachlich zu validieren</x:v>
      </x:c>
      <x:c r="M313" s="14" t="str">
        <x:v>WÖk-interne Klassenlogik</x:v>
      </x:c>
      <x:c r="N313" s="14" t="str">
        <x:v>Optional/Nein</x:v>
      </x:c>
      <x:c r="O313" s="14" t="str">
        <x:v>ESRS E1; GHG Protocol</x:v>
      </x:c>
      <x:c r="P313" s="14" t="str">
        <x:v>ESRS E1, GHG Protocol (Corporate/Scope 1–3), ISO 14064/14067</x:v>
      </x:c>
      <x:c r="Q313" s="14" t="str">
        <x:v>Mess-, Berichts- oder Managementrahmen; Schwellen sind grundsätzlich WÖk-Kalibrierungen</x:v>
      </x:c>
      <x:c r="R313" s="14" t="str">
        <x:v>Messgrundlage belegt; Schwellenkalibrierung offen</x:v>
      </x:c>
      <x:c r="S313" s="14" t="str">
        <x:v>EU-ESRS; GHG-CORP; GHG-S3; GHG-PROD</x:v>
      </x:c>
      <x:c r="T313" s="14" t="str">
        <x:v>C20 Chemie; C24 Stahl; C29 Fahrzeuge</x:v>
      </x:c>
      <x:c r="U313" s="14" t="str">
        <x:v>Legacy / nicht explizit versioniert</x:v>
      </x:c>
      <x:c r="V313" s="51" t="str"/>
      <x:c r="W313" s="14" t="str">
        <x:v>Migration auf NACE Rev. 2.1 erforderlich</x:v>
      </x:c>
      <x:c r="X313" s="14" t="str">
        <x:v>Vorgelagerte Lieferkette; relevante Tier-Stufen und Beschaffungsvolumen</x:v>
      </x:c>
      <x:c r="Y313" s="14" t="str">
        <x:v>Quote = Zähler / Nenner gemäß Quelle; in %.</x:v>
      </x:c>
      <x:c r="Z313" s="14" t="str">
        <x:v>Primärdaten bevorzugt; Sekundärdaten nur transparent und versioniert; Methode und Systemgrenze dokumentieren</x:v>
      </x:c>
      <x:c r="AA313" s="14" t="str">
        <x:v>Limited Assurance; risikobasiert höhere Prüftiefe</x:v>
      </x:c>
      <x:c r="AB313" s="14" t="str">
        <x:v>Strukturell nutzbar; Schwellen fachlich zu validieren</x:v>
      </x:c>
      <x:c r="AC313" s="14" t="str">
        <x:v>Mittel</x:v>
      </x:c>
      <x:c r="AD313" s="14" t="str">
        <x:v>Vollständige fünfstufige numerische Regel.</x:v>
      </x:c>
      <x:c r="AE313" s="14" t="str">
        <x:v>v1.4</x:v>
      </x:c>
      <x:c r="AF313" s="52" t="str">
        <x:v>2026-08-16</x:v>
      </x:c>
      <x:c r="AG313" s="52"/>
    </x:row>
    <x:row r="314" ht="42" customHeight="1">
      <x:c r="A314" s="14" t="str">
        <x:v>WOK-G-161</x:v>
      </x:c>
      <x:c r="B314" s="14" t="str">
        <x:v>SDG 12 – Konsum/Produktion</x:v>
      </x:c>
      <x:c r="C314" s="14" t="str">
        <x:v>12.4</x:v>
      </x:c>
      <x:c r="D314" s="14" t="str">
        <x:v>Chemikaliensicherheit</x:v>
      </x:c>
      <x:c r="E314" s="14" t="str">
        <x:v>Chemikaliensicherheit – Antikorruption</x:v>
      </x:c>
      <x:c r="F314" s="14" t="str">
        <x:v>Bestätigte Fälle/1.000 FTE</x:v>
      </x:c>
      <x:c r="G314" s="14" t="str">
        <x:v>Fälle/1.000 FTE</x:v>
      </x:c>
      <x:c r="H314" s="14" t="str">
        <x:v>lower_is_better</x:v>
      </x:c>
      <x:c r="I314" s="14" t="str">
        <x:v>R01</x:v>
      </x:c>
      <x:c r="J314" s="14" t="str">
        <x:v>0:+3; ≤0,2:+2; ≤0,5:0; ≤1:‑2; &gt;1:‑3</x:v>
      </x:c>
      <x:c r="K314" s="14" t="str">
        <x:v>Feste WÖk-Kalibrierung</x:v>
      </x:c>
      <x:c r="L314" s="14" t="str">
        <x:v>Arbeitskalibrierung – fachlich zu validieren</x:v>
      </x:c>
      <x:c r="M314" s="14" t="str">
        <x:v>WÖk-interne Klassenlogik</x:v>
      </x:c>
      <x:c r="N314" s="14" t="str">
        <x:v>Optional/Nein</x:v>
      </x:c>
      <x:c r="O314" s="14" t="str">
        <x:v>ESRS G1; GRI 205/207</x:v>
      </x:c>
      <x:c r="P314" s="14" t="str">
        <x:v>ESRS G1, GRI 205/207, OECD Anti‑Bribery</x:v>
      </x:c>
      <x:c r="Q314" s="14" t="str">
        <x:v>Mess-, Berichts- oder Managementrahmen; Schwellen sind grundsätzlich WÖk-Kalibrierungen</x:v>
      </x:c>
      <x:c r="R314" s="14" t="str">
        <x:v>Messgrundlage belegt; Schwellenkalibrierung offen</x:v>
      </x:c>
      <x:c r="S314" s="14" t="str">
        <x:v>EU-ESRS; GRI; OECD-AB</x:v>
      </x:c>
      <x:c r="T314" s="14" t="str">
        <x:v>C20 Chemie; C24 Stahl; C29 Fahrzeuge</x:v>
      </x:c>
      <x:c r="U314" s="14" t="str">
        <x:v>Legacy / nicht explizit versioniert</x:v>
      </x:c>
      <x:c r="V314" s="51" t="str"/>
      <x:c r="W314" s="14" t="str">
        <x:v>Migration auf NACE Rev. 2.1 erforderlich</x:v>
      </x:c>
      <x:c r="X314" s="14" t="str">
        <x:v>Organisation/Governance; konsolidierter Kreis und relevante Rechtseinheiten</x:v>
      </x:c>
      <x:c r="Y314" s="14" t="str">
        <x:v>Siehe Quelle: Definition gemäß Standard (ESRS/GRI/Taxonomie/ISO).</x:v>
      </x:c>
      <x:c r="Z314" s="14" t="str">
        <x:v>Primärdaten bevorzugt; Sekundärdaten nur transparent und versioniert; Methode und Systemgrenze dokumentieren</x:v>
      </x:c>
      <x:c r="AA314" s="14" t="str">
        <x:v>Limited Assurance; risikobasiert höhere Prüftiefe</x:v>
      </x:c>
      <x:c r="AB314" s="14" t="str">
        <x:v>Strukturell nutzbar; Schwellen fachlich zu validieren</x:v>
      </x:c>
      <x:c r="AC314" s="14" t="str">
        <x:v>Mittel</x:v>
      </x:c>
      <x:c r="AD314" s="14" t="str">
        <x:v>Vollständige fünfstufige numerische Regel.</x:v>
      </x:c>
      <x:c r="AE314" s="14" t="str">
        <x:v>v1.4</x:v>
      </x:c>
      <x:c r="AF314" s="52" t="str">
        <x:v>2026-08-16</x:v>
      </x:c>
      <x:c r="AG314" s="52"/>
    </x:row>
    <x:row r="315" ht="42" customHeight="1">
      <x:c r="A315" s="14" t="str">
        <x:v>WOK-G-162</x:v>
      </x:c>
      <x:c r="B315" s="14" t="str">
        <x:v>SDG 12 – Konsum/Produktion</x:v>
      </x:c>
      <x:c r="C315" s="14" t="str">
        <x:v>12.4</x:v>
      </x:c>
      <x:c r="D315" s="14" t="str">
        <x:v>Chemikaliensicherheit</x:v>
      </x:c>
      <x:c r="E315" s="14" t="str">
        <x:v>Chemikaliensicherheit – Whistleblowing</x:v>
      </x:c>
      <x:c r="F315" s="14" t="str">
        <x:v>Wirksamkeits‑Score</x:v>
      </x:c>
      <x:c r="G315" s="14" t="str">
        <x:v>0–1</x:v>
      </x:c>
      <x:c r="H315" s="14" t="str">
        <x:v>higher_is_better</x:v>
      </x:c>
      <x:c r="I315" s="14" t="str">
        <x:v>R16</x:v>
      </x:c>
      <x:c r="J315" s="14" t="str">
        <x:v>≥0,9:+3; 0,75–0,89:+2; 0,6–0,74:0; 0,4–0,59:‑2; &lt;0,4:‑3</x:v>
      </x:c>
      <x:c r="K315" s="14" t="str">
        <x:v>Feste WÖk-Kalibrierung</x:v>
      </x:c>
      <x:c r="L315" s="14" t="str">
        <x:v>Arbeitskalibrierung – fachlich zu validieren</x:v>
      </x:c>
      <x:c r="M315" s="14" t="str">
        <x:v>WÖk-interne Klassenlogik</x:v>
      </x:c>
      <x:c r="N315" s="14" t="str">
        <x:v>Optional/Nein</x:v>
      </x:c>
      <x:c r="O315" s="14" t="str">
        <x:v>ESRS G1; GRI 205/207</x:v>
      </x:c>
      <x:c r="P315" s="14" t="str">
        <x:v>ESRS G1, GRI 205/207, OECD Anti‑Bribery</x:v>
      </x:c>
      <x:c r="Q315" s="14" t="str">
        <x:v>Mess-, Berichts- oder Managementrahmen; Schwellen sind grundsätzlich WÖk-Kalibrierungen</x:v>
      </x:c>
      <x:c r="R315" s="14" t="str">
        <x:v>Messgrundlage belegt; Schwellenkalibrierung offen</x:v>
      </x:c>
      <x:c r="S315" s="14" t="str">
        <x:v>EU-ESRS; GRI; OECD-AB</x:v>
      </x:c>
      <x:c r="T315" s="14" t="str">
        <x:v>C20 Chemie; C24 Stahl; C29 Fahrzeuge</x:v>
      </x:c>
      <x:c r="U315" s="14" t="str">
        <x:v>Legacy / nicht explizit versioniert</x:v>
      </x:c>
      <x:c r="V315" s="51" t="str"/>
      <x:c r="W315" s="14" t="str">
        <x:v>Migration auf NACE Rev. 2.1 erforderlich</x:v>
      </x:c>
      <x:c r="X315" s="14" t="str">
        <x:v>Organisation/Governance; konsolidierter Kreis und relevante Rechtseinheiten</x:v>
      </x:c>
      <x:c r="Y315" s="14" t="str">
        <x:v>Siehe Quelle: Definition gemäß Standard (ESRS/GRI/Taxonomie/ISO).</x:v>
      </x:c>
      <x:c r="Z315" s="14" t="str">
        <x:v>Primärdaten bevorzugt; Sekundärdaten nur transparent und versioniert; Methode und Systemgrenze dokumentieren</x:v>
      </x:c>
      <x:c r="AA315" s="14" t="str">
        <x:v>Limited Assurance; risikobasiert höhere Prüftiefe</x:v>
      </x:c>
      <x:c r="AB315" s="14" t="str">
        <x:v>Strukturell nutzbar; Schwellen fachlich zu validieren</x:v>
      </x:c>
      <x:c r="AC315" s="14" t="str">
        <x:v>Mittel</x:v>
      </x:c>
      <x:c r="AD315" s="14" t="str">
        <x:v>Vollständige fünfstufige numerische Regel.</x:v>
      </x:c>
      <x:c r="AE315" s="14" t="str">
        <x:v>v1.4</x:v>
      </x:c>
      <x:c r="AF315" s="52" t="str">
        <x:v>2026-08-16</x:v>
      </x:c>
      <x:c r="AG315" s="52"/>
    </x:row>
    <x:row r="316" ht="42" customHeight="1">
      <x:c r="A316" s="14" t="str">
        <x:v>WOK-G-163</x:v>
      </x:c>
      <x:c r="B316" s="14" t="str">
        <x:v>SDG 12 – Konsum/Produktion</x:v>
      </x:c>
      <x:c r="C316" s="14" t="str">
        <x:v>12.4</x:v>
      </x:c>
      <x:c r="D316" s="14" t="str">
        <x:v>Chemikaliensicherheit</x:v>
      </x:c>
      <x:c r="E316" s="14" t="str">
        <x:v>Chemikaliensicherheit – Steuertransparenz</x:v>
      </x:c>
      <x:c r="F316" s="14" t="str">
        <x:v>CbCR‑Offenlegung</x:v>
      </x:c>
      <x:c r="G316" s="14" t="str">
        <x:v>0–1</x:v>
      </x:c>
      <x:c r="H316" s="14" t="str">
        <x:v>higher_is_better</x:v>
      </x:c>
      <x:c r="I316" s="14" t="str">
        <x:v>R08</x:v>
      </x:c>
      <x:c r="J316" s="14" t="str">
        <x:v>vollständig:+3; teilweise:+2; minimal:0; schlecht:‑2</x:v>
      </x:c>
      <x:c r="K316" s="14" t="str">
        <x:v>Qualitativ</x:v>
      </x:c>
      <x:c r="L316" s="14" t="str">
        <x:v>Assurance und Kriterienkatalog erforderlich</x:v>
      </x:c>
      <x:c r="M316" s="14" t="str">
        <x:v>WÖk-interne Kategorien</x:v>
      </x:c>
      <x:c r="N316" s="14" t="str">
        <x:v>Optional/Nein</x:v>
      </x:c>
      <x:c r="O316" s="14" t="str">
        <x:v>ESRS G1; GRI 205/207</x:v>
      </x:c>
      <x:c r="P316" s="14" t="str">
        <x:v>ESRS G1, GRI 205/207, OECD Anti‑Bribery</x:v>
      </x:c>
      <x:c r="Q316" s="14" t="str">
        <x:v>Mess-, Berichts- oder Managementrahmen; Schwellen sind grundsätzlich WÖk-Kalibrierungen</x:v>
      </x:c>
      <x:c r="R316" s="14" t="str">
        <x:v>Messgrundlage belegt; Schwellenkalibrierung offen</x:v>
      </x:c>
      <x:c r="S316" s="14" t="str">
        <x:v>EU-ESRS; GRI; OECD-AB</x:v>
      </x:c>
      <x:c r="T316" s="14" t="str">
        <x:v>C20 Chemie; C24 Stahl; C29 Fahrzeuge</x:v>
      </x:c>
      <x:c r="U316" s="14" t="str">
        <x:v>Legacy / nicht explizit versioniert</x:v>
      </x:c>
      <x:c r="V316" s="51" t="str"/>
      <x:c r="W316" s="14" t="str">
        <x:v>Migration auf NACE Rev. 2.1 erforderlich</x:v>
      </x:c>
      <x:c r="X316" s="14" t="str">
        <x:v>Organisation/Governance; konsolidierter Kreis und relevante Rechtseinheiten</x:v>
      </x:c>
      <x:c r="Y316" s="14" t="str">
        <x:v>Siehe Quelle: Definition gemäß Standard (ESRS/GRI/Taxonomie/ISO).</x:v>
      </x:c>
      <x:c r="Z316" s="14" t="str">
        <x:v>Dokumentierter Kriterienkatalog; nachvollziehbare Evidenz; DQR A/B bevorzugt</x:v>
      </x:c>
      <x:c r="AA316" s="14" t="str">
        <x:v>Unabhängige Fachprüfung/Limited Assurance; bei roten Linien Reasonable Assurance</x:v>
      </x:c>
      <x:c r="AB316" s="14" t="str">
        <x:v>Prüfung/Parametrisierung erforderlich</x:v>
      </x:c>
      <x:c r="AC316" s="14" t="str">
        <x:v>Hoch</x:v>
      </x:c>
      <x:c r="AD316" s="14" t="str">
        <x:v>Die Kategorie −3 fehlt; Vollständigkeit und Wirksamkeit sind feldspezifisch zu definieren.</x:v>
      </x:c>
      <x:c r="AE316" s="14" t="str">
        <x:v>v1.4</x:v>
      </x:c>
      <x:c r="AF316" s="52" t="str">
        <x:v>2026-08-16</x:v>
      </x:c>
      <x:c r="AG316" s="52"/>
    </x:row>
    <x:row r="317" ht="42" customHeight="1">
      <x:c r="A317" s="14" t="str">
        <x:v>WOK-E-173</x:v>
      </x:c>
      <x:c r="B317" s="14" t="str">
        <x:v>SDG 12 – Konsum/Produktion</x:v>
      </x:c>
      <x:c r="C317" s="14" t="str">
        <x:v>12.2</x:v>
      </x:c>
      <x:c r="D317" s="14" t="str">
        <x:v>Wasserintensität Produkte</x:v>
      </x:c>
      <x:c r="E317" s="14" t="str">
        <x:v>Wasserintensität Produkte – Entnahme (WSI)</x:v>
      </x:c>
      <x:c r="F317" s="14" t="str">
        <x:v>Wasserentnahme × Wasserstressindex</x:v>
      </x:c>
      <x:c r="G317" s="14" t="str">
        <x:v>m³*WSI</x:v>
      </x:c>
      <x:c r="H317" s="14" t="str">
        <x:v>lower_is_better</x:v>
      </x:c>
      <x:c r="I317" s="14" t="str">
        <x:v>R06</x:v>
      </x:c>
      <x:c r="J317" s="14" t="str">
        <x:v>Top‑10%:+3; Mittel:0; &gt;150%:‑2; &gt;250%:‑3</x:v>
      </x:c>
      <x:c r="K317" s="14" t="str">
        <x:v>Benchmarkabhängig</x:v>
      </x:c>
      <x:c r="L317" s="14" t="str">
        <x:v>Validierter Benchmark fehlt</x:v>
      </x:c>
      <x:c r="M317" s="14" t="str">
        <x:v>Branche/Region/Technologie</x:v>
      </x:c>
      <x:c r="N317" s="14" t="str">
        <x:v>Ja</x:v>
      </x:c>
      <x:c r="O317" s="14" t="str">
        <x:v>ESRS E3; WRI Aqueduct</x:v>
      </x:c>
      <x:c r="P317" s="14" t="str">
        <x:v>ESRS E3, WRI Aqueduct, ISO 14046 (Water Footprint)</x:v>
      </x:c>
      <x:c r="Q317" s="14" t="str">
        <x:v>Mess-/Methodenrahmen; aktiver Branchen-/Regional-/Technologiebenchmark separat erforderlich</x:v>
      </x:c>
      <x:c r="R317" s="14" t="str">
        <x:v>Teilbelegt – Benchmarkquelle fehlt</x:v>
      </x:c>
      <x:c r="S317" s="14" t="str">
        <x:v>EU-ESRS; WRI-AQ; ISO-14046</x:v>
      </x:c>
      <x:c r="T317" s="14" t="str">
        <x:v>C20 Chemie; C24 Stahl; C29 Fahrzeuge</x:v>
      </x:c>
      <x:c r="U317" s="14" t="str">
        <x:v>Legacy / nicht explizit versioniert</x:v>
      </x:c>
      <x:c r="V317" s="51" t="str"/>
      <x:c r="W317" s="14" t="str">
        <x:v>Migration auf NACE Rev. 2.1 erforderlich</x:v>
      </x:c>
      <x:c r="X317" s="14" t="str">
        <x:v>Standort/Prozess/Aktivität; Bezugsgröße und relevante Umweltmedien</x:v>
      </x:c>
      <x:c r="Y317" s="14" t="str">
        <x:v>∑(m³ Standort × WRI‑Aqueduct‑Stressfaktor).</x:v>
      </x:c>
      <x:c r="Z317" s="14" t="str">
        <x:v>Primärdaten plus repräsentativer, versionierter Benchmarkdatensatz; Stichprobe und Population offenlegen</x:v>
      </x:c>
      <x:c r="AA317" s="14" t="str">
        <x:v>Messwert-Assurance und unabhängige Benchmark-Governance</x:v>
      </x:c>
      <x:c r="AB317" s="14" t="str">
        <x:v>Prüfung/Parametrisierung erforderlich</x:v>
      </x:c>
      <x:c r="AC317" s="14" t="str">
        <x:v>Hoch</x:v>
      </x:c>
      <x:c r="AD317" s="14" t="str">
        <x:v>Top-10-Prozent, Mittelwert, 150 % und 250 % müssen aus einer dokumentierten Grundgesamtheit stammen.</x:v>
      </x:c>
      <x:c r="AE317" s="14" t="str">
        <x:v>v1.4</x:v>
      </x:c>
      <x:c r="AF317" s="52" t="str">
        <x:v>2026-08-16</x:v>
      </x:c>
      <x:c r="AG317" s="52"/>
    </x:row>
    <x:row r="318" ht="42" customHeight="1">
      <x:c r="A318" s="14" t="str">
        <x:v>WOK-E-174</x:v>
      </x:c>
      <x:c r="B318" s="14" t="str">
        <x:v>SDG 12 – Konsum/Produktion</x:v>
      </x:c>
      <x:c r="C318" s="14" t="str">
        <x:v>12.2</x:v>
      </x:c>
      <x:c r="D318" s="14" t="str">
        <x:v>Wasserintensität Produkte</x:v>
      </x:c>
      <x:c r="E318" s="14" t="str">
        <x:v>Wasserintensität Produkte – Reuse</x:v>
      </x:c>
      <x:c r="F318" s="14" t="str">
        <x:v>Anteil wiederverwendetes Prozesswasser</x:v>
      </x:c>
      <x:c r="G318" s="14" t="str">
        <x:v>%</x:v>
      </x:c>
      <x:c r="H318" s="14" t="str">
        <x:v>higher_is_better</x:v>
      </x:c>
      <x:c r="I318" s="14" t="str">
        <x:v>R25</x:v>
      </x:c>
      <x:c r="J318" s="14" t="str">
        <x:v>≥90%:+3; 70–89%:+2; 50–69%:0; 30–49%:‑2; &lt;30%:‑3</x:v>
      </x:c>
      <x:c r="K318" s="14" t="str">
        <x:v>Feste WÖk-Kalibrierung</x:v>
      </x:c>
      <x:c r="L318" s="14" t="str">
        <x:v>Arbeitskalibrierung – fachlich zu validieren</x:v>
      </x:c>
      <x:c r="M318" s="14" t="str">
        <x:v>WÖk-interne Klassenlogik</x:v>
      </x:c>
      <x:c r="N318" s="14" t="str">
        <x:v>Optional/Nein</x:v>
      </x:c>
      <x:c r="O318" s="14" t="str">
        <x:v>ESRS E3; WRI Aqueduct</x:v>
      </x:c>
      <x:c r="P318" s="14" t="str">
        <x:v>ESRS E3, WRI Aqueduct, ISO 14046 (Water Footprint)</x:v>
      </x:c>
      <x:c r="Q318" s="14" t="str">
        <x:v>Mess-, Berichts- oder Managementrahmen; Schwellen sind grundsätzlich WÖk-Kalibrierungen</x:v>
      </x:c>
      <x:c r="R318" s="14" t="str">
        <x:v>Messgrundlage belegt; Schwellenkalibrierung offen</x:v>
      </x:c>
      <x:c r="S318" s="14" t="str">
        <x:v>EU-ESRS; WRI-AQ; ISO-14046</x:v>
      </x:c>
      <x:c r="T318" s="14" t="str">
        <x:v>C20 Chemie; C24 Stahl; C29 Fahrzeuge</x:v>
      </x:c>
      <x:c r="U318" s="14" t="str">
        <x:v>Legacy / nicht explizit versioniert</x:v>
      </x:c>
      <x:c r="V318" s="51" t="str"/>
      <x:c r="W318" s="14" t="str">
        <x:v>Migration auf NACE Rev. 2.1 erforderlich</x:v>
      </x:c>
      <x:c r="X318" s="14" t="str">
        <x:v>Standort/Prozess/Aktivität; Bezugsgröße und relevante Umweltmedien</x:v>
      </x:c>
      <x:c r="Y318" s="14" t="str">
        <x:v>Quote = Zähler / Nenner gemäß Quelle; in %.</x:v>
      </x:c>
      <x:c r="Z318" s="14" t="str">
        <x:v>Primärdaten bevorzugt; Sekundärdaten nur transparent und versioniert; Methode und Systemgrenze dokumentieren</x:v>
      </x:c>
      <x:c r="AA318" s="14" t="str">
        <x:v>Limited Assurance; risikobasiert höhere Prüftiefe</x:v>
      </x:c>
      <x:c r="AB318" s="14" t="str">
        <x:v>Strukturell nutzbar; Schwellen fachlich zu validieren</x:v>
      </x:c>
      <x:c r="AC318" s="14" t="str">
        <x:v>Mittel</x:v>
      </x:c>
      <x:c r="AD318" s="14" t="str">
        <x:v>Vollständige fünfstufige Prozentregel.</x:v>
      </x:c>
      <x:c r="AE318" s="14" t="str">
        <x:v>v1.4</x:v>
      </x:c>
      <x:c r="AF318" s="52" t="str">
        <x:v>2026-08-16</x:v>
      </x:c>
      <x:c r="AG318" s="52"/>
    </x:row>
    <x:row r="319" ht="42" customHeight="1">
      <x:c r="A319" s="14" t="str">
        <x:v>WOK-E-175</x:v>
      </x:c>
      <x:c r="B319" s="14" t="str">
        <x:v>SDG 12 – Konsum/Produktion</x:v>
      </x:c>
      <x:c r="C319" s="14" t="str">
        <x:v>12.2</x:v>
      </x:c>
      <x:c r="D319" s="14" t="str">
        <x:v>Wasserintensität Produkte</x:v>
      </x:c>
      <x:c r="E319" s="14" t="str">
        <x:v>Wasserintensität Produkte – Abwasserqualität</x:v>
      </x:c>
      <x:c r="F319" s="14" t="str">
        <x:v>Messwert in Prozent des jeweils anwendbaren Rechts- oder Genehmigungsgrenzwerts</x:v>
      </x:c>
      <x:c r="G319" s="14" t="str">
        <x:v>% des Grenzwerts</x:v>
      </x:c>
      <x:c r="H319" s="14" t="str">
        <x:v>lower_is_better</x:v>
      </x:c>
      <x:c r="I319" s="14" t="str">
        <x:v>R12</x:v>
      </x:c>
      <x:c r="J319" s="14" t="str">
        <x:v>≤50% Grenzwert:+3; ≤75%:+2; ≤100%:0; 101–120%:‑2; &gt;120%:‑3</x:v>
      </x:c>
      <x:c r="K319" s="14" t="str">
        <x:v>Rechts-/Genehmigungsgrenze</x:v>
      </x:c>
      <x:c r="L319" s="14" t="str">
        <x:v>Rechtsfundstelle je Fall erforderlich</x:v>
      </x:c>
      <x:c r="M319" s="14" t="str">
        <x:v>Jeweils anwendbare Rechtsnorm/Genehmigung</x:v>
      </x:c>
      <x:c r="N319" s="14" t="str">
        <x:v>Optional/Nein</x:v>
      </x:c>
      <x:c r="O319" s="14" t="str">
        <x:v>ESRS E3; WRI Aqueduct</x:v>
      </x:c>
      <x:c r="P319" s="14" t="str">
        <x:v>ESRS E3, WRI Aqueduct, ISO 14046 (Water Footprint)</x:v>
      </x:c>
      <x:c r="Q319" s="14" t="str">
        <x:v>Mess-/Berichtsrahmen; konkrete Rechts- oder Genehmigungsfundstelle je Fall erforderlich</x:v>
      </x:c>
      <x:c r="R319" s="14" t="str">
        <x:v>Teilbelegt – Rechtsfundstelle je Messung fehlt</x:v>
      </x:c>
      <x:c r="S319" s="14" t="str">
        <x:v>EU-ESRS; WRI-AQ; ISO-14046</x:v>
      </x:c>
      <x:c r="T319" s="14" t="str">
        <x:v>C20 Chemie; C24 Stahl; C29 Fahrzeuge</x:v>
      </x:c>
      <x:c r="U319" s="14" t="str">
        <x:v>Legacy / nicht explizit versioniert</x:v>
      </x:c>
      <x:c r="V319" s="51" t="str"/>
      <x:c r="W319" s="14" t="str">
        <x:v>Migration auf NACE Rev. 2.1 erforderlich</x:v>
      </x:c>
      <x:c r="X319" s="14" t="str">
        <x:v>Standort/Prozess/Aktivität; Bezugsgröße und relevante Umweltmedien</x:v>
      </x:c>
      <x:c r="Y319" s="14" t="str">
        <x:v>Grenzwertquote = Messwert / anwendbarer Grenzwert × 100; Fundstelle, Einheit, Messpunkt und Zeitraum nachweisen.</x:v>
      </x:c>
      <x:c r="Z319" s="14" t="str">
        <x:v>Kalibrierter Messwert; Rechtsfundstelle, Grenzwert, Einheit, Messpunkt und Zeitraum</x:v>
      </x:c>
      <x:c r="AA319" s="14" t="str">
        <x:v>Behördlicher/akkreditierter Nachweis oder unabhängige Prüfung</x:v>
      </x:c>
      <x:c r="AB319" s="14" t="str">
        <x:v>Prüfung/Parametrisierung erforderlich</x:v>
      </x:c>
      <x:c r="AC319" s="14" t="str">
        <x:v>Hoch</x:v>
      </x:c>
      <x:c r="AD319" s="14" t="str">
        <x:v>Nicht der absolute Messwert, sondern Messwert ÷ Grenzwert × 100 wird bewertet.</x:v>
      </x:c>
      <x:c r="AE319" s="14" t="str">
        <x:v>v1.4</x:v>
      </x:c>
      <x:c r="AF319" s="52" t="str">
        <x:v>2026-08-16</x:v>
      </x:c>
      <x:c r="AG319" s="52"/>
    </x:row>
    <x:row r="320" ht="42" customHeight="1">
      <x:c r="A320" s="14" t="str">
        <x:v>WOK-E-176</x:v>
      </x:c>
      <x:c r="B320" s="14" t="str">
        <x:v>SDG 12 – Konsum/Produktion</x:v>
      </x:c>
      <x:c r="C320" s="14" t="str">
        <x:v>12.2</x:v>
      </x:c>
      <x:c r="D320" s="14" t="str">
        <x:v>Energieintensität Produkte</x:v>
      </x:c>
      <x:c r="E320" s="14" t="str">
        <x:v>Energieintensität Produkte – EE‑Anteil</x:v>
      </x:c>
      <x:c r="F320" s="14" t="str">
        <x:v>Anteil erneuerbarer Energien am Strombezug</x:v>
      </x:c>
      <x:c r="G320" s="14" t="str">
        <x:v>%</x:v>
      </x:c>
      <x:c r="H320" s="14" t="str">
        <x:v>higher_is_better</x:v>
      </x:c>
      <x:c r="I320" s="14" t="str">
        <x:v>R25</x:v>
      </x:c>
      <x:c r="J320" s="14" t="str">
        <x:v>≥90%:+3; 70–89%:+2; 50–69%:0; 30–49%:‑2; &lt;30%:‑3</x:v>
      </x:c>
      <x:c r="K320" s="14" t="str">
        <x:v>Feste WÖk-Kalibrierung</x:v>
      </x:c>
      <x:c r="L320" s="14" t="str">
        <x:v>Arbeitskalibrierung – fachlich zu validieren</x:v>
      </x:c>
      <x:c r="M320" s="14" t="str">
        <x:v>WÖk-interne Klassenlogik</x:v>
      </x:c>
      <x:c r="N320" s="14" t="str">
        <x:v>Optional/Nein</x:v>
      </x:c>
      <x:c r="O320" s="14" t="str">
        <x:v>ESRS E1; GHG Protocol</x:v>
      </x:c>
      <x:c r="P320" s="14" t="str">
        <x:v>ESRS E1, ISO 50001 (EnMS), ISO/IEC 30134‑2 (PUE), EU EPBD</x:v>
      </x:c>
      <x:c r="Q320" s="14" t="str">
        <x:v>Mess-, Berichts- oder Managementrahmen; Schwellen sind grundsätzlich WÖk-Kalibrierungen</x:v>
      </x:c>
      <x:c r="R320" s="14" t="str">
        <x:v>Messgrundlage belegt; Schwellenkalibrierung offen</x:v>
      </x:c>
      <x:c r="S320" s="14" t="str">
        <x:v>EU-ESRS; GHG-CORP; GHG-S3; GHG-PROD</x:v>
      </x:c>
      <x:c r="T320" s="14" t="str">
        <x:v>C20 Chemie; C24 Stahl; C29 Fahrzeuge</x:v>
      </x:c>
      <x:c r="U320" s="14" t="str">
        <x:v>Legacy / nicht explizit versioniert</x:v>
      </x:c>
      <x:c r="V320" s="51" t="str"/>
      <x:c r="W320" s="14" t="str">
        <x:v>Migration auf NACE Rev. 2.1 erforderlich</x:v>
      </x:c>
      <x:c r="X320" s="14" t="str">
        <x:v>Standort/Prozess/Aktivität; Bezugsgröße und relevante Umweltmedien</x:v>
      </x:c>
      <x:c r="Y320" s="14" t="str">
        <x:v>EE‑Anteil = EE‑Strom (inkl. PPA/HKN) / Gesamtstrom.</x:v>
      </x:c>
      <x:c r="Z320" s="14" t="str">
        <x:v>Primärdaten bevorzugt; Sekundärdaten nur transparent und versioniert; Methode und Systemgrenze dokumentieren</x:v>
      </x:c>
      <x:c r="AA320" s="14" t="str">
        <x:v>Limited Assurance; risikobasiert höhere Prüftiefe</x:v>
      </x:c>
      <x:c r="AB320" s="14" t="str">
        <x:v>Strukturell nutzbar; Schwellen fachlich zu validieren</x:v>
      </x:c>
      <x:c r="AC320" s="14" t="str">
        <x:v>Mittel</x:v>
      </x:c>
      <x:c r="AD320" s="14" t="str">
        <x:v>Vollständige fünfstufige Prozentregel.</x:v>
      </x:c>
      <x:c r="AE320" s="14" t="str">
        <x:v>v1.4</x:v>
      </x:c>
      <x:c r="AF320" s="52" t="str">
        <x:v>2026-08-16</x:v>
      </x:c>
      <x:c r="AG320" s="52"/>
    </x:row>
    <x:row r="321" ht="42" customHeight="1">
      <x:c r="A321" s="14" t="str">
        <x:v>WOK-E-177</x:v>
      </x:c>
      <x:c r="B321" s="14" t="str">
        <x:v>SDG 12 – Konsum/Produktion</x:v>
      </x:c>
      <x:c r="C321" s="14" t="str">
        <x:v>12.2</x:v>
      </x:c>
      <x:c r="D321" s="14" t="str">
        <x:v>Energieintensität Produkte</x:v>
      </x:c>
      <x:c r="E321" s="14" t="str">
        <x:v>Energieintensität Produkte – Intensität</x:v>
      </x:c>
      <x:c r="F321" s="14" t="str">
        <x:v>Energie je Output/Umsatz</x:v>
      </x:c>
      <x:c r="G321" s="14" t="str">
        <x:v>kWh/€ Mio bzw. kWh/t</x:v>
      </x:c>
      <x:c r="H321" s="14" t="str">
        <x:v>lower_is_better</x:v>
      </x:c>
      <x:c r="I321" s="14" t="str">
        <x:v>R06</x:v>
      </x:c>
      <x:c r="J321" s="14" t="str">
        <x:v>Top‑10%:+3; Mittel:0; &gt;150%:‑2; &gt;250%:‑3</x:v>
      </x:c>
      <x:c r="K321" s="14" t="str">
        <x:v>Benchmarkabhängig</x:v>
      </x:c>
      <x:c r="L321" s="14" t="str">
        <x:v>Validierter Benchmark fehlt</x:v>
      </x:c>
      <x:c r="M321" s="14" t="str">
        <x:v>Branche/Region/Technologie</x:v>
      </x:c>
      <x:c r="N321" s="14" t="str">
        <x:v>Ja</x:v>
      </x:c>
      <x:c r="O321" s="14" t="str">
        <x:v>ESRS E1; GHG Protocol</x:v>
      </x:c>
      <x:c r="P321" s="14" t="str">
        <x:v>ESRS E1, ISO 50001 (EnMS), ISO/IEC 30134‑2 (PUE), EU EPBD</x:v>
      </x:c>
      <x:c r="Q321" s="14" t="str">
        <x:v>Mess-/Methodenrahmen; aktiver Branchen-/Regional-/Technologiebenchmark separat erforderlich</x:v>
      </x:c>
      <x:c r="R321" s="14" t="str">
        <x:v>Teilbelegt – Benchmarkquelle fehlt</x:v>
      </x:c>
      <x:c r="S321" s="14" t="str">
        <x:v>EU-ESRS; GHG-CORP; GHG-S3; GHG-PROD</x:v>
      </x:c>
      <x:c r="T321" s="14" t="str">
        <x:v>C20 Chemie; C24 Stahl; C29 Fahrzeuge</x:v>
      </x:c>
      <x:c r="U321" s="14" t="str">
        <x:v>Legacy / nicht explizit versioniert</x:v>
      </x:c>
      <x:c r="V321" s="51" t="str"/>
      <x:c r="W321" s="14" t="str">
        <x:v>Migration auf NACE Rev. 2.1 erforderlich</x:v>
      </x:c>
      <x:c r="X321" s="14" t="str">
        <x:v>Standort/Prozess/Aktivität; Bezugsgröße und relevante Umweltmedien</x:v>
      </x:c>
      <x:c r="Y321" s="14" t="str">
        <x:v>Siehe Quelle: Definition gemäß Standard (ESRS/GRI/Taxonomie/ISO).</x:v>
      </x:c>
      <x:c r="Z321" s="14" t="str">
        <x:v>Primärdaten plus repräsentativer, versionierter Benchmarkdatensatz; Stichprobe und Population offenlegen</x:v>
      </x:c>
      <x:c r="AA321" s="14" t="str">
        <x:v>Messwert-Assurance und unabhängige Benchmark-Governance</x:v>
      </x:c>
      <x:c r="AB321" s="14" t="str">
        <x:v>Prüfung/Parametrisierung erforderlich</x:v>
      </x:c>
      <x:c r="AC321" s="14" t="str">
        <x:v>Hoch</x:v>
      </x:c>
      <x:c r="AD321" s="14" t="str">
        <x:v>Top-10-Prozent, Mittelwert, 150 % und 250 % müssen aus einer dokumentierten Grundgesamtheit stammen.</x:v>
      </x:c>
      <x:c r="AE321" s="14" t="str">
        <x:v>v1.4</x:v>
      </x:c>
      <x:c r="AF321" s="52" t="str">
        <x:v>2026-08-16</x:v>
      </x:c>
      <x:c r="AG321" s="52"/>
    </x:row>
    <x:row r="322" ht="42" customHeight="1">
      <x:c r="A322" s="14" t="str">
        <x:v>WOK-E-178</x:v>
      </x:c>
      <x:c r="B322" s="14" t="str">
        <x:v>SDG 12 – Konsum/Produktion</x:v>
      </x:c>
      <x:c r="C322" s="14" t="str">
        <x:v>12.2</x:v>
      </x:c>
      <x:c r="D322" s="14" t="str">
        <x:v>Energieintensität Produkte</x:v>
      </x:c>
      <x:c r="E322" s="14" t="str">
        <x:v>Energieintensität Produkte – Effizienz (PUE)*</x:v>
      </x:c>
      <x:c r="F322" s="14" t="str">
        <x:v>Effizienz Rechenzentrum/IT‑Betrieb (falls zutreffend)</x:v>
      </x:c>
      <x:c r="G322" s="14" t="str">
        <x:v>PUE</x:v>
      </x:c>
      <x:c r="H322" s="14" t="str">
        <x:v>lower_is_better</x:v>
      </x:c>
      <x:c r="I322" s="14" t="str">
        <x:v>R09</x:v>
      </x:c>
      <x:c r="J322" s="14" t="str">
        <x:v>≤1,2:+3; 1,21–1,4:+2; 1,41–1,6:0; 1,61–1,8:‑2; &gt;1,8:‑3</x:v>
      </x:c>
      <x:c r="K322" s="14" t="str">
        <x:v>Feste WÖk-Kalibrierung</x:v>
      </x:c>
      <x:c r="L322" s="14" t="str">
        <x:v>Messstandard belegt; Klassen sind WÖk-Kalibrierung</x:v>
      </x:c>
      <x:c r="M322" s="14" t="str">
        <x:v>PUE-Messung nach ISO/IEC 30134-2; Klassen intern</x:v>
      </x:c>
      <x:c r="N322" s="14" t="str">
        <x:v>Optional/Nein</x:v>
      </x:c>
      <x:c r="O322" s="14" t="str">
        <x:v>ISO 14067/50001/45001/22301/27701/23894</x:v>
      </x:c>
      <x:c r="P322" s="14" t="str">
        <x:v>ESRS E1, ISO 50001 (EnMS), ISO/IEC 30134‑2 (PUE), EU EPBD</x:v>
      </x:c>
      <x:c r="Q322" s="14" t="str">
        <x:v>Mess-, Berichts- oder Managementrahmen; Schwellen sind grundsätzlich WÖk-Kalibrierungen</x:v>
      </x:c>
      <x:c r="R322" s="14" t="str">
        <x:v>Messgrundlage belegt; Schwellenkalibrierung offen</x:v>
      </x:c>
      <x:c r="S322" s="14" t="str">
        <x:v>ISO-14067; ISO-50001; ISO-45001; ISO-22301; ISO-27701; ISO-23894</x:v>
      </x:c>
      <x:c r="T322" s="14" t="str">
        <x:v>C20 Chemie; C24 Stahl; C29 Fahrzeuge</x:v>
      </x:c>
      <x:c r="U322" s="14" t="str">
        <x:v>Legacy / nicht explizit versioniert</x:v>
      </x:c>
      <x:c r="V322" s="51" t="str"/>
      <x:c r="W322" s="14" t="str">
        <x:v>Migration auf NACE Rev. 2.1 erforderlich</x:v>
      </x:c>
      <x:c r="X322" s="14" t="str">
        <x:v>Standort/Prozess/Aktivität; Bezugsgröße und relevante Umweltmedien</x:v>
      </x:c>
      <x:c r="Y322" s="14" t="str">
        <x:v>PUE = Gesamtstrom RZ / IT‑Last (ISO/IEC 30134‑2).</x:v>
      </x:c>
      <x:c r="Z322" s="14" t="str">
        <x:v>Primärdaten bevorzugt; Sekundärdaten nur transparent und versioniert; Methode und Systemgrenze dokumentieren</x:v>
      </x:c>
      <x:c r="AA322" s="14" t="str">
        <x:v>Limited Assurance; risikobasiert höhere Prüftiefe</x:v>
      </x:c>
      <x:c r="AB322" s="14" t="str">
        <x:v>Strukturell nutzbar; Schwellen fachlich zu validieren</x:v>
      </x:c>
      <x:c r="AC322" s="14" t="str">
        <x:v>Mittel</x:v>
      </x:c>
      <x:c r="AD322" s="14" t="str">
        <x:v>Klimazone und Rechenzentrumstyp sind bei der Validierung zu berücksichtigen.</x:v>
      </x:c>
      <x:c r="AE322" s="14" t="str">
        <x:v>v1.4</x:v>
      </x:c>
      <x:c r="AF322" s="52" t="str">
        <x:v>2026-08-16</x:v>
      </x:c>
      <x:c r="AG322" s="52"/>
    </x:row>
    <x:row r="323" ht="42" customHeight="1">
      <x:c r="A323" s="14" t="str">
        <x:v>WOK-SYS-134</x:v>
      </x:c>
      <x:c r="B323" s="14" t="str">
        <x:v>SDG 12 – Konsum/Produktion</x:v>
      </x:c>
      <x:c r="C323" s="14" t="str">
        <x:v>12.8</x:v>
      </x:c>
      <x:c r="D323" s="14" t="str">
        <x:v>Konsumententransparenz</x:v>
      </x:c>
      <x:c r="E323" s="14" t="str">
        <x:v>Konsumententransparenz – Index</x:v>
      </x:c>
      <x:c r="F323" s="14" t="str">
        <x:v>umsatzgewichteter Index (z. B. Demokratie/Rule of Law)</x:v>
      </x:c>
      <x:c r="G323" s="14" t="str">
        <x:v>0–1</x:v>
      </x:c>
      <x:c r="H323" s="14" t="str">
        <x:v>higher_is_better</x:v>
      </x:c>
      <x:c r="I323" s="14" t="str">
        <x:v>R15</x:v>
      </x:c>
      <x:c r="J323" s="14" t="str">
        <x:v>≥0,8:+3; 0,7–0,79:+2; 0,6–0,69:0; 0,5–0,59:‑2; &lt;0,5:‑3</x:v>
      </x:c>
      <x:c r="K323" s="14" t="str">
        <x:v>Feste WÖk-Kalibrierung</x:v>
      </x:c>
      <x:c r="L323" s="14" t="str">
        <x:v>Arbeitskalibrierung – fachlich zu validieren</x:v>
      </x:c>
      <x:c r="M323" s="14" t="str">
        <x:v>WÖk-interne Klassenlogik</x:v>
      </x:c>
      <x:c r="N323" s="14" t="str">
        <x:v>Optional/Nein</x:v>
      </x:c>
      <x:c r="O323" s="14" t="str">
        <x:v>SROI/SDG17</x:v>
      </x:c>
      <x:c r="P323" s="14" t="str">
        <x:v>SDG 16/17, WJP, V‑Dem</x:v>
      </x:c>
      <x:c r="Q323" s="14" t="str">
        <x:v>Methodischer Platzhalter; konkrete Fach- und Primärdatenquelle erforderlich</x:v>
      </x:c>
      <x:c r="R323" s="14" t="str">
        <x:v>Platzhalter – fachliche Operationalisierung offen</x:v>
      </x:c>
      <x:c r="S323" s="14" t="str">
        <x:v>INT-WOEK-TSROI; SVI-SROI; UN-SDG</x:v>
      </x:c>
      <x:c r="T323" s="14" t="str">
        <x:v>G47 Handel; K Versicherungen; M72 F&amp;E</x:v>
      </x:c>
      <x:c r="U323" s="14" t="str">
        <x:v>Legacy / nicht explizit versioniert</x:v>
      </x:c>
      <x:c r="V323" s="51" t="str"/>
      <x:c r="W323" s="14" t="str">
        <x:v>Migration auf NACE Rev. 2.1 erforderlich</x:v>
      </x:c>
      <x:c r="X323" s="14" t="str">
        <x:v>Programm/Portfolio/Systemraum; Empfängergruppe, Region und Zeitraum explizit definieren</x:v>
      </x:c>
      <x:c r="Y323" s="14" t="str">
        <x:v>Siehe Quelle: Definition gemäß Standard (ESRS/GRI/Taxonomie/ISO).</x:v>
      </x:c>
      <x:c r="Z323" s="14" t="str">
        <x:v>Primärdaten bevorzugt; Sekundärdaten nur transparent und versioniert; Methode und Systemgrenze dokumentieren</x:v>
      </x:c>
      <x:c r="AA323" s="14" t="str">
        <x:v>Limited Assurance; risikobasiert höhere Prüftiefe</x:v>
      </x:c>
      <x:c r="AB323" s="14" t="str">
        <x:v>Fachlogik nicht abschließend operationalisiert</x:v>
      </x:c>
      <x:c r="AC323" s="14" t="str">
        <x:v>Kritisch</x:v>
      </x:c>
      <x:c r="AD323" s="14" t="str">
        <x:v>SROI/SDG 17 ist keine hinreichend konkrete Mess- oder Schwellenquelle. Vollständige fünfstufige numerische Regel.</x:v>
      </x:c>
      <x:c r="AE323" s="14" t="str">
        <x:v>v1.4</x:v>
      </x:c>
      <x:c r="AF323" s="52" t="str">
        <x:v>2026-08-16</x:v>
      </x:c>
      <x:c r="AG323" s="52"/>
    </x:row>
    <x:row r="324" ht="42" customHeight="1">
      <x:c r="A324" s="14" t="str">
        <x:v>WOK-SYS-135</x:v>
      </x:c>
      <x:c r="B324" s="14" t="str">
        <x:v>SDG 12 – Konsum/Produktion</x:v>
      </x:c>
      <x:c r="C324" s="14" t="str">
        <x:v>12.8</x:v>
      </x:c>
      <x:c r="D324" s="14" t="str">
        <x:v>Konsumententransparenz</x:v>
      </x:c>
      <x:c r="E324" s="14" t="str">
        <x:v>Konsumententransparenz – Exposure</x:v>
      </x:c>
      <x:c r="F324" s="14" t="str">
        <x:v>Umsatz in Hochrisikoländern</x:v>
      </x:c>
      <x:c r="G324" s="14" t="str">
        <x:v>%</x:v>
      </x:c>
      <x:c r="H324" s="14" t="str">
        <x:v>lower_is_better</x:v>
      </x:c>
      <x:c r="I324" s="14" t="str">
        <x:v>R13</x:v>
      </x:c>
      <x:c r="J324" s="14" t="str">
        <x:v>≤5:+3; 6–10:+2; 11–20:0; 21–30:‑2; &gt;30:‑3</x:v>
      </x:c>
      <x:c r="K324" s="14" t="str">
        <x:v>Feste WÖk-Kalibrierung</x:v>
      </x:c>
      <x:c r="L324" s="14" t="str">
        <x:v>Arbeitskalibrierung – fachlich zu validieren</x:v>
      </x:c>
      <x:c r="M324" s="14" t="str">
        <x:v>WÖk-interne Klassenlogik</x:v>
      </x:c>
      <x:c r="N324" s="14" t="str">
        <x:v>Optional/Nein</x:v>
      </x:c>
      <x:c r="O324" s="14" t="str">
        <x:v>SROI/SDG17</x:v>
      </x:c>
      <x:c r="P324" s="14" t="str">
        <x:v>SDG 16/17, WJP, V‑Dem</x:v>
      </x:c>
      <x:c r="Q324" s="14" t="str">
        <x:v>Methodischer Platzhalter; konkrete Fach- und Primärdatenquelle erforderlich</x:v>
      </x:c>
      <x:c r="R324" s="14" t="str">
        <x:v>Platzhalter – fachliche Operationalisierung offen</x:v>
      </x:c>
      <x:c r="S324" s="14" t="str">
        <x:v>INT-WOEK-TSROI; SVI-SROI; UN-SDG</x:v>
      </x:c>
      <x:c r="T324" s="14" t="str">
        <x:v>G47 Handel; K Versicherungen; M72 F&amp;E</x:v>
      </x:c>
      <x:c r="U324" s="14" t="str">
        <x:v>Legacy / nicht explizit versioniert</x:v>
      </x:c>
      <x:c r="V324" s="51" t="str"/>
      <x:c r="W324" s="14" t="str">
        <x:v>Migration auf NACE Rev. 2.1 erforderlich</x:v>
      </x:c>
      <x:c r="X324" s="14" t="str">
        <x:v>Programm/Portfolio/Systemraum; Empfängergruppe, Region und Zeitraum explizit definieren</x:v>
      </x:c>
      <x:c r="Y324" s="14" t="str">
        <x:v>Siehe Quelle: Definition gemäß Standard (ESRS/GRI/Taxonomie/ISO).</x:v>
      </x:c>
      <x:c r="Z324" s="14" t="str">
        <x:v>Primärdaten bevorzugt; Sekundärdaten nur transparent und versioniert; Methode und Systemgrenze dokumentieren</x:v>
      </x:c>
      <x:c r="AA324" s="14" t="str">
        <x:v>Limited Assurance; risikobasiert höhere Prüftiefe</x:v>
      </x:c>
      <x:c r="AB324" s="14" t="str">
        <x:v>Fachlogik nicht abschließend operationalisiert</x:v>
      </x:c>
      <x:c r="AC324" s="14" t="str">
        <x:v>Kritisch</x:v>
      </x:c>
      <x:c r="AD324" s="14" t="str">
        <x:v>SROI/SDG 17 ist keine hinreichend konkrete Mess- oder Schwellenquelle. Vollständige fünfstufige numerische Regel.</x:v>
      </x:c>
      <x:c r="AE324" s="14" t="str">
        <x:v>v1.4</x:v>
      </x:c>
      <x:c r="AF324" s="52" t="str">
        <x:v>2026-08-16</x:v>
      </x:c>
      <x:c r="AG324" s="52"/>
    </x:row>
    <x:row r="325" ht="42" customHeight="1">
      <x:c r="A325" s="14" t="str">
        <x:v>WOK-SYS-136</x:v>
      </x:c>
      <x:c r="B325" s="14" t="str">
        <x:v>SDG 12 – Konsum/Produktion</x:v>
      </x:c>
      <x:c r="C325" s="14" t="str">
        <x:v>12.8</x:v>
      </x:c>
      <x:c r="D325" s="14" t="str">
        <x:v>Konsumententransparenz</x:v>
      </x:c>
      <x:c r="E325" s="14" t="str">
        <x:v>Konsumententransparenz – Kooperationen</x:v>
      </x:c>
      <x:c r="F325" s="14" t="str">
        <x:v>aktive, evaluierte Partnerschaften/Jahr</x:v>
      </x:c>
      <x:c r="G325" s="14" t="str">
        <x:v>#/Jahr</x:v>
      </x:c>
      <x:c r="H325" s="14" t="str">
        <x:v>higher_is_better</x:v>
      </x:c>
      <x:c r="I325" s="14" t="str">
        <x:v>R20</x:v>
      </x:c>
      <x:c r="J325" s="14" t="str">
        <x:v>≥5:+3; 3–4:+2; 1–2:0; 0:‑2</x:v>
      </x:c>
      <x:c r="K325" s="14" t="str">
        <x:v>Feste WÖk-Grobkalibrierung</x:v>
      </x:c>
      <x:c r="L325" s="14" t="str">
        <x:v>Klasse −3 nur für negative/unzulässige Werte ergänzt</x:v>
      </x:c>
      <x:c r="M325" s="14" t="str">
        <x:v>WÖk-interne Grobkalibrierung</x:v>
      </x:c>
      <x:c r="N325" s="14" t="str">
        <x:v>Optional/Nein</x:v>
      </x:c>
      <x:c r="O325" s="14" t="str">
        <x:v>SROI/SDG17</x:v>
      </x:c>
      <x:c r="P325" s="14" t="str">
        <x:v>SDG 16/17, WJP, V‑Dem</x:v>
      </x:c>
      <x:c r="Q325" s="14" t="str">
        <x:v>Methodischer Platzhalter; konkrete Fach- und Primärdatenquelle erforderlich</x:v>
      </x:c>
      <x:c r="R325" s="14" t="str">
        <x:v>Platzhalter – fachliche Operationalisierung offen</x:v>
      </x:c>
      <x:c r="S325" s="14" t="str">
        <x:v>INT-WOEK-TSROI; SVI-SROI; UN-SDG</x:v>
      </x:c>
      <x:c r="T325" s="14" t="str">
        <x:v>G47 Handel; K Versicherungen; M72 F&amp;E</x:v>
      </x:c>
      <x:c r="U325" s="14" t="str">
        <x:v>Legacy / nicht explizit versioniert</x:v>
      </x:c>
      <x:c r="V325" s="51" t="str"/>
      <x:c r="W325" s="14" t="str">
        <x:v>Migration auf NACE Rev. 2.1 erforderlich</x:v>
      </x:c>
      <x:c r="X325" s="14" t="str">
        <x:v>Programm/Portfolio/Systemraum; Empfängergruppe, Region und Zeitraum explizit definieren</x:v>
      </x:c>
      <x:c r="Y325" s="14" t="str">
        <x:v>Siehe Quelle: Definition gemäß Standard (ESRS/GRI/Taxonomie/ISO).</x:v>
      </x:c>
      <x:c r="Z325" s="14" t="str">
        <x:v>Primärdaten bevorzugt; Sekundärdaten nur transparent und versioniert; Methode und Systemgrenze dokumentieren</x:v>
      </x:c>
      <x:c r="AA325" s="14" t="str">
        <x:v>Limited Assurance; risikobasiert höhere Prüftiefe</x:v>
      </x:c>
      <x:c r="AB325" s="14" t="str">
        <x:v>Fachlogik nicht abschließend operationalisiert</x:v>
      </x:c>
      <x:c r="AC325" s="14" t="str">
        <x:v>Kritisch</x:v>
      </x:c>
      <x:c r="AD325" s="14" t="str">
        <x:v>SROI/SDG 17 ist keine hinreichend konkrete Mess- oder Schwellenquelle. Für sachlogisch nichtnegative Zählwerte ist 0 die schlechteste reguläre Klasse (−2).</x:v>
      </x:c>
      <x:c r="AE325" s="14" t="str">
        <x:v>v1.4</x:v>
      </x:c>
      <x:c r="AF325" s="52" t="str">
        <x:v>2026-08-16</x:v>
      </x:c>
      <x:c r="AG325" s="52"/>
    </x:row>
    <x:row r="326" ht="42" customHeight="1">
      <x:c r="A326" s="14" t="str">
        <x:v>WOK-POL-104</x:v>
      </x:c>
      <x:c r="B326" s="14" t="str">
        <x:v>SDG 12 – Konsum/Produktion</x:v>
      </x:c>
      <x:c r="C326" s="14" t="str">
        <x:v>12.6</x:v>
      </x:c>
      <x:c r="D326" s="14" t="str">
        <x:v>Taxonomie‑Konformität</x:v>
      </x:c>
      <x:c r="E326" s="14" t="str">
        <x:v>Taxonomie‑Konformität – Spezifische Emissionen</x:v>
      </x:c>
      <x:c r="F326" s="14" t="str">
        <x:v>CO₂e je kWh (LCA)</x:v>
      </x:c>
      <x:c r="G326" s="14" t="str">
        <x:v>g CO₂e/kWh</x:v>
      </x:c>
      <x:c r="H326" s="14" t="str">
        <x:v>lower_is_better</x:v>
      </x:c>
      <x:c r="I326" s="14" t="str">
        <x:v>R10</x:v>
      </x:c>
      <x:c r="J326" s="14" t="str">
        <x:v>≤100:+3; 101–250:0; &gt;250:‑2</x:v>
      </x:c>
      <x:c r="K326" s="14" t="str">
        <x:v>Feste WÖk-Grobkalibrierung</x:v>
      </x:c>
      <x:c r="L326" s="14" t="str">
        <x:v>Klassen +2 und −3 fehlen</x:v>
      </x:c>
      <x:c r="M326" s="14" t="str">
        <x:v>WÖk-interne Grobkalibrierung</x:v>
      </x:c>
      <x:c r="N326" s="14" t="str">
        <x:v>Optional/Nein</x:v>
      </x:c>
      <x:c r="O326" s="14" t="str">
        <x:v>EU‑Taxonomie TSC/DNSH</x:v>
      </x:c>
      <x:c r="P326" s="14" t="str">
        <x:v>ESRS E1, GHG Protocol (Corporate/Scope 1–3), ISO 14064/14067</x:v>
      </x:c>
      <x:c r="Q326" s="14" t="str">
        <x:v>Mess-, Berichts- oder Managementrahmen; Schwellen sind grundsätzlich WÖk-Kalibrierungen</x:v>
      </x:c>
      <x:c r="R326" s="14" t="str">
        <x:v>Messgrundlage belegt; Schwellenkalibrierung offen</x:v>
      </x:c>
      <x:c r="S326" s="14" t="str">
        <x:v>EU-TAX</x:v>
      </x:c>
      <x:c r="T326" s="14" t="str">
        <x:v>C20 Chemie; C24 Stahl; C29 Fahrzeuge</x:v>
      </x:c>
      <x:c r="U326" s="14" t="str">
        <x:v>Legacy / nicht explizit versioniert</x:v>
      </x:c>
      <x:c r="V326" s="51" t="str"/>
      <x:c r="W326" s="14" t="str">
        <x:v>Migration auf NACE Rev. 2.1 erforderlich</x:v>
      </x:c>
      <x:c r="X326" s="14" t="str">
        <x:v>Technologie-/Aktivitätsklasse; Anlagen-, Netz- oder Flottengrenze ausweisen</x:v>
      </x:c>
      <x:c r="Y326" s="14" t="str">
        <x:v>EU‑Taxonomie: TSC erfüllt &amp; DNSH + MSR; Anteil konformer Aktivitäten.</x:v>
      </x:c>
      <x:c r="Z326" s="14" t="str">
        <x:v>Primärdaten bevorzugt; Sekundärdaten nur transparent und versioniert; Methode und Systemgrenze dokumentieren</x:v>
      </x:c>
      <x:c r="AA326" s="14" t="str">
        <x:v>Limited Assurance; risikobasiert höhere Prüftiefe</x:v>
      </x:c>
      <x:c r="AB326" s="14" t="str">
        <x:v>Strukturell nutzbar; Schwellen fachlich zu validieren</x:v>
      </x:c>
      <x:c r="AC326" s="14" t="str">
        <x:v>Mittel</x:v>
      </x:c>
      <x:c r="AD326" s="14" t="str">
        <x:v>Automatik bildet nur die explizit vorhandenen Klassen ab.</x:v>
      </x:c>
      <x:c r="AE326" s="14" t="str">
        <x:v>v1.4</x:v>
      </x:c>
      <x:c r="AF326" s="52" t="str">
        <x:v>2026-08-16</x:v>
      </x:c>
      <x:c r="AG326" s="52"/>
    </x:row>
    <x:row r="327" ht="42" customHeight="1">
      <x:c r="A327" s="14" t="str">
        <x:v>WOK-POL-105</x:v>
      </x:c>
      <x:c r="B327" s="14" t="str">
        <x:v>SDG 12 – Konsum/Produktion</x:v>
      </x:c>
      <x:c r="C327" s="14" t="str">
        <x:v>12.6</x:v>
      </x:c>
      <x:c r="D327" s="14" t="str">
        <x:v>Taxonomie‑Konformität</x:v>
      </x:c>
      <x:c r="E327" s="14" t="str">
        <x:v>Taxonomie‑Konformität – DNSH‑Konformität</x:v>
      </x:c>
      <x:c r="F327" s="14" t="str">
        <x:v>‚Do No Significant Harm‘ erfüllt</x:v>
      </x:c>
      <x:c r="G327" s="14" t="str">
        <x:v>% Aktivitäten</x:v>
      </x:c>
      <x:c r="H327" s="14" t="str">
        <x:v>higher_is_better</x:v>
      </x:c>
      <x:c r="I327" s="14" t="str">
        <x:v>R25</x:v>
      </x:c>
      <x:c r="J327" s="14" t="str">
        <x:v>≥90%:+3; 70–89%:+2; 50–69%:0; 30–49%:‑2; &lt;30%:‑3</x:v>
      </x:c>
      <x:c r="K327" s="14" t="str">
        <x:v>Feste WÖk-Kalibrierung</x:v>
      </x:c>
      <x:c r="L327" s="14" t="str">
        <x:v>Arbeitskalibrierung – fachlich zu validieren</x:v>
      </x:c>
      <x:c r="M327" s="14" t="str">
        <x:v>WÖk-interne Klassenlogik</x:v>
      </x:c>
      <x:c r="N327" s="14" t="str">
        <x:v>Optional/Nein</x:v>
      </x:c>
      <x:c r="O327" s="14" t="str">
        <x:v>EU‑Taxonomie TSC/DNSH</x:v>
      </x:c>
      <x:c r="P327" s="14" t="str">
        <x:v>EU‑Taxonomie (TSC &amp; DNSH)</x:v>
      </x:c>
      <x:c r="Q327" s="14" t="str">
        <x:v>Mess-, Berichts- oder Managementrahmen; Schwellen sind grundsätzlich WÖk-Kalibrierungen</x:v>
      </x:c>
      <x:c r="R327" s="14" t="str">
        <x:v>Messgrundlage belegt; Schwellenkalibrierung offen</x:v>
      </x:c>
      <x:c r="S327" s="14" t="str">
        <x:v>EU-TAX</x:v>
      </x:c>
      <x:c r="T327" s="14" t="str">
        <x:v>C20 Chemie; C24 Stahl; C29 Fahrzeuge</x:v>
      </x:c>
      <x:c r="U327" s="14" t="str">
        <x:v>Legacy / nicht explizit versioniert</x:v>
      </x:c>
      <x:c r="V327" s="51" t="str"/>
      <x:c r="W327" s="14" t="str">
        <x:v>Migration auf NACE Rev. 2.1 erforderlich</x:v>
      </x:c>
      <x:c r="X327" s="14" t="str">
        <x:v>Technologie-/Aktivitätsklasse; Anlagen-, Netz- oder Flottengrenze ausweisen</x:v>
      </x:c>
      <x:c r="Y327" s="14" t="str">
        <x:v>EU‑Taxonomie: TSC erfüllt &amp; DNSH + MSR; Anteil konformer Aktivitäten.</x:v>
      </x:c>
      <x:c r="Z327" s="14" t="str">
        <x:v>Primärdaten bevorzugt; Sekundärdaten nur transparent und versioniert; Methode und Systemgrenze dokumentieren</x:v>
      </x:c>
      <x:c r="AA327" s="14" t="str">
        <x:v>Limited Assurance; risikobasiert höhere Prüftiefe</x:v>
      </x:c>
      <x:c r="AB327" s="14" t="str">
        <x:v>Strukturell nutzbar; Schwellen fachlich zu validieren</x:v>
      </x:c>
      <x:c r="AC327" s="14" t="str">
        <x:v>Mittel</x:v>
      </x:c>
      <x:c r="AD327" s="14" t="str">
        <x:v>Vollständige fünfstufige Prozentregel.</x:v>
      </x:c>
      <x:c r="AE327" s="14" t="str">
        <x:v>v1.4</x:v>
      </x:c>
      <x:c r="AF327" s="52" t="str">
        <x:v>2026-08-16</x:v>
      </x:c>
      <x:c r="AG327" s="52"/>
    </x:row>
    <x:row r="328" ht="42" customHeight="1">
      <x:c r="A328" s="14" t="str">
        <x:v>WOK-POL-106</x:v>
      </x:c>
      <x:c r="B328" s="14" t="str">
        <x:v>SDG 12 – Konsum/Produktion</x:v>
      </x:c>
      <x:c r="C328" s="14" t="str">
        <x:v>12.6</x:v>
      </x:c>
      <x:c r="D328" s="14" t="str">
        <x:v>Taxonomie‑Konformität</x:v>
      </x:c>
      <x:c r="E328" s="14" t="str">
        <x:v>Taxonomie‑Konformität – TSC‑Schwellen</x:v>
      </x:c>
      <x:c r="F328" s="14" t="str">
        <x:v>Anteil unter technischen TSC‑Grenzen</x:v>
      </x:c>
      <x:c r="G328" s="14" t="str">
        <x:v>% Aktivitäten</x:v>
      </x:c>
      <x:c r="H328" s="14" t="str">
        <x:v>higher_is_better</x:v>
      </x:c>
      <x:c r="I328" s="14" t="str">
        <x:v>R25</x:v>
      </x:c>
      <x:c r="J328" s="14" t="str">
        <x:v>≥90%:+3; 70–89%:+2; 50–69%:0; 30–49%:‑2; &lt;30%:‑3</x:v>
      </x:c>
      <x:c r="K328" s="14" t="str">
        <x:v>Feste WÖk-Kalibrierung</x:v>
      </x:c>
      <x:c r="L328" s="14" t="str">
        <x:v>Arbeitskalibrierung – fachlich zu validieren</x:v>
      </x:c>
      <x:c r="M328" s="14" t="str">
        <x:v>WÖk-interne Klassenlogik</x:v>
      </x:c>
      <x:c r="N328" s="14" t="str">
        <x:v>Optional/Nein</x:v>
      </x:c>
      <x:c r="O328" s="14" t="str">
        <x:v>EU‑Taxonomie TSC/DNSH</x:v>
      </x:c>
      <x:c r="P328" s="14" t="str">
        <x:v>EU‑Taxonomie (TSC &amp; DNSH)</x:v>
      </x:c>
      <x:c r="Q328" s="14" t="str">
        <x:v>Mess-, Berichts- oder Managementrahmen; Schwellen sind grundsätzlich WÖk-Kalibrierungen</x:v>
      </x:c>
      <x:c r="R328" s="14" t="str">
        <x:v>Messgrundlage belegt; Schwellenkalibrierung offen</x:v>
      </x:c>
      <x:c r="S328" s="14" t="str">
        <x:v>EU-TAX</x:v>
      </x:c>
      <x:c r="T328" s="14" t="str">
        <x:v>C20 Chemie; C24 Stahl; C29 Fahrzeuge</x:v>
      </x:c>
      <x:c r="U328" s="14" t="str">
        <x:v>Legacy / nicht explizit versioniert</x:v>
      </x:c>
      <x:c r="V328" s="51" t="str"/>
      <x:c r="W328" s="14" t="str">
        <x:v>Migration auf NACE Rev. 2.1 erforderlich</x:v>
      </x:c>
      <x:c r="X328" s="14" t="str">
        <x:v>Technologie-/Aktivitätsklasse; Anlagen-, Netz- oder Flottengrenze ausweisen</x:v>
      </x:c>
      <x:c r="Y328" s="14" t="str">
        <x:v>EU‑Taxonomie: TSC erfüllt &amp; DNSH + MSR; Anteil konformer Aktivitäten.</x:v>
      </x:c>
      <x:c r="Z328" s="14" t="str">
        <x:v>Primärdaten bevorzugt; Sekundärdaten nur transparent und versioniert; Methode und Systemgrenze dokumentieren</x:v>
      </x:c>
      <x:c r="AA328" s="14" t="str">
        <x:v>Limited Assurance; risikobasiert höhere Prüftiefe</x:v>
      </x:c>
      <x:c r="AB328" s="14" t="str">
        <x:v>Strukturell nutzbar; Schwellen fachlich zu validieren</x:v>
      </x:c>
      <x:c r="AC328" s="14" t="str">
        <x:v>Mittel</x:v>
      </x:c>
      <x:c r="AD328" s="14" t="str">
        <x:v>Vollständige fünfstufige Prozentregel.</x:v>
      </x:c>
      <x:c r="AE328" s="14" t="str">
        <x:v>v1.4</x:v>
      </x:c>
      <x:c r="AF328" s="52" t="str">
        <x:v>2026-08-16</x:v>
      </x:c>
      <x:c r="AG328" s="52"/>
    </x:row>
    <x:row r="329" ht="42" customHeight="1">
      <x:c r="A329" s="14" t="str">
        <x:v>WOK-E-179</x:v>
      </x:c>
      <x:c r="B329" s="14" t="str">
        <x:v>SDG 13 – Klima</x:v>
      </x:c>
      <x:c r="C329" s="14" t="str">
        <x:v>13.2</x:v>
      </x:c>
      <x:c r="D329" s="14" t="str">
        <x:v>THG‑Emissionen Scope 1/2/Intensität</x:v>
      </x:c>
      <x:c r="E329" s="14" t="str">
        <x:v>THG‑Emissionen Scope 1/2/Intensität – Scope 1</x:v>
      </x:c>
      <x:c r="F329" s="14" t="str">
        <x:v>Direkte Emissionen aus eigenen Quellen</x:v>
      </x:c>
      <x:c r="G329" s="14" t="str">
        <x:v>t CO₂e/Jahr</x:v>
      </x:c>
      <x:c r="H329" s="14" t="str">
        <x:v>lower_is_better</x:v>
      </x:c>
      <x:c r="I329" s="14" t="str">
        <x:v>R04</x:v>
      </x:c>
      <x:c r="J329" s="14" t="str">
        <x:v>SBTi 1,5°C:+3; &lt;2°C:+2; Branchenmittel:0; &gt;150%:‑2; &gt;250%:‑3</x:v>
      </x:c>
      <x:c r="K329" s="14" t="str">
        <x:v>Benchmarkabhängig</x:v>
      </x:c>
      <x:c r="L329" s="14" t="str">
        <x:v>SBTi-Validierung und Branchenbenchmark erforderlich</x:v>
      </x:c>
      <x:c r="M329" s="14" t="str">
        <x:v>SBTi-Zielvalidierung plus Branchenbenchmark</x:v>
      </x:c>
      <x:c r="N329" s="14" t="str">
        <x:v>Ja</x:v>
      </x:c>
      <x:c r="O329" s="14" t="str">
        <x:v>ESRS E1; GHG Protocol</x:v>
      </x:c>
      <x:c r="P329" s="14" t="str">
        <x:v>ESRS E1, GHG Protocol (Corporate/Scope 1–3), ISO 14064/14067</x:v>
      </x:c>
      <x:c r="Q329" s="14" t="str">
        <x:v>Mess-/Methodenrahmen; aktiver Branchen-/Regional-/Technologiebenchmark separat erforderlich</x:v>
      </x:c>
      <x:c r="R329" s="14" t="str">
        <x:v>Teilbelegt – Benchmarkquelle fehlt</x:v>
      </x:c>
      <x:c r="S329" s="14" t="str">
        <x:v>EU-ESRS; GHG-CORP; GHG-S3; GHG-PROD</x:v>
      </x:c>
      <x:c r="T329" s="14" t="str">
        <x:v>C20 Chemie; C24 Stahl; C29 Fahrzeuge</x:v>
      </x:c>
      <x:c r="U329" s="14" t="str">
        <x:v>Legacy / nicht explizit versioniert</x:v>
      </x:c>
      <x:c r="V329" s="51" t="str"/>
      <x:c r="W329" s="14" t="str">
        <x:v>Migration auf NACE Rev. 2.1 erforderlich</x:v>
      </x:c>
      <x:c r="X329" s="14" t="str">
        <x:v>Standort/Prozess/Aktivität; Bezugsgröße und relevante Umweltmedien</x:v>
      </x:c>
      <x:c r="Y329" s="14" t="str">
        <x:v>Summe direkter Emissionen gem. GHG Protocol Scope 1.</x:v>
      </x:c>
      <x:c r="Z329" s="14" t="str">
        <x:v>Dokumentierter Kriterienkatalog; nachvollziehbare Evidenz; DQR A/B bevorzugt</x:v>
      </x:c>
      <x:c r="AA329" s="14" t="str">
        <x:v>Unabhängige Fachprüfung/Limited Assurance; bei roten Linien Reasonable Assurance</x:v>
      </x:c>
      <x:c r="AB329" s="14" t="str">
        <x:v>Prüfung/Parametrisierung erforderlich</x:v>
      </x:c>
      <x:c r="AC329" s="14" t="str">
        <x:v>Hoch</x:v>
      </x:c>
      <x:c r="AD329" s="14" t="str">
        <x:v>Zielstatus und tatsächliche Performance müssen getrennt geprüft werden.</x:v>
      </x:c>
      <x:c r="AE329" s="14" t="str">
        <x:v>v1.4</x:v>
      </x:c>
      <x:c r="AF329" s="52" t="str">
        <x:v>2026-08-16</x:v>
      </x:c>
      <x:c r="AG329" s="52"/>
    </x:row>
    <x:row r="330" ht="42" customHeight="1">
      <x:c r="A330" s="14" t="str">
        <x:v>WOK-E-180</x:v>
      </x:c>
      <x:c r="B330" s="14" t="str">
        <x:v>SDG 13 – Klima</x:v>
      </x:c>
      <x:c r="C330" s="14" t="str">
        <x:v>13.2</x:v>
      </x:c>
      <x:c r="D330" s="14" t="str">
        <x:v>THG‑Emissionen Scope 1/2/Intensität</x:v>
      </x:c>
      <x:c r="E330" s="14" t="str">
        <x:v>THG‑Emissionen Scope 1/2/Intensität – Scope 2</x:v>
      </x:c>
      <x:c r="F330" s="14" t="str">
        <x:v>Indirekte Emissionen (eingekaufter Strom/Wärme)</x:v>
      </x:c>
      <x:c r="G330" s="14" t="str">
        <x:v>t CO₂e/Jahr</x:v>
      </x:c>
      <x:c r="H330" s="14" t="str">
        <x:v>lower_is_better</x:v>
      </x:c>
      <x:c r="I330" s="14" t="str">
        <x:v>R04</x:v>
      </x:c>
      <x:c r="J330" s="14" t="str">
        <x:v>SBTi 1,5°C:+3; &lt;2°C:+2; Branchenmittel:0; &gt;150%:‑2; &gt;250%:‑3</x:v>
      </x:c>
      <x:c r="K330" s="14" t="str">
        <x:v>Benchmarkabhängig</x:v>
      </x:c>
      <x:c r="L330" s="14" t="str">
        <x:v>SBTi-Validierung und Branchenbenchmark erforderlich</x:v>
      </x:c>
      <x:c r="M330" s="14" t="str">
        <x:v>SBTi-Zielvalidierung plus Branchenbenchmark</x:v>
      </x:c>
      <x:c r="N330" s="14" t="str">
        <x:v>Ja</x:v>
      </x:c>
      <x:c r="O330" s="14" t="str">
        <x:v>ESRS E1; GHG Protocol</x:v>
      </x:c>
      <x:c r="P330" s="14" t="str">
        <x:v>ESRS E1, GHG Protocol (Corporate/Scope 1–3), ISO 14064/14067</x:v>
      </x:c>
      <x:c r="Q330" s="14" t="str">
        <x:v>Mess-/Methodenrahmen; aktiver Branchen-/Regional-/Technologiebenchmark separat erforderlich</x:v>
      </x:c>
      <x:c r="R330" s="14" t="str">
        <x:v>Teilbelegt – Benchmarkquelle fehlt</x:v>
      </x:c>
      <x:c r="S330" s="14" t="str">
        <x:v>EU-ESRS; GHG-CORP; GHG-S3; GHG-PROD</x:v>
      </x:c>
      <x:c r="T330" s="14" t="str">
        <x:v>C20 Chemie; C24 Stahl; C29 Fahrzeuge</x:v>
      </x:c>
      <x:c r="U330" s="14" t="str">
        <x:v>Legacy / nicht explizit versioniert</x:v>
      </x:c>
      <x:c r="V330" s="51" t="str"/>
      <x:c r="W330" s="14" t="str">
        <x:v>Migration auf NACE Rev. 2.1 erforderlich</x:v>
      </x:c>
      <x:c r="X330" s="14" t="str">
        <x:v>Standort/Prozess/Aktivität; Bezugsgröße und relevante Umweltmedien</x:v>
      </x:c>
      <x:c r="Y330" s="14" t="str">
        <x:v>Summe direkter Emissionen gem. GHG Protocol Scope 1.</x:v>
      </x:c>
      <x:c r="Z330" s="14" t="str">
        <x:v>Dokumentierter Kriterienkatalog; nachvollziehbare Evidenz; DQR A/B bevorzugt</x:v>
      </x:c>
      <x:c r="AA330" s="14" t="str">
        <x:v>Unabhängige Fachprüfung/Limited Assurance; bei roten Linien Reasonable Assurance</x:v>
      </x:c>
      <x:c r="AB330" s="14" t="str">
        <x:v>Prüfung/Parametrisierung erforderlich</x:v>
      </x:c>
      <x:c r="AC330" s="14" t="str">
        <x:v>Hoch</x:v>
      </x:c>
      <x:c r="AD330" s="14" t="str">
        <x:v>Zielstatus und tatsächliche Performance müssen getrennt geprüft werden.</x:v>
      </x:c>
      <x:c r="AE330" s="14" t="str">
        <x:v>v1.4</x:v>
      </x:c>
      <x:c r="AF330" s="52" t="str">
        <x:v>2026-08-16</x:v>
      </x:c>
      <x:c r="AG330" s="52"/>
    </x:row>
    <x:row r="331" ht="42" customHeight="1">
      <x:c r="A331" s="14" t="str">
        <x:v>WOK-E-181</x:v>
      </x:c>
      <x:c r="B331" s="14" t="str">
        <x:v>SDG 13 – Klima</x:v>
      </x:c>
      <x:c r="C331" s="14" t="str">
        <x:v>13.2</x:v>
      </x:c>
      <x:c r="D331" s="14" t="str">
        <x:v>THG‑Emissionen Scope 1/2/Intensität</x:v>
      </x:c>
      <x:c r="E331" s="14" t="str">
        <x:v>THG‑Emissionen Scope 1/2/Intensität – Intensität</x:v>
      </x:c>
      <x:c r="F331" s="14" t="str">
        <x:v>Emissionen je Output/Umsatz</x:v>
      </x:c>
      <x:c r="G331" s="14" t="str">
        <x:v>t CO₂e/€ Mio bzw. t</x:v>
      </x:c>
      <x:c r="H331" s="14" t="str">
        <x:v>lower_is_better</x:v>
      </x:c>
      <x:c r="I331" s="14" t="str">
        <x:v>R06</x:v>
      </x:c>
      <x:c r="J331" s="14" t="str">
        <x:v>Top‑10%:+3; Mittel:0; &gt;150%:‑2; &gt;250%:‑3</x:v>
      </x:c>
      <x:c r="K331" s="14" t="str">
        <x:v>Benchmarkabhängig</x:v>
      </x:c>
      <x:c r="L331" s="14" t="str">
        <x:v>Validierter Benchmark fehlt</x:v>
      </x:c>
      <x:c r="M331" s="14" t="str">
        <x:v>Branche/Region/Technologie</x:v>
      </x:c>
      <x:c r="N331" s="14" t="str">
        <x:v>Ja</x:v>
      </x:c>
      <x:c r="O331" s="14" t="str">
        <x:v>ESRS E1; GHG Protocol</x:v>
      </x:c>
      <x:c r="P331" s="14" t="str">
        <x:v>ESRS E1, GHG Protocol (Corporate/Scope 1–3), ISO 14064/14067</x:v>
      </x:c>
      <x:c r="Q331" s="14" t="str">
        <x:v>Mess-/Methodenrahmen; aktiver Branchen-/Regional-/Technologiebenchmark separat erforderlich</x:v>
      </x:c>
      <x:c r="R331" s="14" t="str">
        <x:v>Teilbelegt – Benchmarkquelle fehlt</x:v>
      </x:c>
      <x:c r="S331" s="14" t="str">
        <x:v>EU-ESRS; GHG-CORP; GHG-S3; GHG-PROD</x:v>
      </x:c>
      <x:c r="T331" s="14" t="str">
        <x:v>C20 Chemie; C24 Stahl; C29 Fahrzeuge</x:v>
      </x:c>
      <x:c r="U331" s="14" t="str">
        <x:v>Legacy / nicht explizit versioniert</x:v>
      </x:c>
      <x:c r="V331" s="51" t="str"/>
      <x:c r="W331" s="14" t="str">
        <x:v>Migration auf NACE Rev. 2.1 erforderlich</x:v>
      </x:c>
      <x:c r="X331" s="14" t="str">
        <x:v>Standort/Prozess/Aktivität; Bezugsgröße und relevante Umweltmedien</x:v>
      </x:c>
      <x:c r="Y331" s="14" t="str">
        <x:v>Summe direkter Emissionen gem. GHG Protocol Scope 1.</x:v>
      </x:c>
      <x:c r="Z331" s="14" t="str">
        <x:v>Primärdaten plus repräsentativer, versionierter Benchmarkdatensatz; Stichprobe und Population offenlegen</x:v>
      </x:c>
      <x:c r="AA331" s="14" t="str">
        <x:v>Messwert-Assurance und unabhängige Benchmark-Governance</x:v>
      </x:c>
      <x:c r="AB331" s="14" t="str">
        <x:v>Prüfung/Parametrisierung erforderlich</x:v>
      </x:c>
      <x:c r="AC331" s="14" t="str">
        <x:v>Hoch</x:v>
      </x:c>
      <x:c r="AD331" s="14" t="str">
        <x:v>Top-10-Prozent, Mittelwert, 150 % und 250 % müssen aus einer dokumentierten Grundgesamtheit stammen.</x:v>
      </x:c>
      <x:c r="AE331" s="14" t="str">
        <x:v>v1.4</x:v>
      </x:c>
      <x:c r="AF331" s="52" t="str">
        <x:v>2026-08-16</x:v>
      </x:c>
      <x:c r="AG331" s="52"/>
    </x:row>
    <x:row r="332" ht="42" customHeight="1">
      <x:c r="A332" s="14" t="str">
        <x:v>WOK-SC-128</x:v>
      </x:c>
      <x:c r="B332" s="14" t="str">
        <x:v>SDG 13 – Klima</x:v>
      </x:c>
      <x:c r="C332" s="14" t="str">
        <x:v>13.3</x:v>
      </x:c>
      <x:c r="D332" s="14" t="str">
        <x:v>Scope‑3 Datenqualität</x:v>
      </x:c>
      <x:c r="E332" s="14" t="str">
        <x:v>Scope‑3 Datenqualität – ESG‑Spend‑Coverage</x:v>
      </x:c>
      <x:c r="F332" s="14" t="str">
        <x:v>Anteil verifizierter ESG‑Daten am Spend</x:v>
      </x:c>
      <x:c r="G332" s="14" t="str">
        <x:v>%</x:v>
      </x:c>
      <x:c r="H332" s="14" t="str">
        <x:v>higher_is_better</x:v>
      </x:c>
      <x:c r="I332" s="14" t="str">
        <x:v>R26</x:v>
      </x:c>
      <x:c r="J332" s="14" t="str">
        <x:v>≥90:+3; 70–89:+2; 50–69:0; 30–49:‑2; &lt;30:‑3</x:v>
      </x:c>
      <x:c r="K332" s="14" t="str">
        <x:v>Feste WÖk-Kalibrierung</x:v>
      </x:c>
      <x:c r="L332" s="14" t="str">
        <x:v>Arbeitskalibrierung – fachlich zu validieren</x:v>
      </x:c>
      <x:c r="M332" s="14" t="str">
        <x:v>WÖk-interne Klassenlogik</x:v>
      </x:c>
      <x:c r="N332" s="14" t="str">
        <x:v>Optional/Nein</x:v>
      </x:c>
      <x:c r="O332" s="14" t="str">
        <x:v>ESRS S2; GRI 308/414/408/409</x:v>
      </x:c>
      <x:c r="P332" s="14" t="str">
        <x:v>ESRS E1, GHG Protocol (Corporate/Scope 1–3), ISO 14064/14067</x:v>
      </x:c>
      <x:c r="Q332" s="14" t="str">
        <x:v>Mess-, Berichts- oder Managementrahmen; Schwellen sind grundsätzlich WÖk-Kalibrierungen</x:v>
      </x:c>
      <x:c r="R332" s="14" t="str">
        <x:v>Messgrundlage belegt; Schwellenkalibrierung offen</x:v>
      </x:c>
      <x:c r="S332" s="14" t="str">
        <x:v>EU-ESRS; GRI; OECD-DD; ILO-CORE</x:v>
      </x:c>
      <x:c r="T332" s="14" t="str">
        <x:v>C20 Chemie; C24 Stahl; C29 Fahrzeuge</x:v>
      </x:c>
      <x:c r="U332" s="14" t="str">
        <x:v>Legacy / nicht explizit versioniert</x:v>
      </x:c>
      <x:c r="V332" s="51" t="str"/>
      <x:c r="W332" s="14" t="str">
        <x:v>Migration auf NACE Rev. 2.1 erforderlich</x:v>
      </x:c>
      <x:c r="X332" s="14" t="str">
        <x:v>Vorgelagerte Lieferkette; relevante Tier-Stufen und Beschaffungsvolumen</x:v>
      </x:c>
      <x:c r="Y332" s="14" t="str">
        <x:v>Quote = Zähler / Nenner gemäß Quelle; in %.</x:v>
      </x:c>
      <x:c r="Z332" s="14" t="str">
        <x:v>Primärdaten bevorzugt; Sekundärdaten nur transparent und versioniert; Methode und Systemgrenze dokumentieren</x:v>
      </x:c>
      <x:c r="AA332" s="14" t="str">
        <x:v>Limited Assurance; risikobasiert höhere Prüftiefe</x:v>
      </x:c>
      <x:c r="AB332" s="14" t="str">
        <x:v>Strukturell nutzbar; Schwellen fachlich zu validieren</x:v>
      </x:c>
      <x:c r="AC332" s="14" t="str">
        <x:v>Mittel</x:v>
      </x:c>
      <x:c r="AD332" s="14" t="str">
        <x:v>Vollständige fünfstufige numerische Regel.</x:v>
      </x:c>
      <x:c r="AE332" s="14" t="str">
        <x:v>v1.4</x:v>
      </x:c>
      <x:c r="AF332" s="52" t="str">
        <x:v>2026-08-16</x:v>
      </x:c>
      <x:c r="AG332" s="52"/>
    </x:row>
    <x:row r="333" ht="42" customHeight="1">
      <x:c r="A333" s="14" t="str">
        <x:v>WOK-SC-129</x:v>
      </x:c>
      <x:c r="B333" s="14" t="str">
        <x:v>SDG 13 – Klima</x:v>
      </x:c>
      <x:c r="C333" s="14" t="str">
        <x:v>13.3</x:v>
      </x:c>
      <x:c r="D333" s="14" t="str">
        <x:v>Scope‑3 Datenqualität</x:v>
      </x:c>
      <x:c r="E333" s="14" t="str">
        <x:v>Scope‑3 Datenqualität – Kinder/Zwangsarbeit</x:v>
      </x:c>
      <x:c r="F333" s="14" t="str">
        <x:v>Audits ohne Verstöße</x:v>
      </x:c>
      <x:c r="G333" s="14" t="str">
        <x:v>% Lieferanten</x:v>
      </x:c>
      <x:c r="H333" s="14" t="str">
        <x:v>higher_is_better</x:v>
      </x:c>
      <x:c r="I333" s="14" t="str">
        <x:v>R28</x:v>
      </x:c>
      <x:c r="J333" s="14" t="str">
        <x:v>≥98:+3; 90–97:+2; 75–89:0; 50–74:‑2; &lt;50:‑3</x:v>
      </x:c>
      <x:c r="K333" s="14" t="str">
        <x:v>Feste WÖk-Kalibrierung</x:v>
      </x:c>
      <x:c r="L333" s="14" t="str">
        <x:v>Arbeitskalibrierung – fachlich zu validieren</x:v>
      </x:c>
      <x:c r="M333" s="14" t="str">
        <x:v>WÖk-interne Klassenlogik</x:v>
      </x:c>
      <x:c r="N333" s="14" t="str">
        <x:v>Optional/Nein</x:v>
      </x:c>
      <x:c r="O333" s="14" t="str">
        <x:v>ESRS S2; GRI 308/414/408/409</x:v>
      </x:c>
      <x:c r="P333" s="14" t="str">
        <x:v>ESRS E1, GHG Protocol (Corporate/Scope 1–3), ISO 14064/14067</x:v>
      </x:c>
      <x:c r="Q333" s="14" t="str">
        <x:v>Mess-, Berichts- oder Managementrahmen; Schwellen sind grundsätzlich WÖk-Kalibrierungen</x:v>
      </x:c>
      <x:c r="R333" s="14" t="str">
        <x:v>Messgrundlage belegt; Schwellenkalibrierung offen</x:v>
      </x:c>
      <x:c r="S333" s="14" t="str">
        <x:v>EU-ESRS; GRI; OECD-DD; ILO-CORE</x:v>
      </x:c>
      <x:c r="T333" s="14" t="str">
        <x:v>C20 Chemie; C24 Stahl; C29 Fahrzeuge</x:v>
      </x:c>
      <x:c r="U333" s="14" t="str">
        <x:v>Legacy / nicht explizit versioniert</x:v>
      </x:c>
      <x:c r="V333" s="51" t="str"/>
      <x:c r="W333" s="14" t="str">
        <x:v>Migration auf NACE Rev. 2.1 erforderlich</x:v>
      </x:c>
      <x:c r="X333" s="14" t="str">
        <x:v>Vorgelagerte Lieferkette; relevante Tier-Stufen und Beschaffungsvolumen</x:v>
      </x:c>
      <x:c r="Y333" s="14" t="str">
        <x:v>Quote = Zähler / Nenner gemäß Quelle; in %.</x:v>
      </x:c>
      <x:c r="Z333" s="14" t="str">
        <x:v>Primärdaten bevorzugt; Sekundärdaten nur transparent und versioniert; Methode und Systemgrenze dokumentieren</x:v>
      </x:c>
      <x:c r="AA333" s="14" t="str">
        <x:v>Limited Assurance; risikobasiert höhere Prüftiefe</x:v>
      </x:c>
      <x:c r="AB333" s="14" t="str">
        <x:v>Strukturell nutzbar; Schwellen fachlich zu validieren</x:v>
      </x:c>
      <x:c r="AC333" s="14" t="str">
        <x:v>Mittel</x:v>
      </x:c>
      <x:c r="AD333" s="14" t="str">
        <x:v>Vollständige fünfstufige numerische Regel.</x:v>
      </x:c>
      <x:c r="AE333" s="14" t="str">
        <x:v>v1.4</x:v>
      </x:c>
      <x:c r="AF333" s="52" t="str">
        <x:v>2026-08-16</x:v>
      </x:c>
      <x:c r="AG333" s="52"/>
    </x:row>
    <x:row r="334" ht="42" customHeight="1">
      <x:c r="A334" s="14" t="str">
        <x:v>WOK-SC-130</x:v>
      </x:c>
      <x:c r="B334" s="14" t="str">
        <x:v>SDG 13 – Klima</x:v>
      </x:c>
      <x:c r="C334" s="14" t="str">
        <x:v>13.3</x:v>
      </x:c>
      <x:c r="D334" s="14" t="str">
        <x:v>Scope‑3 Datenqualität</x:v>
      </x:c>
      <x:c r="E334" s="14" t="str">
        <x:v>Scope‑3 Datenqualität – Scope‑3 Daten</x:v>
      </x:c>
      <x:c r="F334" s="14" t="str">
        <x:v>Primärdaten‑Abdeckung</x:v>
      </x:c>
      <x:c r="G334" s="14" t="str">
        <x:v>% Kategorien</x:v>
      </x:c>
      <x:c r="H334" s="14" t="str">
        <x:v>higher_is_better</x:v>
      </x:c>
      <x:c r="I334" s="14" t="str">
        <x:v>R23</x:v>
      </x:c>
      <x:c r="J334" s="14" t="str">
        <x:v>≥80:+3; 60–79:+2; 40–59:0; 20–39:‑2; &lt;20:‑3</x:v>
      </x:c>
      <x:c r="K334" s="14" t="str">
        <x:v>Feste WÖk-Kalibrierung</x:v>
      </x:c>
      <x:c r="L334" s="14" t="str">
        <x:v>Arbeitskalibrierung – fachlich zu validieren</x:v>
      </x:c>
      <x:c r="M334" s="14" t="str">
        <x:v>WÖk-interne Klassenlogik</x:v>
      </x:c>
      <x:c r="N334" s="14" t="str">
        <x:v>Optional/Nein</x:v>
      </x:c>
      <x:c r="O334" s="14" t="str">
        <x:v>ESRS E1; GHG Protocol</x:v>
      </x:c>
      <x:c r="P334" s="14" t="str">
        <x:v>ESRS E1, GHG Protocol (Corporate/Scope 1–3), ISO 14064/14067</x:v>
      </x:c>
      <x:c r="Q334" s="14" t="str">
        <x:v>Mess-, Berichts- oder Managementrahmen; Schwellen sind grundsätzlich WÖk-Kalibrierungen</x:v>
      </x:c>
      <x:c r="R334" s="14" t="str">
        <x:v>Messgrundlage belegt; Schwellenkalibrierung offen</x:v>
      </x:c>
      <x:c r="S334" s="14" t="str">
        <x:v>EU-ESRS; GHG-CORP; GHG-S3; GHG-PROD</x:v>
      </x:c>
      <x:c r="T334" s="14" t="str">
        <x:v>C20 Chemie; C24 Stahl; C29 Fahrzeuge</x:v>
      </x:c>
      <x:c r="U334" s="14" t="str">
        <x:v>Legacy / nicht explizit versioniert</x:v>
      </x:c>
      <x:c r="V334" s="51" t="str"/>
      <x:c r="W334" s="14" t="str">
        <x:v>Migration auf NACE Rev. 2.1 erforderlich</x:v>
      </x:c>
      <x:c r="X334" s="14" t="str">
        <x:v>Vorgelagerte Lieferkette; relevante Tier-Stufen und Beschaffungsvolumen</x:v>
      </x:c>
      <x:c r="Y334" s="14" t="str">
        <x:v>Quote = Zähler / Nenner gemäß Quelle; in %.</x:v>
      </x:c>
      <x:c r="Z334" s="14" t="str">
        <x:v>Primärdaten bevorzugt; Sekundärdaten nur transparent und versioniert; Methode und Systemgrenze dokumentieren</x:v>
      </x:c>
      <x:c r="AA334" s="14" t="str">
        <x:v>Limited Assurance; risikobasiert höhere Prüftiefe</x:v>
      </x:c>
      <x:c r="AB334" s="14" t="str">
        <x:v>Strukturell nutzbar; Schwellen fachlich zu validieren</x:v>
      </x:c>
      <x:c r="AC334" s="14" t="str">
        <x:v>Mittel</x:v>
      </x:c>
      <x:c r="AD334" s="14" t="str">
        <x:v>Vollständige fünfstufige numerische Regel.</x:v>
      </x:c>
      <x:c r="AE334" s="14" t="str">
        <x:v>v1.4</x:v>
      </x:c>
      <x:c r="AF334" s="52" t="str">
        <x:v>2026-08-16</x:v>
      </x:c>
      <x:c r="AG334" s="52"/>
    </x:row>
    <x:row r="335" ht="42" customHeight="1">
      <x:c r="A335" s="14" t="str">
        <x:v>WOK-E-182</x:v>
      </x:c>
      <x:c r="B335" s="14" t="str">
        <x:v>SDG 13 – Klima</x:v>
      </x:c>
      <x:c r="C335" s="14" t="str">
        <x:v>13.2</x:v>
      </x:c>
      <x:c r="D335" s="14" t="str">
        <x:v>Interne CO₂‑Bepreisung</x:v>
      </x:c>
      <x:c r="E335" s="14" t="str">
        <x:v>Interne CO₂‑Bepreisung – Spezifische Emissionen</x:v>
      </x:c>
      <x:c r="F335" s="14" t="str">
        <x:v>CO₂e je kWh (LCA)</x:v>
      </x:c>
      <x:c r="G335" s="14" t="str">
        <x:v>g CO₂e/kWh</x:v>
      </x:c>
      <x:c r="H335" s="14" t="str">
        <x:v>lower_is_better</x:v>
      </x:c>
      <x:c r="I335" s="14" t="str">
        <x:v>R10</x:v>
      </x:c>
      <x:c r="J335" s="14" t="str">
        <x:v>≤100:+3; 101–250:0; &gt;250:‑2</x:v>
      </x:c>
      <x:c r="K335" s="14" t="str">
        <x:v>Feste WÖk-Grobkalibrierung</x:v>
      </x:c>
      <x:c r="L335" s="14" t="str">
        <x:v>Klassen +2 und −3 fehlen</x:v>
      </x:c>
      <x:c r="M335" s="14" t="str">
        <x:v>WÖk-interne Grobkalibrierung</x:v>
      </x:c>
      <x:c r="N335" s="14" t="str">
        <x:v>Optional/Nein</x:v>
      </x:c>
      <x:c r="O335" s="14" t="str">
        <x:v>EU‑Taxonomie TSC/DNSH</x:v>
      </x:c>
      <x:c r="P335" s="14" t="str">
        <x:v>ESRS E1, GHG Protocol (Corporate/Scope 1–3), ISO 14064/14067</x:v>
      </x:c>
      <x:c r="Q335" s="14" t="str">
        <x:v>Mess-, Berichts- oder Managementrahmen; Schwellen sind grundsätzlich WÖk-Kalibrierungen</x:v>
      </x:c>
      <x:c r="R335" s="14" t="str">
        <x:v>Messgrundlage belegt; Schwellenkalibrierung offen</x:v>
      </x:c>
      <x:c r="S335" s="14" t="str">
        <x:v>EU-TAX</x:v>
      </x:c>
      <x:c r="T335" s="14" t="str">
        <x:v>G47 Handel; K Versicherungen; M72 F&amp;E</x:v>
      </x:c>
      <x:c r="U335" s="14" t="str">
        <x:v>Legacy / nicht explizit versioniert</x:v>
      </x:c>
      <x:c r="V335" s="51" t="str"/>
      <x:c r="W335" s="14" t="str">
        <x:v>Migration auf NACE Rev. 2.1 erforderlich</x:v>
      </x:c>
      <x:c r="X335" s="14" t="str">
        <x:v>Standort/Prozess/Aktivität; Bezugsgröße und relevante Umweltmedien</x:v>
      </x:c>
      <x:c r="Y335" s="14" t="str">
        <x:v>Siehe Quelle: Definition gemäß Standard (ESRS/GRI/Taxonomie/ISO).</x:v>
      </x:c>
      <x:c r="Z335" s="14" t="str">
        <x:v>Primärdaten bevorzugt; Sekundärdaten nur transparent und versioniert; Methode und Systemgrenze dokumentieren</x:v>
      </x:c>
      <x:c r="AA335" s="14" t="str">
        <x:v>Limited Assurance; risikobasiert höhere Prüftiefe</x:v>
      </x:c>
      <x:c r="AB335" s="14" t="str">
        <x:v>Strukturell nutzbar; Schwellen fachlich zu validieren</x:v>
      </x:c>
      <x:c r="AC335" s="14" t="str">
        <x:v>Mittel</x:v>
      </x:c>
      <x:c r="AD335" s="14" t="str">
        <x:v>Automatik bildet nur die explizit vorhandenen Klassen ab.</x:v>
      </x:c>
      <x:c r="AE335" s="14" t="str">
        <x:v>v1.4</x:v>
      </x:c>
      <x:c r="AF335" s="52" t="str">
        <x:v>2026-08-16</x:v>
      </x:c>
      <x:c r="AG335" s="52"/>
    </x:row>
    <x:row r="336" ht="42" customHeight="1">
      <x:c r="A336" s="14" t="str">
        <x:v>WOK-E-183</x:v>
      </x:c>
      <x:c r="B336" s="14" t="str">
        <x:v>SDG 13 – Klima</x:v>
      </x:c>
      <x:c r="C336" s="14" t="str">
        <x:v>13.2</x:v>
      </x:c>
      <x:c r="D336" s="14" t="str">
        <x:v>Interne CO₂‑Bepreisung</x:v>
      </x:c>
      <x:c r="E336" s="14" t="str">
        <x:v>Interne CO₂‑Bepreisung – DNSH‑Konformität</x:v>
      </x:c>
      <x:c r="F336" s="14" t="str">
        <x:v>‚Do No Significant Harm‘ erfüllt</x:v>
      </x:c>
      <x:c r="G336" s="14" t="str">
        <x:v>% Aktivitäten</x:v>
      </x:c>
      <x:c r="H336" s="14" t="str">
        <x:v>higher_is_better</x:v>
      </x:c>
      <x:c r="I336" s="14" t="str">
        <x:v>R25</x:v>
      </x:c>
      <x:c r="J336" s="14" t="str">
        <x:v>≥90%:+3; 70–89%:+2; 50–69%:0; 30–49%:‑2; &lt;30%:‑3</x:v>
      </x:c>
      <x:c r="K336" s="14" t="str">
        <x:v>Feste WÖk-Kalibrierung</x:v>
      </x:c>
      <x:c r="L336" s="14" t="str">
        <x:v>Arbeitskalibrierung – fachlich zu validieren</x:v>
      </x:c>
      <x:c r="M336" s="14" t="str">
        <x:v>WÖk-interne Klassenlogik</x:v>
      </x:c>
      <x:c r="N336" s="14" t="str">
        <x:v>Optional/Nein</x:v>
      </x:c>
      <x:c r="O336" s="14" t="str">
        <x:v>EU‑Taxonomie TSC/DNSH</x:v>
      </x:c>
      <x:c r="P336" s="14" t="str">
        <x:v>EU‑Taxonomie (TSC &amp; DNSH)</x:v>
      </x:c>
      <x:c r="Q336" s="14" t="str">
        <x:v>Mess-, Berichts- oder Managementrahmen; Schwellen sind grundsätzlich WÖk-Kalibrierungen</x:v>
      </x:c>
      <x:c r="R336" s="14" t="str">
        <x:v>Messgrundlage belegt; Schwellenkalibrierung offen</x:v>
      </x:c>
      <x:c r="S336" s="14" t="str">
        <x:v>EU-TAX</x:v>
      </x:c>
      <x:c r="T336" s="14" t="str">
        <x:v>G47 Handel; K Versicherungen; M72 F&amp;E</x:v>
      </x:c>
      <x:c r="U336" s="14" t="str">
        <x:v>Legacy / nicht explizit versioniert</x:v>
      </x:c>
      <x:c r="V336" s="51" t="str"/>
      <x:c r="W336" s="14" t="str">
        <x:v>Migration auf NACE Rev. 2.1 erforderlich</x:v>
      </x:c>
      <x:c r="X336" s="14" t="str">
        <x:v>Standort/Prozess/Aktivität; Bezugsgröße und relevante Umweltmedien</x:v>
      </x:c>
      <x:c r="Y336" s="14" t="str">
        <x:v>EU‑Taxonomie: TSC erfüllt &amp; DNSH + MSR; Anteil konformer Aktivitäten.</x:v>
      </x:c>
      <x:c r="Z336" s="14" t="str">
        <x:v>Primärdaten bevorzugt; Sekundärdaten nur transparent und versioniert; Methode und Systemgrenze dokumentieren</x:v>
      </x:c>
      <x:c r="AA336" s="14" t="str">
        <x:v>Limited Assurance; risikobasiert höhere Prüftiefe</x:v>
      </x:c>
      <x:c r="AB336" s="14" t="str">
        <x:v>Strukturell nutzbar; Schwellen fachlich zu validieren</x:v>
      </x:c>
      <x:c r="AC336" s="14" t="str">
        <x:v>Mittel</x:v>
      </x:c>
      <x:c r="AD336" s="14" t="str">
        <x:v>Vollständige fünfstufige Prozentregel.</x:v>
      </x:c>
      <x:c r="AE336" s="14" t="str">
        <x:v>v1.4</x:v>
      </x:c>
      <x:c r="AF336" s="52" t="str">
        <x:v>2026-08-16</x:v>
      </x:c>
      <x:c r="AG336" s="52"/>
    </x:row>
    <x:row r="337" ht="42" customHeight="1">
      <x:c r="A337" s="14" t="str">
        <x:v>WOK-E-184</x:v>
      </x:c>
      <x:c r="B337" s="14" t="str">
        <x:v>SDG 13 – Klima</x:v>
      </x:c>
      <x:c r="C337" s="14" t="str">
        <x:v>13.2</x:v>
      </x:c>
      <x:c r="D337" s="14" t="str">
        <x:v>Interne CO₂‑Bepreisung</x:v>
      </x:c>
      <x:c r="E337" s="14" t="str">
        <x:v>Interne CO₂‑Bepreisung – TSC‑Schwellen</x:v>
      </x:c>
      <x:c r="F337" s="14" t="str">
        <x:v>Anteil unter technischen TSC‑Grenzen</x:v>
      </x:c>
      <x:c r="G337" s="14" t="str">
        <x:v>% Aktivitäten</x:v>
      </x:c>
      <x:c r="H337" s="14" t="str">
        <x:v>higher_is_better</x:v>
      </x:c>
      <x:c r="I337" s="14" t="str">
        <x:v>R25</x:v>
      </x:c>
      <x:c r="J337" s="14" t="str">
        <x:v>≥90%:+3; 70–89%:+2; 50–69%:0; 30–49%:‑2; &lt;30%:‑3</x:v>
      </x:c>
      <x:c r="K337" s="14" t="str">
        <x:v>Feste WÖk-Kalibrierung</x:v>
      </x:c>
      <x:c r="L337" s="14" t="str">
        <x:v>Arbeitskalibrierung – fachlich zu validieren</x:v>
      </x:c>
      <x:c r="M337" s="14" t="str">
        <x:v>WÖk-interne Klassenlogik</x:v>
      </x:c>
      <x:c r="N337" s="14" t="str">
        <x:v>Optional/Nein</x:v>
      </x:c>
      <x:c r="O337" s="14" t="str">
        <x:v>EU‑Taxonomie TSC/DNSH</x:v>
      </x:c>
      <x:c r="P337" s="14" t="str">
        <x:v>EU‑Taxonomie (TSC &amp; DNSH)</x:v>
      </x:c>
      <x:c r="Q337" s="14" t="str">
        <x:v>Mess-, Berichts- oder Managementrahmen; Schwellen sind grundsätzlich WÖk-Kalibrierungen</x:v>
      </x:c>
      <x:c r="R337" s="14" t="str">
        <x:v>Messgrundlage belegt; Schwellenkalibrierung offen</x:v>
      </x:c>
      <x:c r="S337" s="14" t="str">
        <x:v>EU-TAX</x:v>
      </x:c>
      <x:c r="T337" s="14" t="str">
        <x:v>G47 Handel; K Versicherungen; M72 F&amp;E</x:v>
      </x:c>
      <x:c r="U337" s="14" t="str">
        <x:v>Legacy / nicht explizit versioniert</x:v>
      </x:c>
      <x:c r="V337" s="51" t="str"/>
      <x:c r="W337" s="14" t="str">
        <x:v>Migration auf NACE Rev. 2.1 erforderlich</x:v>
      </x:c>
      <x:c r="X337" s="14" t="str">
        <x:v>Standort/Prozess/Aktivität; Bezugsgröße und relevante Umweltmedien</x:v>
      </x:c>
      <x:c r="Y337" s="14" t="str">
        <x:v>EU‑Taxonomie: TSC erfüllt &amp; DNSH + MSR; Anteil konformer Aktivitäten.</x:v>
      </x:c>
      <x:c r="Z337" s="14" t="str">
        <x:v>Primärdaten bevorzugt; Sekundärdaten nur transparent und versioniert; Methode und Systemgrenze dokumentieren</x:v>
      </x:c>
      <x:c r="AA337" s="14" t="str">
        <x:v>Limited Assurance; risikobasiert höhere Prüftiefe</x:v>
      </x:c>
      <x:c r="AB337" s="14" t="str">
        <x:v>Strukturell nutzbar; Schwellen fachlich zu validieren</x:v>
      </x:c>
      <x:c r="AC337" s="14" t="str">
        <x:v>Mittel</x:v>
      </x:c>
      <x:c r="AD337" s="14" t="str">
        <x:v>Vollständige fünfstufige Prozentregel.</x:v>
      </x:c>
      <x:c r="AE337" s="14" t="str">
        <x:v>v1.4</x:v>
      </x:c>
      <x:c r="AF337" s="52" t="str">
        <x:v>2026-08-16</x:v>
      </x:c>
      <x:c r="AG337" s="52"/>
    </x:row>
    <x:row r="338" ht="42" customHeight="1">
      <x:c r="A338" s="14" t="str">
        <x:v>WOK-E-185</x:v>
      </x:c>
      <x:c r="B338" s="14" t="str">
        <x:v>SDG 13 – Klima</x:v>
      </x:c>
      <x:c r="C338" s="14" t="str">
        <x:v>13.2</x:v>
      </x:c>
      <x:c r="D338" s="14" t="str">
        <x:v>Erneuerbarer Strom</x:v>
      </x:c>
      <x:c r="E338" s="14" t="str">
        <x:v>Erneuerbarer Strom – EE‑Anteil</x:v>
      </x:c>
      <x:c r="F338" s="14" t="str">
        <x:v>Anteil erneuerbarer Energien am Strombezug</x:v>
      </x:c>
      <x:c r="G338" s="14" t="str">
        <x:v>%</x:v>
      </x:c>
      <x:c r="H338" s="14" t="str">
        <x:v>higher_is_better</x:v>
      </x:c>
      <x:c r="I338" s="14" t="str">
        <x:v>R25</x:v>
      </x:c>
      <x:c r="J338" s="14" t="str">
        <x:v>≥90%:+3; 70–89%:+2; 50–69%:0; 30–49%:‑2; &lt;30%:‑3</x:v>
      </x:c>
      <x:c r="K338" s="14" t="str">
        <x:v>Feste WÖk-Kalibrierung</x:v>
      </x:c>
      <x:c r="L338" s="14" t="str">
        <x:v>Arbeitskalibrierung – fachlich zu validieren</x:v>
      </x:c>
      <x:c r="M338" s="14" t="str">
        <x:v>WÖk-interne Klassenlogik</x:v>
      </x:c>
      <x:c r="N338" s="14" t="str">
        <x:v>Optional/Nein</x:v>
      </x:c>
      <x:c r="O338" s="14" t="str">
        <x:v>ESRS E1; GHG Protocol</x:v>
      </x:c>
      <x:c r="P338" s="14" t="str">
        <x:v>ESRS E1, ISO 50001 (EnMS), ISO/IEC 30134‑2 (PUE), EU EPBD</x:v>
      </x:c>
      <x:c r="Q338" s="14" t="str">
        <x:v>Mess-, Berichts- oder Managementrahmen; Schwellen sind grundsätzlich WÖk-Kalibrierungen</x:v>
      </x:c>
      <x:c r="R338" s="14" t="str">
        <x:v>Messgrundlage belegt; Schwellenkalibrierung offen</x:v>
      </x:c>
      <x:c r="S338" s="14" t="str">
        <x:v>EU-ESRS; GHG-CORP; GHG-S3; GHG-PROD</x:v>
      </x:c>
      <x:c r="T338" s="14" t="str">
        <x:v>C20 Chemie; C24 Stahl; C29 Fahrzeuge</x:v>
      </x:c>
      <x:c r="U338" s="14" t="str">
        <x:v>Legacy / nicht explizit versioniert</x:v>
      </x:c>
      <x:c r="V338" s="51" t="str"/>
      <x:c r="W338" s="14" t="str">
        <x:v>Migration auf NACE Rev. 2.1 erforderlich</x:v>
      </x:c>
      <x:c r="X338" s="14" t="str">
        <x:v>Standort/Prozess/Aktivität; Bezugsgröße und relevante Umweltmedien</x:v>
      </x:c>
      <x:c r="Y338" s="14" t="str">
        <x:v>EE‑Anteil = EE‑Strom (inkl. PPA/HKN) / Gesamtstrom.</x:v>
      </x:c>
      <x:c r="Z338" s="14" t="str">
        <x:v>Primärdaten bevorzugt; Sekundärdaten nur transparent und versioniert; Methode und Systemgrenze dokumentieren</x:v>
      </x:c>
      <x:c r="AA338" s="14" t="str">
        <x:v>Limited Assurance; risikobasiert höhere Prüftiefe</x:v>
      </x:c>
      <x:c r="AB338" s="14" t="str">
        <x:v>Strukturell nutzbar; Schwellen fachlich zu validieren</x:v>
      </x:c>
      <x:c r="AC338" s="14" t="str">
        <x:v>Mittel</x:v>
      </x:c>
      <x:c r="AD338" s="14" t="str">
        <x:v>Vollständige fünfstufige Prozentregel.</x:v>
      </x:c>
      <x:c r="AE338" s="14" t="str">
        <x:v>v1.4</x:v>
      </x:c>
      <x:c r="AF338" s="52" t="str">
        <x:v>2026-08-16</x:v>
      </x:c>
      <x:c r="AG338" s="52"/>
    </x:row>
    <x:row r="339" ht="42" customHeight="1">
      <x:c r="A339" s="14" t="str">
        <x:v>WOK-E-186</x:v>
      </x:c>
      <x:c r="B339" s="14" t="str">
        <x:v>SDG 13 – Klima</x:v>
      </x:c>
      <x:c r="C339" s="14" t="str">
        <x:v>13.2</x:v>
      </x:c>
      <x:c r="D339" s="14" t="str">
        <x:v>Erneuerbarer Strom</x:v>
      </x:c>
      <x:c r="E339" s="14" t="str">
        <x:v>Erneuerbarer Strom – Intensität</x:v>
      </x:c>
      <x:c r="F339" s="14" t="str">
        <x:v>Energie je Output/Umsatz</x:v>
      </x:c>
      <x:c r="G339" s="14" t="str">
        <x:v>kWh/€ Mio bzw. kWh/t</x:v>
      </x:c>
      <x:c r="H339" s="14" t="str">
        <x:v>lower_is_better</x:v>
      </x:c>
      <x:c r="I339" s="14" t="str">
        <x:v>R06</x:v>
      </x:c>
      <x:c r="J339" s="14" t="str">
        <x:v>Top‑10%:+3; Mittel:0; &gt;150%:‑2; &gt;250%:‑3</x:v>
      </x:c>
      <x:c r="K339" s="14" t="str">
        <x:v>Benchmarkabhängig</x:v>
      </x:c>
      <x:c r="L339" s="14" t="str">
        <x:v>Validierter Benchmark fehlt</x:v>
      </x:c>
      <x:c r="M339" s="14" t="str">
        <x:v>Branche/Region/Technologie</x:v>
      </x:c>
      <x:c r="N339" s="14" t="str">
        <x:v>Ja</x:v>
      </x:c>
      <x:c r="O339" s="14" t="str">
        <x:v>ESRS E1; GHG Protocol</x:v>
      </x:c>
      <x:c r="P339" s="14" t="str">
        <x:v>ESRS E1, ISO 50001 (EnMS), ISO/IEC 30134‑2 (PUE), EU EPBD</x:v>
      </x:c>
      <x:c r="Q339" s="14" t="str">
        <x:v>Mess-/Methodenrahmen; aktiver Branchen-/Regional-/Technologiebenchmark separat erforderlich</x:v>
      </x:c>
      <x:c r="R339" s="14" t="str">
        <x:v>Teilbelegt – Benchmarkquelle fehlt</x:v>
      </x:c>
      <x:c r="S339" s="14" t="str">
        <x:v>EU-ESRS; GHG-CORP; GHG-S3; GHG-PROD</x:v>
      </x:c>
      <x:c r="T339" s="14" t="str">
        <x:v>C20 Chemie; C24 Stahl; C29 Fahrzeuge</x:v>
      </x:c>
      <x:c r="U339" s="14" t="str">
        <x:v>Legacy / nicht explizit versioniert</x:v>
      </x:c>
      <x:c r="V339" s="51" t="str"/>
      <x:c r="W339" s="14" t="str">
        <x:v>Migration auf NACE Rev. 2.1 erforderlich</x:v>
      </x:c>
      <x:c r="X339" s="14" t="str">
        <x:v>Standort/Prozess/Aktivität; Bezugsgröße und relevante Umweltmedien</x:v>
      </x:c>
      <x:c r="Y339" s="14" t="str">
        <x:v>Siehe Quelle: Definition gemäß Standard (ESRS/GRI/Taxonomie/ISO).</x:v>
      </x:c>
      <x:c r="Z339" s="14" t="str">
        <x:v>Primärdaten plus repräsentativer, versionierter Benchmarkdatensatz; Stichprobe und Population offenlegen</x:v>
      </x:c>
      <x:c r="AA339" s="14" t="str">
        <x:v>Messwert-Assurance und unabhängige Benchmark-Governance</x:v>
      </x:c>
      <x:c r="AB339" s="14" t="str">
        <x:v>Prüfung/Parametrisierung erforderlich</x:v>
      </x:c>
      <x:c r="AC339" s="14" t="str">
        <x:v>Hoch</x:v>
      </x:c>
      <x:c r="AD339" s="14" t="str">
        <x:v>Top-10-Prozent, Mittelwert, 150 % und 250 % müssen aus einer dokumentierten Grundgesamtheit stammen.</x:v>
      </x:c>
      <x:c r="AE339" s="14" t="str">
        <x:v>v1.4</x:v>
      </x:c>
      <x:c r="AF339" s="52" t="str">
        <x:v>2026-08-16</x:v>
      </x:c>
      <x:c r="AG339" s="52"/>
    </x:row>
    <x:row r="340" ht="42" customHeight="1">
      <x:c r="A340" s="14" t="str">
        <x:v>WOK-E-187</x:v>
      </x:c>
      <x:c r="B340" s="14" t="str">
        <x:v>SDG 13 – Klima</x:v>
      </x:c>
      <x:c r="C340" s="14" t="str">
        <x:v>13.2</x:v>
      </x:c>
      <x:c r="D340" s="14" t="str">
        <x:v>Erneuerbarer Strom</x:v>
      </x:c>
      <x:c r="E340" s="14" t="str">
        <x:v>Erneuerbarer Strom – Effizienz (PUE)*</x:v>
      </x:c>
      <x:c r="F340" s="14" t="str">
        <x:v>Effizienz Rechenzentrum/IT‑Betrieb (falls zutreffend)</x:v>
      </x:c>
      <x:c r="G340" s="14" t="str">
        <x:v>PUE</x:v>
      </x:c>
      <x:c r="H340" s="14" t="str">
        <x:v>lower_is_better</x:v>
      </x:c>
      <x:c r="I340" s="14" t="str">
        <x:v>R09</x:v>
      </x:c>
      <x:c r="J340" s="14" t="str">
        <x:v>≤1,2:+3; 1,21–1,4:+2; 1,41–1,6:0; 1,61–1,8:‑2; &gt;1,8:‑3</x:v>
      </x:c>
      <x:c r="K340" s="14" t="str">
        <x:v>Feste WÖk-Kalibrierung</x:v>
      </x:c>
      <x:c r="L340" s="14" t="str">
        <x:v>Messstandard belegt; Klassen sind WÖk-Kalibrierung</x:v>
      </x:c>
      <x:c r="M340" s="14" t="str">
        <x:v>PUE-Messung nach ISO/IEC 30134-2; Klassen intern</x:v>
      </x:c>
      <x:c r="N340" s="14" t="str">
        <x:v>Optional/Nein</x:v>
      </x:c>
      <x:c r="O340" s="14" t="str">
        <x:v>ISO 14067/50001/45001/22301/27701/23894</x:v>
      </x:c>
      <x:c r="P340" s="14" t="str">
        <x:v>ESRS E1, ISO 50001 (EnMS), ISO/IEC 30134‑2 (PUE), EU EPBD</x:v>
      </x:c>
      <x:c r="Q340" s="14" t="str">
        <x:v>Mess-, Berichts- oder Managementrahmen; Schwellen sind grundsätzlich WÖk-Kalibrierungen</x:v>
      </x:c>
      <x:c r="R340" s="14" t="str">
        <x:v>Messgrundlage belegt; Schwellenkalibrierung offen</x:v>
      </x:c>
      <x:c r="S340" s="14" t="str">
        <x:v>ISO-14067; ISO-50001; ISO-45001; ISO-22301; ISO-27701; ISO-23894</x:v>
      </x:c>
      <x:c r="T340" s="14" t="str">
        <x:v>C20 Chemie; C24 Stahl; C29 Fahrzeuge</x:v>
      </x:c>
      <x:c r="U340" s="14" t="str">
        <x:v>Legacy / nicht explizit versioniert</x:v>
      </x:c>
      <x:c r="V340" s="51" t="str"/>
      <x:c r="W340" s="14" t="str">
        <x:v>Migration auf NACE Rev. 2.1 erforderlich</x:v>
      </x:c>
      <x:c r="X340" s="14" t="str">
        <x:v>Standort/Prozess/Aktivität; Bezugsgröße und relevante Umweltmedien</x:v>
      </x:c>
      <x:c r="Y340" s="14" t="str">
        <x:v>PUE = Gesamtstrom RZ / IT‑Last (ISO/IEC 30134‑2).</x:v>
      </x:c>
      <x:c r="Z340" s="14" t="str">
        <x:v>Primärdaten bevorzugt; Sekundärdaten nur transparent und versioniert; Methode und Systemgrenze dokumentieren</x:v>
      </x:c>
      <x:c r="AA340" s="14" t="str">
        <x:v>Limited Assurance; risikobasiert höhere Prüftiefe</x:v>
      </x:c>
      <x:c r="AB340" s="14" t="str">
        <x:v>Strukturell nutzbar; Schwellen fachlich zu validieren</x:v>
      </x:c>
      <x:c r="AC340" s="14" t="str">
        <x:v>Mittel</x:v>
      </x:c>
      <x:c r="AD340" s="14" t="str">
        <x:v>Klimazone und Rechenzentrumstyp sind bei der Validierung zu berücksichtigen.</x:v>
      </x:c>
      <x:c r="AE340" s="14" t="str">
        <x:v>v1.4</x:v>
      </x:c>
      <x:c r="AF340" s="52" t="str">
        <x:v>2026-08-16</x:v>
      </x:c>
      <x:c r="AG340" s="52"/>
    </x:row>
    <x:row r="341" ht="42" customHeight="1">
      <x:c r="A341" s="14" t="str">
        <x:v>WOK-P-125</x:v>
      </x:c>
      <x:c r="B341" s="14" t="str">
        <x:v>SDG 13 – Klima</x:v>
      </x:c>
      <x:c r="C341" s="14" t="str">
        <x:v>13.2</x:v>
      </x:c>
      <x:c r="D341" s="14" t="str">
        <x:v>Produktlebenszyklus CO₂</x:v>
      </x:c>
      <x:c r="E341" s="14" t="str">
        <x:v>Produktlebenszyklus CO₂ – PCF</x:v>
      </x:c>
      <x:c r="F341" s="14" t="str">
        <x:v>CO₂‑Fußabdruck pro Einheit</x:v>
      </x:c>
      <x:c r="G341" s="14" t="str">
        <x:v>kg CO₂e/Einheit</x:v>
      </x:c>
      <x:c r="H341" s="14" t="str">
        <x:v>lower_is_better</x:v>
      </x:c>
      <x:c r="I341" s="14" t="str">
        <x:v>R07</x:v>
      </x:c>
      <x:c r="J341" s="14" t="str">
        <x:v>Top‑10%:+3; ±Benchmark:0; &gt;150%:‑2; &gt;250%:‑3</x:v>
      </x:c>
      <x:c r="K341" s="14" t="str">
        <x:v>Benchmarkabhängig</x:v>
      </x:c>
      <x:c r="L341" s="14" t="str">
        <x:v>Validierter Benchmark fehlt</x:v>
      </x:c>
      <x:c r="M341" s="14" t="str">
        <x:v>Produktgruppe/Region/Technologie</x:v>
      </x:c>
      <x:c r="N341" s="14" t="str">
        <x:v>Ja</x:v>
      </x:c>
      <x:c r="O341" s="14" t="str">
        <x:v>ISO 14067; ESRS E5; GRI 306/301; WEEE/VerpackG</x:v>
      </x:c>
      <x:c r="P341" s="14" t="str">
        <x:v>ISO 14067/14040/44 (LCA/PCF), PEF/EF 3.1, EU Reparierbarkeitsindex</x:v>
      </x:c>
      <x:c r="Q341" s="14" t="str">
        <x:v>Mess-/Methodenrahmen; aktiver Branchen-/Regional-/Technologiebenchmark separat erforderlich</x:v>
      </x:c>
      <x:c r="R341" s="14" t="str">
        <x:v>Teilbelegt – Benchmarkquelle fehlt</x:v>
      </x:c>
      <x:c r="S341" s="14" t="str">
        <x:v>ISO-14067; EU-ESRS; GRI; EU-WEEE; DE-VERPACKG; EU-PPWR</x:v>
      </x:c>
      <x:c r="T341" s="14" t="str">
        <x:v>C20 Chemie; C24 Stahl; C29 Fahrzeuge</x:v>
      </x:c>
      <x:c r="U341" s="14" t="str">
        <x:v>Legacy / nicht explizit versioniert</x:v>
      </x:c>
      <x:c r="V341" s="51" t="str"/>
      <x:c r="W341" s="14" t="str">
        <x:v>Migration auf NACE Rev. 2.1 erforderlich</x:v>
      </x:c>
      <x:c r="X341" s="14" t="str">
        <x:v>Produkt/Funktionseinheit; Lebenszyklusgrenze mindestens cradle-to-gate, bei Nutzungs-/End-of-Life-Relevanz cradle-to-grave</x:v>
      </x:c>
      <x:c r="Y341" s="14" t="str">
        <x:v>PCF gemäß ISO 14067/PEF; Well‑to‑Gate + Nutzung falls zutreffend.</x:v>
      </x:c>
      <x:c r="Z341" s="14" t="str">
        <x:v>Primärdaten plus repräsentativer, versionierter Benchmarkdatensatz; Stichprobe und Population offenlegen</x:v>
      </x:c>
      <x:c r="AA341" s="14" t="str">
        <x:v>Messwert-Assurance und unabhängige Benchmark-Governance</x:v>
      </x:c>
      <x:c r="AB341" s="14" t="str">
        <x:v>Prüfung/Parametrisierung erforderlich</x:v>
      </x:c>
      <x:c r="AC341" s="14" t="str">
        <x:v>Hoch</x:v>
      </x:c>
      <x:c r="AD341" s="14" t="str">
        <x:v>Produktspezifische Referenzpopulation erforderlich.</x:v>
      </x:c>
      <x:c r="AE341" s="14" t="str">
        <x:v>v1.4</x:v>
      </x:c>
      <x:c r="AF341" s="52" t="str">
        <x:v>2026-08-16</x:v>
      </x:c>
      <x:c r="AG341" s="52"/>
    </x:row>
    <x:row r="342" ht="42" customHeight="1">
      <x:c r="A342" s="14" t="str">
        <x:v>WOK-P-126</x:v>
      </x:c>
      <x:c r="B342" s="14" t="str">
        <x:v>SDG 13 – Klima</x:v>
      </x:c>
      <x:c r="C342" s="14" t="str">
        <x:v>13.2</x:v>
      </x:c>
      <x:c r="D342" s="14" t="str">
        <x:v>Produktlebenszyklus CO₂</x:v>
      </x:c>
      <x:c r="E342" s="14" t="str">
        <x:v>Produktlebenszyklus CO₂ – Reparierbarkeit</x:v>
      </x:c>
      <x:c r="F342" s="14" t="str">
        <x:v>Reparierbarkeitsindex</x:v>
      </x:c>
      <x:c r="G342" s="14" t="str">
        <x:v>Score 0–10</x:v>
      </x:c>
      <x:c r="H342" s="14" t="str">
        <x:v>higher_is_better</x:v>
      </x:c>
      <x:c r="I342" s="14" t="str">
        <x:v>R24</x:v>
      </x:c>
      <x:c r="J342" s="14" t="str">
        <x:v>≥8:+3; 6–7,9:+2; 4–5,9:0; 2–3,9:‑2; &lt;2:‑3</x:v>
      </x:c>
      <x:c r="K342" s="14" t="str">
        <x:v>Produktspezifische Indexkalibrierung</x:v>
      </x:c>
      <x:c r="L342" s="14" t="str">
        <x:v>Indexsystem und Produktgruppe müssen ausgewiesen werden</x:v>
      </x:c>
      <x:c r="M342" s="14" t="str">
        <x:v>FR-/EU-Reparierbarkeitssystem je Produktgruppe</x:v>
      </x:c>
      <x:c r="N342" s="14" t="str">
        <x:v>Optional/Nein</x:v>
      </x:c>
      <x:c r="O342" s="14" t="str">
        <x:v>EU/FR Index</x:v>
      </x:c>
      <x:c r="P342" s="14" t="str">
        <x:v>ISO 14067/14040/44 (LCA/PCF), PEF/EF 3.1, EU Reparierbarkeitsindex</x:v>
      </x:c>
      <x:c r="Q342" s="14" t="str">
        <x:v>Produktspezifischer Rechts-/Indexrahmen; System und Produktgruppe explizit auswählen</x:v>
      </x:c>
      <x:c r="R342" s="14" t="str">
        <x:v>Teilbelegt – produktspezifisch zu validieren</x:v>
      </x:c>
      <x:c r="S342" s="14" t="str">
        <x:v>FR-REPAIR; EU-REPAIR; EU-ESPR</x:v>
      </x:c>
      <x:c r="T342" s="14" t="str">
        <x:v>C20 Chemie; C24 Stahl; C29 Fahrzeuge</x:v>
      </x:c>
      <x:c r="U342" s="14" t="str">
        <x:v>Legacy / nicht explizit versioniert</x:v>
      </x:c>
      <x:c r="V342" s="51" t="str"/>
      <x:c r="W342" s="14" t="str">
        <x:v>Migration auf NACE Rev. 2.1 erforderlich</x:v>
      </x:c>
      <x:c r="X342" s="14" t="str">
        <x:v>Produkt/Funktionseinheit; Lebenszyklusgrenze mindestens cradle-to-gate, bei Nutzungs-/End-of-Life-Relevanz cradle-to-grave</x:v>
      </x:c>
      <x:c r="Y342" s="14" t="str">
        <x:v>EU/FR‑Reparierbarkeitsindex: Zerlegbarkeit, Ersatzteile, Doku.</x:v>
      </x:c>
      <x:c r="Z342" s="14" t="str">
        <x:v>Primärdaten oder qualitätsgesicherte Sekundärdaten; Methode, Zeitraum und Systemgrenze dokumentieren</x:v>
      </x:c>
      <x:c r="AA342" s="14" t="str">
        <x:v>Limited Assurance; bei materieller Steuerwirkung risikobasiert vertiefen</x:v>
      </x:c>
      <x:c r="AB342" s="14" t="str">
        <x:v>Produktspezifische bzw. lokale Prüfung erforderlich</x:v>
      </x:c>
      <x:c r="AC342" s="14" t="str">
        <x:v>Hoch</x:v>
      </x:c>
      <x:c r="AD342" s="14" t="str">
        <x:v>Indexsystem, Produktgruppe und Rechtsstand festlegen. Französischer Index und EU-Score sind nicht pauschal austauschbar.</x:v>
      </x:c>
      <x:c r="AE342" s="14" t="str">
        <x:v>v1.4</x:v>
      </x:c>
      <x:c r="AF342" s="52" t="str">
        <x:v>2026-08-16</x:v>
      </x:c>
      <x:c r="AG342" s="52"/>
    </x:row>
    <x:row r="343" ht="42" customHeight="1">
      <x:c r="A343" s="14" t="str">
        <x:v>WOK-P-127</x:v>
      </x:c>
      <x:c r="B343" s="14" t="str">
        <x:v>SDG 13 – Klima</x:v>
      </x:c>
      <x:c r="C343" s="14" t="str">
        <x:v>13.2</x:v>
      </x:c>
      <x:c r="D343" s="14" t="str">
        <x:v>Produktlebenszyklus CO₂</x:v>
      </x:c>
      <x:c r="E343" s="14" t="str">
        <x:v>Produktlebenszyklus CO₂ – Rücknahme/Recycling</x:v>
      </x:c>
      <x:c r="F343" s="14" t="str">
        <x:v>Rücknahme‑/Recyclingquote</x:v>
      </x:c>
      <x:c r="G343" s="14" t="str">
        <x:v>%</x:v>
      </x:c>
      <x:c r="H343" s="14" t="str">
        <x:v>higher_is_better</x:v>
      </x:c>
      <x:c r="I343" s="14" t="str">
        <x:v>R22</x:v>
      </x:c>
      <x:c r="J343" s="14" t="str">
        <x:v>≥70:+3; 50–69:+2; 30–49:0; 15–29:‑2; &lt;15:‑3</x:v>
      </x:c>
      <x:c r="K343" s="14" t="str">
        <x:v>Feste WÖk-Kalibrierung</x:v>
      </x:c>
      <x:c r="L343" s="14" t="str">
        <x:v>Arbeitskalibrierung – fachlich zu validieren</x:v>
      </x:c>
      <x:c r="M343" s="14" t="str">
        <x:v>WÖk-interne Klassenlogik</x:v>
      </x:c>
      <x:c r="N343" s="14" t="str">
        <x:v>Optional/Nein</x:v>
      </x:c>
      <x:c r="O343" s="14" t="str">
        <x:v>ESRS E5; GRI 306/301; WEEE/VerpackG</x:v>
      </x:c>
      <x:c r="P343" s="14" t="str">
        <x:v>ESRS E5, GRI 306, WEEE/VerpackG</x:v>
      </x:c>
      <x:c r="Q343" s="14" t="str">
        <x:v>Mess-, Berichts- oder Managementrahmen; Schwellen sind grundsätzlich WÖk-Kalibrierungen</x:v>
      </x:c>
      <x:c r="R343" s="14" t="str">
        <x:v>Messgrundlage belegt; Schwellenkalibrierung offen</x:v>
      </x:c>
      <x:c r="S343" s="14" t="str">
        <x:v>EU-ESRS; GRI; EU-WEEE; DE-VERPACKG; EU-PPWR</x:v>
      </x:c>
      <x:c r="T343" s="14" t="str">
        <x:v>C20 Chemie; C24 Stahl; C29 Fahrzeuge</x:v>
      </x:c>
      <x:c r="U343" s="14" t="str">
        <x:v>Legacy / nicht explizit versioniert</x:v>
      </x:c>
      <x:c r="V343" s="51" t="str"/>
      <x:c r="W343" s="14" t="str">
        <x:v>Migration auf NACE Rev. 2.1 erforderlich</x:v>
      </x:c>
      <x:c r="X343" s="14" t="str">
        <x:v>Produkt/Funktionseinheit; Lebenszyklusgrenze mindestens cradle-to-gate, bei Nutzungs-/End-of-Life-Relevanz cradle-to-grave</x:v>
      </x:c>
      <x:c r="Y343" s="14" t="str">
        <x:v>Siehe Quelle: Definition gemäß Standard (ESRS/GRI/Taxonomie/ISO).</x:v>
      </x:c>
      <x:c r="Z343" s="14" t="str">
        <x:v>Primärdaten bevorzugt; Sekundärdaten nur transparent und versioniert; Methode und Systemgrenze dokumentieren</x:v>
      </x:c>
      <x:c r="AA343" s="14" t="str">
        <x:v>Limited Assurance; risikobasiert höhere Prüftiefe</x:v>
      </x:c>
      <x:c r="AB343" s="14" t="str">
        <x:v>Strukturell nutzbar; Schwellen fachlich zu validieren</x:v>
      </x:c>
      <x:c r="AC343" s="14" t="str">
        <x:v>Mittel</x:v>
      </x:c>
      <x:c r="AD343" s="14" t="str">
        <x:v>Vollständige fünfstufige numerische Regel.</x:v>
      </x:c>
      <x:c r="AE343" s="14" t="str">
        <x:v>v1.4</x:v>
      </x:c>
      <x:c r="AF343" s="52" t="str">
        <x:v>2026-08-16</x:v>
      </x:c>
      <x:c r="AG343" s="52"/>
    </x:row>
    <x:row r="344" ht="42" customHeight="1">
      <x:c r="A344" s="14" t="str">
        <x:v>WOK-G-164</x:v>
      </x:c>
      <x:c r="B344" s="14" t="str">
        <x:v>SDG 13 – Klima</x:v>
      </x:c>
      <x:c r="C344" s="14" t="str">
        <x:v>13.2</x:v>
      </x:c>
      <x:c r="D344" s="14" t="str">
        <x:v>Klimagovernance/TCFD</x:v>
      </x:c>
      <x:c r="E344" s="14" t="str">
        <x:v>Klimagovernance/TCFD – Antikorruption</x:v>
      </x:c>
      <x:c r="F344" s="14" t="str">
        <x:v>Bestätigte Fälle/1.000 FTE</x:v>
      </x:c>
      <x:c r="G344" s="14" t="str">
        <x:v>Fälle/1.000 FTE</x:v>
      </x:c>
      <x:c r="H344" s="14" t="str">
        <x:v>lower_is_better</x:v>
      </x:c>
      <x:c r="I344" s="14" t="str">
        <x:v>R01</x:v>
      </x:c>
      <x:c r="J344" s="14" t="str">
        <x:v>0:+3; ≤0,2:+2; ≤0,5:0; ≤1:‑2; &gt;1:‑3</x:v>
      </x:c>
      <x:c r="K344" s="14" t="str">
        <x:v>Feste WÖk-Kalibrierung</x:v>
      </x:c>
      <x:c r="L344" s="14" t="str">
        <x:v>Arbeitskalibrierung – fachlich zu validieren</x:v>
      </x:c>
      <x:c r="M344" s="14" t="str">
        <x:v>WÖk-interne Klassenlogik</x:v>
      </x:c>
      <x:c r="N344" s="14" t="str">
        <x:v>Optional/Nein</x:v>
      </x:c>
      <x:c r="O344" s="14" t="str">
        <x:v>ESRS G1; GRI 205/207</x:v>
      </x:c>
      <x:c r="P344" s="14" t="str">
        <x:v>ESRS G1, GRI 205/207, OECD Anti‑Bribery</x:v>
      </x:c>
      <x:c r="Q344" s="14" t="str">
        <x:v>Mess-, Berichts- oder Managementrahmen; Schwellen sind grundsätzlich WÖk-Kalibrierungen</x:v>
      </x:c>
      <x:c r="R344" s="14" t="str">
        <x:v>Messgrundlage belegt; Schwellenkalibrierung offen</x:v>
      </x:c>
      <x:c r="S344" s="14" t="str">
        <x:v>EU-ESRS; GRI; OECD-AB</x:v>
      </x:c>
      <x:c r="T344" s="14" t="str">
        <x:v>G47 Handel; K Versicherungen; M72 F&amp;E</x:v>
      </x:c>
      <x:c r="U344" s="14" t="str">
        <x:v>Legacy / nicht explizit versioniert</x:v>
      </x:c>
      <x:c r="V344" s="51" t="str"/>
      <x:c r="W344" s="14" t="str">
        <x:v>Migration auf NACE Rev. 2.1 erforderlich</x:v>
      </x:c>
      <x:c r="X344" s="14" t="str">
        <x:v>Organisation/Governance; konsolidierter Kreis und relevante Rechtseinheiten</x:v>
      </x:c>
      <x:c r="Y344" s="14" t="str">
        <x:v>Siehe Quelle: Definition gemäß Standard (ESRS/GRI/Taxonomie/ISO).</x:v>
      </x:c>
      <x:c r="Z344" s="14" t="str">
        <x:v>Primärdaten bevorzugt; Sekundärdaten nur transparent und versioniert; Methode und Systemgrenze dokumentieren</x:v>
      </x:c>
      <x:c r="AA344" s="14" t="str">
        <x:v>Limited Assurance; risikobasiert höhere Prüftiefe</x:v>
      </x:c>
      <x:c r="AB344" s="14" t="str">
        <x:v>Strukturell nutzbar; Schwellen fachlich zu validieren</x:v>
      </x:c>
      <x:c r="AC344" s="14" t="str">
        <x:v>Mittel</x:v>
      </x:c>
      <x:c r="AD344" s="14" t="str">
        <x:v>Vollständige fünfstufige numerische Regel.</x:v>
      </x:c>
      <x:c r="AE344" s="14" t="str">
        <x:v>v1.4</x:v>
      </x:c>
      <x:c r="AF344" s="52" t="str">
        <x:v>2026-08-16</x:v>
      </x:c>
      <x:c r="AG344" s="52"/>
    </x:row>
    <x:row r="345" ht="42" customHeight="1">
      <x:c r="A345" s="14" t="str">
        <x:v>WOK-G-165</x:v>
      </x:c>
      <x:c r="B345" s="14" t="str">
        <x:v>SDG 13 – Klima</x:v>
      </x:c>
      <x:c r="C345" s="14" t="str">
        <x:v>13.2</x:v>
      </x:c>
      <x:c r="D345" s="14" t="str">
        <x:v>Klimagovernance/TCFD</x:v>
      </x:c>
      <x:c r="E345" s="14" t="str">
        <x:v>Klimagovernance/TCFD – Whistleblowing</x:v>
      </x:c>
      <x:c r="F345" s="14" t="str">
        <x:v>Wirksamkeits‑Score</x:v>
      </x:c>
      <x:c r="G345" s="14" t="str">
        <x:v>0–1</x:v>
      </x:c>
      <x:c r="H345" s="14" t="str">
        <x:v>higher_is_better</x:v>
      </x:c>
      <x:c r="I345" s="14" t="str">
        <x:v>R16</x:v>
      </x:c>
      <x:c r="J345" s="14" t="str">
        <x:v>≥0,9:+3; 0,75–0,89:+2; 0,6–0,74:0; 0,4–0,59:‑2; &lt;0,4:‑3</x:v>
      </x:c>
      <x:c r="K345" s="14" t="str">
        <x:v>Feste WÖk-Kalibrierung</x:v>
      </x:c>
      <x:c r="L345" s="14" t="str">
        <x:v>Arbeitskalibrierung – fachlich zu validieren</x:v>
      </x:c>
      <x:c r="M345" s="14" t="str">
        <x:v>WÖk-interne Klassenlogik</x:v>
      </x:c>
      <x:c r="N345" s="14" t="str">
        <x:v>Optional/Nein</x:v>
      </x:c>
      <x:c r="O345" s="14" t="str">
        <x:v>ESRS G1; GRI 205/207</x:v>
      </x:c>
      <x:c r="P345" s="14" t="str">
        <x:v>ESRS G1, GRI 205/207, OECD Anti‑Bribery</x:v>
      </x:c>
      <x:c r="Q345" s="14" t="str">
        <x:v>Mess-, Berichts- oder Managementrahmen; Schwellen sind grundsätzlich WÖk-Kalibrierungen</x:v>
      </x:c>
      <x:c r="R345" s="14" t="str">
        <x:v>Messgrundlage belegt; Schwellenkalibrierung offen</x:v>
      </x:c>
      <x:c r="S345" s="14" t="str">
        <x:v>EU-ESRS; GRI; OECD-AB</x:v>
      </x:c>
      <x:c r="T345" s="14" t="str">
        <x:v>G47 Handel; K Versicherungen; M72 F&amp;E</x:v>
      </x:c>
      <x:c r="U345" s="14" t="str">
        <x:v>Legacy / nicht explizit versioniert</x:v>
      </x:c>
      <x:c r="V345" s="51" t="str"/>
      <x:c r="W345" s="14" t="str">
        <x:v>Migration auf NACE Rev. 2.1 erforderlich</x:v>
      </x:c>
      <x:c r="X345" s="14" t="str">
        <x:v>Organisation/Governance; konsolidierter Kreis und relevante Rechtseinheiten</x:v>
      </x:c>
      <x:c r="Y345" s="14" t="str">
        <x:v>Siehe Quelle: Definition gemäß Standard (ESRS/GRI/Taxonomie/ISO).</x:v>
      </x:c>
      <x:c r="Z345" s="14" t="str">
        <x:v>Primärdaten bevorzugt; Sekundärdaten nur transparent und versioniert; Methode und Systemgrenze dokumentieren</x:v>
      </x:c>
      <x:c r="AA345" s="14" t="str">
        <x:v>Limited Assurance; risikobasiert höhere Prüftiefe</x:v>
      </x:c>
      <x:c r="AB345" s="14" t="str">
        <x:v>Strukturell nutzbar; Schwellen fachlich zu validieren</x:v>
      </x:c>
      <x:c r="AC345" s="14" t="str">
        <x:v>Mittel</x:v>
      </x:c>
      <x:c r="AD345" s="14" t="str">
        <x:v>Vollständige fünfstufige numerische Regel.</x:v>
      </x:c>
      <x:c r="AE345" s="14" t="str">
        <x:v>v1.4</x:v>
      </x:c>
      <x:c r="AF345" s="52" t="str">
        <x:v>2026-08-16</x:v>
      </x:c>
      <x:c r="AG345" s="52"/>
    </x:row>
    <x:row r="346" ht="42" customHeight="1">
      <x:c r="A346" s="14" t="str">
        <x:v>WOK-G-166</x:v>
      </x:c>
      <x:c r="B346" s="14" t="str">
        <x:v>SDG 13 – Klima</x:v>
      </x:c>
      <x:c r="C346" s="14" t="str">
        <x:v>13.2</x:v>
      </x:c>
      <x:c r="D346" s="14" t="str">
        <x:v>Klimagovernance/TCFD</x:v>
      </x:c>
      <x:c r="E346" s="14" t="str">
        <x:v>Klimagovernance/TCFD – Steuertransparenz</x:v>
      </x:c>
      <x:c r="F346" s="14" t="str">
        <x:v>CbCR‑Offenlegung</x:v>
      </x:c>
      <x:c r="G346" s="14" t="str">
        <x:v>0–1</x:v>
      </x:c>
      <x:c r="H346" s="14" t="str">
        <x:v>higher_is_better</x:v>
      </x:c>
      <x:c r="I346" s="14" t="str">
        <x:v>R08</x:v>
      </x:c>
      <x:c r="J346" s="14" t="str">
        <x:v>vollständig:+3; teilweise:+2; minimal:0; schlecht:‑2</x:v>
      </x:c>
      <x:c r="K346" s="14" t="str">
        <x:v>Qualitativ</x:v>
      </x:c>
      <x:c r="L346" s="14" t="str">
        <x:v>Assurance und Kriterienkatalog erforderlich</x:v>
      </x:c>
      <x:c r="M346" s="14" t="str">
        <x:v>WÖk-interne Kategorien</x:v>
      </x:c>
      <x:c r="N346" s="14" t="str">
        <x:v>Optional/Nein</x:v>
      </x:c>
      <x:c r="O346" s="14" t="str">
        <x:v>ESRS G1; GRI 205/207</x:v>
      </x:c>
      <x:c r="P346" s="14" t="str">
        <x:v>ESRS G1, GRI 205/207, OECD Anti‑Bribery</x:v>
      </x:c>
      <x:c r="Q346" s="14" t="str">
        <x:v>Mess-, Berichts- oder Managementrahmen; Schwellen sind grundsätzlich WÖk-Kalibrierungen</x:v>
      </x:c>
      <x:c r="R346" s="14" t="str">
        <x:v>Messgrundlage belegt; Schwellenkalibrierung offen</x:v>
      </x:c>
      <x:c r="S346" s="14" t="str">
        <x:v>EU-ESRS; GRI; OECD-AB</x:v>
      </x:c>
      <x:c r="T346" s="14" t="str">
        <x:v>G47 Handel; K Versicherungen; M72 F&amp;E</x:v>
      </x:c>
      <x:c r="U346" s="14" t="str">
        <x:v>Legacy / nicht explizit versioniert</x:v>
      </x:c>
      <x:c r="V346" s="51" t="str"/>
      <x:c r="W346" s="14" t="str">
        <x:v>Migration auf NACE Rev. 2.1 erforderlich</x:v>
      </x:c>
      <x:c r="X346" s="14" t="str">
        <x:v>Organisation/Governance; konsolidierter Kreis und relevante Rechtseinheiten</x:v>
      </x:c>
      <x:c r="Y346" s="14" t="str">
        <x:v>Siehe Quelle: Definition gemäß Standard (ESRS/GRI/Taxonomie/ISO).</x:v>
      </x:c>
      <x:c r="Z346" s="14" t="str">
        <x:v>Dokumentierter Kriterienkatalog; nachvollziehbare Evidenz; DQR A/B bevorzugt</x:v>
      </x:c>
      <x:c r="AA346" s="14" t="str">
        <x:v>Unabhängige Fachprüfung/Limited Assurance; bei roten Linien Reasonable Assurance</x:v>
      </x:c>
      <x:c r="AB346" s="14" t="str">
        <x:v>Prüfung/Parametrisierung erforderlich</x:v>
      </x:c>
      <x:c r="AC346" s="14" t="str">
        <x:v>Hoch</x:v>
      </x:c>
      <x:c r="AD346" s="14" t="str">
        <x:v>Die Kategorie −3 fehlt; Vollständigkeit und Wirksamkeit sind feldspezifisch zu definieren.</x:v>
      </x:c>
      <x:c r="AE346" s="14" t="str">
        <x:v>v1.4</x:v>
      </x:c>
      <x:c r="AF346" s="52" t="str">
        <x:v>2026-08-16</x:v>
      </x:c>
      <x:c r="AG346" s="52"/>
    </x:row>
    <x:row r="347" ht="42" customHeight="1">
      <x:c r="A347" s="14" t="str">
        <x:v>WOK-SYS-137</x:v>
      </x:c>
      <x:c r="B347" s="14" t="str">
        <x:v>SDG 13 – Klima</x:v>
      </x:c>
      <x:c r="C347" s="14" t="str">
        <x:v>13.3</x:v>
      </x:c>
      <x:c r="D347" s="14" t="str">
        <x:v>Klimapartnerschaften</x:v>
      </x:c>
      <x:c r="E347" s="14" t="str">
        <x:v>Klimapartnerschaften – Index</x:v>
      </x:c>
      <x:c r="F347" s="14" t="str">
        <x:v>umsatzgewichteter Index (z. B. Demokratie/Rule of Law)</x:v>
      </x:c>
      <x:c r="G347" s="14" t="str">
        <x:v>0–1</x:v>
      </x:c>
      <x:c r="H347" s="14" t="str">
        <x:v>higher_is_better</x:v>
      </x:c>
      <x:c r="I347" s="14" t="str">
        <x:v>R15</x:v>
      </x:c>
      <x:c r="J347" s="14" t="str">
        <x:v>≥0,8:+3; 0,7–0,79:+2; 0,6–0,69:0; 0,5–0,59:‑2; &lt;0,5:‑3</x:v>
      </x:c>
      <x:c r="K347" s="14" t="str">
        <x:v>Feste WÖk-Kalibrierung</x:v>
      </x:c>
      <x:c r="L347" s="14" t="str">
        <x:v>Arbeitskalibrierung – fachlich zu validieren</x:v>
      </x:c>
      <x:c r="M347" s="14" t="str">
        <x:v>WÖk-interne Klassenlogik</x:v>
      </x:c>
      <x:c r="N347" s="14" t="str">
        <x:v>Optional/Nein</x:v>
      </x:c>
      <x:c r="O347" s="14" t="str">
        <x:v>SROI/SDG17</x:v>
      </x:c>
      <x:c r="P347" s="14" t="str">
        <x:v>SDG 16/17, WJP, V‑Dem</x:v>
      </x:c>
      <x:c r="Q347" s="14" t="str">
        <x:v>Methodischer Platzhalter; konkrete Fach- und Primärdatenquelle erforderlich</x:v>
      </x:c>
      <x:c r="R347" s="14" t="str">
        <x:v>Platzhalter – fachliche Operationalisierung offen</x:v>
      </x:c>
      <x:c r="S347" s="14" t="str">
        <x:v>INT-WOEK-TSROI; SVI-SROI; UN-SDG</x:v>
      </x:c>
      <x:c r="T347" s="14" t="str">
        <x:v>G47 Handel; K Versicherungen; M72 F&amp;E</x:v>
      </x:c>
      <x:c r="U347" s="14" t="str">
        <x:v>Legacy / nicht explizit versioniert</x:v>
      </x:c>
      <x:c r="V347" s="51" t="str"/>
      <x:c r="W347" s="14" t="str">
        <x:v>Migration auf NACE Rev. 2.1 erforderlich</x:v>
      </x:c>
      <x:c r="X347" s="14" t="str">
        <x:v>Programm/Portfolio/Systemraum; Empfängergruppe, Region und Zeitraum explizit definieren</x:v>
      </x:c>
      <x:c r="Y347" s="14" t="str">
        <x:v>Siehe Quelle: Definition gemäß Standard (ESRS/GRI/Taxonomie/ISO).</x:v>
      </x:c>
      <x:c r="Z347" s="14" t="str">
        <x:v>Primärdaten bevorzugt; Sekundärdaten nur transparent und versioniert; Methode und Systemgrenze dokumentieren</x:v>
      </x:c>
      <x:c r="AA347" s="14" t="str">
        <x:v>Limited Assurance; risikobasiert höhere Prüftiefe</x:v>
      </x:c>
      <x:c r="AB347" s="14" t="str">
        <x:v>Fachlogik nicht abschließend operationalisiert</x:v>
      </x:c>
      <x:c r="AC347" s="14" t="str">
        <x:v>Kritisch</x:v>
      </x:c>
      <x:c r="AD347" s="14" t="str">
        <x:v>SROI/SDG 17 ist keine hinreichend konkrete Mess- oder Schwellenquelle. Vollständige fünfstufige numerische Regel.</x:v>
      </x:c>
      <x:c r="AE347" s="14" t="str">
        <x:v>v1.4</x:v>
      </x:c>
      <x:c r="AF347" s="52" t="str">
        <x:v>2026-08-16</x:v>
      </x:c>
      <x:c r="AG347" s="52"/>
    </x:row>
    <x:row r="348" ht="42" customHeight="1">
      <x:c r="A348" s="14" t="str">
        <x:v>WOK-SYS-138</x:v>
      </x:c>
      <x:c r="B348" s="14" t="str">
        <x:v>SDG 13 – Klima</x:v>
      </x:c>
      <x:c r="C348" s="14" t="str">
        <x:v>13.3</x:v>
      </x:c>
      <x:c r="D348" s="14" t="str">
        <x:v>Klimapartnerschaften</x:v>
      </x:c>
      <x:c r="E348" s="14" t="str">
        <x:v>Klimapartnerschaften – Exposure</x:v>
      </x:c>
      <x:c r="F348" s="14" t="str">
        <x:v>Umsatz in Hochrisikoländern</x:v>
      </x:c>
      <x:c r="G348" s="14" t="str">
        <x:v>%</x:v>
      </x:c>
      <x:c r="H348" s="14" t="str">
        <x:v>lower_is_better</x:v>
      </x:c>
      <x:c r="I348" s="14" t="str">
        <x:v>R13</x:v>
      </x:c>
      <x:c r="J348" s="14" t="str">
        <x:v>≤5:+3; 6–10:+2; 11–20:0; 21–30:‑2; &gt;30:‑3</x:v>
      </x:c>
      <x:c r="K348" s="14" t="str">
        <x:v>Feste WÖk-Kalibrierung</x:v>
      </x:c>
      <x:c r="L348" s="14" t="str">
        <x:v>Arbeitskalibrierung – fachlich zu validieren</x:v>
      </x:c>
      <x:c r="M348" s="14" t="str">
        <x:v>WÖk-interne Klassenlogik</x:v>
      </x:c>
      <x:c r="N348" s="14" t="str">
        <x:v>Optional/Nein</x:v>
      </x:c>
      <x:c r="O348" s="14" t="str">
        <x:v>SROI/SDG17</x:v>
      </x:c>
      <x:c r="P348" s="14" t="str">
        <x:v>SDG 16/17, WJP, V‑Dem</x:v>
      </x:c>
      <x:c r="Q348" s="14" t="str">
        <x:v>Methodischer Platzhalter; konkrete Fach- und Primärdatenquelle erforderlich</x:v>
      </x:c>
      <x:c r="R348" s="14" t="str">
        <x:v>Platzhalter – fachliche Operationalisierung offen</x:v>
      </x:c>
      <x:c r="S348" s="14" t="str">
        <x:v>INT-WOEK-TSROI; SVI-SROI; UN-SDG</x:v>
      </x:c>
      <x:c r="T348" s="14" t="str">
        <x:v>G47 Handel; K Versicherungen; M72 F&amp;E</x:v>
      </x:c>
      <x:c r="U348" s="14" t="str">
        <x:v>Legacy / nicht explizit versioniert</x:v>
      </x:c>
      <x:c r="V348" s="51" t="str"/>
      <x:c r="W348" s="14" t="str">
        <x:v>Migration auf NACE Rev. 2.1 erforderlich</x:v>
      </x:c>
      <x:c r="X348" s="14" t="str">
        <x:v>Programm/Portfolio/Systemraum; Empfängergruppe, Region und Zeitraum explizit definieren</x:v>
      </x:c>
      <x:c r="Y348" s="14" t="str">
        <x:v>Siehe Quelle: Definition gemäß Standard (ESRS/GRI/Taxonomie/ISO).</x:v>
      </x:c>
      <x:c r="Z348" s="14" t="str">
        <x:v>Primärdaten bevorzugt; Sekundärdaten nur transparent und versioniert; Methode und Systemgrenze dokumentieren</x:v>
      </x:c>
      <x:c r="AA348" s="14" t="str">
        <x:v>Limited Assurance; risikobasiert höhere Prüftiefe</x:v>
      </x:c>
      <x:c r="AB348" s="14" t="str">
        <x:v>Fachlogik nicht abschließend operationalisiert</x:v>
      </x:c>
      <x:c r="AC348" s="14" t="str">
        <x:v>Kritisch</x:v>
      </x:c>
      <x:c r="AD348" s="14" t="str">
        <x:v>SROI/SDG 17 ist keine hinreichend konkrete Mess- oder Schwellenquelle. Vollständige fünfstufige numerische Regel.</x:v>
      </x:c>
      <x:c r="AE348" s="14" t="str">
        <x:v>v1.4</x:v>
      </x:c>
      <x:c r="AF348" s="52" t="str">
        <x:v>2026-08-16</x:v>
      </x:c>
      <x:c r="AG348" s="52"/>
    </x:row>
    <x:row r="349" ht="42" customHeight="1">
      <x:c r="A349" s="14" t="str">
        <x:v>WOK-SYS-139</x:v>
      </x:c>
      <x:c r="B349" s="14" t="str">
        <x:v>SDG 13 – Klima</x:v>
      </x:c>
      <x:c r="C349" s="14" t="str">
        <x:v>13.3</x:v>
      </x:c>
      <x:c r="D349" s="14" t="str">
        <x:v>Klimapartnerschaften</x:v>
      </x:c>
      <x:c r="E349" s="14" t="str">
        <x:v>Klimapartnerschaften – Kooperationen</x:v>
      </x:c>
      <x:c r="F349" s="14" t="str">
        <x:v>aktive, evaluierte Partnerschaften/Jahr</x:v>
      </x:c>
      <x:c r="G349" s="14" t="str">
        <x:v>#/Jahr</x:v>
      </x:c>
      <x:c r="H349" s="14" t="str">
        <x:v>higher_is_better</x:v>
      </x:c>
      <x:c r="I349" s="14" t="str">
        <x:v>R20</x:v>
      </x:c>
      <x:c r="J349" s="14" t="str">
        <x:v>≥5:+3; 3–4:+2; 1–2:0; 0:‑2</x:v>
      </x:c>
      <x:c r="K349" s="14" t="str">
        <x:v>Feste WÖk-Grobkalibrierung</x:v>
      </x:c>
      <x:c r="L349" s="14" t="str">
        <x:v>Klasse −3 nur für negative/unzulässige Werte ergänzt</x:v>
      </x:c>
      <x:c r="M349" s="14" t="str">
        <x:v>WÖk-interne Grobkalibrierung</x:v>
      </x:c>
      <x:c r="N349" s="14" t="str">
        <x:v>Optional/Nein</x:v>
      </x:c>
      <x:c r="O349" s="14" t="str">
        <x:v>SROI/SDG17</x:v>
      </x:c>
      <x:c r="P349" s="14" t="str">
        <x:v>SDG 16/17, WJP, V‑Dem</x:v>
      </x:c>
      <x:c r="Q349" s="14" t="str">
        <x:v>Methodischer Platzhalter; konkrete Fach- und Primärdatenquelle erforderlich</x:v>
      </x:c>
      <x:c r="R349" s="14" t="str">
        <x:v>Platzhalter – fachliche Operationalisierung offen</x:v>
      </x:c>
      <x:c r="S349" s="14" t="str">
        <x:v>INT-WOEK-TSROI; SVI-SROI; UN-SDG</x:v>
      </x:c>
      <x:c r="T349" s="14" t="str">
        <x:v>G47 Handel; K Versicherungen; M72 F&amp;E</x:v>
      </x:c>
      <x:c r="U349" s="14" t="str">
        <x:v>Legacy / nicht explizit versioniert</x:v>
      </x:c>
      <x:c r="V349" s="51" t="str"/>
      <x:c r="W349" s="14" t="str">
        <x:v>Migration auf NACE Rev. 2.1 erforderlich</x:v>
      </x:c>
      <x:c r="X349" s="14" t="str">
        <x:v>Programm/Portfolio/Systemraum; Empfängergruppe, Region und Zeitraum explizit definieren</x:v>
      </x:c>
      <x:c r="Y349" s="14" t="str">
        <x:v>Siehe Quelle: Definition gemäß Standard (ESRS/GRI/Taxonomie/ISO).</x:v>
      </x:c>
      <x:c r="Z349" s="14" t="str">
        <x:v>Primärdaten bevorzugt; Sekundärdaten nur transparent und versioniert; Methode und Systemgrenze dokumentieren</x:v>
      </x:c>
      <x:c r="AA349" s="14" t="str">
        <x:v>Limited Assurance; risikobasiert höhere Prüftiefe</x:v>
      </x:c>
      <x:c r="AB349" s="14" t="str">
        <x:v>Fachlogik nicht abschließend operationalisiert</x:v>
      </x:c>
      <x:c r="AC349" s="14" t="str">
        <x:v>Kritisch</x:v>
      </x:c>
      <x:c r="AD349" s="14" t="str">
        <x:v>SROI/SDG 17 ist keine hinreichend konkrete Mess- oder Schwellenquelle. Für sachlogisch nichtnegative Zählwerte ist 0 die schlechteste reguläre Klasse (−2).</x:v>
      </x:c>
      <x:c r="AE349" s="14" t="str">
        <x:v>v1.4</x:v>
      </x:c>
      <x:c r="AF349" s="52" t="str">
        <x:v>2026-08-16</x:v>
      </x:c>
      <x:c r="AG349" s="52"/>
    </x:row>
    <x:row r="350" ht="42" customHeight="1">
      <x:c r="A350" s="14" t="str">
        <x:v>WOK-E-188</x:v>
      </x:c>
      <x:c r="B350" s="14" t="str">
        <x:v>SDG 13 – Klima</x:v>
      </x:c>
      <x:c r="C350" s="14" t="str">
        <x:v>13.1</x:v>
      </x:c>
      <x:c r="D350" s="14" t="str">
        <x:v>Physisches Klimarisiko</x:v>
      </x:c>
      <x:c r="E350" s="14" t="str">
        <x:v>Physisches Klimarisiko – Green R&amp;D</x:v>
      </x:c>
      <x:c r="F350" s="14" t="str">
        <x:v>Anteil F&amp;E für grüne Technologien</x:v>
      </x:c>
      <x:c r="G350" s="14" t="str">
        <x:v>% Umsatz</x:v>
      </x:c>
      <x:c r="H350" s="14" t="str">
        <x:v>higher_is_better</x:v>
      </x:c>
      <x:c r="I350" s="14" t="str">
        <x:v>R19</x:v>
      </x:c>
      <x:c r="J350" s="14" t="str">
        <x:v>≥5:+3; 3–4,9:+2; 1–2,9:0; 0,5–0,9:‑2; &lt;0,5:‑3</x:v>
      </x:c>
      <x:c r="K350" s="14" t="str">
        <x:v>Feste WÖk-Kalibrierung</x:v>
      </x:c>
      <x:c r="L350" s="14" t="str">
        <x:v>Arbeitskalibrierung – fachlich zu validieren</x:v>
      </x:c>
      <x:c r="M350" s="14" t="str">
        <x:v>WÖk-interne Klassenlogik</x:v>
      </x:c>
      <x:c r="N350" s="14" t="str">
        <x:v>Optional/Nein</x:v>
      </x:c>
      <x:c r="O350" s="14" t="str">
        <x:v>ESRS E1; GHG Protocol</x:v>
      </x:c>
      <x:c r="P350" s="14" t="str">
        <x:v>OECD Frascati, PATSTAT</x:v>
      </x:c>
      <x:c r="Q350" s="14" t="str">
        <x:v>Mess-, Berichts- oder Managementrahmen; Schwellen sind grundsätzlich WÖk-Kalibrierungen</x:v>
      </x:c>
      <x:c r="R350" s="14" t="str">
        <x:v>Messgrundlage belegt; Schwellenkalibrierung offen</x:v>
      </x:c>
      <x:c r="S350" s="14" t="str">
        <x:v>EU-ESRS; GHG-CORP; GHG-S3; GHG-PROD</x:v>
      </x:c>
      <x:c r="T350" s="14" t="str">
        <x:v>G47 Handel; K Versicherungen; M72 F&amp;E</x:v>
      </x:c>
      <x:c r="U350" s="14" t="str">
        <x:v>Legacy / nicht explizit versioniert</x:v>
      </x:c>
      <x:c r="V350" s="51" t="str"/>
      <x:c r="W350" s="14" t="str">
        <x:v>Migration auf NACE Rev. 2.1 erforderlich</x:v>
      </x:c>
      <x:c r="X350" s="14" t="str">
        <x:v>Standort/Prozess/Aktivität; Bezugsgröße und relevante Umweltmedien</x:v>
      </x:c>
      <x:c r="Y350" s="14" t="str">
        <x:v>Quote = Zähler / Nenner gemäß Quelle; in %.</x:v>
      </x:c>
      <x:c r="Z350" s="14" t="str">
        <x:v>Primärdaten bevorzugt; Sekundärdaten nur transparent und versioniert; Methode und Systemgrenze dokumentieren</x:v>
      </x:c>
      <x:c r="AA350" s="14" t="str">
        <x:v>Limited Assurance; risikobasiert höhere Prüftiefe</x:v>
      </x:c>
      <x:c r="AB350" s="14" t="str">
        <x:v>Strukturell nutzbar; Schwellen fachlich zu validieren</x:v>
      </x:c>
      <x:c r="AC350" s="14" t="str">
        <x:v>Mittel</x:v>
      </x:c>
      <x:c r="AD350" s="14" t="str">
        <x:v>Vollständige fünfstufige numerische Regel.</x:v>
      </x:c>
      <x:c r="AE350" s="14" t="str">
        <x:v>v1.4</x:v>
      </x:c>
      <x:c r="AF350" s="52" t="str">
        <x:v>2026-08-16</x:v>
      </x:c>
      <x:c r="AG350" s="52"/>
    </x:row>
    <x:row r="351" ht="42" customHeight="1">
      <x:c r="A351" s="14" t="str">
        <x:v>WOK-E-189</x:v>
      </x:c>
      <x:c r="B351" s="14" t="str">
        <x:v>SDG 13 – Klima</x:v>
      </x:c>
      <x:c r="C351" s="14" t="str">
        <x:v>13.1</x:v>
      </x:c>
      <x:c r="D351" s="14" t="str">
        <x:v>Physisches Klimarisiko</x:v>
      </x:c>
      <x:c r="E351" s="14" t="str">
        <x:v>Physisches Klimarisiko – SDG‑Patente</x:v>
      </x:c>
      <x:c r="F351" s="14" t="str">
        <x:v>Anteil SDG‑relevanter Patente</x:v>
      </x:c>
      <x:c r="G351" s="14" t="str">
        <x:v>%</x:v>
      </x:c>
      <x:c r="H351" s="14" t="str">
        <x:v>higher_is_better</x:v>
      </x:c>
      <x:c r="I351" s="14" t="str">
        <x:v>R17</x:v>
      </x:c>
      <x:c r="J351" s="14" t="str">
        <x:v>≥40:+3; 25–39:+2; 10–24:0; 5–9:‑2; &lt;5:‑3</x:v>
      </x:c>
      <x:c r="K351" s="14" t="str">
        <x:v>Feste WÖk-Kalibrierung</x:v>
      </x:c>
      <x:c r="L351" s="14" t="str">
        <x:v>Arbeitskalibrierung – fachlich zu validieren</x:v>
      </x:c>
      <x:c r="M351" s="14" t="str">
        <x:v>WÖk-interne Klassenlogik</x:v>
      </x:c>
      <x:c r="N351" s="14" t="str">
        <x:v>Optional/Nein</x:v>
      </x:c>
      <x:c r="O351" s="14" t="str">
        <x:v>Patentstatistik</x:v>
      </x:c>
      <x:c r="P351" s="14" t="str">
        <x:v>OECD Frascati, PATSTAT</x:v>
      </x:c>
      <x:c r="Q351" s="14" t="str">
        <x:v>Input-/Innovationsdaten; Patentzahl allein ist kein Wirkungsnachweis</x:v>
      </x:c>
      <x:c r="R351" s="14" t="str">
        <x:v>Teilbelegt – Wirkungslogik ergänzen</x:v>
      </x:c>
      <x:c r="S351" s="14" t="str">
        <x:v>EPO-PATSTAT; OECD-FRASCATI</x:v>
      </x:c>
      <x:c r="T351" s="14" t="str">
        <x:v>G47 Handel; K Versicherungen; M72 F&amp;E</x:v>
      </x:c>
      <x:c r="U351" s="14" t="str">
        <x:v>Legacy / nicht explizit versioniert</x:v>
      </x:c>
      <x:c r="V351" s="51" t="str"/>
      <x:c r="W351" s="14" t="str">
        <x:v>Migration auf NACE Rev. 2.1 erforderlich</x:v>
      </x:c>
      <x:c r="X351" s="14" t="str">
        <x:v>Standort/Prozess/Aktivität; Bezugsgröße und relevante Umweltmedien</x:v>
      </x:c>
      <x:c r="Y351" s="14" t="str">
        <x:v>Quote = Zähler / Nenner gemäß Quelle; in %.</x:v>
      </x:c>
      <x:c r="Z351" s="14" t="str">
        <x:v>Primärdaten oder qualitätsgesicherte Sekundärdaten; Methode, Zeitraum und Systemgrenze dokumentieren</x:v>
      </x:c>
      <x:c r="AA351" s="14" t="str">
        <x:v>Limited Assurance; bei materieller Steuerwirkung risikobasiert vertiefen</x:v>
      </x:c>
      <x:c r="AB351" s="14" t="str">
        <x:v>Produktspezifische bzw. lokale Prüfung erforderlich</x:v>
      </x:c>
      <x:c r="AC351" s="14" t="str">
        <x:v>Hoch</x:v>
      </x:c>
      <x:c r="AD351" s="14" t="str">
        <x:v>Patentmenge nicht mit Wirkung gleichsetzen; Qualität und Nutzung ergänzen. Vollständige fünfstufige numerische Regel.</x:v>
      </x:c>
      <x:c r="AE351" s="14" t="str">
        <x:v>v1.4</x:v>
      </x:c>
      <x:c r="AF351" s="52" t="str">
        <x:v>2026-08-16</x:v>
      </x:c>
      <x:c r="AG351" s="52"/>
    </x:row>
    <x:row r="352" ht="42" customHeight="1">
      <x:c r="A352" s="14" t="str">
        <x:v>WOK-E-190</x:v>
      </x:c>
      <x:c r="B352" s="14" t="str">
        <x:v>SDG 13 – Klima</x:v>
      </x:c>
      <x:c r="C352" s="14" t="str">
        <x:v>13.1</x:v>
      </x:c>
      <x:c r="D352" s="14" t="str">
        <x:v>Physisches Klimarisiko</x:v>
      </x:c>
      <x:c r="E352" s="14" t="str">
        <x:v>Physisches Klimarisiko – Prozess‑Effizienz</x:v>
      </x:c>
      <x:c r="F352" s="14" t="str">
        <x:v>Energie/Emission je Einheit</x:v>
      </x:c>
      <x:c r="G352" s="14" t="str">
        <x:v>kWh/t bzw. t CO₂e/t</x:v>
      </x:c>
      <x:c r="H352" s="14" t="str">
        <x:v>lower_is_better</x:v>
      </x:c>
      <x:c r="I352" s="14" t="str">
        <x:v>R06</x:v>
      </x:c>
      <x:c r="J352" s="14" t="str">
        <x:v>Top‑10%:+3; Mittel:0; &gt;150%:‑2; &gt;250%:‑3</x:v>
      </x:c>
      <x:c r="K352" s="14" t="str">
        <x:v>Benchmarkabhängig</x:v>
      </x:c>
      <x:c r="L352" s="14" t="str">
        <x:v>Validierter Benchmark fehlt</x:v>
      </x:c>
      <x:c r="M352" s="14" t="str">
        <x:v>Branche/Region/Technologie</x:v>
      </x:c>
      <x:c r="N352" s="14" t="str">
        <x:v>Ja</x:v>
      </x:c>
      <x:c r="O352" s="14" t="str">
        <x:v>ESRS E1; GHG Protocol</x:v>
      </x:c>
      <x:c r="P352" s="14" t="str">
        <x:v>ESRS E1, GHG Protocol (Corporate/Scope 1–3), ISO 14064/14067</x:v>
      </x:c>
      <x:c r="Q352" s="14" t="str">
        <x:v>Mess-/Methodenrahmen; aktiver Branchen-/Regional-/Technologiebenchmark separat erforderlich</x:v>
      </x:c>
      <x:c r="R352" s="14" t="str">
        <x:v>Teilbelegt – Benchmarkquelle fehlt</x:v>
      </x:c>
      <x:c r="S352" s="14" t="str">
        <x:v>EU-ESRS; GHG-CORP; GHG-S3; GHG-PROD</x:v>
      </x:c>
      <x:c r="T352" s="14" t="str">
        <x:v>G47 Handel; K Versicherungen; M72 F&amp;E</x:v>
      </x:c>
      <x:c r="U352" s="14" t="str">
        <x:v>Legacy / nicht explizit versioniert</x:v>
      </x:c>
      <x:c r="V352" s="51" t="str"/>
      <x:c r="W352" s="14" t="str">
        <x:v>Migration auf NACE Rev. 2.1 erforderlich</x:v>
      </x:c>
      <x:c r="X352" s="14" t="str">
        <x:v>Standort/Prozess/Aktivität; Bezugsgröße und relevante Umweltmedien</x:v>
      </x:c>
      <x:c r="Y352" s="14" t="str">
        <x:v>Siehe Quelle: Definition gemäß Standard (ESRS/GRI/Taxonomie/ISO).</x:v>
      </x:c>
      <x:c r="Z352" s="14" t="str">
        <x:v>Primärdaten plus repräsentativer, versionierter Benchmarkdatensatz; Stichprobe und Population offenlegen</x:v>
      </x:c>
      <x:c r="AA352" s="14" t="str">
        <x:v>Messwert-Assurance und unabhängige Benchmark-Governance</x:v>
      </x:c>
      <x:c r="AB352" s="14" t="str">
        <x:v>Prüfung/Parametrisierung erforderlich</x:v>
      </x:c>
      <x:c r="AC352" s="14" t="str">
        <x:v>Hoch</x:v>
      </x:c>
      <x:c r="AD352" s="14" t="str">
        <x:v>Top-10-Prozent, Mittelwert, 150 % und 250 % müssen aus einer dokumentierten Grundgesamtheit stammen.</x:v>
      </x:c>
      <x:c r="AE352" s="14" t="str">
        <x:v>v1.4</x:v>
      </x:c>
      <x:c r="AF352" s="52" t="str">
        <x:v>2026-08-16</x:v>
      </x:c>
      <x:c r="AG352" s="52"/>
    </x:row>
    <x:row r="353" ht="42" customHeight="1">
      <x:c r="A353" s="14" t="str">
        <x:v>WOK-POL-107</x:v>
      </x:c>
      <x:c r="B353" s="14" t="str">
        <x:v>SDG 13 – Klima</x:v>
      </x:c>
      <x:c r="C353" s="14" t="str">
        <x:v>13.2</x:v>
      </x:c>
      <x:c r="D353" s="14" t="str">
        <x:v>TSC‑Grenzen (Klima)</x:v>
      </x:c>
      <x:c r="E353" s="14" t="str">
        <x:v>TSC‑Grenzen (Klima) – Spezifische Emissionen</x:v>
      </x:c>
      <x:c r="F353" s="14" t="str">
        <x:v>CO₂e je kWh (LCA)</x:v>
      </x:c>
      <x:c r="G353" s="14" t="str">
        <x:v>g CO₂e/kWh</x:v>
      </x:c>
      <x:c r="H353" s="14" t="str">
        <x:v>lower_is_better</x:v>
      </x:c>
      <x:c r="I353" s="14" t="str">
        <x:v>R10</x:v>
      </x:c>
      <x:c r="J353" s="14" t="str">
        <x:v>≤100:+3; 101–250:0; &gt;250:‑2</x:v>
      </x:c>
      <x:c r="K353" s="14" t="str">
        <x:v>Feste WÖk-Grobkalibrierung</x:v>
      </x:c>
      <x:c r="L353" s="14" t="str">
        <x:v>Klassen +2 und −3 fehlen</x:v>
      </x:c>
      <x:c r="M353" s="14" t="str">
        <x:v>WÖk-interne Grobkalibrierung</x:v>
      </x:c>
      <x:c r="N353" s="14" t="str">
        <x:v>Optional/Nein</x:v>
      </x:c>
      <x:c r="O353" s="14" t="str">
        <x:v>EU‑Taxonomie TSC/DNSH</x:v>
      </x:c>
      <x:c r="P353" s="14" t="str">
        <x:v>ESRS E1, GHG Protocol (Corporate/Scope 1–3), ISO 14064/14067</x:v>
      </x:c>
      <x:c r="Q353" s="14" t="str">
        <x:v>Mess-, Berichts- oder Managementrahmen; Schwellen sind grundsätzlich WÖk-Kalibrierungen</x:v>
      </x:c>
      <x:c r="R353" s="14" t="str">
        <x:v>Messgrundlage belegt; Schwellenkalibrierung offen</x:v>
      </x:c>
      <x:c r="S353" s="14" t="str">
        <x:v>EU-TAX</x:v>
      </x:c>
      <x:c r="T353" s="14" t="str">
        <x:v>C20 Chemie; C24 Stahl; C29 Fahrzeuge</x:v>
      </x:c>
      <x:c r="U353" s="14" t="str">
        <x:v>Legacy / nicht explizit versioniert</x:v>
      </x:c>
      <x:c r="V353" s="51" t="str"/>
      <x:c r="W353" s="14" t="str">
        <x:v>Migration auf NACE Rev. 2.1 erforderlich</x:v>
      </x:c>
      <x:c r="X353" s="14" t="str">
        <x:v>Technologie-/Aktivitätsklasse; Anlagen-, Netz- oder Flottengrenze ausweisen</x:v>
      </x:c>
      <x:c r="Y353" s="14" t="str">
        <x:v>EU‑Taxonomie: TSC erfüllt &amp; DNSH + MSR; Anteil konformer Aktivitäten.</x:v>
      </x:c>
      <x:c r="Z353" s="14" t="str">
        <x:v>Primärdaten bevorzugt; Sekundärdaten nur transparent und versioniert; Methode und Systemgrenze dokumentieren</x:v>
      </x:c>
      <x:c r="AA353" s="14" t="str">
        <x:v>Limited Assurance; risikobasiert höhere Prüftiefe</x:v>
      </x:c>
      <x:c r="AB353" s="14" t="str">
        <x:v>Strukturell nutzbar; Schwellen fachlich zu validieren</x:v>
      </x:c>
      <x:c r="AC353" s="14" t="str">
        <x:v>Mittel</x:v>
      </x:c>
      <x:c r="AD353" s="14" t="str">
        <x:v>Automatik bildet nur die explizit vorhandenen Klassen ab.</x:v>
      </x:c>
      <x:c r="AE353" s="14" t="str">
        <x:v>v1.4</x:v>
      </x:c>
      <x:c r="AF353" s="52" t="str">
        <x:v>2026-08-16</x:v>
      </x:c>
      <x:c r="AG353" s="52"/>
    </x:row>
    <x:row r="354" ht="42" customHeight="1">
      <x:c r="A354" s="14" t="str">
        <x:v>WOK-POL-108</x:v>
      </x:c>
      <x:c r="B354" s="14" t="str">
        <x:v>SDG 13 – Klima</x:v>
      </x:c>
      <x:c r="C354" s="14" t="str">
        <x:v>13.2</x:v>
      </x:c>
      <x:c r="D354" s="14" t="str">
        <x:v>TSC‑Grenzen (Klima)</x:v>
      </x:c>
      <x:c r="E354" s="14" t="str">
        <x:v>TSC‑Grenzen (Klima) – DNSH‑Konformität</x:v>
      </x:c>
      <x:c r="F354" s="14" t="str">
        <x:v>‚Do No Significant Harm‘ erfüllt</x:v>
      </x:c>
      <x:c r="G354" s="14" t="str">
        <x:v>% Aktivitäten</x:v>
      </x:c>
      <x:c r="H354" s="14" t="str">
        <x:v>higher_is_better</x:v>
      </x:c>
      <x:c r="I354" s="14" t="str">
        <x:v>R25</x:v>
      </x:c>
      <x:c r="J354" s="14" t="str">
        <x:v>≥90%:+3; 70–89%:+2; 50–69%:0; 30–49%:‑2; &lt;30%:‑3</x:v>
      </x:c>
      <x:c r="K354" s="14" t="str">
        <x:v>Feste WÖk-Kalibrierung</x:v>
      </x:c>
      <x:c r="L354" s="14" t="str">
        <x:v>Arbeitskalibrierung – fachlich zu validieren</x:v>
      </x:c>
      <x:c r="M354" s="14" t="str">
        <x:v>WÖk-interne Klassenlogik</x:v>
      </x:c>
      <x:c r="N354" s="14" t="str">
        <x:v>Optional/Nein</x:v>
      </x:c>
      <x:c r="O354" s="14" t="str">
        <x:v>EU‑Taxonomie TSC/DNSH</x:v>
      </x:c>
      <x:c r="P354" s="14" t="str">
        <x:v>EU‑Taxonomie (TSC &amp; DNSH)</x:v>
      </x:c>
      <x:c r="Q354" s="14" t="str">
        <x:v>Mess-, Berichts- oder Managementrahmen; Schwellen sind grundsätzlich WÖk-Kalibrierungen</x:v>
      </x:c>
      <x:c r="R354" s="14" t="str">
        <x:v>Messgrundlage belegt; Schwellenkalibrierung offen</x:v>
      </x:c>
      <x:c r="S354" s="14" t="str">
        <x:v>EU-TAX</x:v>
      </x:c>
      <x:c r="T354" s="14" t="str">
        <x:v>C20 Chemie; C24 Stahl; C29 Fahrzeuge</x:v>
      </x:c>
      <x:c r="U354" s="14" t="str">
        <x:v>Legacy / nicht explizit versioniert</x:v>
      </x:c>
      <x:c r="V354" s="51" t="str"/>
      <x:c r="W354" s="14" t="str">
        <x:v>Migration auf NACE Rev. 2.1 erforderlich</x:v>
      </x:c>
      <x:c r="X354" s="14" t="str">
        <x:v>Technologie-/Aktivitätsklasse; Anlagen-, Netz- oder Flottengrenze ausweisen</x:v>
      </x:c>
      <x:c r="Y354" s="14" t="str">
        <x:v>EU‑Taxonomie: TSC erfüllt &amp; DNSH + MSR; Anteil konformer Aktivitäten.</x:v>
      </x:c>
      <x:c r="Z354" s="14" t="str">
        <x:v>Primärdaten bevorzugt; Sekundärdaten nur transparent und versioniert; Methode und Systemgrenze dokumentieren</x:v>
      </x:c>
      <x:c r="AA354" s="14" t="str">
        <x:v>Limited Assurance; risikobasiert höhere Prüftiefe</x:v>
      </x:c>
      <x:c r="AB354" s="14" t="str">
        <x:v>Strukturell nutzbar; Schwellen fachlich zu validieren</x:v>
      </x:c>
      <x:c r="AC354" s="14" t="str">
        <x:v>Mittel</x:v>
      </x:c>
      <x:c r="AD354" s="14" t="str">
        <x:v>Vollständige fünfstufige Prozentregel.</x:v>
      </x:c>
      <x:c r="AE354" s="14" t="str">
        <x:v>v1.4</x:v>
      </x:c>
      <x:c r="AF354" s="52" t="str">
        <x:v>2026-08-16</x:v>
      </x:c>
      <x:c r="AG354" s="52"/>
    </x:row>
    <x:row r="355" ht="42" customHeight="1">
      <x:c r="A355" s="14" t="str">
        <x:v>WOK-POL-109</x:v>
      </x:c>
      <x:c r="B355" s="14" t="str">
        <x:v>SDG 13 – Klima</x:v>
      </x:c>
      <x:c r="C355" s="14" t="str">
        <x:v>13.2</x:v>
      </x:c>
      <x:c r="D355" s="14" t="str">
        <x:v>TSC‑Grenzen (Klima)</x:v>
      </x:c>
      <x:c r="E355" s="14" t="str">
        <x:v>TSC‑Grenzen (Klima) – TSC‑Schwellen</x:v>
      </x:c>
      <x:c r="F355" s="14" t="str">
        <x:v>Anteil unter technischen TSC‑Grenzen</x:v>
      </x:c>
      <x:c r="G355" s="14" t="str">
        <x:v>% Aktivitäten</x:v>
      </x:c>
      <x:c r="H355" s="14" t="str">
        <x:v>higher_is_better</x:v>
      </x:c>
      <x:c r="I355" s="14" t="str">
        <x:v>R25</x:v>
      </x:c>
      <x:c r="J355" s="14" t="str">
        <x:v>≥90%:+3; 70–89%:+2; 50–69%:0; 30–49%:‑2; &lt;30%:‑3</x:v>
      </x:c>
      <x:c r="K355" s="14" t="str">
        <x:v>Feste WÖk-Kalibrierung</x:v>
      </x:c>
      <x:c r="L355" s="14" t="str">
        <x:v>Arbeitskalibrierung – fachlich zu validieren</x:v>
      </x:c>
      <x:c r="M355" s="14" t="str">
        <x:v>WÖk-interne Klassenlogik</x:v>
      </x:c>
      <x:c r="N355" s="14" t="str">
        <x:v>Optional/Nein</x:v>
      </x:c>
      <x:c r="O355" s="14" t="str">
        <x:v>EU‑Taxonomie TSC/DNSH</x:v>
      </x:c>
      <x:c r="P355" s="14" t="str">
        <x:v>EU‑Taxonomie (TSC &amp; DNSH)</x:v>
      </x:c>
      <x:c r="Q355" s="14" t="str">
        <x:v>Mess-, Berichts- oder Managementrahmen; Schwellen sind grundsätzlich WÖk-Kalibrierungen</x:v>
      </x:c>
      <x:c r="R355" s="14" t="str">
        <x:v>Messgrundlage belegt; Schwellenkalibrierung offen</x:v>
      </x:c>
      <x:c r="S355" s="14" t="str">
        <x:v>EU-TAX</x:v>
      </x:c>
      <x:c r="T355" s="14" t="str">
        <x:v>C20 Chemie; C24 Stahl; C29 Fahrzeuge</x:v>
      </x:c>
      <x:c r="U355" s="14" t="str">
        <x:v>Legacy / nicht explizit versioniert</x:v>
      </x:c>
      <x:c r="V355" s="51" t="str"/>
      <x:c r="W355" s="14" t="str">
        <x:v>Migration auf NACE Rev. 2.1 erforderlich</x:v>
      </x:c>
      <x:c r="X355" s="14" t="str">
        <x:v>Technologie-/Aktivitätsklasse; Anlagen-, Netz- oder Flottengrenze ausweisen</x:v>
      </x:c>
      <x:c r="Y355" s="14" t="str">
        <x:v>EU‑Taxonomie: TSC erfüllt &amp; DNSH + MSR; Anteil konformer Aktivitäten.</x:v>
      </x:c>
      <x:c r="Z355" s="14" t="str">
        <x:v>Primärdaten bevorzugt; Sekundärdaten nur transparent und versioniert; Methode und Systemgrenze dokumentieren</x:v>
      </x:c>
      <x:c r="AA355" s="14" t="str">
        <x:v>Limited Assurance; risikobasiert höhere Prüftiefe</x:v>
      </x:c>
      <x:c r="AB355" s="14" t="str">
        <x:v>Strukturell nutzbar; Schwellen fachlich zu validieren</x:v>
      </x:c>
      <x:c r="AC355" s="14" t="str">
        <x:v>Mittel</x:v>
      </x:c>
      <x:c r="AD355" s="14" t="str">
        <x:v>Vollständige fünfstufige Prozentregel.</x:v>
      </x:c>
      <x:c r="AE355" s="14" t="str">
        <x:v>v1.4</x:v>
      </x:c>
      <x:c r="AF355" s="52" t="str">
        <x:v>2026-08-16</x:v>
      </x:c>
      <x:c r="AG355" s="52"/>
    </x:row>
    <x:row r="356" ht="42" customHeight="1">
      <x:c r="A356" s="14" t="str">
        <x:v>WOK-E-191</x:v>
      </x:c>
      <x:c r="B356" s="14" t="str">
        <x:v>SDG 14 – Unter Wasser</x:v>
      </x:c>
      <x:c r="C356" s="14" t="str">
        <x:v>14.1</x:v>
      </x:c>
      <x:c r="D356" s="14" t="str">
        <x:v>Nährstoffeintrag</x:v>
      </x:c>
      <x:c r="E356" s="14" t="str">
        <x:v>Nährstoffeintrag – Entnahme (WSI)</x:v>
      </x:c>
      <x:c r="F356" s="14" t="str">
        <x:v>Wasserentnahme × Wasserstressindex</x:v>
      </x:c>
      <x:c r="G356" s="14" t="str">
        <x:v>m³*WSI</x:v>
      </x:c>
      <x:c r="H356" s="14" t="str">
        <x:v>lower_is_better</x:v>
      </x:c>
      <x:c r="I356" s="14" t="str">
        <x:v>R06</x:v>
      </x:c>
      <x:c r="J356" s="14" t="str">
        <x:v>Top‑10%:+3; Mittel:0; &gt;150%:‑2; &gt;250%:‑3</x:v>
      </x:c>
      <x:c r="K356" s="14" t="str">
        <x:v>Benchmarkabhängig</x:v>
      </x:c>
      <x:c r="L356" s="14" t="str">
        <x:v>Validierter Benchmark fehlt</x:v>
      </x:c>
      <x:c r="M356" s="14" t="str">
        <x:v>Branche/Region/Technologie</x:v>
      </x:c>
      <x:c r="N356" s="14" t="str">
        <x:v>Ja</x:v>
      </x:c>
      <x:c r="O356" s="14" t="str">
        <x:v>ESRS E3; WRI Aqueduct</x:v>
      </x:c>
      <x:c r="P356" s="14" t="str">
        <x:v>ESRS E3, WRI Aqueduct, ISO 14046 (Water Footprint)</x:v>
      </x:c>
      <x:c r="Q356" s="14" t="str">
        <x:v>Mess-/Methodenrahmen; aktiver Branchen-/Regional-/Technologiebenchmark separat erforderlich</x:v>
      </x:c>
      <x:c r="R356" s="14" t="str">
        <x:v>Teilbelegt – Benchmarkquelle fehlt</x:v>
      </x:c>
      <x:c r="S356" s="14" t="str">
        <x:v>EU-ESRS; WRI-AQ; ISO-14046</x:v>
      </x:c>
      <x:c r="T356" s="14" t="str">
        <x:v>C20 Chemie; C24 Stahl; C29 Fahrzeuge</x:v>
      </x:c>
      <x:c r="U356" s="14" t="str">
        <x:v>Legacy / nicht explizit versioniert</x:v>
      </x:c>
      <x:c r="V356" s="51" t="str"/>
      <x:c r="W356" s="14" t="str">
        <x:v>Migration auf NACE Rev. 2.1 erforderlich</x:v>
      </x:c>
      <x:c r="X356" s="14" t="str">
        <x:v>Standort/Prozess/Aktivität; Bezugsgröße und relevante Umweltmedien</x:v>
      </x:c>
      <x:c r="Y356" s="14" t="str">
        <x:v>∑(m³ Standort × WRI‑Aqueduct‑Stressfaktor).</x:v>
      </x:c>
      <x:c r="Z356" s="14" t="str">
        <x:v>Primärdaten plus repräsentativer, versionierter Benchmarkdatensatz; Stichprobe und Population offenlegen</x:v>
      </x:c>
      <x:c r="AA356" s="14" t="str">
        <x:v>Messwert-Assurance und unabhängige Benchmark-Governance</x:v>
      </x:c>
      <x:c r="AB356" s="14" t="str">
        <x:v>Prüfung/Parametrisierung erforderlich</x:v>
      </x:c>
      <x:c r="AC356" s="14" t="str">
        <x:v>Hoch</x:v>
      </x:c>
      <x:c r="AD356" s="14" t="str">
        <x:v>Top-10-Prozent, Mittelwert, 150 % und 250 % müssen aus einer dokumentierten Grundgesamtheit stammen.</x:v>
      </x:c>
      <x:c r="AE356" s="14" t="str">
        <x:v>v1.4</x:v>
      </x:c>
      <x:c r="AF356" s="52" t="str">
        <x:v>2026-08-16</x:v>
      </x:c>
      <x:c r="AG356" s="52"/>
    </x:row>
    <x:row r="357" ht="42" customHeight="1">
      <x:c r="A357" s="14" t="str">
        <x:v>WOK-E-192</x:v>
      </x:c>
      <x:c r="B357" s="14" t="str">
        <x:v>SDG 14 – Unter Wasser</x:v>
      </x:c>
      <x:c r="C357" s="14" t="str">
        <x:v>14.1</x:v>
      </x:c>
      <x:c r="D357" s="14" t="str">
        <x:v>Nährstoffeintrag</x:v>
      </x:c>
      <x:c r="E357" s="14" t="str">
        <x:v>Nährstoffeintrag – Reuse</x:v>
      </x:c>
      <x:c r="F357" s="14" t="str">
        <x:v>Anteil wiederverwendetes Prozesswasser</x:v>
      </x:c>
      <x:c r="G357" s="14" t="str">
        <x:v>%</x:v>
      </x:c>
      <x:c r="H357" s="14" t="str">
        <x:v>higher_is_better</x:v>
      </x:c>
      <x:c r="I357" s="14" t="str">
        <x:v>R25</x:v>
      </x:c>
      <x:c r="J357" s="14" t="str">
        <x:v>≥90%:+3; 70–89%:+2; 50–69%:0; 30–49%:‑2; &lt;30%:‑3</x:v>
      </x:c>
      <x:c r="K357" s="14" t="str">
        <x:v>Feste WÖk-Kalibrierung</x:v>
      </x:c>
      <x:c r="L357" s="14" t="str">
        <x:v>Arbeitskalibrierung – fachlich zu validieren</x:v>
      </x:c>
      <x:c r="M357" s="14" t="str">
        <x:v>WÖk-interne Klassenlogik</x:v>
      </x:c>
      <x:c r="N357" s="14" t="str">
        <x:v>Optional/Nein</x:v>
      </x:c>
      <x:c r="O357" s="14" t="str">
        <x:v>ESRS E3; WRI Aqueduct</x:v>
      </x:c>
      <x:c r="P357" s="14" t="str">
        <x:v>ESRS E3, WRI Aqueduct, ISO 14046 (Water Footprint)</x:v>
      </x:c>
      <x:c r="Q357" s="14" t="str">
        <x:v>Mess-, Berichts- oder Managementrahmen; Schwellen sind grundsätzlich WÖk-Kalibrierungen</x:v>
      </x:c>
      <x:c r="R357" s="14" t="str">
        <x:v>Messgrundlage belegt; Schwellenkalibrierung offen</x:v>
      </x:c>
      <x:c r="S357" s="14" t="str">
        <x:v>EU-ESRS; WRI-AQ; ISO-14046</x:v>
      </x:c>
      <x:c r="T357" s="14" t="str">
        <x:v>C20 Chemie; C24 Stahl; C29 Fahrzeuge</x:v>
      </x:c>
      <x:c r="U357" s="14" t="str">
        <x:v>Legacy / nicht explizit versioniert</x:v>
      </x:c>
      <x:c r="V357" s="51" t="str"/>
      <x:c r="W357" s="14" t="str">
        <x:v>Migration auf NACE Rev. 2.1 erforderlich</x:v>
      </x:c>
      <x:c r="X357" s="14" t="str">
        <x:v>Standort/Prozess/Aktivität; Bezugsgröße und relevante Umweltmedien</x:v>
      </x:c>
      <x:c r="Y357" s="14" t="str">
        <x:v>Quote = Zähler / Nenner gemäß Quelle; in %.</x:v>
      </x:c>
      <x:c r="Z357" s="14" t="str">
        <x:v>Primärdaten bevorzugt; Sekundärdaten nur transparent und versioniert; Methode und Systemgrenze dokumentieren</x:v>
      </x:c>
      <x:c r="AA357" s="14" t="str">
        <x:v>Limited Assurance; risikobasiert höhere Prüftiefe</x:v>
      </x:c>
      <x:c r="AB357" s="14" t="str">
        <x:v>Strukturell nutzbar; Schwellen fachlich zu validieren</x:v>
      </x:c>
      <x:c r="AC357" s="14" t="str">
        <x:v>Mittel</x:v>
      </x:c>
      <x:c r="AD357" s="14" t="str">
        <x:v>Vollständige fünfstufige Prozentregel.</x:v>
      </x:c>
      <x:c r="AE357" s="14" t="str">
        <x:v>v1.4</x:v>
      </x:c>
      <x:c r="AF357" s="52" t="str">
        <x:v>2026-08-16</x:v>
      </x:c>
      <x:c r="AG357" s="52"/>
    </x:row>
    <x:row r="358" ht="42" customHeight="1">
      <x:c r="A358" s="14" t="str">
        <x:v>WOK-E-193</x:v>
      </x:c>
      <x:c r="B358" s="14" t="str">
        <x:v>SDG 14 – Unter Wasser</x:v>
      </x:c>
      <x:c r="C358" s="14" t="str">
        <x:v>14.1</x:v>
      </x:c>
      <x:c r="D358" s="14" t="str">
        <x:v>Nährstoffeintrag</x:v>
      </x:c>
      <x:c r="E358" s="14" t="str">
        <x:v>Nährstoffeintrag – Abwasserqualität</x:v>
      </x:c>
      <x:c r="F358" s="14" t="str">
        <x:v>Messwert in Prozent des jeweils anwendbaren Rechts- oder Genehmigungsgrenzwerts</x:v>
      </x:c>
      <x:c r="G358" s="14" t="str">
        <x:v>% des Grenzwerts</x:v>
      </x:c>
      <x:c r="H358" s="14" t="str">
        <x:v>lower_is_better</x:v>
      </x:c>
      <x:c r="I358" s="14" t="str">
        <x:v>R12</x:v>
      </x:c>
      <x:c r="J358" s="14" t="str">
        <x:v>≤50% Grenzwert:+3; ≤75%:+2; ≤100%:0; 101–120%:‑2; &gt;120%:‑3</x:v>
      </x:c>
      <x:c r="K358" s="14" t="str">
        <x:v>Rechts-/Genehmigungsgrenze</x:v>
      </x:c>
      <x:c r="L358" s="14" t="str">
        <x:v>Rechtsfundstelle je Fall erforderlich</x:v>
      </x:c>
      <x:c r="M358" s="14" t="str">
        <x:v>Jeweils anwendbare Rechtsnorm/Genehmigung</x:v>
      </x:c>
      <x:c r="N358" s="14" t="str">
        <x:v>Optional/Nein</x:v>
      </x:c>
      <x:c r="O358" s="14" t="str">
        <x:v>ESRS E3; WRI Aqueduct</x:v>
      </x:c>
      <x:c r="P358" s="14" t="str">
        <x:v>ESRS E3, WRI Aqueduct, ISO 14046 (Water Footprint)</x:v>
      </x:c>
      <x:c r="Q358" s="14" t="str">
        <x:v>Mess-/Berichtsrahmen; konkrete Rechts- oder Genehmigungsfundstelle je Fall erforderlich</x:v>
      </x:c>
      <x:c r="R358" s="14" t="str">
        <x:v>Teilbelegt – Rechtsfundstelle je Messung fehlt</x:v>
      </x:c>
      <x:c r="S358" s="14" t="str">
        <x:v>EU-ESRS; WRI-AQ; ISO-14046</x:v>
      </x:c>
      <x:c r="T358" s="14" t="str">
        <x:v>C20 Chemie; C24 Stahl; C29 Fahrzeuge</x:v>
      </x:c>
      <x:c r="U358" s="14" t="str">
        <x:v>Legacy / nicht explizit versioniert</x:v>
      </x:c>
      <x:c r="V358" s="51" t="str"/>
      <x:c r="W358" s="14" t="str">
        <x:v>Migration auf NACE Rev. 2.1 erforderlich</x:v>
      </x:c>
      <x:c r="X358" s="14" t="str">
        <x:v>Standort/Prozess/Aktivität; Bezugsgröße und relevante Umweltmedien</x:v>
      </x:c>
      <x:c r="Y358" s="14" t="str">
        <x:v>Grenzwertquote = Messwert / anwendbarer Grenzwert × 100; Fundstelle, Einheit, Messpunkt und Zeitraum nachweisen.</x:v>
      </x:c>
      <x:c r="Z358" s="14" t="str">
        <x:v>Kalibrierter Messwert; Rechtsfundstelle, Grenzwert, Einheit, Messpunkt und Zeitraum</x:v>
      </x:c>
      <x:c r="AA358" s="14" t="str">
        <x:v>Behördlicher/akkreditierter Nachweis oder unabhängige Prüfung</x:v>
      </x:c>
      <x:c r="AB358" s="14" t="str">
        <x:v>Prüfung/Parametrisierung erforderlich</x:v>
      </x:c>
      <x:c r="AC358" s="14" t="str">
        <x:v>Hoch</x:v>
      </x:c>
      <x:c r="AD358" s="14" t="str">
        <x:v>Nicht der absolute Messwert, sondern Messwert ÷ Grenzwert × 100 wird bewertet.</x:v>
      </x:c>
      <x:c r="AE358" s="14" t="str">
        <x:v>v1.4</x:v>
      </x:c>
      <x:c r="AF358" s="52" t="str">
        <x:v>2026-08-16</x:v>
      </x:c>
      <x:c r="AG358" s="52"/>
    </x:row>
    <x:row r="359" ht="42" customHeight="1">
      <x:c r="A359" s="14" t="str">
        <x:v>WOK-E-194</x:v>
      </x:c>
      <x:c r="B359" s="14" t="str">
        <x:v>SDG 14 – Unter Wasser</x:v>
      </x:c>
      <x:c r="C359" s="14" t="str">
        <x:v>14.1</x:v>
      </x:c>
      <x:c r="D359" s="14" t="str">
        <x:v>Plastikgranulat‑Verlust</x:v>
      </x:c>
      <x:c r="E359" s="14" t="str">
        <x:v>Plastikgranulat‑Verlust – Abfallintensität</x:v>
      </x:c>
      <x:c r="F359" s="14" t="str">
        <x:v>Abfallmenge je Output</x:v>
      </x:c>
      <x:c r="G359" s="14" t="str">
        <x:v>kg/t</x:v>
      </x:c>
      <x:c r="H359" s="14" t="str">
        <x:v>lower_is_better</x:v>
      </x:c>
      <x:c r="I359" s="14" t="str">
        <x:v>R06</x:v>
      </x:c>
      <x:c r="J359" s="14" t="str">
        <x:v>Top‑10%:+3; Mittel:0; &gt;150%:‑2; &gt;250%:‑3</x:v>
      </x:c>
      <x:c r="K359" s="14" t="str">
        <x:v>Benchmarkabhängig</x:v>
      </x:c>
      <x:c r="L359" s="14" t="str">
        <x:v>Validierter Benchmark fehlt</x:v>
      </x:c>
      <x:c r="M359" s="14" t="str">
        <x:v>Branche/Region/Technologie</x:v>
      </x:c>
      <x:c r="N359" s="14" t="str">
        <x:v>Ja</x:v>
      </x:c>
      <x:c r="O359" s="14" t="str">
        <x:v>ESRS E5; GRI 306/301</x:v>
      </x:c>
      <x:c r="P359" s="14" t="str">
        <x:v>ESRS E5, GRI 306, WEEE/VerpackG</x:v>
      </x:c>
      <x:c r="Q359" s="14" t="str">
        <x:v>Mess-/Methodenrahmen; aktiver Branchen-/Regional-/Technologiebenchmark separat erforderlich</x:v>
      </x:c>
      <x:c r="R359" s="14" t="str">
        <x:v>Teilbelegt – Benchmarkquelle fehlt</x:v>
      </x:c>
      <x:c r="S359" s="14" t="str">
        <x:v>EU-ESRS; GRI</x:v>
      </x:c>
      <x:c r="T359" s="14" t="str">
        <x:v>C20 Chemie; C24 Stahl; C29 Fahrzeuge</x:v>
      </x:c>
      <x:c r="U359" s="14" t="str">
        <x:v>Legacy / nicht explizit versioniert</x:v>
      </x:c>
      <x:c r="V359" s="51" t="str"/>
      <x:c r="W359" s="14" t="str">
        <x:v>Migration auf NACE Rev. 2.1 erforderlich</x:v>
      </x:c>
      <x:c r="X359" s="14" t="str">
        <x:v>Standort/Prozess/Aktivität; Bezugsgröße und relevante Umweltmedien</x:v>
      </x:c>
      <x:c r="Y359" s="14" t="str">
        <x:v>Netzverluste = (Einspeisung – Abgabe) / Einspeisung.</x:v>
      </x:c>
      <x:c r="Z359" s="14" t="str">
        <x:v>Primärdaten plus repräsentativer, versionierter Benchmarkdatensatz; Stichprobe und Population offenlegen</x:v>
      </x:c>
      <x:c r="AA359" s="14" t="str">
        <x:v>Messwert-Assurance und unabhängige Benchmark-Governance</x:v>
      </x:c>
      <x:c r="AB359" s="14" t="str">
        <x:v>Prüfung/Parametrisierung erforderlich</x:v>
      </x:c>
      <x:c r="AC359" s="14" t="str">
        <x:v>Hoch</x:v>
      </x:c>
      <x:c r="AD359" s="14" t="str">
        <x:v>Top-10-Prozent, Mittelwert, 150 % und 250 % müssen aus einer dokumentierten Grundgesamtheit stammen.</x:v>
      </x:c>
      <x:c r="AE359" s="14" t="str">
        <x:v>v1.4</x:v>
      </x:c>
      <x:c r="AF359" s="52" t="str">
        <x:v>2026-08-16</x:v>
      </x:c>
      <x:c r="AG359" s="52"/>
    </x:row>
    <x:row r="360" ht="42" customHeight="1">
      <x:c r="A360" s="14" t="str">
        <x:v>WOK-E-195</x:v>
      </x:c>
      <x:c r="B360" s="14" t="str">
        <x:v>SDG 14 – Unter Wasser</x:v>
      </x:c>
      <x:c r="C360" s="14" t="str">
        <x:v>14.1</x:v>
      </x:c>
      <x:c r="D360" s="14" t="str">
        <x:v>Plastikgranulat‑Verlust</x:v>
      </x:c>
      <x:c r="E360" s="14" t="str">
        <x:v>Plastikgranulat‑Verlust – Recyclingquote</x:v>
      </x:c>
      <x:c r="F360" s="14" t="str">
        <x:v>Anteil verwerteter Abfälle</x:v>
      </x:c>
      <x:c r="G360" s="14" t="str">
        <x:v>%</x:v>
      </x:c>
      <x:c r="H360" s="14" t="str">
        <x:v>higher_is_better</x:v>
      </x:c>
      <x:c r="I360" s="14" t="str">
        <x:v>R25</x:v>
      </x:c>
      <x:c r="J360" s="14" t="str">
        <x:v>≥90%:+3; 70–89%:+2; 50–69%:0; 30–49%:‑2; &lt;30%:‑3</x:v>
      </x:c>
      <x:c r="K360" s="14" t="str">
        <x:v>Feste WÖk-Kalibrierung</x:v>
      </x:c>
      <x:c r="L360" s="14" t="str">
        <x:v>Arbeitskalibrierung – fachlich zu validieren</x:v>
      </x:c>
      <x:c r="M360" s="14" t="str">
        <x:v>WÖk-interne Klassenlogik</x:v>
      </x:c>
      <x:c r="N360" s="14" t="str">
        <x:v>Optional/Nein</x:v>
      </x:c>
      <x:c r="O360" s="14" t="str">
        <x:v>ESRS E5; GRI 306/301</x:v>
      </x:c>
      <x:c r="P360" s="14" t="str">
        <x:v>ESRS E5, GRI 306, WEEE/VerpackG</x:v>
      </x:c>
      <x:c r="Q360" s="14" t="str">
        <x:v>Mess-, Berichts- oder Managementrahmen; Schwellen sind grundsätzlich WÖk-Kalibrierungen</x:v>
      </x:c>
      <x:c r="R360" s="14" t="str">
        <x:v>Messgrundlage belegt; Schwellenkalibrierung offen</x:v>
      </x:c>
      <x:c r="S360" s="14" t="str">
        <x:v>EU-ESRS; GRI</x:v>
      </x:c>
      <x:c r="T360" s="14" t="str">
        <x:v>C20 Chemie; C24 Stahl; C29 Fahrzeuge</x:v>
      </x:c>
      <x:c r="U360" s="14" t="str">
        <x:v>Legacy / nicht explizit versioniert</x:v>
      </x:c>
      <x:c r="V360" s="51" t="str"/>
      <x:c r="W360" s="14" t="str">
        <x:v>Migration auf NACE Rev. 2.1 erforderlich</x:v>
      </x:c>
      <x:c r="X360" s="14" t="str">
        <x:v>Standort/Prozess/Aktivität; Bezugsgröße und relevante Umweltmedien</x:v>
      </x:c>
      <x:c r="Y360" s="14" t="str">
        <x:v>Netzverluste = (Einspeisung – Abgabe) / Einspeisung.</x:v>
      </x:c>
      <x:c r="Z360" s="14" t="str">
        <x:v>Primärdaten bevorzugt; Sekundärdaten nur transparent und versioniert; Methode und Systemgrenze dokumentieren</x:v>
      </x:c>
      <x:c r="AA360" s="14" t="str">
        <x:v>Limited Assurance; risikobasiert höhere Prüftiefe</x:v>
      </x:c>
      <x:c r="AB360" s="14" t="str">
        <x:v>Strukturell nutzbar; Schwellen fachlich zu validieren</x:v>
      </x:c>
      <x:c r="AC360" s="14" t="str">
        <x:v>Mittel</x:v>
      </x:c>
      <x:c r="AD360" s="14" t="str">
        <x:v>Vollständige fünfstufige Prozentregel.</x:v>
      </x:c>
      <x:c r="AE360" s="14" t="str">
        <x:v>v1.4</x:v>
      </x:c>
      <x:c r="AF360" s="52" t="str">
        <x:v>2026-08-16</x:v>
      </x:c>
      <x:c r="AG360" s="52"/>
    </x:row>
    <x:row r="361" ht="42" customHeight="1">
      <x:c r="A361" s="14" t="str">
        <x:v>WOK-E-196</x:v>
      </x:c>
      <x:c r="B361" s="14" t="str">
        <x:v>SDG 14 – Unter Wasser</x:v>
      </x:c>
      <x:c r="C361" s="14" t="str">
        <x:v>14.1</x:v>
      </x:c>
      <x:c r="D361" s="14" t="str">
        <x:v>Plastikgranulat‑Verlust</x:v>
      </x:c>
      <x:c r="E361" s="14" t="str">
        <x:v>Plastikgranulat‑Verlust – Gefährlicher Abfall</x:v>
      </x:c>
      <x:c r="F361" s="14" t="str">
        <x:v>Gefährlicher Abfall je Output</x:v>
      </x:c>
      <x:c r="G361" s="14" t="str">
        <x:v>kg/t</x:v>
      </x:c>
      <x:c r="H361" s="14" t="str">
        <x:v>lower_is_better</x:v>
      </x:c>
      <x:c r="I361" s="14" t="str">
        <x:v>R06</x:v>
      </x:c>
      <x:c r="J361" s="14" t="str">
        <x:v>Top‑10%:+3; Mittel:0; &gt;150%:‑2; &gt;250%:‑3</x:v>
      </x:c>
      <x:c r="K361" s="14" t="str">
        <x:v>Benchmarkabhängig</x:v>
      </x:c>
      <x:c r="L361" s="14" t="str">
        <x:v>Validierter Benchmark fehlt</x:v>
      </x:c>
      <x:c r="M361" s="14" t="str">
        <x:v>Branche/Region/Technologie</x:v>
      </x:c>
      <x:c r="N361" s="14" t="str">
        <x:v>Ja</x:v>
      </x:c>
      <x:c r="O361" s="14" t="str">
        <x:v>ESRS E5; GRI 306/301</x:v>
      </x:c>
      <x:c r="P361" s="14" t="str">
        <x:v>ESRS E5, GRI 306, WEEE/VerpackG</x:v>
      </x:c>
      <x:c r="Q361" s="14" t="str">
        <x:v>Mess-/Methodenrahmen; aktiver Branchen-/Regional-/Technologiebenchmark separat erforderlich</x:v>
      </x:c>
      <x:c r="R361" s="14" t="str">
        <x:v>Teilbelegt – Benchmarkquelle fehlt</x:v>
      </x:c>
      <x:c r="S361" s="14" t="str">
        <x:v>EU-ESRS; GRI</x:v>
      </x:c>
      <x:c r="T361" s="14" t="str">
        <x:v>C20 Chemie; C24 Stahl; C29 Fahrzeuge</x:v>
      </x:c>
      <x:c r="U361" s="14" t="str">
        <x:v>Legacy / nicht explizit versioniert</x:v>
      </x:c>
      <x:c r="V361" s="51" t="str"/>
      <x:c r="W361" s="14" t="str">
        <x:v>Migration auf NACE Rev. 2.1 erforderlich</x:v>
      </x:c>
      <x:c r="X361" s="14" t="str">
        <x:v>Standort/Prozess/Aktivität; Bezugsgröße und relevante Umweltmedien</x:v>
      </x:c>
      <x:c r="Y361" s="14" t="str">
        <x:v>Netzverluste = (Einspeisung – Abgabe) / Einspeisung.</x:v>
      </x:c>
      <x:c r="Z361" s="14" t="str">
        <x:v>Primärdaten plus repräsentativer, versionierter Benchmarkdatensatz; Stichprobe und Population offenlegen</x:v>
      </x:c>
      <x:c r="AA361" s="14" t="str">
        <x:v>Messwert-Assurance und unabhängige Benchmark-Governance</x:v>
      </x:c>
      <x:c r="AB361" s="14" t="str">
        <x:v>Prüfung/Parametrisierung erforderlich</x:v>
      </x:c>
      <x:c r="AC361" s="14" t="str">
        <x:v>Hoch</x:v>
      </x:c>
      <x:c r="AD361" s="14" t="str">
        <x:v>Top-10-Prozent, Mittelwert, 150 % und 250 % müssen aus einer dokumentierten Grundgesamtheit stammen.</x:v>
      </x:c>
      <x:c r="AE361" s="14" t="str">
        <x:v>v1.4</x:v>
      </x:c>
      <x:c r="AF361" s="52" t="str">
        <x:v>2026-08-16</x:v>
      </x:c>
      <x:c r="AG361" s="52"/>
    </x:row>
    <x:row r="362" ht="42" customHeight="1">
      <x:c r="A362" s="14" t="str">
        <x:v>WOK-E-197</x:v>
      </x:c>
      <x:c r="B362" s="14" t="str">
        <x:v>SDG 14 – Unter Wasser</x:v>
      </x:c>
      <x:c r="C362" s="14" t="str">
        <x:v>14.2</x:v>
      </x:c>
      <x:c r="D362" s="14" t="str">
        <x:v>Meeresschutz‑Net Gain</x:v>
      </x:c>
      <x:c r="E362" s="14" t="str">
        <x:v>Meeresschutz‑Net Gain – Nettoeffekt</x:v>
      </x:c>
      <x:c r="F362" s="14" t="str">
        <x:v>Net Gain/No Net Loss/Net Loss</x:v>
      </x:c>
      <x:c r="G362" s="14" t="str">
        <x:v>Qualitativ → Klasse</x:v>
      </x:c>
      <x:c r="H362" s="14" t="str">
        <x:v>higher_is_better</x:v>
      </x:c>
      <x:c r="I362" s="14" t="str">
        <x:v>R03</x:v>
      </x:c>
      <x:c r="J362" s="14" t="str">
        <x:v>Net Gain:+3; No Net Loss:0; Net Loss:‑2/‑3</x:v>
      </x:c>
      <x:c r="K362" s="14" t="str">
        <x:v>Qualitativ</x:v>
      </x:c>
      <x:c r="L362" s="14" t="str">
        <x:v>Assurance und Kriterienkatalog erforderlich</x:v>
      </x:c>
      <x:c r="M362" s="14" t="str">
        <x:v>WÖk-Kategorien; fachliche Definition je Wirkungsfeld</x:v>
      </x:c>
      <x:c r="N362" s="14" t="str">
        <x:v>Optional/Nein</x:v>
      </x:c>
      <x:c r="O362" s="14" t="str">
        <x:v>ESRS E4; GIS/KBA</x:v>
      </x:c>
      <x:c r="P362" s="14" t="str">
        <x:v>ESRS E4, CBD/GBF, EN 15978 (Bau)</x:v>
      </x:c>
      <x:c r="Q362" s="14" t="str">
        <x:v>Mess-, Berichts- oder Managementrahmen; Schwellen sind grundsätzlich WÖk-Kalibrierungen</x:v>
      </x:c>
      <x:c r="R362" s="14" t="str">
        <x:v>Messgrundlage belegt; Schwellenkalibrierung offen</x:v>
      </x:c>
      <x:c r="S362" s="14" t="str">
        <x:v>EU-ESRS; CBD-GBF; KBA-DATA; DATA-GIS</x:v>
      </x:c>
      <x:c r="T362" s="14" t="str">
        <x:v>G47 Handel; K Versicherungen; M72 F&amp;E</x:v>
      </x:c>
      <x:c r="U362" s="14" t="str">
        <x:v>Legacy / nicht explizit versioniert</x:v>
      </x:c>
      <x:c r="V362" s="51" t="str"/>
      <x:c r="W362" s="14" t="str">
        <x:v>Migration auf NACE Rev. 2.1 erforderlich</x:v>
      </x:c>
      <x:c r="X362" s="14" t="str">
        <x:v>Standort/Prozess/Aktivität; Bezugsgröße und relevante Umweltmedien</x:v>
      </x:c>
      <x:c r="Y362" s="14" t="str">
        <x:v>Nettoeffekt Biodiv: Net Gain/No Net Loss‑Bilanz (Projekt).</x:v>
      </x:c>
      <x:c r="Z362" s="14" t="str">
        <x:v>Dokumentierter Kriterienkatalog; nachvollziehbare Evidenz; DQR A/B bevorzugt</x:v>
      </x:c>
      <x:c r="AA362" s="14" t="str">
        <x:v>Unabhängige Fachprüfung/Limited Assurance; bei roten Linien Reasonable Assurance</x:v>
      </x:c>
      <x:c r="AB362" s="14" t="str">
        <x:v>Prüfung/Parametrisierung erforderlich</x:v>
      </x:c>
      <x:c r="AC362" s="14" t="str">
        <x:v>Hoch</x:v>
      </x:c>
      <x:c r="AD362" s="14" t="str">
        <x:v>Net Gain/No Net Loss/Net Loss ist ohne feldspezifischen Nachweis nicht automatisierbar.</x:v>
      </x:c>
      <x:c r="AE362" s="14" t="str">
        <x:v>v1.4</x:v>
      </x:c>
      <x:c r="AF362" s="52" t="str">
        <x:v>2026-08-16</x:v>
      </x:c>
      <x:c r="AG362" s="52"/>
    </x:row>
    <x:row r="363" ht="42" customHeight="1">
      <x:c r="A363" s="14" t="str">
        <x:v>WOK-E-198</x:v>
      </x:c>
      <x:c r="B363" s="14" t="str">
        <x:v>SDG 14 – Unter Wasser</x:v>
      </x:c>
      <x:c r="C363" s="14" t="str">
        <x:v>14.2</x:v>
      </x:c>
      <x:c r="D363" s="14" t="str">
        <x:v>Meeresschutz‑Net Gain</x:v>
      </x:c>
      <x:c r="E363" s="14" t="str">
        <x:v>Meeresschutz‑Net Gain – Landumwandlung</x:v>
      </x:c>
      <x:c r="F363" s="14" t="str">
        <x:v>Neue Flächen mit hohem Risiko</x:v>
      </x:c>
      <x:c r="G363" s="14" t="str">
        <x:v>ha/Jahr</x:v>
      </x:c>
      <x:c r="H363" s="14" t="str">
        <x:v>lower_is_better</x:v>
      </x:c>
      <x:c r="I363" s="14" t="str">
        <x:v>R02</x:v>
      </x:c>
      <x:c r="J363" s="14" t="str">
        <x:v>0:+3; ≤1:+2; ≤3:0; ≤5:‑2; &gt;5:‑3</x:v>
      </x:c>
      <x:c r="K363" s="14" t="str">
        <x:v>Feste WÖk-Kalibrierung</x:v>
      </x:c>
      <x:c r="L363" s="14" t="str">
        <x:v>Arbeitskalibrierung – fachlich zu validieren</x:v>
      </x:c>
      <x:c r="M363" s="14" t="str">
        <x:v>WÖk-interne Klassenlogik</x:v>
      </x:c>
      <x:c r="N363" s="14" t="str">
        <x:v>Optional/Nein</x:v>
      </x:c>
      <x:c r="O363" s="14" t="str">
        <x:v>ESRS E4; GIS/KBA</x:v>
      </x:c>
      <x:c r="P363" s="14" t="str">
        <x:v>ESRS E4, CBD/GBF, EN 15978 (Bau)</x:v>
      </x:c>
      <x:c r="Q363" s="14" t="str">
        <x:v>Mess-, Berichts- oder Managementrahmen; Schwellen sind grundsätzlich WÖk-Kalibrierungen</x:v>
      </x:c>
      <x:c r="R363" s="14" t="str">
        <x:v>Messgrundlage belegt; Schwellenkalibrierung offen</x:v>
      </x:c>
      <x:c r="S363" s="14" t="str">
        <x:v>EU-ESRS; CBD-GBF; KBA-DATA; DATA-GIS</x:v>
      </x:c>
      <x:c r="T363" s="14" t="str">
        <x:v>G47 Handel; K Versicherungen; M72 F&amp;E</x:v>
      </x:c>
      <x:c r="U363" s="14" t="str">
        <x:v>Legacy / nicht explizit versioniert</x:v>
      </x:c>
      <x:c r="V363" s="51" t="str"/>
      <x:c r="W363" s="14" t="str">
        <x:v>Migration auf NACE Rev. 2.1 erforderlich</x:v>
      </x:c>
      <x:c r="X363" s="14" t="str">
        <x:v>Standort/Prozess/Aktivität; Bezugsgröße und relevante Umweltmedien</x:v>
      </x:c>
      <x:c r="Y363" s="14" t="str">
        <x:v>Nettoeffekt Biodiv: Net Gain/No Net Loss‑Bilanz (Projekt).</x:v>
      </x:c>
      <x:c r="Z363" s="14" t="str">
        <x:v>Primärdaten bevorzugt; Sekundärdaten nur transparent und versioniert; Methode und Systemgrenze dokumentieren</x:v>
      </x:c>
      <x:c r="AA363" s="14" t="str">
        <x:v>Limited Assurance; risikobasiert höhere Prüftiefe</x:v>
      </x:c>
      <x:c r="AB363" s="14" t="str">
        <x:v>Strukturell nutzbar; Schwellen fachlich zu validieren</x:v>
      </x:c>
      <x:c r="AC363" s="14" t="str">
        <x:v>Mittel</x:v>
      </x:c>
      <x:c r="AD363" s="14" t="str">
        <x:v>Vollständige fünfstufige numerische Regel.</x:v>
      </x:c>
      <x:c r="AE363" s="14" t="str">
        <x:v>v1.4</x:v>
      </x:c>
      <x:c r="AF363" s="52" t="str">
        <x:v>2026-08-16</x:v>
      </x:c>
      <x:c r="AG363" s="52"/>
    </x:row>
    <x:row r="364" ht="42" customHeight="1">
      <x:c r="A364" s="14" t="str">
        <x:v>WOK-E-199</x:v>
      </x:c>
      <x:c r="B364" s="14" t="str">
        <x:v>SDG 14 – Unter Wasser</x:v>
      </x:c>
      <x:c r="C364" s="14" t="str">
        <x:v>14.2</x:v>
      </x:c>
      <x:c r="D364" s="14" t="str">
        <x:v>Meeresschutz‑Net Gain</x:v>
      </x:c>
      <x:c r="E364" s="14" t="str">
        <x:v>Meeresschutz‑Net Gain – Deforestationsfrei</x:v>
      </x:c>
      <x:c r="F364" s="14" t="str">
        <x:v>Anteil deforestationsfreie Rohstoffe</x:v>
      </x:c>
      <x:c r="G364" s="14" t="str">
        <x:v>%</x:v>
      </x:c>
      <x:c r="H364" s="14" t="str">
        <x:v>higher_is_better</x:v>
      </x:c>
      <x:c r="I364" s="14" t="str">
        <x:v>R28</x:v>
      </x:c>
      <x:c r="J364" s="14" t="str">
        <x:v>≥98:+3; 90–97:+2; 75–89:0; 50–74:‑2; &lt;50:‑3</x:v>
      </x:c>
      <x:c r="K364" s="14" t="str">
        <x:v>Feste WÖk-Kalibrierung</x:v>
      </x:c>
      <x:c r="L364" s="14" t="str">
        <x:v>Arbeitskalibrierung – fachlich zu validieren</x:v>
      </x:c>
      <x:c r="M364" s="14" t="str">
        <x:v>WÖk-interne Klassenlogik</x:v>
      </x:c>
      <x:c r="N364" s="14" t="str">
        <x:v>Optional/Nein</x:v>
      </x:c>
      <x:c r="O364" s="14" t="str">
        <x:v>ESRS E4; GIS/KBA</x:v>
      </x:c>
      <x:c r="P364" s="14" t="str">
        <x:v>ESRS E4, CBD/GBF, EN 15978 (Bau)</x:v>
      </x:c>
      <x:c r="Q364" s="14" t="str">
        <x:v>Mess-, Berichts- oder Managementrahmen; Schwellen sind grundsätzlich WÖk-Kalibrierungen</x:v>
      </x:c>
      <x:c r="R364" s="14" t="str">
        <x:v>Messgrundlage belegt; Schwellenkalibrierung offen</x:v>
      </x:c>
      <x:c r="S364" s="14" t="str">
        <x:v>EU-ESRS; CBD-GBF; KBA-DATA; DATA-GIS</x:v>
      </x:c>
      <x:c r="T364" s="14" t="str">
        <x:v>G47 Handel; K Versicherungen; M72 F&amp;E</x:v>
      </x:c>
      <x:c r="U364" s="14" t="str">
        <x:v>Legacy / nicht explizit versioniert</x:v>
      </x:c>
      <x:c r="V364" s="51" t="str"/>
      <x:c r="W364" s="14" t="str">
        <x:v>Migration auf NACE Rev. 2.1 erforderlich</x:v>
      </x:c>
      <x:c r="X364" s="14" t="str">
        <x:v>Standort/Prozess/Aktivität; Bezugsgröße und relevante Umweltmedien</x:v>
      </x:c>
      <x:c r="Y364" s="14" t="str">
        <x:v>Nettoeffekt Biodiv: Net Gain/No Net Loss‑Bilanz (Projekt).</x:v>
      </x:c>
      <x:c r="Z364" s="14" t="str">
        <x:v>Primärdaten bevorzugt; Sekundärdaten nur transparent und versioniert; Methode und Systemgrenze dokumentieren</x:v>
      </x:c>
      <x:c r="AA364" s="14" t="str">
        <x:v>Limited Assurance; risikobasiert höhere Prüftiefe</x:v>
      </x:c>
      <x:c r="AB364" s="14" t="str">
        <x:v>Strukturell nutzbar; Schwellen fachlich zu validieren</x:v>
      </x:c>
      <x:c r="AC364" s="14" t="str">
        <x:v>Mittel</x:v>
      </x:c>
      <x:c r="AD364" s="14" t="str">
        <x:v>Vollständige fünfstufige numerische Regel.</x:v>
      </x:c>
      <x:c r="AE364" s="14" t="str">
        <x:v>v1.4</x:v>
      </x:c>
      <x:c r="AF364" s="52" t="str">
        <x:v>2026-08-16</x:v>
      </x:c>
      <x:c r="AG364" s="52"/>
    </x:row>
    <x:row r="365" ht="42" customHeight="1">
      <x:c r="A365" s="14" t="str">
        <x:v>WOK-SC-131</x:v>
      </x:c>
      <x:c r="B365" s="14" t="str">
        <x:v>SDG 14 – Unter Wasser</x:v>
      </x:c>
      <x:c r="C365" s="14" t="str">
        <x:v>14.4</x:v>
      </x:c>
      <x:c r="D365" s="14" t="str">
        <x:v>Fischerei‑Lieferketten</x:v>
      </x:c>
      <x:c r="E365" s="14" t="str">
        <x:v>Fischerei‑Lieferketten – ESG‑Spend‑Coverage</x:v>
      </x:c>
      <x:c r="F365" s="14" t="str">
        <x:v>Anteil verifizierter ESG‑Daten am Spend</x:v>
      </x:c>
      <x:c r="G365" s="14" t="str">
        <x:v>%</x:v>
      </x:c>
      <x:c r="H365" s="14" t="str">
        <x:v>higher_is_better</x:v>
      </x:c>
      <x:c r="I365" s="14" t="str">
        <x:v>R26</x:v>
      </x:c>
      <x:c r="J365" s="14" t="str">
        <x:v>≥90:+3; 70–89:+2; 50–69:0; 30–49:‑2; &lt;30:‑3</x:v>
      </x:c>
      <x:c r="K365" s="14" t="str">
        <x:v>Feste WÖk-Kalibrierung</x:v>
      </x:c>
      <x:c r="L365" s="14" t="str">
        <x:v>Arbeitskalibrierung – fachlich zu validieren</x:v>
      </x:c>
      <x:c r="M365" s="14" t="str">
        <x:v>WÖk-interne Klassenlogik</x:v>
      </x:c>
      <x:c r="N365" s="14" t="str">
        <x:v>Optional/Nein</x:v>
      </x:c>
      <x:c r="O365" s="14" t="str">
        <x:v>ESRS S2; GRI 308/414/408/409</x:v>
      </x:c>
      <x:c r="P365" s="14" t="str">
        <x:v>ESRS S2, GRI 308/414, OECD Due Diligence</x:v>
      </x:c>
      <x:c r="Q365" s="14" t="str">
        <x:v>Mess-, Berichts- oder Managementrahmen; Schwellen sind grundsätzlich WÖk-Kalibrierungen</x:v>
      </x:c>
      <x:c r="R365" s="14" t="str">
        <x:v>Messgrundlage belegt; Schwellenkalibrierung offen</x:v>
      </x:c>
      <x:c r="S365" s="14" t="str">
        <x:v>EU-ESRS; GRI; OECD-DD; ILO-CORE</x:v>
      </x:c>
      <x:c r="T365" s="14" t="str">
        <x:v>C20 Chemie; C24 Stahl; C29 Fahrzeuge</x:v>
      </x:c>
      <x:c r="U365" s="14" t="str">
        <x:v>Legacy / nicht explizit versioniert</x:v>
      </x:c>
      <x:c r="V365" s="51" t="str"/>
      <x:c r="W365" s="14" t="str">
        <x:v>Migration auf NACE Rev. 2.1 erforderlich</x:v>
      </x:c>
      <x:c r="X365" s="14" t="str">
        <x:v>Vorgelagerte Lieferkette; relevante Tier-Stufen und Beschaffungsvolumen</x:v>
      </x:c>
      <x:c r="Y365" s="14" t="str">
        <x:v>Quote = Zähler / Nenner gemäß Quelle; in %.</x:v>
      </x:c>
      <x:c r="Z365" s="14" t="str">
        <x:v>Primärdaten bevorzugt; Sekundärdaten nur transparent und versioniert; Methode und Systemgrenze dokumentieren</x:v>
      </x:c>
      <x:c r="AA365" s="14" t="str">
        <x:v>Limited Assurance; risikobasiert höhere Prüftiefe</x:v>
      </x:c>
      <x:c r="AB365" s="14" t="str">
        <x:v>Strukturell nutzbar; Schwellen fachlich zu validieren</x:v>
      </x:c>
      <x:c r="AC365" s="14" t="str">
        <x:v>Mittel</x:v>
      </x:c>
      <x:c r="AD365" s="14" t="str">
        <x:v>Vollständige fünfstufige numerische Regel.</x:v>
      </x:c>
      <x:c r="AE365" s="14" t="str">
        <x:v>v1.4</x:v>
      </x:c>
      <x:c r="AF365" s="52" t="str">
        <x:v>2026-08-16</x:v>
      </x:c>
      <x:c r="AG365" s="52"/>
    </x:row>
    <x:row r="366" ht="42" customHeight="1">
      <x:c r="A366" s="14" t="str">
        <x:v>WOK-SC-132</x:v>
      </x:c>
      <x:c r="B366" s="14" t="str">
        <x:v>SDG 14 – Unter Wasser</x:v>
      </x:c>
      <x:c r="C366" s="14" t="str">
        <x:v>14.4</x:v>
      </x:c>
      <x:c r="D366" s="14" t="str">
        <x:v>Fischerei‑Lieferketten</x:v>
      </x:c>
      <x:c r="E366" s="14" t="str">
        <x:v>Fischerei‑Lieferketten – Kinder/Zwangsarbeit</x:v>
      </x:c>
      <x:c r="F366" s="14" t="str">
        <x:v>Audits ohne Verstöße</x:v>
      </x:c>
      <x:c r="G366" s="14" t="str">
        <x:v>% Lieferanten</x:v>
      </x:c>
      <x:c r="H366" s="14" t="str">
        <x:v>higher_is_better</x:v>
      </x:c>
      <x:c r="I366" s="14" t="str">
        <x:v>R28</x:v>
      </x:c>
      <x:c r="J366" s="14" t="str">
        <x:v>≥98:+3; 90–97:+2; 75–89:0; 50–74:‑2; &lt;50:‑3</x:v>
      </x:c>
      <x:c r="K366" s="14" t="str">
        <x:v>Feste WÖk-Kalibrierung</x:v>
      </x:c>
      <x:c r="L366" s="14" t="str">
        <x:v>Arbeitskalibrierung – fachlich zu validieren</x:v>
      </x:c>
      <x:c r="M366" s="14" t="str">
        <x:v>WÖk-interne Klassenlogik</x:v>
      </x:c>
      <x:c r="N366" s="14" t="str">
        <x:v>Optional/Nein</x:v>
      </x:c>
      <x:c r="O366" s="14" t="str">
        <x:v>ESRS S2; GRI 308/414/408/409</x:v>
      </x:c>
      <x:c r="P366" s="14" t="str">
        <x:v>ESRS S2, GRI 308/414, OECD Due Diligence</x:v>
      </x:c>
      <x:c r="Q366" s="14" t="str">
        <x:v>Mess-, Berichts- oder Managementrahmen; Schwellen sind grundsätzlich WÖk-Kalibrierungen</x:v>
      </x:c>
      <x:c r="R366" s="14" t="str">
        <x:v>Messgrundlage belegt; Schwellenkalibrierung offen</x:v>
      </x:c>
      <x:c r="S366" s="14" t="str">
        <x:v>EU-ESRS; GRI; OECD-DD; ILO-CORE</x:v>
      </x:c>
      <x:c r="T366" s="14" t="str">
        <x:v>C20 Chemie; C24 Stahl; C29 Fahrzeuge</x:v>
      </x:c>
      <x:c r="U366" s="14" t="str">
        <x:v>Legacy / nicht explizit versioniert</x:v>
      </x:c>
      <x:c r="V366" s="51" t="str"/>
      <x:c r="W366" s="14" t="str">
        <x:v>Migration auf NACE Rev. 2.1 erforderlich</x:v>
      </x:c>
      <x:c r="X366" s="14" t="str">
        <x:v>Vorgelagerte Lieferkette; relevante Tier-Stufen und Beschaffungsvolumen</x:v>
      </x:c>
      <x:c r="Y366" s="14" t="str">
        <x:v>Quote = Zähler / Nenner gemäß Quelle; in %.</x:v>
      </x:c>
      <x:c r="Z366" s="14" t="str">
        <x:v>Primärdaten bevorzugt; Sekundärdaten nur transparent und versioniert; Methode und Systemgrenze dokumentieren</x:v>
      </x:c>
      <x:c r="AA366" s="14" t="str">
        <x:v>Limited Assurance; risikobasiert höhere Prüftiefe</x:v>
      </x:c>
      <x:c r="AB366" s="14" t="str">
        <x:v>Strukturell nutzbar; Schwellen fachlich zu validieren</x:v>
      </x:c>
      <x:c r="AC366" s="14" t="str">
        <x:v>Mittel</x:v>
      </x:c>
      <x:c r="AD366" s="14" t="str">
        <x:v>Vollständige fünfstufige numerische Regel.</x:v>
      </x:c>
      <x:c r="AE366" s="14" t="str">
        <x:v>v1.4</x:v>
      </x:c>
      <x:c r="AF366" s="52" t="str">
        <x:v>2026-08-16</x:v>
      </x:c>
      <x:c r="AG366" s="52"/>
    </x:row>
    <x:row r="367" ht="42" customHeight="1">
      <x:c r="A367" s="14" t="str">
        <x:v>WOK-SC-133</x:v>
      </x:c>
      <x:c r="B367" s="14" t="str">
        <x:v>SDG 14 – Unter Wasser</x:v>
      </x:c>
      <x:c r="C367" s="14" t="str">
        <x:v>14.4</x:v>
      </x:c>
      <x:c r="D367" s="14" t="str">
        <x:v>Fischerei‑Lieferketten</x:v>
      </x:c>
      <x:c r="E367" s="14" t="str">
        <x:v>Fischerei‑Lieferketten – Scope‑3 Daten</x:v>
      </x:c>
      <x:c r="F367" s="14" t="str">
        <x:v>Primärdaten‑Abdeckung</x:v>
      </x:c>
      <x:c r="G367" s="14" t="str">
        <x:v>% Kategorien</x:v>
      </x:c>
      <x:c r="H367" s="14" t="str">
        <x:v>higher_is_better</x:v>
      </x:c>
      <x:c r="I367" s="14" t="str">
        <x:v>R23</x:v>
      </x:c>
      <x:c r="J367" s="14" t="str">
        <x:v>≥80:+3; 60–79:+2; 40–59:0; 20–39:‑2; &lt;20:‑3</x:v>
      </x:c>
      <x:c r="K367" s="14" t="str">
        <x:v>Feste WÖk-Kalibrierung</x:v>
      </x:c>
      <x:c r="L367" s="14" t="str">
        <x:v>Arbeitskalibrierung – fachlich zu validieren</x:v>
      </x:c>
      <x:c r="M367" s="14" t="str">
        <x:v>WÖk-interne Klassenlogik</x:v>
      </x:c>
      <x:c r="N367" s="14" t="str">
        <x:v>Optional/Nein</x:v>
      </x:c>
      <x:c r="O367" s="14" t="str">
        <x:v>ESRS E1; GHG Protocol</x:v>
      </x:c>
      <x:c r="P367" s="14" t="str">
        <x:v>ESRS E1, GHG Protocol (Corporate/Scope 1–3), ISO 14064/14067</x:v>
      </x:c>
      <x:c r="Q367" s="14" t="str">
        <x:v>Mess-, Berichts- oder Managementrahmen; Schwellen sind grundsätzlich WÖk-Kalibrierungen</x:v>
      </x:c>
      <x:c r="R367" s="14" t="str">
        <x:v>Messgrundlage belegt; Schwellenkalibrierung offen</x:v>
      </x:c>
      <x:c r="S367" s="14" t="str">
        <x:v>EU-ESRS; GHG-CORP; GHG-S3; GHG-PROD</x:v>
      </x:c>
      <x:c r="T367" s="14" t="str">
        <x:v>C20 Chemie; C24 Stahl; C29 Fahrzeuge</x:v>
      </x:c>
      <x:c r="U367" s="14" t="str">
        <x:v>Legacy / nicht explizit versioniert</x:v>
      </x:c>
      <x:c r="V367" s="51" t="str"/>
      <x:c r="W367" s="14" t="str">
        <x:v>Migration auf NACE Rev. 2.1 erforderlich</x:v>
      </x:c>
      <x:c r="X367" s="14" t="str">
        <x:v>Vorgelagerte Lieferkette; relevante Tier-Stufen und Beschaffungsvolumen</x:v>
      </x:c>
      <x:c r="Y367" s="14" t="str">
        <x:v>Quote = Zähler / Nenner gemäß Quelle; in %.</x:v>
      </x:c>
      <x:c r="Z367" s="14" t="str">
        <x:v>Primärdaten bevorzugt; Sekundärdaten nur transparent und versioniert; Methode und Systemgrenze dokumentieren</x:v>
      </x:c>
      <x:c r="AA367" s="14" t="str">
        <x:v>Limited Assurance; risikobasiert höhere Prüftiefe</x:v>
      </x:c>
      <x:c r="AB367" s="14" t="str">
        <x:v>Strukturell nutzbar; Schwellen fachlich zu validieren</x:v>
      </x:c>
      <x:c r="AC367" s="14" t="str">
        <x:v>Mittel</x:v>
      </x:c>
      <x:c r="AD367" s="14" t="str">
        <x:v>Vollständige fünfstufige numerische Regel.</x:v>
      </x:c>
      <x:c r="AE367" s="14" t="str">
        <x:v>v1.4</x:v>
      </x:c>
      <x:c r="AF367" s="52" t="str">
        <x:v>2026-08-16</x:v>
      </x:c>
      <x:c r="AG367" s="52"/>
    </x:row>
    <x:row r="368" ht="42" customHeight="1">
      <x:c r="A368" s="14" t="str">
        <x:v>WOK-G-167</x:v>
      </x:c>
      <x:c r="B368" s="14" t="str">
        <x:v>SDG 14 – Unter Wasser</x:v>
      </x:c>
      <x:c r="C368" s="14" t="str">
        <x:v>14.1</x:v>
      </x:c>
      <x:c r="D368" s="14" t="str">
        <x:v>Abwasser Compliance Küsten</x:v>
      </x:c>
      <x:c r="E368" s="14" t="str">
        <x:v>Abwasser Compliance Küsten – Antikorruption</x:v>
      </x:c>
      <x:c r="F368" s="14" t="str">
        <x:v>Bestätigte Fälle/1.000 FTE</x:v>
      </x:c>
      <x:c r="G368" s="14" t="str">
        <x:v>Fälle/1.000 FTE</x:v>
      </x:c>
      <x:c r="H368" s="14" t="str">
        <x:v>lower_is_better</x:v>
      </x:c>
      <x:c r="I368" s="14" t="str">
        <x:v>R01</x:v>
      </x:c>
      <x:c r="J368" s="14" t="str">
        <x:v>0:+3; ≤0,2:+2; ≤0,5:0; ≤1:‑2; &gt;1:‑3</x:v>
      </x:c>
      <x:c r="K368" s="14" t="str">
        <x:v>Feste WÖk-Kalibrierung</x:v>
      </x:c>
      <x:c r="L368" s="14" t="str">
        <x:v>Arbeitskalibrierung – fachlich zu validieren</x:v>
      </x:c>
      <x:c r="M368" s="14" t="str">
        <x:v>WÖk-interne Klassenlogik</x:v>
      </x:c>
      <x:c r="N368" s="14" t="str">
        <x:v>Optional/Nein</x:v>
      </x:c>
      <x:c r="O368" s="14" t="str">
        <x:v>ESRS G1; GRI 205/207</x:v>
      </x:c>
      <x:c r="P368" s="14" t="str">
        <x:v>ESRS E3, WRI Aqueduct, ISO 14046 (Water Footprint)</x:v>
      </x:c>
      <x:c r="Q368" s="14" t="str">
        <x:v>Mess-, Berichts- oder Managementrahmen; Schwellen sind grundsätzlich WÖk-Kalibrierungen</x:v>
      </x:c>
      <x:c r="R368" s="14" t="str">
        <x:v>Messgrundlage belegt; Schwellenkalibrierung offen</x:v>
      </x:c>
      <x:c r="S368" s="14" t="str">
        <x:v>EU-ESRS; GRI; OECD-AB</x:v>
      </x:c>
      <x:c r="T368" s="14" t="str">
        <x:v>C20 Chemie; C24 Stahl; C29 Fahrzeuge</x:v>
      </x:c>
      <x:c r="U368" s="14" t="str">
        <x:v>Legacy / nicht explizit versioniert</x:v>
      </x:c>
      <x:c r="V368" s="51" t="str"/>
      <x:c r="W368" s="14" t="str">
        <x:v>Migration auf NACE Rev. 2.1 erforderlich</x:v>
      </x:c>
      <x:c r="X368" s="14" t="str">
        <x:v>Organisation/Governance; konsolidierter Kreis und relevante Rechtseinheiten</x:v>
      </x:c>
      <x:c r="Y368" s="14" t="str">
        <x:v>Anteil Proben &gt; Grenzwert im Berichtszeitraum.</x:v>
      </x:c>
      <x:c r="Z368" s="14" t="str">
        <x:v>Primärdaten bevorzugt; Sekundärdaten nur transparent und versioniert; Methode und Systemgrenze dokumentieren</x:v>
      </x:c>
      <x:c r="AA368" s="14" t="str">
        <x:v>Limited Assurance; risikobasiert höhere Prüftiefe</x:v>
      </x:c>
      <x:c r="AB368" s="14" t="str">
        <x:v>Strukturell nutzbar; Schwellen fachlich zu validieren</x:v>
      </x:c>
      <x:c r="AC368" s="14" t="str">
        <x:v>Mittel</x:v>
      </x:c>
      <x:c r="AD368" s="14" t="str">
        <x:v>Vollständige fünfstufige numerische Regel.</x:v>
      </x:c>
      <x:c r="AE368" s="14" t="str">
        <x:v>v1.4</x:v>
      </x:c>
      <x:c r="AF368" s="52" t="str">
        <x:v>2026-08-16</x:v>
      </x:c>
      <x:c r="AG368" s="52"/>
    </x:row>
    <x:row r="369" ht="42" customHeight="1">
      <x:c r="A369" s="14" t="str">
        <x:v>WOK-G-168</x:v>
      </x:c>
      <x:c r="B369" s="14" t="str">
        <x:v>SDG 14 – Unter Wasser</x:v>
      </x:c>
      <x:c r="C369" s="14" t="str">
        <x:v>14.1</x:v>
      </x:c>
      <x:c r="D369" s="14" t="str">
        <x:v>Abwasser Compliance Küsten</x:v>
      </x:c>
      <x:c r="E369" s="14" t="str">
        <x:v>Abwasser Compliance Küsten – Whistleblowing</x:v>
      </x:c>
      <x:c r="F369" s="14" t="str">
        <x:v>Wirksamkeits‑Score</x:v>
      </x:c>
      <x:c r="G369" s="14" t="str">
        <x:v>0–1</x:v>
      </x:c>
      <x:c r="H369" s="14" t="str">
        <x:v>higher_is_better</x:v>
      </x:c>
      <x:c r="I369" s="14" t="str">
        <x:v>R16</x:v>
      </x:c>
      <x:c r="J369" s="14" t="str">
        <x:v>≥0,9:+3; 0,75–0,89:+2; 0,6–0,74:0; 0,4–0,59:‑2; &lt;0,4:‑3</x:v>
      </x:c>
      <x:c r="K369" s="14" t="str">
        <x:v>Feste WÖk-Kalibrierung</x:v>
      </x:c>
      <x:c r="L369" s="14" t="str">
        <x:v>Arbeitskalibrierung – fachlich zu validieren</x:v>
      </x:c>
      <x:c r="M369" s="14" t="str">
        <x:v>WÖk-interne Klassenlogik</x:v>
      </x:c>
      <x:c r="N369" s="14" t="str">
        <x:v>Optional/Nein</x:v>
      </x:c>
      <x:c r="O369" s="14" t="str">
        <x:v>ESRS G1; GRI 205/207</x:v>
      </x:c>
      <x:c r="P369" s="14" t="str">
        <x:v>ESRS E3, WRI Aqueduct, ISO 14046 (Water Footprint)</x:v>
      </x:c>
      <x:c r="Q369" s="14" t="str">
        <x:v>Mess-, Berichts- oder Managementrahmen; Schwellen sind grundsätzlich WÖk-Kalibrierungen</x:v>
      </x:c>
      <x:c r="R369" s="14" t="str">
        <x:v>Messgrundlage belegt; Schwellenkalibrierung offen</x:v>
      </x:c>
      <x:c r="S369" s="14" t="str">
        <x:v>EU-ESRS; GRI; OECD-AB</x:v>
      </x:c>
      <x:c r="T369" s="14" t="str">
        <x:v>C20 Chemie; C24 Stahl; C29 Fahrzeuge</x:v>
      </x:c>
      <x:c r="U369" s="14" t="str">
        <x:v>Legacy / nicht explizit versioniert</x:v>
      </x:c>
      <x:c r="V369" s="51" t="str"/>
      <x:c r="W369" s="14" t="str">
        <x:v>Migration auf NACE Rev. 2.1 erforderlich</x:v>
      </x:c>
      <x:c r="X369" s="14" t="str">
        <x:v>Organisation/Governance; konsolidierter Kreis und relevante Rechtseinheiten</x:v>
      </x:c>
      <x:c r="Y369" s="14" t="str">
        <x:v>Anteil Proben &gt; Grenzwert im Berichtszeitraum.</x:v>
      </x:c>
      <x:c r="Z369" s="14" t="str">
        <x:v>Primärdaten bevorzugt; Sekundärdaten nur transparent und versioniert; Methode und Systemgrenze dokumentieren</x:v>
      </x:c>
      <x:c r="AA369" s="14" t="str">
        <x:v>Limited Assurance; risikobasiert höhere Prüftiefe</x:v>
      </x:c>
      <x:c r="AB369" s="14" t="str">
        <x:v>Strukturell nutzbar; Schwellen fachlich zu validieren</x:v>
      </x:c>
      <x:c r="AC369" s="14" t="str">
        <x:v>Mittel</x:v>
      </x:c>
      <x:c r="AD369" s="14" t="str">
        <x:v>Vollständige fünfstufige numerische Regel.</x:v>
      </x:c>
      <x:c r="AE369" s="14" t="str">
        <x:v>v1.4</x:v>
      </x:c>
      <x:c r="AF369" s="52" t="str">
        <x:v>2026-08-16</x:v>
      </x:c>
      <x:c r="AG369" s="52"/>
    </x:row>
    <x:row r="370" ht="42" customHeight="1">
      <x:c r="A370" s="14" t="str">
        <x:v>WOK-G-169</x:v>
      </x:c>
      <x:c r="B370" s="14" t="str">
        <x:v>SDG 14 – Unter Wasser</x:v>
      </x:c>
      <x:c r="C370" s="14" t="str">
        <x:v>14.1</x:v>
      </x:c>
      <x:c r="D370" s="14" t="str">
        <x:v>Abwasser Compliance Küsten</x:v>
      </x:c>
      <x:c r="E370" s="14" t="str">
        <x:v>Abwasser Compliance Küsten – Steuertransparenz</x:v>
      </x:c>
      <x:c r="F370" s="14" t="str">
        <x:v>CbCR‑Offenlegung</x:v>
      </x:c>
      <x:c r="G370" s="14" t="str">
        <x:v>0–1</x:v>
      </x:c>
      <x:c r="H370" s="14" t="str">
        <x:v>higher_is_better</x:v>
      </x:c>
      <x:c r="I370" s="14" t="str">
        <x:v>R08</x:v>
      </x:c>
      <x:c r="J370" s="14" t="str">
        <x:v>vollständig:+3; teilweise:+2; minimal:0; schlecht:‑2</x:v>
      </x:c>
      <x:c r="K370" s="14" t="str">
        <x:v>Qualitativ</x:v>
      </x:c>
      <x:c r="L370" s="14" t="str">
        <x:v>Assurance und Kriterienkatalog erforderlich</x:v>
      </x:c>
      <x:c r="M370" s="14" t="str">
        <x:v>WÖk-interne Kategorien</x:v>
      </x:c>
      <x:c r="N370" s="14" t="str">
        <x:v>Optional/Nein</x:v>
      </x:c>
      <x:c r="O370" s="14" t="str">
        <x:v>ESRS G1; GRI 205/207</x:v>
      </x:c>
      <x:c r="P370" s="14" t="str">
        <x:v>ESRS E3, WRI Aqueduct, ISO 14046 (Water Footprint)</x:v>
      </x:c>
      <x:c r="Q370" s="14" t="str">
        <x:v>Mess-, Berichts- oder Managementrahmen; Schwellen sind grundsätzlich WÖk-Kalibrierungen</x:v>
      </x:c>
      <x:c r="R370" s="14" t="str">
        <x:v>Messgrundlage belegt; Schwellenkalibrierung offen</x:v>
      </x:c>
      <x:c r="S370" s="14" t="str">
        <x:v>EU-ESRS; GRI; OECD-AB</x:v>
      </x:c>
      <x:c r="T370" s="14" t="str">
        <x:v>C20 Chemie; C24 Stahl; C29 Fahrzeuge</x:v>
      </x:c>
      <x:c r="U370" s="14" t="str">
        <x:v>Legacy / nicht explizit versioniert</x:v>
      </x:c>
      <x:c r="V370" s="51" t="str"/>
      <x:c r="W370" s="14" t="str">
        <x:v>Migration auf NACE Rev. 2.1 erforderlich</x:v>
      </x:c>
      <x:c r="X370" s="14" t="str">
        <x:v>Organisation/Governance; konsolidierter Kreis und relevante Rechtseinheiten</x:v>
      </x:c>
      <x:c r="Y370" s="14" t="str">
        <x:v>Anteil Proben &gt; Grenzwert im Berichtszeitraum.</x:v>
      </x:c>
      <x:c r="Z370" s="14" t="str">
        <x:v>Dokumentierter Kriterienkatalog; nachvollziehbare Evidenz; DQR A/B bevorzugt</x:v>
      </x:c>
      <x:c r="AA370" s="14" t="str">
        <x:v>Unabhängige Fachprüfung/Limited Assurance; bei roten Linien Reasonable Assurance</x:v>
      </x:c>
      <x:c r="AB370" s="14" t="str">
        <x:v>Prüfung/Parametrisierung erforderlich</x:v>
      </x:c>
      <x:c r="AC370" s="14" t="str">
        <x:v>Hoch</x:v>
      </x:c>
      <x:c r="AD370" s="14" t="str">
        <x:v>Die Kategorie −3 fehlt; Vollständigkeit und Wirksamkeit sind feldspezifisch zu definieren.</x:v>
      </x:c>
      <x:c r="AE370" s="14" t="str">
        <x:v>v1.4</x:v>
      </x:c>
      <x:c r="AF370" s="52" t="str">
        <x:v>2026-08-16</x:v>
      </x:c>
      <x:c r="AG370" s="52"/>
    </x:row>
    <x:row r="371" ht="42" customHeight="1">
      <x:c r="A371" s="14" t="str">
        <x:v>WOK-SYS-140</x:v>
      </x:c>
      <x:c r="B371" s="14" t="str">
        <x:v>SDG 14 – Unter Wasser</x:v>
      </x:c>
      <x:c r="C371" s="14" t="str">
        <x:v>14.a</x:v>
      </x:c>
      <x:c r="D371" s="14" t="str">
        <x:v>Meeres‑Kooperationen</x:v>
      </x:c>
      <x:c r="E371" s="14" t="str">
        <x:v>Meeres‑Kooperationen – Index</x:v>
      </x:c>
      <x:c r="F371" s="14" t="str">
        <x:v>umsatzgewichteter Index (z. B. Demokratie/Rule of Law)</x:v>
      </x:c>
      <x:c r="G371" s="14" t="str">
        <x:v>0–1</x:v>
      </x:c>
      <x:c r="H371" s="14" t="str">
        <x:v>higher_is_better</x:v>
      </x:c>
      <x:c r="I371" s="14" t="str">
        <x:v>R15</x:v>
      </x:c>
      <x:c r="J371" s="14" t="str">
        <x:v>≥0,8:+3; 0,7–0,79:+2; 0,6–0,69:0; 0,5–0,59:‑2; &lt;0,5:‑3</x:v>
      </x:c>
      <x:c r="K371" s="14" t="str">
        <x:v>Feste WÖk-Kalibrierung</x:v>
      </x:c>
      <x:c r="L371" s="14" t="str">
        <x:v>Arbeitskalibrierung – fachlich zu validieren</x:v>
      </x:c>
      <x:c r="M371" s="14" t="str">
        <x:v>WÖk-interne Klassenlogik</x:v>
      </x:c>
      <x:c r="N371" s="14" t="str">
        <x:v>Optional/Nein</x:v>
      </x:c>
      <x:c r="O371" s="14" t="str">
        <x:v>SROI/SDG17</x:v>
      </x:c>
      <x:c r="P371" s="14" t="str">
        <x:v>SDG 16/17, WJP, V‑Dem</x:v>
      </x:c>
      <x:c r="Q371" s="14" t="str">
        <x:v>Methodischer Platzhalter; konkrete Fach- und Primärdatenquelle erforderlich</x:v>
      </x:c>
      <x:c r="R371" s="14" t="str">
        <x:v>Platzhalter – fachliche Operationalisierung offen</x:v>
      </x:c>
      <x:c r="S371" s="14" t="str">
        <x:v>INT-WOEK-TSROI; SVI-SROI; UN-SDG</x:v>
      </x:c>
      <x:c r="T371" s="14" t="str">
        <x:v>G47 Handel; K Versicherungen; M72 F&amp;E</x:v>
      </x:c>
      <x:c r="U371" s="14" t="str">
        <x:v>Legacy / nicht explizit versioniert</x:v>
      </x:c>
      <x:c r="V371" s="51" t="str"/>
      <x:c r="W371" s="14" t="str">
        <x:v>Migration auf NACE Rev. 2.1 erforderlich</x:v>
      </x:c>
      <x:c r="X371" s="14" t="str">
        <x:v>Programm/Portfolio/Systemraum; Empfängergruppe, Region und Zeitraum explizit definieren</x:v>
      </x:c>
      <x:c r="Y371" s="14" t="str">
        <x:v>Siehe Quelle: Definition gemäß Standard (ESRS/GRI/Taxonomie/ISO).</x:v>
      </x:c>
      <x:c r="Z371" s="14" t="str">
        <x:v>Primärdaten bevorzugt; Sekundärdaten nur transparent und versioniert; Methode und Systemgrenze dokumentieren</x:v>
      </x:c>
      <x:c r="AA371" s="14" t="str">
        <x:v>Limited Assurance; risikobasiert höhere Prüftiefe</x:v>
      </x:c>
      <x:c r="AB371" s="14" t="str">
        <x:v>Fachlogik nicht abschließend operationalisiert</x:v>
      </x:c>
      <x:c r="AC371" s="14" t="str">
        <x:v>Kritisch</x:v>
      </x:c>
      <x:c r="AD371" s="14" t="str">
        <x:v>SROI/SDG 17 ist keine hinreichend konkrete Mess- oder Schwellenquelle. Vollständige fünfstufige numerische Regel.</x:v>
      </x:c>
      <x:c r="AE371" s="14" t="str">
        <x:v>v1.4</x:v>
      </x:c>
      <x:c r="AF371" s="52" t="str">
        <x:v>2026-08-16</x:v>
      </x:c>
      <x:c r="AG371" s="52"/>
    </x:row>
    <x:row r="372" ht="42" customHeight="1">
      <x:c r="A372" s="14" t="str">
        <x:v>WOK-SYS-141</x:v>
      </x:c>
      <x:c r="B372" s="14" t="str">
        <x:v>SDG 14 – Unter Wasser</x:v>
      </x:c>
      <x:c r="C372" s="14" t="str">
        <x:v>14.a</x:v>
      </x:c>
      <x:c r="D372" s="14" t="str">
        <x:v>Meeres‑Kooperationen</x:v>
      </x:c>
      <x:c r="E372" s="14" t="str">
        <x:v>Meeres‑Kooperationen – Exposure</x:v>
      </x:c>
      <x:c r="F372" s="14" t="str">
        <x:v>Umsatz in Hochrisikoländern</x:v>
      </x:c>
      <x:c r="G372" s="14" t="str">
        <x:v>%</x:v>
      </x:c>
      <x:c r="H372" s="14" t="str">
        <x:v>lower_is_better</x:v>
      </x:c>
      <x:c r="I372" s="14" t="str">
        <x:v>R13</x:v>
      </x:c>
      <x:c r="J372" s="14" t="str">
        <x:v>≤5:+3; 6–10:+2; 11–20:0; 21–30:‑2; &gt;30:‑3</x:v>
      </x:c>
      <x:c r="K372" s="14" t="str">
        <x:v>Feste WÖk-Kalibrierung</x:v>
      </x:c>
      <x:c r="L372" s="14" t="str">
        <x:v>Arbeitskalibrierung – fachlich zu validieren</x:v>
      </x:c>
      <x:c r="M372" s="14" t="str">
        <x:v>WÖk-interne Klassenlogik</x:v>
      </x:c>
      <x:c r="N372" s="14" t="str">
        <x:v>Optional/Nein</x:v>
      </x:c>
      <x:c r="O372" s="14" t="str">
        <x:v>SROI/SDG17</x:v>
      </x:c>
      <x:c r="P372" s="14" t="str">
        <x:v>SROI/SDG17</x:v>
      </x:c>
      <x:c r="Q372" s="14" t="str">
        <x:v>Methodischer Platzhalter; konkrete Fach- und Primärdatenquelle erforderlich</x:v>
      </x:c>
      <x:c r="R372" s="14" t="str">
        <x:v>Platzhalter – fachliche Operationalisierung offen</x:v>
      </x:c>
      <x:c r="S372" s="14" t="str">
        <x:v>INT-WOEK-TSROI; SVI-SROI; UN-SDG</x:v>
      </x:c>
      <x:c r="T372" s="14" t="str">
        <x:v>G47 Handel; K Versicherungen; M72 F&amp;E</x:v>
      </x:c>
      <x:c r="U372" s="14" t="str">
        <x:v>Legacy / nicht explizit versioniert</x:v>
      </x:c>
      <x:c r="V372" s="51" t="str"/>
      <x:c r="W372" s="14" t="str">
        <x:v>Migration auf NACE Rev. 2.1 erforderlich</x:v>
      </x:c>
      <x:c r="X372" s="14" t="str">
        <x:v>Programm/Portfolio/Systemraum; Empfängergruppe, Region und Zeitraum explizit definieren</x:v>
      </x:c>
      <x:c r="Y372" s="14" t="str">
        <x:v>Siehe Quelle: Definition gemäß Standard (ESRS/GRI/Taxonomie/ISO).</x:v>
      </x:c>
      <x:c r="Z372" s="14" t="str">
        <x:v>Primärdaten bevorzugt; Sekundärdaten nur transparent und versioniert; Methode und Systemgrenze dokumentieren</x:v>
      </x:c>
      <x:c r="AA372" s="14" t="str">
        <x:v>Limited Assurance; risikobasiert höhere Prüftiefe</x:v>
      </x:c>
      <x:c r="AB372" s="14" t="str">
        <x:v>Fachlogik nicht abschließend operationalisiert</x:v>
      </x:c>
      <x:c r="AC372" s="14" t="str">
        <x:v>Kritisch</x:v>
      </x:c>
      <x:c r="AD372" s="14" t="str">
        <x:v>SROI/SDG 17 ist keine hinreichend konkrete Mess- oder Schwellenquelle. Vollständige fünfstufige numerische Regel.</x:v>
      </x:c>
      <x:c r="AE372" s="14" t="str">
        <x:v>v1.4</x:v>
      </x:c>
      <x:c r="AF372" s="52" t="str">
        <x:v>2026-08-16</x:v>
      </x:c>
      <x:c r="AG372" s="52"/>
    </x:row>
    <x:row r="373" ht="42" customHeight="1">
      <x:c r="A373" s="14" t="str">
        <x:v>WOK-SYS-142</x:v>
      </x:c>
      <x:c r="B373" s="14" t="str">
        <x:v>SDG 14 – Unter Wasser</x:v>
      </x:c>
      <x:c r="C373" s="14" t="str">
        <x:v>14.a</x:v>
      </x:c>
      <x:c r="D373" s="14" t="str">
        <x:v>Meeres‑Kooperationen</x:v>
      </x:c>
      <x:c r="E373" s="14" t="str">
        <x:v>Meeres‑Kooperationen – Kooperationen</x:v>
      </x:c>
      <x:c r="F373" s="14" t="str">
        <x:v>aktive, evaluierte Partnerschaften/Jahr</x:v>
      </x:c>
      <x:c r="G373" s="14" t="str">
        <x:v>#/Jahr</x:v>
      </x:c>
      <x:c r="H373" s="14" t="str">
        <x:v>higher_is_better</x:v>
      </x:c>
      <x:c r="I373" s="14" t="str">
        <x:v>R20</x:v>
      </x:c>
      <x:c r="J373" s="14" t="str">
        <x:v>≥5:+3; 3–4:+2; 1–2:0; 0:‑2</x:v>
      </x:c>
      <x:c r="K373" s="14" t="str">
        <x:v>Feste WÖk-Grobkalibrierung</x:v>
      </x:c>
      <x:c r="L373" s="14" t="str">
        <x:v>Klasse −3 nur für negative/unzulässige Werte ergänzt</x:v>
      </x:c>
      <x:c r="M373" s="14" t="str">
        <x:v>WÖk-interne Grobkalibrierung</x:v>
      </x:c>
      <x:c r="N373" s="14" t="str">
        <x:v>Optional/Nein</x:v>
      </x:c>
      <x:c r="O373" s="14" t="str">
        <x:v>SROI/SDG17</x:v>
      </x:c>
      <x:c r="P373" s="14" t="str">
        <x:v>SDG 16/17, WJP, V‑Dem</x:v>
      </x:c>
      <x:c r="Q373" s="14" t="str">
        <x:v>Methodischer Platzhalter; konkrete Fach- und Primärdatenquelle erforderlich</x:v>
      </x:c>
      <x:c r="R373" s="14" t="str">
        <x:v>Platzhalter – fachliche Operationalisierung offen</x:v>
      </x:c>
      <x:c r="S373" s="14" t="str">
        <x:v>INT-WOEK-TSROI; SVI-SROI; UN-SDG</x:v>
      </x:c>
      <x:c r="T373" s="14" t="str">
        <x:v>G47 Handel; K Versicherungen; M72 F&amp;E</x:v>
      </x:c>
      <x:c r="U373" s="14" t="str">
        <x:v>Legacy / nicht explizit versioniert</x:v>
      </x:c>
      <x:c r="V373" s="51" t="str"/>
      <x:c r="W373" s="14" t="str">
        <x:v>Migration auf NACE Rev. 2.1 erforderlich</x:v>
      </x:c>
      <x:c r="X373" s="14" t="str">
        <x:v>Programm/Portfolio/Systemraum; Empfängergruppe, Region und Zeitraum explizit definieren</x:v>
      </x:c>
      <x:c r="Y373" s="14" t="str">
        <x:v>Siehe Quelle: Definition gemäß Standard (ESRS/GRI/Taxonomie/ISO).</x:v>
      </x:c>
      <x:c r="Z373" s="14" t="str">
        <x:v>Primärdaten bevorzugt; Sekundärdaten nur transparent und versioniert; Methode und Systemgrenze dokumentieren</x:v>
      </x:c>
      <x:c r="AA373" s="14" t="str">
        <x:v>Limited Assurance; risikobasiert höhere Prüftiefe</x:v>
      </x:c>
      <x:c r="AB373" s="14" t="str">
        <x:v>Fachlogik nicht abschließend operationalisiert</x:v>
      </x:c>
      <x:c r="AC373" s="14" t="str">
        <x:v>Kritisch</x:v>
      </x:c>
      <x:c r="AD373" s="14" t="str">
        <x:v>SROI/SDG 17 ist keine hinreichend konkrete Mess- oder Schwellenquelle. Für sachlogisch nichtnegative Zählwerte ist 0 die schlechteste reguläre Klasse (−2).</x:v>
      </x:c>
      <x:c r="AE373" s="14" t="str">
        <x:v>v1.4</x:v>
      </x:c>
      <x:c r="AF373" s="52" t="str">
        <x:v>2026-08-16</x:v>
      </x:c>
      <x:c r="AG373" s="52"/>
    </x:row>
    <x:row r="374" ht="42" customHeight="1">
      <x:c r="A374" s="14" t="str">
        <x:v>WOK-E-200</x:v>
      </x:c>
      <x:c r="B374" s="14" t="str">
        <x:v>SDG 14 – Unter Wasser</x:v>
      </x:c>
      <x:c r="C374" s="14" t="str">
        <x:v>14.1</x:v>
      </x:c>
      <x:c r="D374" s="14" t="str">
        <x:v>Mikroplastik in Abwasser</x:v>
      </x:c>
      <x:c r="E374" s="14" t="str">
        <x:v>Mikroplastik in Abwasser – Entnahme (WSI)</x:v>
      </x:c>
      <x:c r="F374" s="14" t="str">
        <x:v>Wasserentnahme × Wasserstressindex</x:v>
      </x:c>
      <x:c r="G374" s="14" t="str">
        <x:v>m³*WSI</x:v>
      </x:c>
      <x:c r="H374" s="14" t="str">
        <x:v>lower_is_better</x:v>
      </x:c>
      <x:c r="I374" s="14" t="str">
        <x:v>R06</x:v>
      </x:c>
      <x:c r="J374" s="14" t="str">
        <x:v>Top‑10%:+3; Mittel:0; &gt;150%:‑2; &gt;250%:‑3</x:v>
      </x:c>
      <x:c r="K374" s="14" t="str">
        <x:v>Benchmarkabhängig</x:v>
      </x:c>
      <x:c r="L374" s="14" t="str">
        <x:v>Validierter Benchmark fehlt</x:v>
      </x:c>
      <x:c r="M374" s="14" t="str">
        <x:v>Branche/Region/Technologie</x:v>
      </x:c>
      <x:c r="N374" s="14" t="str">
        <x:v>Ja</x:v>
      </x:c>
      <x:c r="O374" s="14" t="str">
        <x:v>ESRS E3; WRI Aqueduct</x:v>
      </x:c>
      <x:c r="P374" s="14" t="str">
        <x:v>ESRS E3, WRI Aqueduct, ISO 14046 (Water Footprint)</x:v>
      </x:c>
      <x:c r="Q374" s="14" t="str">
        <x:v>Mess-/Methodenrahmen; aktiver Branchen-/Regional-/Technologiebenchmark separat erforderlich</x:v>
      </x:c>
      <x:c r="R374" s="14" t="str">
        <x:v>Teilbelegt – Benchmarkquelle fehlt</x:v>
      </x:c>
      <x:c r="S374" s="14" t="str">
        <x:v>EU-ESRS; WRI-AQ; ISO-14046</x:v>
      </x:c>
      <x:c r="T374" s="14" t="str">
        <x:v>C20 Chemie; C24 Stahl; C29 Fahrzeuge</x:v>
      </x:c>
      <x:c r="U374" s="14" t="str">
        <x:v>Legacy / nicht explizit versioniert</x:v>
      </x:c>
      <x:c r="V374" s="51" t="str"/>
      <x:c r="W374" s="14" t="str">
        <x:v>Migration auf NACE Rev. 2.1 erforderlich</x:v>
      </x:c>
      <x:c r="X374" s="14" t="str">
        <x:v>Standort/Prozess/Aktivität; Bezugsgröße und relevante Umweltmedien</x:v>
      </x:c>
      <x:c r="Y374" s="14" t="str">
        <x:v>∑(m³ Standort × WRI‑Aqueduct‑Stressfaktor).</x:v>
      </x:c>
      <x:c r="Z374" s="14" t="str">
        <x:v>Primärdaten plus repräsentativer, versionierter Benchmarkdatensatz; Stichprobe und Population offenlegen</x:v>
      </x:c>
      <x:c r="AA374" s="14" t="str">
        <x:v>Messwert-Assurance und unabhängige Benchmark-Governance</x:v>
      </x:c>
      <x:c r="AB374" s="14" t="str">
        <x:v>Prüfung/Parametrisierung erforderlich</x:v>
      </x:c>
      <x:c r="AC374" s="14" t="str">
        <x:v>Hoch</x:v>
      </x:c>
      <x:c r="AD374" s="14" t="str">
        <x:v>Top-10-Prozent, Mittelwert, 150 % und 250 % müssen aus einer dokumentierten Grundgesamtheit stammen.</x:v>
      </x:c>
      <x:c r="AE374" s="14" t="str">
        <x:v>v1.4</x:v>
      </x:c>
      <x:c r="AF374" s="52" t="str">
        <x:v>2026-08-16</x:v>
      </x:c>
      <x:c r="AG374" s="52"/>
    </x:row>
    <x:row r="375" ht="42" customHeight="1">
      <x:c r="A375" s="14" t="str">
        <x:v>WOK-E-201</x:v>
      </x:c>
      <x:c r="B375" s="14" t="str">
        <x:v>SDG 14 – Unter Wasser</x:v>
      </x:c>
      <x:c r="C375" s="14" t="str">
        <x:v>14.1</x:v>
      </x:c>
      <x:c r="D375" s="14" t="str">
        <x:v>Mikroplastik in Abwasser</x:v>
      </x:c>
      <x:c r="E375" s="14" t="str">
        <x:v>Mikroplastik in Abwasser – Reuse</x:v>
      </x:c>
      <x:c r="F375" s="14" t="str">
        <x:v>Anteil wiederverwendetes Prozesswasser</x:v>
      </x:c>
      <x:c r="G375" s="14" t="str">
        <x:v>%</x:v>
      </x:c>
      <x:c r="H375" s="14" t="str">
        <x:v>higher_is_better</x:v>
      </x:c>
      <x:c r="I375" s="14" t="str">
        <x:v>R25</x:v>
      </x:c>
      <x:c r="J375" s="14" t="str">
        <x:v>≥90%:+3; 70–89%:+2; 50–69%:0; 30–49%:‑2; &lt;30%:‑3</x:v>
      </x:c>
      <x:c r="K375" s="14" t="str">
        <x:v>Feste WÖk-Kalibrierung</x:v>
      </x:c>
      <x:c r="L375" s="14" t="str">
        <x:v>Arbeitskalibrierung – fachlich zu validieren</x:v>
      </x:c>
      <x:c r="M375" s="14" t="str">
        <x:v>WÖk-interne Klassenlogik</x:v>
      </x:c>
      <x:c r="N375" s="14" t="str">
        <x:v>Optional/Nein</x:v>
      </x:c>
      <x:c r="O375" s="14" t="str">
        <x:v>ESRS E3; WRI Aqueduct</x:v>
      </x:c>
      <x:c r="P375" s="14" t="str">
        <x:v>ESRS E3, WRI Aqueduct, ISO 14046 (Water Footprint)</x:v>
      </x:c>
      <x:c r="Q375" s="14" t="str">
        <x:v>Mess-, Berichts- oder Managementrahmen; Schwellen sind grundsätzlich WÖk-Kalibrierungen</x:v>
      </x:c>
      <x:c r="R375" s="14" t="str">
        <x:v>Messgrundlage belegt; Schwellenkalibrierung offen</x:v>
      </x:c>
      <x:c r="S375" s="14" t="str">
        <x:v>EU-ESRS; WRI-AQ; ISO-14046</x:v>
      </x:c>
      <x:c r="T375" s="14" t="str">
        <x:v>C20 Chemie; C24 Stahl; C29 Fahrzeuge</x:v>
      </x:c>
      <x:c r="U375" s="14" t="str">
        <x:v>Legacy / nicht explizit versioniert</x:v>
      </x:c>
      <x:c r="V375" s="51" t="str"/>
      <x:c r="W375" s="14" t="str">
        <x:v>Migration auf NACE Rev. 2.1 erforderlich</x:v>
      </x:c>
      <x:c r="X375" s="14" t="str">
        <x:v>Standort/Prozess/Aktivität; Bezugsgröße und relevante Umweltmedien</x:v>
      </x:c>
      <x:c r="Y375" s="14" t="str">
        <x:v>Anteil Proben &gt; Grenzwert im Berichtszeitraum.</x:v>
      </x:c>
      <x:c r="Z375" s="14" t="str">
        <x:v>Primärdaten bevorzugt; Sekundärdaten nur transparent und versioniert; Methode und Systemgrenze dokumentieren</x:v>
      </x:c>
      <x:c r="AA375" s="14" t="str">
        <x:v>Limited Assurance; risikobasiert höhere Prüftiefe</x:v>
      </x:c>
      <x:c r="AB375" s="14" t="str">
        <x:v>Strukturell nutzbar; Schwellen fachlich zu validieren</x:v>
      </x:c>
      <x:c r="AC375" s="14" t="str">
        <x:v>Mittel</x:v>
      </x:c>
      <x:c r="AD375" s="14" t="str">
        <x:v>Vollständige fünfstufige Prozentregel.</x:v>
      </x:c>
      <x:c r="AE375" s="14" t="str">
        <x:v>v1.4</x:v>
      </x:c>
      <x:c r="AF375" s="52" t="str">
        <x:v>2026-08-16</x:v>
      </x:c>
      <x:c r="AG375" s="52"/>
    </x:row>
    <x:row r="376" ht="42" customHeight="1">
      <x:c r="A376" s="14" t="str">
        <x:v>WOK-E-202</x:v>
      </x:c>
      <x:c r="B376" s="14" t="str">
        <x:v>SDG 14 – Unter Wasser</x:v>
      </x:c>
      <x:c r="C376" s="14" t="str">
        <x:v>14.1</x:v>
      </x:c>
      <x:c r="D376" s="14" t="str">
        <x:v>Mikroplastik in Abwasser</x:v>
      </x:c>
      <x:c r="E376" s="14" t="str">
        <x:v>Mikroplastik in Abwasser – Abwasserqualität</x:v>
      </x:c>
      <x:c r="F376" s="14" t="str">
        <x:v>Messwert in Prozent des jeweils anwendbaren Rechts- oder Genehmigungsgrenzwerts</x:v>
      </x:c>
      <x:c r="G376" s="14" t="str">
        <x:v>% des Grenzwerts</x:v>
      </x:c>
      <x:c r="H376" s="14" t="str">
        <x:v>lower_is_better</x:v>
      </x:c>
      <x:c r="I376" s="14" t="str">
        <x:v>R12</x:v>
      </x:c>
      <x:c r="J376" s="14" t="str">
        <x:v>≤50% Grenzwert:+3; ≤75%:+2; ≤100%:0; 101–120%:‑2; &gt;120%:‑3</x:v>
      </x:c>
      <x:c r="K376" s="14" t="str">
        <x:v>Rechts-/Genehmigungsgrenze</x:v>
      </x:c>
      <x:c r="L376" s="14" t="str">
        <x:v>Rechtsfundstelle je Fall erforderlich</x:v>
      </x:c>
      <x:c r="M376" s="14" t="str">
        <x:v>Jeweils anwendbare Rechtsnorm/Genehmigung</x:v>
      </x:c>
      <x:c r="N376" s="14" t="str">
        <x:v>Optional/Nein</x:v>
      </x:c>
      <x:c r="O376" s="14" t="str">
        <x:v>ESRS E3; WRI Aqueduct</x:v>
      </x:c>
      <x:c r="P376" s="14" t="str">
        <x:v>ESRS E3, WRI Aqueduct, ISO 14046 (Water Footprint)</x:v>
      </x:c>
      <x:c r="Q376" s="14" t="str">
        <x:v>Mess-/Berichtsrahmen; konkrete Rechts- oder Genehmigungsfundstelle je Fall erforderlich</x:v>
      </x:c>
      <x:c r="R376" s="14" t="str">
        <x:v>Teilbelegt – Rechtsfundstelle je Messung fehlt</x:v>
      </x:c>
      <x:c r="S376" s="14" t="str">
        <x:v>EU-ESRS; WRI-AQ; ISO-14046</x:v>
      </x:c>
      <x:c r="T376" s="14" t="str">
        <x:v>C20 Chemie; C24 Stahl; C29 Fahrzeuge</x:v>
      </x:c>
      <x:c r="U376" s="14" t="str">
        <x:v>Legacy / nicht explizit versioniert</x:v>
      </x:c>
      <x:c r="V376" s="51" t="str"/>
      <x:c r="W376" s="14" t="str">
        <x:v>Migration auf NACE Rev. 2.1 erforderlich</x:v>
      </x:c>
      <x:c r="X376" s="14" t="str">
        <x:v>Standort/Prozess/Aktivität; Bezugsgröße und relevante Umweltmedien</x:v>
      </x:c>
      <x:c r="Y376" s="14" t="str">
        <x:v>Grenzwertquote = Messwert / anwendbarer Grenzwert × 100; Fundstelle, Einheit, Messpunkt und Zeitraum nachweisen.</x:v>
      </x:c>
      <x:c r="Z376" s="14" t="str">
        <x:v>Kalibrierter Messwert; Rechtsfundstelle, Grenzwert, Einheit, Messpunkt und Zeitraum</x:v>
      </x:c>
      <x:c r="AA376" s="14" t="str">
        <x:v>Behördlicher/akkreditierter Nachweis oder unabhängige Prüfung</x:v>
      </x:c>
      <x:c r="AB376" s="14" t="str">
        <x:v>Prüfung/Parametrisierung erforderlich</x:v>
      </x:c>
      <x:c r="AC376" s="14" t="str">
        <x:v>Hoch</x:v>
      </x:c>
      <x:c r="AD376" s="14" t="str">
        <x:v>Nicht der absolute Messwert, sondern Messwert ÷ Grenzwert × 100 wird bewertet.</x:v>
      </x:c>
      <x:c r="AE376" s="14" t="str">
        <x:v>v1.4</x:v>
      </x:c>
      <x:c r="AF376" s="52" t="str">
        <x:v>2026-08-16</x:v>
      </x:c>
      <x:c r="AG376" s="52"/>
    </x:row>
    <x:row r="377" ht="42" customHeight="1">
      <x:c r="A377" s="14" t="str">
        <x:v>WOK-POL-110</x:v>
      </x:c>
      <x:c r="B377" s="14" t="str">
        <x:v>SDG 14 – Unter Wasser</x:v>
      </x:c>
      <x:c r="C377" s="14" t="str">
        <x:v>14.1</x:v>
      </x:c>
      <x:c r="D377" s="14" t="str">
        <x:v>DNSH Wasser</x:v>
      </x:c>
      <x:c r="E377" s="14" t="str">
        <x:v>DNSH Wasser – Spezifische Emissionen</x:v>
      </x:c>
      <x:c r="F377" s="14" t="str">
        <x:v>CO₂e je kWh (LCA)</x:v>
      </x:c>
      <x:c r="G377" s="14" t="str">
        <x:v>g CO₂e/kWh</x:v>
      </x:c>
      <x:c r="H377" s="14" t="str">
        <x:v>lower_is_better</x:v>
      </x:c>
      <x:c r="I377" s="14" t="str">
        <x:v>R10</x:v>
      </x:c>
      <x:c r="J377" s="14" t="str">
        <x:v>≤100:+3; 101–250:0; &gt;250:‑2</x:v>
      </x:c>
      <x:c r="K377" s="14" t="str">
        <x:v>Feste WÖk-Grobkalibrierung</x:v>
      </x:c>
      <x:c r="L377" s="14" t="str">
        <x:v>Klassen +2 und −3 fehlen</x:v>
      </x:c>
      <x:c r="M377" s="14" t="str">
        <x:v>WÖk-interne Grobkalibrierung</x:v>
      </x:c>
      <x:c r="N377" s="14" t="str">
        <x:v>Optional/Nein</x:v>
      </x:c>
      <x:c r="O377" s="14" t="str">
        <x:v>EU‑Taxonomie TSC/DNSH</x:v>
      </x:c>
      <x:c r="P377" s="14" t="str">
        <x:v>ESRS E1, GHG Protocol (Corporate/Scope 1–3), ISO 14064/14067</x:v>
      </x:c>
      <x:c r="Q377" s="14" t="str">
        <x:v>Mess-, Berichts- oder Managementrahmen; Schwellen sind grundsätzlich WÖk-Kalibrierungen</x:v>
      </x:c>
      <x:c r="R377" s="14" t="str">
        <x:v>Messgrundlage belegt; Schwellenkalibrierung offen</x:v>
      </x:c>
      <x:c r="S377" s="14" t="str">
        <x:v>EU-TAX</x:v>
      </x:c>
      <x:c r="T377" s="14" t="str">
        <x:v>C20 Chemie; C24 Stahl; C29 Fahrzeuge</x:v>
      </x:c>
      <x:c r="U377" s="14" t="str">
        <x:v>Legacy / nicht explizit versioniert</x:v>
      </x:c>
      <x:c r="V377" s="51" t="str"/>
      <x:c r="W377" s="14" t="str">
        <x:v>Migration auf NACE Rev. 2.1 erforderlich</x:v>
      </x:c>
      <x:c r="X377" s="14" t="str">
        <x:v>Technologie-/Aktivitätsklasse; Anlagen-, Netz- oder Flottengrenze ausweisen</x:v>
      </x:c>
      <x:c r="Y377" s="14" t="str">
        <x:v>EU‑Taxonomie: TSC erfüllt &amp; DNSH + MSR; Anteil konformer Aktivitäten.</x:v>
      </x:c>
      <x:c r="Z377" s="14" t="str">
        <x:v>Primärdaten bevorzugt; Sekundärdaten nur transparent und versioniert; Methode und Systemgrenze dokumentieren</x:v>
      </x:c>
      <x:c r="AA377" s="14" t="str">
        <x:v>Limited Assurance; risikobasiert höhere Prüftiefe</x:v>
      </x:c>
      <x:c r="AB377" s="14" t="str">
        <x:v>Strukturell nutzbar; Schwellen fachlich zu validieren</x:v>
      </x:c>
      <x:c r="AC377" s="14" t="str">
        <x:v>Mittel</x:v>
      </x:c>
      <x:c r="AD377" s="14" t="str">
        <x:v>Automatik bildet nur die explizit vorhandenen Klassen ab.</x:v>
      </x:c>
      <x:c r="AE377" s="14" t="str">
        <x:v>v1.4</x:v>
      </x:c>
      <x:c r="AF377" s="52" t="str">
        <x:v>2026-08-16</x:v>
      </x:c>
      <x:c r="AG377" s="52"/>
    </x:row>
    <x:row r="378" ht="42" customHeight="1">
      <x:c r="A378" s="14" t="str">
        <x:v>WOK-POL-111</x:v>
      </x:c>
      <x:c r="B378" s="14" t="str">
        <x:v>SDG 14 – Unter Wasser</x:v>
      </x:c>
      <x:c r="C378" s="14" t="str">
        <x:v>14.1</x:v>
      </x:c>
      <x:c r="D378" s="14" t="str">
        <x:v>DNSH Wasser</x:v>
      </x:c>
      <x:c r="E378" s="14" t="str">
        <x:v>DNSH Wasser – DNSH‑Konformität</x:v>
      </x:c>
      <x:c r="F378" s="14" t="str">
        <x:v>‚Do No Significant Harm‘ erfüllt</x:v>
      </x:c>
      <x:c r="G378" s="14" t="str">
        <x:v>% Aktivitäten</x:v>
      </x:c>
      <x:c r="H378" s="14" t="str">
        <x:v>higher_is_better</x:v>
      </x:c>
      <x:c r="I378" s="14" t="str">
        <x:v>R25</x:v>
      </x:c>
      <x:c r="J378" s="14" t="str">
        <x:v>≥90%:+3; 70–89%:+2; 50–69%:0; 30–49%:‑2; &lt;30%:‑3</x:v>
      </x:c>
      <x:c r="K378" s="14" t="str">
        <x:v>Feste WÖk-Kalibrierung</x:v>
      </x:c>
      <x:c r="L378" s="14" t="str">
        <x:v>Arbeitskalibrierung – fachlich zu validieren</x:v>
      </x:c>
      <x:c r="M378" s="14" t="str">
        <x:v>WÖk-interne Klassenlogik</x:v>
      </x:c>
      <x:c r="N378" s="14" t="str">
        <x:v>Optional/Nein</x:v>
      </x:c>
      <x:c r="O378" s="14" t="str">
        <x:v>EU‑Taxonomie TSC/DNSH</x:v>
      </x:c>
      <x:c r="P378" s="14" t="str">
        <x:v>ESRS E3, WRI Aqueduct, ISO 14046 (Water Footprint)</x:v>
      </x:c>
      <x:c r="Q378" s="14" t="str">
        <x:v>Mess-, Berichts- oder Managementrahmen; Schwellen sind grundsätzlich WÖk-Kalibrierungen</x:v>
      </x:c>
      <x:c r="R378" s="14" t="str">
        <x:v>Messgrundlage belegt; Schwellenkalibrierung offen</x:v>
      </x:c>
      <x:c r="S378" s="14" t="str">
        <x:v>EU-TAX</x:v>
      </x:c>
      <x:c r="T378" s="14" t="str">
        <x:v>C20 Chemie; C24 Stahl; C29 Fahrzeuge</x:v>
      </x:c>
      <x:c r="U378" s="14" t="str">
        <x:v>Legacy / nicht explizit versioniert</x:v>
      </x:c>
      <x:c r="V378" s="51" t="str"/>
      <x:c r="W378" s="14" t="str">
        <x:v>Migration auf NACE Rev. 2.1 erforderlich</x:v>
      </x:c>
      <x:c r="X378" s="14" t="str">
        <x:v>Technologie-/Aktivitätsklasse; Anlagen-, Netz- oder Flottengrenze ausweisen</x:v>
      </x:c>
      <x:c r="Y378" s="14" t="str">
        <x:v>EU‑Taxonomie: TSC erfüllt &amp; DNSH + MSR; Anteil konformer Aktivitäten.</x:v>
      </x:c>
      <x:c r="Z378" s="14" t="str">
        <x:v>Primärdaten bevorzugt; Sekundärdaten nur transparent und versioniert; Methode und Systemgrenze dokumentieren</x:v>
      </x:c>
      <x:c r="AA378" s="14" t="str">
        <x:v>Limited Assurance; risikobasiert höhere Prüftiefe</x:v>
      </x:c>
      <x:c r="AB378" s="14" t="str">
        <x:v>Strukturell nutzbar; Schwellen fachlich zu validieren</x:v>
      </x:c>
      <x:c r="AC378" s="14" t="str">
        <x:v>Mittel</x:v>
      </x:c>
      <x:c r="AD378" s="14" t="str">
        <x:v>Vollständige fünfstufige Prozentregel.</x:v>
      </x:c>
      <x:c r="AE378" s="14" t="str">
        <x:v>v1.4</x:v>
      </x:c>
      <x:c r="AF378" s="52" t="str">
        <x:v>2026-08-16</x:v>
      </x:c>
      <x:c r="AG378" s="52"/>
    </x:row>
    <x:row r="379" ht="42" customHeight="1">
      <x:c r="A379" s="14" t="str">
        <x:v>WOK-POL-112</x:v>
      </x:c>
      <x:c r="B379" s="14" t="str">
        <x:v>SDG 14 – Unter Wasser</x:v>
      </x:c>
      <x:c r="C379" s="14" t="str">
        <x:v>14.1</x:v>
      </x:c>
      <x:c r="D379" s="14" t="str">
        <x:v>DNSH Wasser</x:v>
      </x:c>
      <x:c r="E379" s="14" t="str">
        <x:v>DNSH Wasser – TSC‑Schwellen</x:v>
      </x:c>
      <x:c r="F379" s="14" t="str">
        <x:v>Anteil unter technischen TSC‑Grenzen</x:v>
      </x:c>
      <x:c r="G379" s="14" t="str">
        <x:v>% Aktivitäten</x:v>
      </x:c>
      <x:c r="H379" s="14" t="str">
        <x:v>higher_is_better</x:v>
      </x:c>
      <x:c r="I379" s="14" t="str">
        <x:v>R25</x:v>
      </x:c>
      <x:c r="J379" s="14" t="str">
        <x:v>≥90%:+3; 70–89%:+2; 50–69%:0; 30–49%:‑2; &lt;30%:‑3</x:v>
      </x:c>
      <x:c r="K379" s="14" t="str">
        <x:v>Feste WÖk-Kalibrierung</x:v>
      </x:c>
      <x:c r="L379" s="14" t="str">
        <x:v>Arbeitskalibrierung – fachlich zu validieren</x:v>
      </x:c>
      <x:c r="M379" s="14" t="str">
        <x:v>WÖk-interne Klassenlogik</x:v>
      </x:c>
      <x:c r="N379" s="14" t="str">
        <x:v>Optional/Nein</x:v>
      </x:c>
      <x:c r="O379" s="14" t="str">
        <x:v>EU‑Taxonomie TSC/DNSH</x:v>
      </x:c>
      <x:c r="P379" s="14" t="str">
        <x:v>ESRS E3, WRI Aqueduct, ISO 14046 (Water Footprint)</x:v>
      </x:c>
      <x:c r="Q379" s="14" t="str">
        <x:v>Mess-, Berichts- oder Managementrahmen; Schwellen sind grundsätzlich WÖk-Kalibrierungen</x:v>
      </x:c>
      <x:c r="R379" s="14" t="str">
        <x:v>Messgrundlage belegt; Schwellenkalibrierung offen</x:v>
      </x:c>
      <x:c r="S379" s="14" t="str">
        <x:v>EU-TAX</x:v>
      </x:c>
      <x:c r="T379" s="14" t="str">
        <x:v>C20 Chemie; C24 Stahl; C29 Fahrzeuge</x:v>
      </x:c>
      <x:c r="U379" s="14" t="str">
        <x:v>Legacy / nicht explizit versioniert</x:v>
      </x:c>
      <x:c r="V379" s="51" t="str"/>
      <x:c r="W379" s="14" t="str">
        <x:v>Migration auf NACE Rev. 2.1 erforderlich</x:v>
      </x:c>
      <x:c r="X379" s="14" t="str">
        <x:v>Technologie-/Aktivitätsklasse; Anlagen-, Netz- oder Flottengrenze ausweisen</x:v>
      </x:c>
      <x:c r="Y379" s="14" t="str">
        <x:v>EU‑Taxonomie: TSC erfüllt &amp; DNSH + MSR; Anteil konformer Aktivitäten.</x:v>
      </x:c>
      <x:c r="Z379" s="14" t="str">
        <x:v>Primärdaten bevorzugt; Sekundärdaten nur transparent und versioniert; Methode und Systemgrenze dokumentieren</x:v>
      </x:c>
      <x:c r="AA379" s="14" t="str">
        <x:v>Limited Assurance; risikobasiert höhere Prüftiefe</x:v>
      </x:c>
      <x:c r="AB379" s="14" t="str">
        <x:v>Strukturell nutzbar; Schwellen fachlich zu validieren</x:v>
      </x:c>
      <x:c r="AC379" s="14" t="str">
        <x:v>Mittel</x:v>
      </x:c>
      <x:c r="AD379" s="14" t="str">
        <x:v>Vollständige fünfstufige Prozentregel.</x:v>
      </x:c>
      <x:c r="AE379" s="14" t="str">
        <x:v>v1.4</x:v>
      </x:c>
      <x:c r="AF379" s="52" t="str">
        <x:v>2026-08-16</x:v>
      </x:c>
      <x:c r="AG379" s="52"/>
    </x:row>
    <x:row r="380" ht="42" customHeight="1">
      <x:c r="A380" s="14" t="str">
        <x:v>WOK-E-203</x:v>
      </x:c>
      <x:c r="B380" s="14" t="str">
        <x:v>SDG 14 – Unter Wasser</x:v>
      </x:c>
      <x:c r="C380" s="14" t="str">
        <x:v>14.c</x:v>
      </x:c>
      <x:c r="D380" s="14" t="str">
        <x:v>Schifffahrt Emissionen/Spill</x:v>
      </x:c>
      <x:c r="E380" s="14" t="str">
        <x:v>Schifffahrt Emissionen/Spill – EE‑Anteil</x:v>
      </x:c>
      <x:c r="F380" s="14" t="str">
        <x:v>Anteil erneuerbarer Energien am Strombezug</x:v>
      </x:c>
      <x:c r="G380" s="14" t="str">
        <x:v>%</x:v>
      </x:c>
      <x:c r="H380" s="14" t="str">
        <x:v>higher_is_better</x:v>
      </x:c>
      <x:c r="I380" s="14" t="str">
        <x:v>R25</x:v>
      </x:c>
      <x:c r="J380" s="14" t="str">
        <x:v>≥90%:+3; 70–89%:+2; 50–69%:0; 30–49%:‑2; &lt;30%:‑3</x:v>
      </x:c>
      <x:c r="K380" s="14" t="str">
        <x:v>Feste WÖk-Kalibrierung</x:v>
      </x:c>
      <x:c r="L380" s="14" t="str">
        <x:v>Arbeitskalibrierung – fachlich zu validieren</x:v>
      </x:c>
      <x:c r="M380" s="14" t="str">
        <x:v>WÖk-interne Klassenlogik</x:v>
      </x:c>
      <x:c r="N380" s="14" t="str">
        <x:v>Optional/Nein</x:v>
      </x:c>
      <x:c r="O380" s="14" t="str">
        <x:v>ESRS E1; GHG Protocol</x:v>
      </x:c>
      <x:c r="P380" s="14" t="str">
        <x:v>ESRS E1, GHG Protocol (Corporate/Scope 1–3), ISO 14064/14067</x:v>
      </x:c>
      <x:c r="Q380" s="14" t="str">
        <x:v>Mess-, Berichts- oder Managementrahmen; Schwellen sind grundsätzlich WÖk-Kalibrierungen</x:v>
      </x:c>
      <x:c r="R380" s="14" t="str">
        <x:v>Messgrundlage belegt; Schwellenkalibrierung offen</x:v>
      </x:c>
      <x:c r="S380" s="14" t="str">
        <x:v>EU-ESRS; GHG-CORP; GHG-S3; GHG-PROD</x:v>
      </x:c>
      <x:c r="T380" s="14" t="str">
        <x:v>H49 Verkehr</x:v>
      </x:c>
      <x:c r="U380" s="14" t="str">
        <x:v>Legacy / nicht explizit versioniert</x:v>
      </x:c>
      <x:c r="V380" s="51" t="str"/>
      <x:c r="W380" s="14" t="str">
        <x:v>Migration auf NACE Rev. 2.1 erforderlich</x:v>
      </x:c>
      <x:c r="X380" s="14" t="str">
        <x:v>Standort/Prozess/Aktivität; Bezugsgröße und relevante Umweltmedien</x:v>
      </x:c>
      <x:c r="Y380" s="14" t="str">
        <x:v>EE‑Anteil = EE‑Strom (inkl. PPA/HKN) / Gesamtstrom.</x:v>
      </x:c>
      <x:c r="Z380" s="14" t="str">
        <x:v>Primärdaten bevorzugt; Sekundärdaten nur transparent und versioniert; Methode und Systemgrenze dokumentieren</x:v>
      </x:c>
      <x:c r="AA380" s="14" t="str">
        <x:v>Limited Assurance; risikobasiert höhere Prüftiefe</x:v>
      </x:c>
      <x:c r="AB380" s="14" t="str">
        <x:v>Strukturell nutzbar; Schwellen fachlich zu validieren</x:v>
      </x:c>
      <x:c r="AC380" s="14" t="str">
        <x:v>Mittel</x:v>
      </x:c>
      <x:c r="AD380" s="14" t="str">
        <x:v>Vollständige fünfstufige Prozentregel.</x:v>
      </x:c>
      <x:c r="AE380" s="14" t="str">
        <x:v>v1.4</x:v>
      </x:c>
      <x:c r="AF380" s="52" t="str">
        <x:v>2026-08-16</x:v>
      </x:c>
      <x:c r="AG380" s="52"/>
    </x:row>
    <x:row r="381" ht="42" customHeight="1">
      <x:c r="A381" s="14" t="str">
        <x:v>WOK-E-204</x:v>
      </x:c>
      <x:c r="B381" s="14" t="str">
        <x:v>SDG 14 – Unter Wasser</x:v>
      </x:c>
      <x:c r="C381" s="14" t="str">
        <x:v>14.c</x:v>
      </x:c>
      <x:c r="D381" s="14" t="str">
        <x:v>Schifffahrt Emissionen/Spill</x:v>
      </x:c>
      <x:c r="E381" s="14" t="str">
        <x:v>Schifffahrt Emissionen/Spill – Intensität</x:v>
      </x:c>
      <x:c r="F381" s="14" t="str">
        <x:v>Energie je Output/Umsatz</x:v>
      </x:c>
      <x:c r="G381" s="14" t="str">
        <x:v>kWh/€ Mio bzw. kWh/t</x:v>
      </x:c>
      <x:c r="H381" s="14" t="str">
        <x:v>lower_is_better</x:v>
      </x:c>
      <x:c r="I381" s="14" t="str">
        <x:v>R06</x:v>
      </x:c>
      <x:c r="J381" s="14" t="str">
        <x:v>Top‑10%:+3; Mittel:0; &gt;150%:‑2; &gt;250%:‑3</x:v>
      </x:c>
      <x:c r="K381" s="14" t="str">
        <x:v>Benchmarkabhängig</x:v>
      </x:c>
      <x:c r="L381" s="14" t="str">
        <x:v>Validierter Benchmark fehlt</x:v>
      </x:c>
      <x:c r="M381" s="14" t="str">
        <x:v>Branche/Region/Technologie</x:v>
      </x:c>
      <x:c r="N381" s="14" t="str">
        <x:v>Ja</x:v>
      </x:c>
      <x:c r="O381" s="14" t="str">
        <x:v>ESRS E1; GHG Protocol</x:v>
      </x:c>
      <x:c r="P381" s="14" t="str">
        <x:v>ESRS E1, GHG Protocol (Corporate/Scope 1–3), ISO 14064/14067</x:v>
      </x:c>
      <x:c r="Q381" s="14" t="str">
        <x:v>Mess-/Methodenrahmen; aktiver Branchen-/Regional-/Technologiebenchmark separat erforderlich</x:v>
      </x:c>
      <x:c r="R381" s="14" t="str">
        <x:v>Teilbelegt – Benchmarkquelle fehlt</x:v>
      </x:c>
      <x:c r="S381" s="14" t="str">
        <x:v>EU-ESRS; GHG-CORP; GHG-S3; GHG-PROD</x:v>
      </x:c>
      <x:c r="T381" s="14" t="str">
        <x:v>H49 Verkehr</x:v>
      </x:c>
      <x:c r="U381" s="14" t="str">
        <x:v>Legacy / nicht explizit versioniert</x:v>
      </x:c>
      <x:c r="V381" s="51" t="str"/>
      <x:c r="W381" s="14" t="str">
        <x:v>Migration auf NACE Rev. 2.1 erforderlich</x:v>
      </x:c>
      <x:c r="X381" s="14" t="str">
        <x:v>Standort/Prozess/Aktivität; Bezugsgröße und relevante Umweltmedien</x:v>
      </x:c>
      <x:c r="Y381" s="14" t="str">
        <x:v>Siehe Quelle: Definition gemäß Standard (ESRS/GRI/Taxonomie/ISO).</x:v>
      </x:c>
      <x:c r="Z381" s="14" t="str">
        <x:v>Primärdaten plus repräsentativer, versionierter Benchmarkdatensatz; Stichprobe und Population offenlegen</x:v>
      </x:c>
      <x:c r="AA381" s="14" t="str">
        <x:v>Messwert-Assurance und unabhängige Benchmark-Governance</x:v>
      </x:c>
      <x:c r="AB381" s="14" t="str">
        <x:v>Prüfung/Parametrisierung erforderlich</x:v>
      </x:c>
      <x:c r="AC381" s="14" t="str">
        <x:v>Hoch</x:v>
      </x:c>
      <x:c r="AD381" s="14" t="str">
        <x:v>Top-10-Prozent, Mittelwert, 150 % und 250 % müssen aus einer dokumentierten Grundgesamtheit stammen.</x:v>
      </x:c>
      <x:c r="AE381" s="14" t="str">
        <x:v>v1.4</x:v>
      </x:c>
      <x:c r="AF381" s="52" t="str">
        <x:v>2026-08-16</x:v>
      </x:c>
      <x:c r="AG381" s="52"/>
    </x:row>
    <x:row r="382" ht="42" customHeight="1">
      <x:c r="A382" s="14" t="str">
        <x:v>WOK-E-205</x:v>
      </x:c>
      <x:c r="B382" s="14" t="str">
        <x:v>SDG 14 – Unter Wasser</x:v>
      </x:c>
      <x:c r="C382" s="14" t="str">
        <x:v>14.c</x:v>
      </x:c>
      <x:c r="D382" s="14" t="str">
        <x:v>Schifffahrt Emissionen/Spill</x:v>
      </x:c>
      <x:c r="E382" s="14" t="str">
        <x:v>Schifffahrt Emissionen/Spill – Effizienz (PUE)*</x:v>
      </x:c>
      <x:c r="F382" s="14" t="str">
        <x:v>Effizienz Rechenzentrum/IT‑Betrieb (falls zutreffend)</x:v>
      </x:c>
      <x:c r="G382" s="14" t="str">
        <x:v>PUE</x:v>
      </x:c>
      <x:c r="H382" s="14" t="str">
        <x:v>lower_is_better</x:v>
      </x:c>
      <x:c r="I382" s="14" t="str">
        <x:v>R09</x:v>
      </x:c>
      <x:c r="J382" s="14" t="str">
        <x:v>≤1,2:+3; 1,21–1,4:+2; 1,41–1,6:0; 1,61–1,8:‑2; &gt;1,8:‑3</x:v>
      </x:c>
      <x:c r="K382" s="14" t="str">
        <x:v>Feste WÖk-Kalibrierung</x:v>
      </x:c>
      <x:c r="L382" s="14" t="str">
        <x:v>Messstandard belegt; Klassen sind WÖk-Kalibrierung</x:v>
      </x:c>
      <x:c r="M382" s="14" t="str">
        <x:v>PUE-Messung nach ISO/IEC 30134-2; Klassen intern</x:v>
      </x:c>
      <x:c r="N382" s="14" t="str">
        <x:v>Optional/Nein</x:v>
      </x:c>
      <x:c r="O382" s="14" t="str">
        <x:v>ISO 14067/50001/45001/22301/27701/23894</x:v>
      </x:c>
      <x:c r="P382" s="14" t="str">
        <x:v>ESRS E1, GHG Protocol (Corporate/Scope 1–3), ISO 14064/14067</x:v>
      </x:c>
      <x:c r="Q382" s="14" t="str">
        <x:v>Mess-, Berichts- oder Managementrahmen; Schwellen sind grundsätzlich WÖk-Kalibrierungen</x:v>
      </x:c>
      <x:c r="R382" s="14" t="str">
        <x:v>Messgrundlage belegt; Schwellenkalibrierung offen</x:v>
      </x:c>
      <x:c r="S382" s="14" t="str">
        <x:v>ISO-14067; ISO-50001; ISO-45001; ISO-22301; ISO-27701; ISO-23894</x:v>
      </x:c>
      <x:c r="T382" s="14" t="str">
        <x:v>H49 Verkehr</x:v>
      </x:c>
      <x:c r="U382" s="14" t="str">
        <x:v>Legacy / nicht explizit versioniert</x:v>
      </x:c>
      <x:c r="V382" s="51" t="str"/>
      <x:c r="W382" s="14" t="str">
        <x:v>Migration auf NACE Rev. 2.1 erforderlich</x:v>
      </x:c>
      <x:c r="X382" s="14" t="str">
        <x:v>Standort/Prozess/Aktivität; Bezugsgröße und relevante Umweltmedien</x:v>
      </x:c>
      <x:c r="Y382" s="14" t="str">
        <x:v>PUE = Gesamtstrom RZ / IT‑Last (ISO/IEC 30134‑2).</x:v>
      </x:c>
      <x:c r="Z382" s="14" t="str">
        <x:v>Primärdaten bevorzugt; Sekundärdaten nur transparent und versioniert; Methode und Systemgrenze dokumentieren</x:v>
      </x:c>
      <x:c r="AA382" s="14" t="str">
        <x:v>Limited Assurance; risikobasiert höhere Prüftiefe</x:v>
      </x:c>
      <x:c r="AB382" s="14" t="str">
        <x:v>Strukturell nutzbar; Schwellen fachlich zu validieren</x:v>
      </x:c>
      <x:c r="AC382" s="14" t="str">
        <x:v>Mittel</x:v>
      </x:c>
      <x:c r="AD382" s="14" t="str">
        <x:v>Klimazone und Rechenzentrumstyp sind bei der Validierung zu berücksichtigen.</x:v>
      </x:c>
      <x:c r="AE382" s="14" t="str">
        <x:v>v1.4</x:v>
      </x:c>
      <x:c r="AF382" s="52" t="str">
        <x:v>2026-08-16</x:v>
      </x:c>
      <x:c r="AG382" s="52"/>
    </x:row>
    <x:row r="383" ht="42" customHeight="1">
      <x:c r="A383" s="14" t="str">
        <x:v>WOK-E-206</x:v>
      </x:c>
      <x:c r="B383" s="14" t="str">
        <x:v>SDG 15 – An Land</x:v>
      </x:c>
      <x:c r="C383" s="14" t="str">
        <x:v>15.5</x:v>
      </x:c>
      <x:c r="D383" s="14" t="str">
        <x:v>Biodiversität Nettoeffekt</x:v>
      </x:c>
      <x:c r="E383" s="14" t="str">
        <x:v>Biodiversität Nettoeffekt – Nettoeffekt</x:v>
      </x:c>
      <x:c r="F383" s="14" t="str">
        <x:v>Net Gain/No Net Loss/Net Loss</x:v>
      </x:c>
      <x:c r="G383" s="14" t="str">
        <x:v>Qualitativ → Klasse</x:v>
      </x:c>
      <x:c r="H383" s="14" t="str">
        <x:v>higher_is_better</x:v>
      </x:c>
      <x:c r="I383" s="14" t="str">
        <x:v>R03</x:v>
      </x:c>
      <x:c r="J383" s="14" t="str">
        <x:v>Net Gain:+3; No Net Loss:0; Net Loss:‑2/‑3</x:v>
      </x:c>
      <x:c r="K383" s="14" t="str">
        <x:v>Qualitativ</x:v>
      </x:c>
      <x:c r="L383" s="14" t="str">
        <x:v>Assurance und Kriterienkatalog erforderlich</x:v>
      </x:c>
      <x:c r="M383" s="14" t="str">
        <x:v>WÖk-Kategorien; fachliche Definition je Wirkungsfeld</x:v>
      </x:c>
      <x:c r="N383" s="14" t="str">
        <x:v>Optional/Nein</x:v>
      </x:c>
      <x:c r="O383" s="14" t="str">
        <x:v>ESRS E4; GIS/KBA</x:v>
      </x:c>
      <x:c r="P383" s="14" t="str">
        <x:v>ESRS E4, CBD/GBF, EN 15978 (Bau)</x:v>
      </x:c>
      <x:c r="Q383" s="14" t="str">
        <x:v>Mess-, Berichts- oder Managementrahmen; Schwellen sind grundsätzlich WÖk-Kalibrierungen</x:v>
      </x:c>
      <x:c r="R383" s="14" t="str">
        <x:v>Messgrundlage belegt; Schwellenkalibrierung offen</x:v>
      </x:c>
      <x:c r="S383" s="14" t="str">
        <x:v>EU-ESRS; CBD-GBF; KBA-DATA; DATA-GIS</x:v>
      </x:c>
      <x:c r="T383" s="14" t="str">
        <x:v>L68 Immobilien; F41/F42 Bau</x:v>
      </x:c>
      <x:c r="U383" s="14" t="str">
        <x:v>Legacy / nicht explizit versioniert</x:v>
      </x:c>
      <x:c r="V383" s="51" t="str"/>
      <x:c r="W383" s="14" t="str">
        <x:v>Migration auf NACE Rev. 2.1 erforderlich</x:v>
      </x:c>
      <x:c r="X383" s="14" t="str">
        <x:v>Standort/Prozess/Aktivität; Bezugsgröße und relevante Umweltmedien</x:v>
      </x:c>
      <x:c r="Y383" s="14" t="str">
        <x:v>Nettoeffekt Biodiv: Net Gain/No Net Loss‑Bilanz (Projekt).</x:v>
      </x:c>
      <x:c r="Z383" s="14" t="str">
        <x:v>Dokumentierter Kriterienkatalog; nachvollziehbare Evidenz; DQR A/B bevorzugt</x:v>
      </x:c>
      <x:c r="AA383" s="14" t="str">
        <x:v>Unabhängige Fachprüfung/Limited Assurance; bei roten Linien Reasonable Assurance</x:v>
      </x:c>
      <x:c r="AB383" s="14" t="str">
        <x:v>Prüfung/Parametrisierung erforderlich</x:v>
      </x:c>
      <x:c r="AC383" s="14" t="str">
        <x:v>Hoch</x:v>
      </x:c>
      <x:c r="AD383" s="14" t="str">
        <x:v>Net Gain/No Net Loss/Net Loss ist ohne feldspezifischen Nachweis nicht automatisierbar.</x:v>
      </x:c>
      <x:c r="AE383" s="14" t="str">
        <x:v>v1.4</x:v>
      </x:c>
      <x:c r="AF383" s="52" t="str">
        <x:v>2026-08-16</x:v>
      </x:c>
      <x:c r="AG383" s="52"/>
    </x:row>
    <x:row r="384" ht="42" customHeight="1">
      <x:c r="A384" s="14" t="str">
        <x:v>WOK-E-207</x:v>
      </x:c>
      <x:c r="B384" s="14" t="str">
        <x:v>SDG 15 – An Land</x:v>
      </x:c>
      <x:c r="C384" s="14" t="str">
        <x:v>15.5</x:v>
      </x:c>
      <x:c r="D384" s="14" t="str">
        <x:v>Biodiversität Nettoeffekt</x:v>
      </x:c>
      <x:c r="E384" s="14" t="str">
        <x:v>Biodiversität Nettoeffekt – Landumwandlung</x:v>
      </x:c>
      <x:c r="F384" s="14" t="str">
        <x:v>Neue Flächen mit hohem Risiko</x:v>
      </x:c>
      <x:c r="G384" s="14" t="str">
        <x:v>ha/Jahr</x:v>
      </x:c>
      <x:c r="H384" s="14" t="str">
        <x:v>lower_is_better</x:v>
      </x:c>
      <x:c r="I384" s="14" t="str">
        <x:v>R02</x:v>
      </x:c>
      <x:c r="J384" s="14" t="str">
        <x:v>0:+3; ≤1:+2; ≤3:0; ≤5:‑2; &gt;5:‑3</x:v>
      </x:c>
      <x:c r="K384" s="14" t="str">
        <x:v>Feste WÖk-Kalibrierung</x:v>
      </x:c>
      <x:c r="L384" s="14" t="str">
        <x:v>Arbeitskalibrierung – fachlich zu validieren</x:v>
      </x:c>
      <x:c r="M384" s="14" t="str">
        <x:v>WÖk-interne Klassenlogik</x:v>
      </x:c>
      <x:c r="N384" s="14" t="str">
        <x:v>Optional/Nein</x:v>
      </x:c>
      <x:c r="O384" s="14" t="str">
        <x:v>ESRS E4; GIS/KBA</x:v>
      </x:c>
      <x:c r="P384" s="14" t="str">
        <x:v>ESRS E4, CBD/GBF, EN 15978 (Bau)</x:v>
      </x:c>
      <x:c r="Q384" s="14" t="str">
        <x:v>Mess-, Berichts- oder Managementrahmen; Schwellen sind grundsätzlich WÖk-Kalibrierungen</x:v>
      </x:c>
      <x:c r="R384" s="14" t="str">
        <x:v>Messgrundlage belegt; Schwellenkalibrierung offen</x:v>
      </x:c>
      <x:c r="S384" s="14" t="str">
        <x:v>EU-ESRS; CBD-GBF; KBA-DATA; DATA-GIS</x:v>
      </x:c>
      <x:c r="T384" s="14" t="str">
        <x:v>L68 Immobilien; F41/F42 Bau</x:v>
      </x:c>
      <x:c r="U384" s="14" t="str">
        <x:v>Legacy / nicht explizit versioniert</x:v>
      </x:c>
      <x:c r="V384" s="51" t="str"/>
      <x:c r="W384" s="14" t="str">
        <x:v>Migration auf NACE Rev. 2.1 erforderlich</x:v>
      </x:c>
      <x:c r="X384" s="14" t="str">
        <x:v>Standort/Prozess/Aktivität; Bezugsgröße und relevante Umweltmedien</x:v>
      </x:c>
      <x:c r="Y384" s="14" t="str">
        <x:v>Nettoeffekt Biodiv: Net Gain/No Net Loss‑Bilanz (Projekt).</x:v>
      </x:c>
      <x:c r="Z384" s="14" t="str">
        <x:v>Primärdaten bevorzugt; Sekundärdaten nur transparent und versioniert; Methode und Systemgrenze dokumentieren</x:v>
      </x:c>
      <x:c r="AA384" s="14" t="str">
        <x:v>Limited Assurance; risikobasiert höhere Prüftiefe</x:v>
      </x:c>
      <x:c r="AB384" s="14" t="str">
        <x:v>Strukturell nutzbar; Schwellen fachlich zu validieren</x:v>
      </x:c>
      <x:c r="AC384" s="14" t="str">
        <x:v>Mittel</x:v>
      </x:c>
      <x:c r="AD384" s="14" t="str">
        <x:v>Vollständige fünfstufige numerische Regel.</x:v>
      </x:c>
      <x:c r="AE384" s="14" t="str">
        <x:v>v1.4</x:v>
      </x:c>
      <x:c r="AF384" s="52" t="str">
        <x:v>2026-08-16</x:v>
      </x:c>
      <x:c r="AG384" s="52"/>
    </x:row>
    <x:row r="385" ht="42" customHeight="1">
      <x:c r="A385" s="14" t="str">
        <x:v>WOK-E-208</x:v>
      </x:c>
      <x:c r="B385" s="14" t="str">
        <x:v>SDG 15 – An Land</x:v>
      </x:c>
      <x:c r="C385" s="14" t="str">
        <x:v>15.5</x:v>
      </x:c>
      <x:c r="D385" s="14" t="str">
        <x:v>Biodiversität Nettoeffekt</x:v>
      </x:c>
      <x:c r="E385" s="14" t="str">
        <x:v>Biodiversität Nettoeffekt – Deforestationsfrei</x:v>
      </x:c>
      <x:c r="F385" s="14" t="str">
        <x:v>Anteil deforestationsfreie Rohstoffe</x:v>
      </x:c>
      <x:c r="G385" s="14" t="str">
        <x:v>%</x:v>
      </x:c>
      <x:c r="H385" s="14" t="str">
        <x:v>higher_is_better</x:v>
      </x:c>
      <x:c r="I385" s="14" t="str">
        <x:v>R28</x:v>
      </x:c>
      <x:c r="J385" s="14" t="str">
        <x:v>≥98:+3; 90–97:+2; 75–89:0; 50–74:‑2; &lt;50:‑3</x:v>
      </x:c>
      <x:c r="K385" s="14" t="str">
        <x:v>Feste WÖk-Kalibrierung</x:v>
      </x:c>
      <x:c r="L385" s="14" t="str">
        <x:v>Arbeitskalibrierung – fachlich zu validieren</x:v>
      </x:c>
      <x:c r="M385" s="14" t="str">
        <x:v>WÖk-interne Klassenlogik</x:v>
      </x:c>
      <x:c r="N385" s="14" t="str">
        <x:v>Optional/Nein</x:v>
      </x:c>
      <x:c r="O385" s="14" t="str">
        <x:v>ESRS E4; GIS/KBA</x:v>
      </x:c>
      <x:c r="P385" s="14" t="str">
        <x:v>ESRS E4, CBD/GBF, EN 15978 (Bau)</x:v>
      </x:c>
      <x:c r="Q385" s="14" t="str">
        <x:v>Mess-, Berichts- oder Managementrahmen; Schwellen sind grundsätzlich WÖk-Kalibrierungen</x:v>
      </x:c>
      <x:c r="R385" s="14" t="str">
        <x:v>Messgrundlage belegt; Schwellenkalibrierung offen</x:v>
      </x:c>
      <x:c r="S385" s="14" t="str">
        <x:v>EU-ESRS; CBD-GBF; KBA-DATA; DATA-GIS</x:v>
      </x:c>
      <x:c r="T385" s="14" t="str">
        <x:v>L68 Immobilien; F41/F42 Bau</x:v>
      </x:c>
      <x:c r="U385" s="14" t="str">
        <x:v>Legacy / nicht explizit versioniert</x:v>
      </x:c>
      <x:c r="V385" s="51" t="str"/>
      <x:c r="W385" s="14" t="str">
        <x:v>Migration auf NACE Rev. 2.1 erforderlich</x:v>
      </x:c>
      <x:c r="X385" s="14" t="str">
        <x:v>Standort/Prozess/Aktivität; Bezugsgröße und relevante Umweltmedien</x:v>
      </x:c>
      <x:c r="Y385" s="14" t="str">
        <x:v>Nettoeffekt Biodiv: Net Gain/No Net Loss‑Bilanz (Projekt).</x:v>
      </x:c>
      <x:c r="Z385" s="14" t="str">
        <x:v>Primärdaten bevorzugt; Sekundärdaten nur transparent und versioniert; Methode und Systemgrenze dokumentieren</x:v>
      </x:c>
      <x:c r="AA385" s="14" t="str">
        <x:v>Limited Assurance; risikobasiert höhere Prüftiefe</x:v>
      </x:c>
      <x:c r="AB385" s="14" t="str">
        <x:v>Strukturell nutzbar; Schwellen fachlich zu validieren</x:v>
      </x:c>
      <x:c r="AC385" s="14" t="str">
        <x:v>Mittel</x:v>
      </x:c>
      <x:c r="AD385" s="14" t="str">
        <x:v>Vollständige fünfstufige numerische Regel.</x:v>
      </x:c>
      <x:c r="AE385" s="14" t="str">
        <x:v>v1.4</x:v>
      </x:c>
      <x:c r="AF385" s="52" t="str">
        <x:v>2026-08-16</x:v>
      </x:c>
      <x:c r="AG385" s="52"/>
    </x:row>
    <x:row r="386" ht="42" customHeight="1">
      <x:c r="A386" s="14" t="str">
        <x:v>WOK-SC-134</x:v>
      </x:c>
      <x:c r="B386" s="14" t="str">
        <x:v>SDG 15 – An Land</x:v>
      </x:c>
      <x:c r="C386" s="14" t="str">
        <x:v>15.2</x:v>
      </x:c>
      <x:c r="D386" s="14" t="str">
        <x:v>Entwaldungsfrei</x:v>
      </x:c>
      <x:c r="E386" s="14" t="str">
        <x:v>Entwaldungsfrei – ESG‑Spend‑Coverage</x:v>
      </x:c>
      <x:c r="F386" s="14" t="str">
        <x:v>Anteil verifizierter ESG‑Daten am Spend</x:v>
      </x:c>
      <x:c r="G386" s="14" t="str">
        <x:v>%</x:v>
      </x:c>
      <x:c r="H386" s="14" t="str">
        <x:v>higher_is_better</x:v>
      </x:c>
      <x:c r="I386" s="14" t="str">
        <x:v>R26</x:v>
      </x:c>
      <x:c r="J386" s="14" t="str">
        <x:v>≥90:+3; 70–89:+2; 50–69:0; 30–49:‑2; &lt;30:‑3</x:v>
      </x:c>
      <x:c r="K386" s="14" t="str">
        <x:v>Feste WÖk-Kalibrierung</x:v>
      </x:c>
      <x:c r="L386" s="14" t="str">
        <x:v>Arbeitskalibrierung – fachlich zu validieren</x:v>
      </x:c>
      <x:c r="M386" s="14" t="str">
        <x:v>WÖk-interne Klassenlogik</x:v>
      </x:c>
      <x:c r="N386" s="14" t="str">
        <x:v>Optional/Nein</x:v>
      </x:c>
      <x:c r="O386" s="14" t="str">
        <x:v>ESRS S2; GRI 308/414/408/409</x:v>
      </x:c>
      <x:c r="P386" s="14" t="str">
        <x:v>ESRS S2; GRI 308/414/408/409</x:v>
      </x:c>
      <x:c r="Q386" s="14" t="str">
        <x:v>Mess-, Berichts- oder Managementrahmen; Schwellen sind grundsätzlich WÖk-Kalibrierungen</x:v>
      </x:c>
      <x:c r="R386" s="14" t="str">
        <x:v>Messgrundlage belegt; Schwellenkalibrierung offen</x:v>
      </x:c>
      <x:c r="S386" s="14" t="str">
        <x:v>EU-ESRS; GRI; OECD-DD; ILO-CORE</x:v>
      </x:c>
      <x:c r="T386" s="14" t="str">
        <x:v>C20 Chemie; C24 Stahl; C29 Fahrzeuge</x:v>
      </x:c>
      <x:c r="U386" s="14" t="str">
        <x:v>Legacy / nicht explizit versioniert</x:v>
      </x:c>
      <x:c r="V386" s="51" t="str"/>
      <x:c r="W386" s="14" t="str">
        <x:v>Migration auf NACE Rev. 2.1 erforderlich</x:v>
      </x:c>
      <x:c r="X386" s="14" t="str">
        <x:v>Vorgelagerte Lieferkette; relevante Tier-Stufen und Beschaffungsvolumen</x:v>
      </x:c>
      <x:c r="Y386" s="14" t="str">
        <x:v>Quote = Zähler / Nenner gemäß Quelle; in %.</x:v>
      </x:c>
      <x:c r="Z386" s="14" t="str">
        <x:v>Primärdaten bevorzugt; Sekundärdaten nur transparent und versioniert; Methode und Systemgrenze dokumentieren</x:v>
      </x:c>
      <x:c r="AA386" s="14" t="str">
        <x:v>Limited Assurance; risikobasiert höhere Prüftiefe</x:v>
      </x:c>
      <x:c r="AB386" s="14" t="str">
        <x:v>Strukturell nutzbar; Schwellen fachlich zu validieren</x:v>
      </x:c>
      <x:c r="AC386" s="14" t="str">
        <x:v>Mittel</x:v>
      </x:c>
      <x:c r="AD386" s="14" t="str">
        <x:v>Vollständige fünfstufige numerische Regel.</x:v>
      </x:c>
      <x:c r="AE386" s="14" t="str">
        <x:v>v1.4</x:v>
      </x:c>
      <x:c r="AF386" s="52" t="str">
        <x:v>2026-08-16</x:v>
      </x:c>
      <x:c r="AG386" s="52"/>
    </x:row>
    <x:row r="387" ht="42" customHeight="1">
      <x:c r="A387" s="14" t="str">
        <x:v>WOK-SC-135</x:v>
      </x:c>
      <x:c r="B387" s="14" t="str">
        <x:v>SDG 15 – An Land</x:v>
      </x:c>
      <x:c r="C387" s="14" t="str">
        <x:v>15.2</x:v>
      </x:c>
      <x:c r="D387" s="14" t="str">
        <x:v>Entwaldungsfrei</x:v>
      </x:c>
      <x:c r="E387" s="14" t="str">
        <x:v>Entwaldungsfrei – Kinder/Zwangsarbeit</x:v>
      </x:c>
      <x:c r="F387" s="14" t="str">
        <x:v>Audits ohne Verstöße</x:v>
      </x:c>
      <x:c r="G387" s="14" t="str">
        <x:v>% Lieferanten</x:v>
      </x:c>
      <x:c r="H387" s="14" t="str">
        <x:v>higher_is_better</x:v>
      </x:c>
      <x:c r="I387" s="14" t="str">
        <x:v>R28</x:v>
      </x:c>
      <x:c r="J387" s="14" t="str">
        <x:v>≥98:+3; 90–97:+2; 75–89:0; 50–74:‑2; &lt;50:‑3</x:v>
      </x:c>
      <x:c r="K387" s="14" t="str">
        <x:v>Feste WÖk-Kalibrierung</x:v>
      </x:c>
      <x:c r="L387" s="14" t="str">
        <x:v>Arbeitskalibrierung – fachlich zu validieren</x:v>
      </x:c>
      <x:c r="M387" s="14" t="str">
        <x:v>WÖk-interne Klassenlogik</x:v>
      </x:c>
      <x:c r="N387" s="14" t="str">
        <x:v>Optional/Nein</x:v>
      </x:c>
      <x:c r="O387" s="14" t="str">
        <x:v>ESRS S2; GRI 308/414/408/409</x:v>
      </x:c>
      <x:c r="P387" s="14" t="str">
        <x:v>ESRS S2, GRI 308/414, OECD Due Diligence</x:v>
      </x:c>
      <x:c r="Q387" s="14" t="str">
        <x:v>Mess-, Berichts- oder Managementrahmen; Schwellen sind grundsätzlich WÖk-Kalibrierungen</x:v>
      </x:c>
      <x:c r="R387" s="14" t="str">
        <x:v>Messgrundlage belegt; Schwellenkalibrierung offen</x:v>
      </x:c>
      <x:c r="S387" s="14" t="str">
        <x:v>EU-ESRS; GRI; OECD-DD; ILO-CORE</x:v>
      </x:c>
      <x:c r="T387" s="14" t="str">
        <x:v>C20 Chemie; C24 Stahl; C29 Fahrzeuge</x:v>
      </x:c>
      <x:c r="U387" s="14" t="str">
        <x:v>Legacy / nicht explizit versioniert</x:v>
      </x:c>
      <x:c r="V387" s="51" t="str"/>
      <x:c r="W387" s="14" t="str">
        <x:v>Migration auf NACE Rev. 2.1 erforderlich</x:v>
      </x:c>
      <x:c r="X387" s="14" t="str">
        <x:v>Vorgelagerte Lieferkette; relevante Tier-Stufen und Beschaffungsvolumen</x:v>
      </x:c>
      <x:c r="Y387" s="14" t="str">
        <x:v>Quote = Zähler / Nenner gemäß Quelle; in %.</x:v>
      </x:c>
      <x:c r="Z387" s="14" t="str">
        <x:v>Primärdaten bevorzugt; Sekundärdaten nur transparent und versioniert; Methode und Systemgrenze dokumentieren</x:v>
      </x:c>
      <x:c r="AA387" s="14" t="str">
        <x:v>Limited Assurance; risikobasiert höhere Prüftiefe</x:v>
      </x:c>
      <x:c r="AB387" s="14" t="str">
        <x:v>Strukturell nutzbar; Schwellen fachlich zu validieren</x:v>
      </x:c>
      <x:c r="AC387" s="14" t="str">
        <x:v>Mittel</x:v>
      </x:c>
      <x:c r="AD387" s="14" t="str">
        <x:v>Vollständige fünfstufige numerische Regel.</x:v>
      </x:c>
      <x:c r="AE387" s="14" t="str">
        <x:v>v1.4</x:v>
      </x:c>
      <x:c r="AF387" s="52" t="str">
        <x:v>2026-08-16</x:v>
      </x:c>
      <x:c r="AG387" s="52"/>
    </x:row>
    <x:row r="388" ht="42" customHeight="1">
      <x:c r="A388" s="14" t="str">
        <x:v>WOK-SC-136</x:v>
      </x:c>
      <x:c r="B388" s="14" t="str">
        <x:v>SDG 15 – An Land</x:v>
      </x:c>
      <x:c r="C388" s="14" t="str">
        <x:v>15.2</x:v>
      </x:c>
      <x:c r="D388" s="14" t="str">
        <x:v>Entwaldungsfrei</x:v>
      </x:c>
      <x:c r="E388" s="14" t="str">
        <x:v>Entwaldungsfrei – Scope‑3 Daten</x:v>
      </x:c>
      <x:c r="F388" s="14" t="str">
        <x:v>Primärdaten‑Abdeckung</x:v>
      </x:c>
      <x:c r="G388" s="14" t="str">
        <x:v>% Kategorien</x:v>
      </x:c>
      <x:c r="H388" s="14" t="str">
        <x:v>higher_is_better</x:v>
      </x:c>
      <x:c r="I388" s="14" t="str">
        <x:v>R23</x:v>
      </x:c>
      <x:c r="J388" s="14" t="str">
        <x:v>≥80:+3; 60–79:+2; 40–59:0; 20–39:‑2; &lt;20:‑3</x:v>
      </x:c>
      <x:c r="K388" s="14" t="str">
        <x:v>Feste WÖk-Kalibrierung</x:v>
      </x:c>
      <x:c r="L388" s="14" t="str">
        <x:v>Arbeitskalibrierung – fachlich zu validieren</x:v>
      </x:c>
      <x:c r="M388" s="14" t="str">
        <x:v>WÖk-interne Klassenlogik</x:v>
      </x:c>
      <x:c r="N388" s="14" t="str">
        <x:v>Optional/Nein</x:v>
      </x:c>
      <x:c r="O388" s="14" t="str">
        <x:v>ESRS E1; GHG Protocol</x:v>
      </x:c>
      <x:c r="P388" s="14" t="str">
        <x:v>ESRS E1, GHG Protocol (Corporate/Scope 1–3), ISO 14064/14067</x:v>
      </x:c>
      <x:c r="Q388" s="14" t="str">
        <x:v>Mess-, Berichts- oder Managementrahmen; Schwellen sind grundsätzlich WÖk-Kalibrierungen</x:v>
      </x:c>
      <x:c r="R388" s="14" t="str">
        <x:v>Messgrundlage belegt; Schwellenkalibrierung offen</x:v>
      </x:c>
      <x:c r="S388" s="14" t="str">
        <x:v>EU-ESRS; GHG-CORP; GHG-S3; GHG-PROD</x:v>
      </x:c>
      <x:c r="T388" s="14" t="str">
        <x:v>C20 Chemie; C24 Stahl; C29 Fahrzeuge</x:v>
      </x:c>
      <x:c r="U388" s="14" t="str">
        <x:v>Legacy / nicht explizit versioniert</x:v>
      </x:c>
      <x:c r="V388" s="51" t="str"/>
      <x:c r="W388" s="14" t="str">
        <x:v>Migration auf NACE Rev. 2.1 erforderlich</x:v>
      </x:c>
      <x:c r="X388" s="14" t="str">
        <x:v>Vorgelagerte Lieferkette; relevante Tier-Stufen und Beschaffungsvolumen</x:v>
      </x:c>
      <x:c r="Y388" s="14" t="str">
        <x:v>Quote = Zähler / Nenner gemäß Quelle; in %.</x:v>
      </x:c>
      <x:c r="Z388" s="14" t="str">
        <x:v>Primärdaten bevorzugt; Sekundärdaten nur transparent und versioniert; Methode und Systemgrenze dokumentieren</x:v>
      </x:c>
      <x:c r="AA388" s="14" t="str">
        <x:v>Limited Assurance; risikobasiert höhere Prüftiefe</x:v>
      </x:c>
      <x:c r="AB388" s="14" t="str">
        <x:v>Strukturell nutzbar; Schwellen fachlich zu validieren</x:v>
      </x:c>
      <x:c r="AC388" s="14" t="str">
        <x:v>Mittel</x:v>
      </x:c>
      <x:c r="AD388" s="14" t="str">
        <x:v>Vollständige fünfstufige numerische Regel.</x:v>
      </x:c>
      <x:c r="AE388" s="14" t="str">
        <x:v>v1.4</x:v>
      </x:c>
      <x:c r="AF388" s="52" t="str">
        <x:v>2026-08-16</x:v>
      </x:c>
      <x:c r="AG388" s="52"/>
    </x:row>
    <x:row r="389" ht="42" customHeight="1">
      <x:c r="A389" s="14" t="str">
        <x:v>WOK-E-209</x:v>
      </x:c>
      <x:c r="B389" s="14" t="str">
        <x:v>SDG 15 – An Land</x:v>
      </x:c>
      <x:c r="C389" s="14" t="str">
        <x:v>15.1</x:v>
      </x:c>
      <x:c r="D389" s="14" t="str">
        <x:v>Landumwandlung</x:v>
      </x:c>
      <x:c r="E389" s="14" t="str">
        <x:v>Landumwandlung – Nettoeffekt</x:v>
      </x:c>
      <x:c r="F389" s="14" t="str">
        <x:v>Net Gain/No Net Loss/Net Loss</x:v>
      </x:c>
      <x:c r="G389" s="14" t="str">
        <x:v>Qualitativ → Klasse</x:v>
      </x:c>
      <x:c r="H389" s="14" t="str">
        <x:v>higher_is_better</x:v>
      </x:c>
      <x:c r="I389" s="14" t="str">
        <x:v>R03</x:v>
      </x:c>
      <x:c r="J389" s="14" t="str">
        <x:v>Net Gain:+3; No Net Loss:0; Net Loss:‑2/‑3</x:v>
      </x:c>
      <x:c r="K389" s="14" t="str">
        <x:v>Qualitativ</x:v>
      </x:c>
      <x:c r="L389" s="14" t="str">
        <x:v>Assurance und Kriterienkatalog erforderlich</x:v>
      </x:c>
      <x:c r="M389" s="14" t="str">
        <x:v>WÖk-Kategorien; fachliche Definition je Wirkungsfeld</x:v>
      </x:c>
      <x:c r="N389" s="14" t="str">
        <x:v>Optional/Nein</x:v>
      </x:c>
      <x:c r="O389" s="14" t="str">
        <x:v>ESRS E4; GIS/KBA</x:v>
      </x:c>
      <x:c r="P389" s="14" t="str">
        <x:v>ESRS E4, CBD/GBF, EN 15978 (Bau)</x:v>
      </x:c>
      <x:c r="Q389" s="14" t="str">
        <x:v>Mess-, Berichts- oder Managementrahmen; Schwellen sind grundsätzlich WÖk-Kalibrierungen</x:v>
      </x:c>
      <x:c r="R389" s="14" t="str">
        <x:v>Messgrundlage belegt; Schwellenkalibrierung offen</x:v>
      </x:c>
      <x:c r="S389" s="14" t="str">
        <x:v>EU-ESRS; CBD-GBF; KBA-DATA; DATA-GIS</x:v>
      </x:c>
      <x:c r="T389" s="14" t="str">
        <x:v>L68 Immobilien; F41/F42 Bau</x:v>
      </x:c>
      <x:c r="U389" s="14" t="str">
        <x:v>Legacy / nicht explizit versioniert</x:v>
      </x:c>
      <x:c r="V389" s="51" t="str"/>
      <x:c r="W389" s="14" t="str">
        <x:v>Migration auf NACE Rev. 2.1 erforderlich</x:v>
      </x:c>
      <x:c r="X389" s="14" t="str">
        <x:v>Standort/Prozess/Aktivität; Bezugsgröße und relevante Umweltmedien</x:v>
      </x:c>
      <x:c r="Y389" s="14" t="str">
        <x:v>Siehe Quelle: Definition gemäß Standard (ESRS/GRI/Taxonomie/ISO).</x:v>
      </x:c>
      <x:c r="Z389" s="14" t="str">
        <x:v>Dokumentierter Kriterienkatalog; nachvollziehbare Evidenz; DQR A/B bevorzugt</x:v>
      </x:c>
      <x:c r="AA389" s="14" t="str">
        <x:v>Unabhängige Fachprüfung/Limited Assurance; bei roten Linien Reasonable Assurance</x:v>
      </x:c>
      <x:c r="AB389" s="14" t="str">
        <x:v>Prüfung/Parametrisierung erforderlich</x:v>
      </x:c>
      <x:c r="AC389" s="14" t="str">
        <x:v>Hoch</x:v>
      </x:c>
      <x:c r="AD389" s="14" t="str">
        <x:v>Net Gain/No Net Loss/Net Loss ist ohne feldspezifischen Nachweis nicht automatisierbar.</x:v>
      </x:c>
      <x:c r="AE389" s="14" t="str">
        <x:v>v1.4</x:v>
      </x:c>
      <x:c r="AF389" s="52" t="str">
        <x:v>2026-08-16</x:v>
      </x:c>
      <x:c r="AG389" s="52"/>
    </x:row>
    <x:row r="390" ht="42" customHeight="1">
      <x:c r="A390" s="14" t="str">
        <x:v>WOK-E-210</x:v>
      </x:c>
      <x:c r="B390" s="14" t="str">
        <x:v>SDG 15 – An Land</x:v>
      </x:c>
      <x:c r="C390" s="14" t="str">
        <x:v>15.1</x:v>
      </x:c>
      <x:c r="D390" s="14" t="str">
        <x:v>Landumwandlung</x:v>
      </x:c>
      <x:c r="E390" s="14" t="str">
        <x:v>Landumwandlung – Landumwandlung</x:v>
      </x:c>
      <x:c r="F390" s="14" t="str">
        <x:v>Neue Flächen mit hohem Risiko</x:v>
      </x:c>
      <x:c r="G390" s="14" t="str">
        <x:v>ha/Jahr</x:v>
      </x:c>
      <x:c r="H390" s="14" t="str">
        <x:v>lower_is_better</x:v>
      </x:c>
      <x:c r="I390" s="14" t="str">
        <x:v>R02</x:v>
      </x:c>
      <x:c r="J390" s="14" t="str">
        <x:v>0:+3; ≤1:+2; ≤3:0; ≤5:‑2; &gt;5:‑3</x:v>
      </x:c>
      <x:c r="K390" s="14" t="str">
        <x:v>Feste WÖk-Kalibrierung</x:v>
      </x:c>
      <x:c r="L390" s="14" t="str">
        <x:v>Arbeitskalibrierung – fachlich zu validieren</x:v>
      </x:c>
      <x:c r="M390" s="14" t="str">
        <x:v>WÖk-interne Klassenlogik</x:v>
      </x:c>
      <x:c r="N390" s="14" t="str">
        <x:v>Optional/Nein</x:v>
      </x:c>
      <x:c r="O390" s="14" t="str">
        <x:v>ESRS E4; GIS/KBA</x:v>
      </x:c>
      <x:c r="P390" s="14" t="str">
        <x:v>ESRS E4, CBD/GBF, EN 15978 (Bau)</x:v>
      </x:c>
      <x:c r="Q390" s="14" t="str">
        <x:v>Mess-, Berichts- oder Managementrahmen; Schwellen sind grundsätzlich WÖk-Kalibrierungen</x:v>
      </x:c>
      <x:c r="R390" s="14" t="str">
        <x:v>Messgrundlage belegt; Schwellenkalibrierung offen</x:v>
      </x:c>
      <x:c r="S390" s="14" t="str">
        <x:v>EU-ESRS; CBD-GBF; KBA-DATA; DATA-GIS</x:v>
      </x:c>
      <x:c r="T390" s="14" t="str">
        <x:v>L68 Immobilien; F41/F42 Bau</x:v>
      </x:c>
      <x:c r="U390" s="14" t="str">
        <x:v>Legacy / nicht explizit versioniert</x:v>
      </x:c>
      <x:c r="V390" s="51" t="str"/>
      <x:c r="W390" s="14" t="str">
        <x:v>Migration auf NACE Rev. 2.1 erforderlich</x:v>
      </x:c>
      <x:c r="X390" s="14" t="str">
        <x:v>Standort/Prozess/Aktivität; Bezugsgröße und relevante Umweltmedien</x:v>
      </x:c>
      <x:c r="Y390" s="14" t="str">
        <x:v>Siehe Quelle: Definition gemäß Standard (ESRS/GRI/Taxonomie/ISO).</x:v>
      </x:c>
      <x:c r="Z390" s="14" t="str">
        <x:v>Primärdaten bevorzugt; Sekundärdaten nur transparent und versioniert; Methode und Systemgrenze dokumentieren</x:v>
      </x:c>
      <x:c r="AA390" s="14" t="str">
        <x:v>Limited Assurance; risikobasiert höhere Prüftiefe</x:v>
      </x:c>
      <x:c r="AB390" s="14" t="str">
        <x:v>Strukturell nutzbar; Schwellen fachlich zu validieren</x:v>
      </x:c>
      <x:c r="AC390" s="14" t="str">
        <x:v>Mittel</x:v>
      </x:c>
      <x:c r="AD390" s="14" t="str">
        <x:v>Vollständige fünfstufige numerische Regel.</x:v>
      </x:c>
      <x:c r="AE390" s="14" t="str">
        <x:v>v1.4</x:v>
      </x:c>
      <x:c r="AF390" s="52" t="str">
        <x:v>2026-08-16</x:v>
      </x:c>
      <x:c r="AG390" s="52"/>
    </x:row>
    <x:row r="391" ht="42" customHeight="1">
      <x:c r="A391" s="14" t="str">
        <x:v>WOK-E-211</x:v>
      </x:c>
      <x:c r="B391" s="14" t="str">
        <x:v>SDG 15 – An Land</x:v>
      </x:c>
      <x:c r="C391" s="14" t="str">
        <x:v>15.1</x:v>
      </x:c>
      <x:c r="D391" s="14" t="str">
        <x:v>Landumwandlung</x:v>
      </x:c>
      <x:c r="E391" s="14" t="str">
        <x:v>Landumwandlung – Deforestationsfrei</x:v>
      </x:c>
      <x:c r="F391" s="14" t="str">
        <x:v>Anteil deforestationsfreie Rohstoffe</x:v>
      </x:c>
      <x:c r="G391" s="14" t="str">
        <x:v>%</x:v>
      </x:c>
      <x:c r="H391" s="14" t="str">
        <x:v>higher_is_better</x:v>
      </x:c>
      <x:c r="I391" s="14" t="str">
        <x:v>R28</x:v>
      </x:c>
      <x:c r="J391" s="14" t="str">
        <x:v>≥98:+3; 90–97:+2; 75–89:0; 50–74:‑2; &lt;50:‑3</x:v>
      </x:c>
      <x:c r="K391" s="14" t="str">
        <x:v>Feste WÖk-Kalibrierung</x:v>
      </x:c>
      <x:c r="L391" s="14" t="str">
        <x:v>Arbeitskalibrierung – fachlich zu validieren</x:v>
      </x:c>
      <x:c r="M391" s="14" t="str">
        <x:v>WÖk-interne Klassenlogik</x:v>
      </x:c>
      <x:c r="N391" s="14" t="str">
        <x:v>Optional/Nein</x:v>
      </x:c>
      <x:c r="O391" s="14" t="str">
        <x:v>ESRS E4; GIS/KBA</x:v>
      </x:c>
      <x:c r="P391" s="14" t="str">
        <x:v>ESRS E4, CBD/GBF, EN 15978 (Bau)</x:v>
      </x:c>
      <x:c r="Q391" s="14" t="str">
        <x:v>Mess-, Berichts- oder Managementrahmen; Schwellen sind grundsätzlich WÖk-Kalibrierungen</x:v>
      </x:c>
      <x:c r="R391" s="14" t="str">
        <x:v>Messgrundlage belegt; Schwellenkalibrierung offen</x:v>
      </x:c>
      <x:c r="S391" s="14" t="str">
        <x:v>EU-ESRS; CBD-GBF; KBA-DATA; DATA-GIS</x:v>
      </x:c>
      <x:c r="T391" s="14" t="str">
        <x:v>L68 Immobilien; F41/F42 Bau</x:v>
      </x:c>
      <x:c r="U391" s="14" t="str">
        <x:v>Legacy / nicht explizit versioniert</x:v>
      </x:c>
      <x:c r="V391" s="51" t="str"/>
      <x:c r="W391" s="14" t="str">
        <x:v>Migration auf NACE Rev. 2.1 erforderlich</x:v>
      </x:c>
      <x:c r="X391" s="14" t="str">
        <x:v>Standort/Prozess/Aktivität; Bezugsgröße und relevante Umweltmedien</x:v>
      </x:c>
      <x:c r="Y391" s="14" t="str">
        <x:v>Quote = Zähler / Nenner gemäß Quelle; in %.</x:v>
      </x:c>
      <x:c r="Z391" s="14" t="str">
        <x:v>Primärdaten bevorzugt; Sekundärdaten nur transparent und versioniert; Methode und Systemgrenze dokumentieren</x:v>
      </x:c>
      <x:c r="AA391" s="14" t="str">
        <x:v>Limited Assurance; risikobasiert höhere Prüftiefe</x:v>
      </x:c>
      <x:c r="AB391" s="14" t="str">
        <x:v>Strukturell nutzbar; Schwellen fachlich zu validieren</x:v>
      </x:c>
      <x:c r="AC391" s="14" t="str">
        <x:v>Mittel</x:v>
      </x:c>
      <x:c r="AD391" s="14" t="str">
        <x:v>Vollständige fünfstufige numerische Regel.</x:v>
      </x:c>
      <x:c r="AE391" s="14" t="str">
        <x:v>v1.4</x:v>
      </x:c>
      <x:c r="AF391" s="52" t="str">
        <x:v>2026-08-16</x:v>
      </x:c>
      <x:c r="AG391" s="52"/>
    </x:row>
    <x:row r="392" ht="42" customHeight="1">
      <x:c r="A392" s="14" t="str">
        <x:v>WOK-G-170</x:v>
      </x:c>
      <x:c r="B392" s="14" t="str">
        <x:v>SDG 15 – An Land</x:v>
      </x:c>
      <x:c r="C392" s="14" t="str">
        <x:v>15.5</x:v>
      </x:c>
      <x:c r="D392" s="14" t="str">
        <x:v>Naturschutz‑Compliance</x:v>
      </x:c>
      <x:c r="E392" s="14" t="str">
        <x:v>Naturschutz‑Compliance – Antikorruption</x:v>
      </x:c>
      <x:c r="F392" s="14" t="str">
        <x:v>Bestätigte Fälle/1.000 FTE</x:v>
      </x:c>
      <x:c r="G392" s="14" t="str">
        <x:v>Fälle/1.000 FTE</x:v>
      </x:c>
      <x:c r="H392" s="14" t="str">
        <x:v>lower_is_better</x:v>
      </x:c>
      <x:c r="I392" s="14" t="str">
        <x:v>R01</x:v>
      </x:c>
      <x:c r="J392" s="14" t="str">
        <x:v>0:+3; ≤0,2:+2; ≤0,5:0; ≤1:‑2; &gt;1:‑3</x:v>
      </x:c>
      <x:c r="K392" s="14" t="str">
        <x:v>Feste WÖk-Kalibrierung</x:v>
      </x:c>
      <x:c r="L392" s="14" t="str">
        <x:v>Arbeitskalibrierung – fachlich zu validieren</x:v>
      </x:c>
      <x:c r="M392" s="14" t="str">
        <x:v>WÖk-interne Klassenlogik</x:v>
      </x:c>
      <x:c r="N392" s="14" t="str">
        <x:v>Optional/Nein</x:v>
      </x:c>
      <x:c r="O392" s="14" t="str">
        <x:v>ESRS G1; GRI 205/207</x:v>
      </x:c>
      <x:c r="P392" s="14" t="str">
        <x:v>ESRS G1, GRI 205/207, OECD Anti‑Bribery</x:v>
      </x:c>
      <x:c r="Q392" s="14" t="str">
        <x:v>Mess-, Berichts- oder Managementrahmen; Schwellen sind grundsätzlich WÖk-Kalibrierungen</x:v>
      </x:c>
      <x:c r="R392" s="14" t="str">
        <x:v>Messgrundlage belegt; Schwellenkalibrierung offen</x:v>
      </x:c>
      <x:c r="S392" s="14" t="str">
        <x:v>EU-ESRS; GRI; OECD-AB</x:v>
      </x:c>
      <x:c r="T392" s="14" t="str">
        <x:v>L68 Immobilien; F41/F42 Bau</x:v>
      </x:c>
      <x:c r="U392" s="14" t="str">
        <x:v>Legacy / nicht explizit versioniert</x:v>
      </x:c>
      <x:c r="V392" s="51" t="str"/>
      <x:c r="W392" s="14" t="str">
        <x:v>Migration auf NACE Rev. 2.1 erforderlich</x:v>
      </x:c>
      <x:c r="X392" s="14" t="str">
        <x:v>Organisation/Governance; konsolidierter Kreis und relevante Rechtseinheiten</x:v>
      </x:c>
      <x:c r="Y392" s="14" t="str">
        <x:v>Siehe Quelle: Definition gemäß Standard (ESRS/GRI/Taxonomie/ISO).</x:v>
      </x:c>
      <x:c r="Z392" s="14" t="str">
        <x:v>Primärdaten bevorzugt; Sekundärdaten nur transparent und versioniert; Methode und Systemgrenze dokumentieren</x:v>
      </x:c>
      <x:c r="AA392" s="14" t="str">
        <x:v>Limited Assurance; risikobasiert höhere Prüftiefe</x:v>
      </x:c>
      <x:c r="AB392" s="14" t="str">
        <x:v>Strukturell nutzbar; Schwellen fachlich zu validieren</x:v>
      </x:c>
      <x:c r="AC392" s="14" t="str">
        <x:v>Mittel</x:v>
      </x:c>
      <x:c r="AD392" s="14" t="str">
        <x:v>Vollständige fünfstufige numerische Regel.</x:v>
      </x:c>
      <x:c r="AE392" s="14" t="str">
        <x:v>v1.4</x:v>
      </x:c>
      <x:c r="AF392" s="52" t="str">
        <x:v>2026-08-16</x:v>
      </x:c>
      <x:c r="AG392" s="52"/>
    </x:row>
    <x:row r="393" ht="42" customHeight="1">
      <x:c r="A393" s="14" t="str">
        <x:v>WOK-G-171</x:v>
      </x:c>
      <x:c r="B393" s="14" t="str">
        <x:v>SDG 15 – An Land</x:v>
      </x:c>
      <x:c r="C393" s="14" t="str">
        <x:v>15.5</x:v>
      </x:c>
      <x:c r="D393" s="14" t="str">
        <x:v>Naturschutz‑Compliance</x:v>
      </x:c>
      <x:c r="E393" s="14" t="str">
        <x:v>Naturschutz‑Compliance – Whistleblowing</x:v>
      </x:c>
      <x:c r="F393" s="14" t="str">
        <x:v>Wirksamkeits‑Score</x:v>
      </x:c>
      <x:c r="G393" s="14" t="str">
        <x:v>0–1</x:v>
      </x:c>
      <x:c r="H393" s="14" t="str">
        <x:v>higher_is_better</x:v>
      </x:c>
      <x:c r="I393" s="14" t="str">
        <x:v>R16</x:v>
      </x:c>
      <x:c r="J393" s="14" t="str">
        <x:v>≥0,9:+3; 0,75–0,89:+2; 0,6–0,74:0; 0,4–0,59:‑2; &lt;0,4:‑3</x:v>
      </x:c>
      <x:c r="K393" s="14" t="str">
        <x:v>Feste WÖk-Kalibrierung</x:v>
      </x:c>
      <x:c r="L393" s="14" t="str">
        <x:v>Arbeitskalibrierung – fachlich zu validieren</x:v>
      </x:c>
      <x:c r="M393" s="14" t="str">
        <x:v>WÖk-interne Klassenlogik</x:v>
      </x:c>
      <x:c r="N393" s="14" t="str">
        <x:v>Optional/Nein</x:v>
      </x:c>
      <x:c r="O393" s="14" t="str">
        <x:v>ESRS G1; GRI 205/207</x:v>
      </x:c>
      <x:c r="P393" s="14" t="str">
        <x:v>ESRS G1, GRI 205/207, OECD Anti‑Bribery</x:v>
      </x:c>
      <x:c r="Q393" s="14" t="str">
        <x:v>Mess-, Berichts- oder Managementrahmen; Schwellen sind grundsätzlich WÖk-Kalibrierungen</x:v>
      </x:c>
      <x:c r="R393" s="14" t="str">
        <x:v>Messgrundlage belegt; Schwellenkalibrierung offen</x:v>
      </x:c>
      <x:c r="S393" s="14" t="str">
        <x:v>EU-ESRS; GRI; OECD-AB</x:v>
      </x:c>
      <x:c r="T393" s="14" t="str">
        <x:v>L68 Immobilien; F41/F42 Bau</x:v>
      </x:c>
      <x:c r="U393" s="14" t="str">
        <x:v>Legacy / nicht explizit versioniert</x:v>
      </x:c>
      <x:c r="V393" s="51" t="str"/>
      <x:c r="W393" s="14" t="str">
        <x:v>Migration auf NACE Rev. 2.1 erforderlich</x:v>
      </x:c>
      <x:c r="X393" s="14" t="str">
        <x:v>Organisation/Governance; konsolidierter Kreis und relevante Rechtseinheiten</x:v>
      </x:c>
      <x:c r="Y393" s="14" t="str">
        <x:v>Siehe Quelle: Definition gemäß Standard (ESRS/GRI/Taxonomie/ISO).</x:v>
      </x:c>
      <x:c r="Z393" s="14" t="str">
        <x:v>Primärdaten bevorzugt; Sekundärdaten nur transparent und versioniert; Methode und Systemgrenze dokumentieren</x:v>
      </x:c>
      <x:c r="AA393" s="14" t="str">
        <x:v>Limited Assurance; risikobasiert höhere Prüftiefe</x:v>
      </x:c>
      <x:c r="AB393" s="14" t="str">
        <x:v>Strukturell nutzbar; Schwellen fachlich zu validieren</x:v>
      </x:c>
      <x:c r="AC393" s="14" t="str">
        <x:v>Mittel</x:v>
      </x:c>
      <x:c r="AD393" s="14" t="str">
        <x:v>Vollständige fünfstufige numerische Regel.</x:v>
      </x:c>
      <x:c r="AE393" s="14" t="str">
        <x:v>v1.4</x:v>
      </x:c>
      <x:c r="AF393" s="52" t="str">
        <x:v>2026-08-16</x:v>
      </x:c>
      <x:c r="AG393" s="52"/>
    </x:row>
    <x:row r="394" ht="42" customHeight="1">
      <x:c r="A394" s="14" t="str">
        <x:v>WOK-G-172</x:v>
      </x:c>
      <x:c r="B394" s="14" t="str">
        <x:v>SDG 15 – An Land</x:v>
      </x:c>
      <x:c r="C394" s="14" t="str">
        <x:v>15.5</x:v>
      </x:c>
      <x:c r="D394" s="14" t="str">
        <x:v>Naturschutz‑Compliance</x:v>
      </x:c>
      <x:c r="E394" s="14" t="str">
        <x:v>Naturschutz‑Compliance – Steuertransparenz</x:v>
      </x:c>
      <x:c r="F394" s="14" t="str">
        <x:v>CbCR‑Offenlegung</x:v>
      </x:c>
      <x:c r="G394" s="14" t="str">
        <x:v>0–1</x:v>
      </x:c>
      <x:c r="H394" s="14" t="str">
        <x:v>higher_is_better</x:v>
      </x:c>
      <x:c r="I394" s="14" t="str">
        <x:v>R08</x:v>
      </x:c>
      <x:c r="J394" s="14" t="str">
        <x:v>vollständig:+3; teilweise:+2; minimal:0; schlecht:‑2</x:v>
      </x:c>
      <x:c r="K394" s="14" t="str">
        <x:v>Qualitativ</x:v>
      </x:c>
      <x:c r="L394" s="14" t="str">
        <x:v>Assurance und Kriterienkatalog erforderlich</x:v>
      </x:c>
      <x:c r="M394" s="14" t="str">
        <x:v>WÖk-interne Kategorien</x:v>
      </x:c>
      <x:c r="N394" s="14" t="str">
        <x:v>Optional/Nein</x:v>
      </x:c>
      <x:c r="O394" s="14" t="str">
        <x:v>ESRS G1; GRI 205/207</x:v>
      </x:c>
      <x:c r="P394" s="14" t="str">
        <x:v>ESRS G1, GRI 205/207, OECD Anti‑Bribery</x:v>
      </x:c>
      <x:c r="Q394" s="14" t="str">
        <x:v>Mess-, Berichts- oder Managementrahmen; Schwellen sind grundsätzlich WÖk-Kalibrierungen</x:v>
      </x:c>
      <x:c r="R394" s="14" t="str">
        <x:v>Messgrundlage belegt; Schwellenkalibrierung offen</x:v>
      </x:c>
      <x:c r="S394" s="14" t="str">
        <x:v>EU-ESRS; GRI; OECD-AB</x:v>
      </x:c>
      <x:c r="T394" s="14" t="str">
        <x:v>L68 Immobilien; F41/F42 Bau</x:v>
      </x:c>
      <x:c r="U394" s="14" t="str">
        <x:v>Legacy / nicht explizit versioniert</x:v>
      </x:c>
      <x:c r="V394" s="51" t="str"/>
      <x:c r="W394" s="14" t="str">
        <x:v>Migration auf NACE Rev. 2.1 erforderlich</x:v>
      </x:c>
      <x:c r="X394" s="14" t="str">
        <x:v>Organisation/Governance; konsolidierter Kreis und relevante Rechtseinheiten</x:v>
      </x:c>
      <x:c r="Y394" s="14" t="str">
        <x:v>Siehe Quelle: Definition gemäß Standard (ESRS/GRI/Taxonomie/ISO).</x:v>
      </x:c>
      <x:c r="Z394" s="14" t="str">
        <x:v>Dokumentierter Kriterienkatalog; nachvollziehbare Evidenz; DQR A/B bevorzugt</x:v>
      </x:c>
      <x:c r="AA394" s="14" t="str">
        <x:v>Unabhängige Fachprüfung/Limited Assurance; bei roten Linien Reasonable Assurance</x:v>
      </x:c>
      <x:c r="AB394" s="14" t="str">
        <x:v>Prüfung/Parametrisierung erforderlich</x:v>
      </x:c>
      <x:c r="AC394" s="14" t="str">
        <x:v>Hoch</x:v>
      </x:c>
      <x:c r="AD394" s="14" t="str">
        <x:v>Die Kategorie −3 fehlt; Vollständigkeit und Wirksamkeit sind feldspezifisch zu definieren.</x:v>
      </x:c>
      <x:c r="AE394" s="14" t="str">
        <x:v>v1.4</x:v>
      </x:c>
      <x:c r="AF394" s="52" t="str">
        <x:v>2026-08-16</x:v>
      </x:c>
      <x:c r="AG394" s="52"/>
    </x:row>
    <x:row r="395" ht="42" customHeight="1">
      <x:c r="A395" s="14" t="str">
        <x:v>WOK-E-212</x:v>
      </x:c>
      <x:c r="B395" s="14" t="str">
        <x:v>SDG 15 – An Land</x:v>
      </x:c>
      <x:c r="C395" s="14" t="str">
        <x:v>15.3</x:v>
      </x:c>
      <x:c r="D395" s="14" t="str">
        <x:v>Bodenversiegelung</x:v>
      </x:c>
      <x:c r="E395" s="14" t="str">
        <x:v>Bodenversiegelung – Nettoeffekt</x:v>
      </x:c>
      <x:c r="F395" s="14" t="str">
        <x:v>Net Gain/No Net Loss/Net Loss</x:v>
      </x:c>
      <x:c r="G395" s="14" t="str">
        <x:v>Qualitativ → Klasse</x:v>
      </x:c>
      <x:c r="H395" s="14" t="str">
        <x:v>higher_is_better</x:v>
      </x:c>
      <x:c r="I395" s="14" t="str">
        <x:v>R03</x:v>
      </x:c>
      <x:c r="J395" s="14" t="str">
        <x:v>Net Gain:+3; No Net Loss:0; Net Loss:‑2/‑3</x:v>
      </x:c>
      <x:c r="K395" s="14" t="str">
        <x:v>Qualitativ</x:v>
      </x:c>
      <x:c r="L395" s="14" t="str">
        <x:v>Assurance und Kriterienkatalog erforderlich</x:v>
      </x:c>
      <x:c r="M395" s="14" t="str">
        <x:v>WÖk-Kategorien; fachliche Definition je Wirkungsfeld</x:v>
      </x:c>
      <x:c r="N395" s="14" t="str">
        <x:v>Optional/Nein</x:v>
      </x:c>
      <x:c r="O395" s="14" t="str">
        <x:v>ESRS E4; GIS/KBA</x:v>
      </x:c>
      <x:c r="P395" s="14" t="str">
        <x:v>ESRS E4, CBD/GBF, EN 15978 (Bau)</x:v>
      </x:c>
      <x:c r="Q395" s="14" t="str">
        <x:v>Mess-, Berichts- oder Managementrahmen; Schwellen sind grundsätzlich WÖk-Kalibrierungen</x:v>
      </x:c>
      <x:c r="R395" s="14" t="str">
        <x:v>Messgrundlage belegt; Schwellenkalibrierung offen</x:v>
      </x:c>
      <x:c r="S395" s="14" t="str">
        <x:v>EU-ESRS; CBD-GBF; KBA-DATA; DATA-GIS</x:v>
      </x:c>
      <x:c r="T395" s="14" t="str">
        <x:v>L68 Immobilien; F41/F42 Bau</x:v>
      </x:c>
      <x:c r="U395" s="14" t="str">
        <x:v>Legacy / nicht explizit versioniert</x:v>
      </x:c>
      <x:c r="V395" s="51" t="str"/>
      <x:c r="W395" s="14" t="str">
        <x:v>Migration auf NACE Rev. 2.1 erforderlich</x:v>
      </x:c>
      <x:c r="X395" s="14" t="str">
        <x:v>Standort/Prozess/Aktivität; Bezugsgröße und relevante Umweltmedien</x:v>
      </x:c>
      <x:c r="Y395" s="14" t="str">
        <x:v>Siehe Quelle: Definition gemäß Standard (ESRS/GRI/Taxonomie/ISO).</x:v>
      </x:c>
      <x:c r="Z395" s="14" t="str">
        <x:v>Dokumentierter Kriterienkatalog; nachvollziehbare Evidenz; DQR A/B bevorzugt</x:v>
      </x:c>
      <x:c r="AA395" s="14" t="str">
        <x:v>Unabhängige Fachprüfung/Limited Assurance; bei roten Linien Reasonable Assurance</x:v>
      </x:c>
      <x:c r="AB395" s="14" t="str">
        <x:v>Prüfung/Parametrisierung erforderlich</x:v>
      </x:c>
      <x:c r="AC395" s="14" t="str">
        <x:v>Hoch</x:v>
      </x:c>
      <x:c r="AD395" s="14" t="str">
        <x:v>Net Gain/No Net Loss/Net Loss ist ohne feldspezifischen Nachweis nicht automatisierbar.</x:v>
      </x:c>
      <x:c r="AE395" s="14" t="str">
        <x:v>v1.4</x:v>
      </x:c>
      <x:c r="AF395" s="52" t="str">
        <x:v>2026-08-16</x:v>
      </x:c>
      <x:c r="AG395" s="52"/>
    </x:row>
    <x:row r="396" ht="42" customHeight="1">
      <x:c r="A396" s="14" t="str">
        <x:v>WOK-E-213</x:v>
      </x:c>
      <x:c r="B396" s="14" t="str">
        <x:v>SDG 15 – An Land</x:v>
      </x:c>
      <x:c r="C396" s="14" t="str">
        <x:v>15.3</x:v>
      </x:c>
      <x:c r="D396" s="14" t="str">
        <x:v>Bodenversiegelung</x:v>
      </x:c>
      <x:c r="E396" s="14" t="str">
        <x:v>Bodenversiegelung – Landumwandlung</x:v>
      </x:c>
      <x:c r="F396" s="14" t="str">
        <x:v>Neue Flächen mit hohem Risiko</x:v>
      </x:c>
      <x:c r="G396" s="14" t="str">
        <x:v>ha/Jahr</x:v>
      </x:c>
      <x:c r="H396" s="14" t="str">
        <x:v>lower_is_better</x:v>
      </x:c>
      <x:c r="I396" s="14" t="str">
        <x:v>R02</x:v>
      </x:c>
      <x:c r="J396" s="14" t="str">
        <x:v>0:+3; ≤1:+2; ≤3:0; ≤5:‑2; &gt;5:‑3</x:v>
      </x:c>
      <x:c r="K396" s="14" t="str">
        <x:v>Feste WÖk-Kalibrierung</x:v>
      </x:c>
      <x:c r="L396" s="14" t="str">
        <x:v>Arbeitskalibrierung – fachlich zu validieren</x:v>
      </x:c>
      <x:c r="M396" s="14" t="str">
        <x:v>WÖk-interne Klassenlogik</x:v>
      </x:c>
      <x:c r="N396" s="14" t="str">
        <x:v>Optional/Nein</x:v>
      </x:c>
      <x:c r="O396" s="14" t="str">
        <x:v>ESRS E4; GIS/KBA</x:v>
      </x:c>
      <x:c r="P396" s="14" t="str">
        <x:v>ESRS E4, CBD/GBF, EN 15978 (Bau)</x:v>
      </x:c>
      <x:c r="Q396" s="14" t="str">
        <x:v>Mess-, Berichts- oder Managementrahmen; Schwellen sind grundsätzlich WÖk-Kalibrierungen</x:v>
      </x:c>
      <x:c r="R396" s="14" t="str">
        <x:v>Messgrundlage belegt; Schwellenkalibrierung offen</x:v>
      </x:c>
      <x:c r="S396" s="14" t="str">
        <x:v>EU-ESRS; CBD-GBF; KBA-DATA; DATA-GIS</x:v>
      </x:c>
      <x:c r="T396" s="14" t="str">
        <x:v>L68 Immobilien; F41/F42 Bau</x:v>
      </x:c>
      <x:c r="U396" s="14" t="str">
        <x:v>Legacy / nicht explizit versioniert</x:v>
      </x:c>
      <x:c r="V396" s="51" t="str"/>
      <x:c r="W396" s="14" t="str">
        <x:v>Migration auf NACE Rev. 2.1 erforderlich</x:v>
      </x:c>
      <x:c r="X396" s="14" t="str">
        <x:v>Standort/Prozess/Aktivität; Bezugsgröße und relevante Umweltmedien</x:v>
      </x:c>
      <x:c r="Y396" s="14" t="str">
        <x:v>Siehe Quelle: Definition gemäß Standard (ESRS/GRI/Taxonomie/ISO).</x:v>
      </x:c>
      <x:c r="Z396" s="14" t="str">
        <x:v>Primärdaten bevorzugt; Sekundärdaten nur transparent und versioniert; Methode und Systemgrenze dokumentieren</x:v>
      </x:c>
      <x:c r="AA396" s="14" t="str">
        <x:v>Limited Assurance; risikobasiert höhere Prüftiefe</x:v>
      </x:c>
      <x:c r="AB396" s="14" t="str">
        <x:v>Strukturell nutzbar; Schwellen fachlich zu validieren</x:v>
      </x:c>
      <x:c r="AC396" s="14" t="str">
        <x:v>Mittel</x:v>
      </x:c>
      <x:c r="AD396" s="14" t="str">
        <x:v>Vollständige fünfstufige numerische Regel.</x:v>
      </x:c>
      <x:c r="AE396" s="14" t="str">
        <x:v>v1.4</x:v>
      </x:c>
      <x:c r="AF396" s="52" t="str">
        <x:v>2026-08-16</x:v>
      </x:c>
      <x:c r="AG396" s="52"/>
    </x:row>
    <x:row r="397" ht="42" customHeight="1">
      <x:c r="A397" s="14" t="str">
        <x:v>WOK-E-214</x:v>
      </x:c>
      <x:c r="B397" s="14" t="str">
        <x:v>SDG 15 – An Land</x:v>
      </x:c>
      <x:c r="C397" s="14" t="str">
        <x:v>15.3</x:v>
      </x:c>
      <x:c r="D397" s="14" t="str">
        <x:v>Bodenversiegelung</x:v>
      </x:c>
      <x:c r="E397" s="14" t="str">
        <x:v>Bodenversiegelung – Deforestationsfrei</x:v>
      </x:c>
      <x:c r="F397" s="14" t="str">
        <x:v>Anteil deforestationsfreie Rohstoffe</x:v>
      </x:c>
      <x:c r="G397" s="14" t="str">
        <x:v>%</x:v>
      </x:c>
      <x:c r="H397" s="14" t="str">
        <x:v>higher_is_better</x:v>
      </x:c>
      <x:c r="I397" s="14" t="str">
        <x:v>R28</x:v>
      </x:c>
      <x:c r="J397" s="14" t="str">
        <x:v>≥98:+3; 90–97:+2; 75–89:0; 50–74:‑2; &lt;50:‑3</x:v>
      </x:c>
      <x:c r="K397" s="14" t="str">
        <x:v>Feste WÖk-Kalibrierung</x:v>
      </x:c>
      <x:c r="L397" s="14" t="str">
        <x:v>Arbeitskalibrierung – fachlich zu validieren</x:v>
      </x:c>
      <x:c r="M397" s="14" t="str">
        <x:v>WÖk-interne Klassenlogik</x:v>
      </x:c>
      <x:c r="N397" s="14" t="str">
        <x:v>Optional/Nein</x:v>
      </x:c>
      <x:c r="O397" s="14" t="str">
        <x:v>ESRS E4; GIS/KBA</x:v>
      </x:c>
      <x:c r="P397" s="14" t="str">
        <x:v>ESRS E4, CBD/GBF, EN 15978 (Bau)</x:v>
      </x:c>
      <x:c r="Q397" s="14" t="str">
        <x:v>Mess-, Berichts- oder Managementrahmen; Schwellen sind grundsätzlich WÖk-Kalibrierungen</x:v>
      </x:c>
      <x:c r="R397" s="14" t="str">
        <x:v>Messgrundlage belegt; Schwellenkalibrierung offen</x:v>
      </x:c>
      <x:c r="S397" s="14" t="str">
        <x:v>EU-ESRS; CBD-GBF; KBA-DATA; DATA-GIS</x:v>
      </x:c>
      <x:c r="T397" s="14" t="str">
        <x:v>L68 Immobilien; F41/F42 Bau</x:v>
      </x:c>
      <x:c r="U397" s="14" t="str">
        <x:v>Legacy / nicht explizit versioniert</x:v>
      </x:c>
      <x:c r="V397" s="51" t="str"/>
      <x:c r="W397" s="14" t="str">
        <x:v>Migration auf NACE Rev. 2.1 erforderlich</x:v>
      </x:c>
      <x:c r="X397" s="14" t="str">
        <x:v>Standort/Prozess/Aktivität; Bezugsgröße und relevante Umweltmedien</x:v>
      </x:c>
      <x:c r="Y397" s="14" t="str">
        <x:v>Quote = Zähler / Nenner gemäß Quelle; in %.</x:v>
      </x:c>
      <x:c r="Z397" s="14" t="str">
        <x:v>Primärdaten bevorzugt; Sekundärdaten nur transparent und versioniert; Methode und Systemgrenze dokumentieren</x:v>
      </x:c>
      <x:c r="AA397" s="14" t="str">
        <x:v>Limited Assurance; risikobasiert höhere Prüftiefe</x:v>
      </x:c>
      <x:c r="AB397" s="14" t="str">
        <x:v>Strukturell nutzbar; Schwellen fachlich zu validieren</x:v>
      </x:c>
      <x:c r="AC397" s="14" t="str">
        <x:v>Mittel</x:v>
      </x:c>
      <x:c r="AD397" s="14" t="str">
        <x:v>Vollständige fünfstufige numerische Regel.</x:v>
      </x:c>
      <x:c r="AE397" s="14" t="str">
        <x:v>v1.4</x:v>
      </x:c>
      <x:c r="AF397" s="52" t="str">
        <x:v>2026-08-16</x:v>
      </x:c>
      <x:c r="AG397" s="52"/>
    </x:row>
    <x:row r="398" ht="42" customHeight="1">
      <x:c r="A398" s="14" t="str">
        <x:v>WOK-SYS-143</x:v>
      </x:c>
      <x:c r="B398" s="14" t="str">
        <x:v>SDG 15 – An Land</x:v>
      </x:c>
      <x:c r="C398" s="14" t="str">
        <x:v>15.5</x:v>
      </x:c>
      <x:c r="D398" s="14" t="str">
        <x:v>Kooperationen Naturschutz</x:v>
      </x:c>
      <x:c r="E398" s="14" t="str">
        <x:v>Kooperationen Naturschutz – Index</x:v>
      </x:c>
      <x:c r="F398" s="14" t="str">
        <x:v>umsatzgewichteter Index (z. B. Demokratie/Rule of Law)</x:v>
      </x:c>
      <x:c r="G398" s="14" t="str">
        <x:v>0–1</x:v>
      </x:c>
      <x:c r="H398" s="14" t="str">
        <x:v>higher_is_better</x:v>
      </x:c>
      <x:c r="I398" s="14" t="str">
        <x:v>R15</x:v>
      </x:c>
      <x:c r="J398" s="14" t="str">
        <x:v>≥0,8:+3; 0,7–0,79:+2; 0,6–0,69:0; 0,5–0,59:‑2; &lt;0,5:‑3</x:v>
      </x:c>
      <x:c r="K398" s="14" t="str">
        <x:v>Feste WÖk-Kalibrierung</x:v>
      </x:c>
      <x:c r="L398" s="14" t="str">
        <x:v>Arbeitskalibrierung – fachlich zu validieren</x:v>
      </x:c>
      <x:c r="M398" s="14" t="str">
        <x:v>WÖk-interne Klassenlogik</x:v>
      </x:c>
      <x:c r="N398" s="14" t="str">
        <x:v>Optional/Nein</x:v>
      </x:c>
      <x:c r="O398" s="14" t="str">
        <x:v>SROI/SDG17</x:v>
      </x:c>
      <x:c r="P398" s="14" t="str">
        <x:v>SDG 16/17, WJP, V‑Dem</x:v>
      </x:c>
      <x:c r="Q398" s="14" t="str">
        <x:v>Methodischer Platzhalter; konkrete Fach- und Primärdatenquelle erforderlich</x:v>
      </x:c>
      <x:c r="R398" s="14" t="str">
        <x:v>Platzhalter – fachliche Operationalisierung offen</x:v>
      </x:c>
      <x:c r="S398" s="14" t="str">
        <x:v>INT-WOEK-TSROI; SVI-SROI; UN-SDG</x:v>
      </x:c>
      <x:c r="T398" s="14" t="str">
        <x:v>G47 Handel; K Versicherungen; M72 F&amp;E</x:v>
      </x:c>
      <x:c r="U398" s="14" t="str">
        <x:v>Legacy / nicht explizit versioniert</x:v>
      </x:c>
      <x:c r="V398" s="51" t="str"/>
      <x:c r="W398" s="14" t="str">
        <x:v>Migration auf NACE Rev. 2.1 erforderlich</x:v>
      </x:c>
      <x:c r="X398" s="14" t="str">
        <x:v>Programm/Portfolio/Systemraum; Empfängergruppe, Region und Zeitraum explizit definieren</x:v>
      </x:c>
      <x:c r="Y398" s="14" t="str">
        <x:v>Siehe Quelle: Definition gemäß Standard (ESRS/GRI/Taxonomie/ISO).</x:v>
      </x:c>
      <x:c r="Z398" s="14" t="str">
        <x:v>Primärdaten bevorzugt; Sekundärdaten nur transparent und versioniert; Methode und Systemgrenze dokumentieren</x:v>
      </x:c>
      <x:c r="AA398" s="14" t="str">
        <x:v>Limited Assurance; risikobasiert höhere Prüftiefe</x:v>
      </x:c>
      <x:c r="AB398" s="14" t="str">
        <x:v>Fachlogik nicht abschließend operationalisiert</x:v>
      </x:c>
      <x:c r="AC398" s="14" t="str">
        <x:v>Kritisch</x:v>
      </x:c>
      <x:c r="AD398" s="14" t="str">
        <x:v>SROI/SDG 17 ist keine hinreichend konkrete Mess- oder Schwellenquelle. Vollständige fünfstufige numerische Regel.</x:v>
      </x:c>
      <x:c r="AE398" s="14" t="str">
        <x:v>v1.4</x:v>
      </x:c>
      <x:c r="AF398" s="52" t="str">
        <x:v>2026-08-16</x:v>
      </x:c>
      <x:c r="AG398" s="52"/>
    </x:row>
    <x:row r="399" ht="42" customHeight="1">
      <x:c r="A399" s="14" t="str">
        <x:v>WOK-SYS-144</x:v>
      </x:c>
      <x:c r="B399" s="14" t="str">
        <x:v>SDG 15 – An Land</x:v>
      </x:c>
      <x:c r="C399" s="14" t="str">
        <x:v>15.5</x:v>
      </x:c>
      <x:c r="D399" s="14" t="str">
        <x:v>Kooperationen Naturschutz</x:v>
      </x:c>
      <x:c r="E399" s="14" t="str">
        <x:v>Kooperationen Naturschutz – Exposure</x:v>
      </x:c>
      <x:c r="F399" s="14" t="str">
        <x:v>Umsatz in Hochrisikoländern</x:v>
      </x:c>
      <x:c r="G399" s="14" t="str">
        <x:v>%</x:v>
      </x:c>
      <x:c r="H399" s="14" t="str">
        <x:v>lower_is_better</x:v>
      </x:c>
      <x:c r="I399" s="14" t="str">
        <x:v>R13</x:v>
      </x:c>
      <x:c r="J399" s="14" t="str">
        <x:v>≤5:+3; 6–10:+2; 11–20:0; 21–30:‑2; &gt;30:‑3</x:v>
      </x:c>
      <x:c r="K399" s="14" t="str">
        <x:v>Feste WÖk-Kalibrierung</x:v>
      </x:c>
      <x:c r="L399" s="14" t="str">
        <x:v>Arbeitskalibrierung – fachlich zu validieren</x:v>
      </x:c>
      <x:c r="M399" s="14" t="str">
        <x:v>WÖk-interne Klassenlogik</x:v>
      </x:c>
      <x:c r="N399" s="14" t="str">
        <x:v>Optional/Nein</x:v>
      </x:c>
      <x:c r="O399" s="14" t="str">
        <x:v>SROI/SDG17</x:v>
      </x:c>
      <x:c r="P399" s="14" t="str">
        <x:v>SROI/SDG17</x:v>
      </x:c>
      <x:c r="Q399" s="14" t="str">
        <x:v>Methodischer Platzhalter; konkrete Fach- und Primärdatenquelle erforderlich</x:v>
      </x:c>
      <x:c r="R399" s="14" t="str">
        <x:v>Platzhalter – fachliche Operationalisierung offen</x:v>
      </x:c>
      <x:c r="S399" s="14" t="str">
        <x:v>INT-WOEK-TSROI; SVI-SROI; UN-SDG</x:v>
      </x:c>
      <x:c r="T399" s="14" t="str">
        <x:v>G47 Handel; K Versicherungen; M72 F&amp;E</x:v>
      </x:c>
      <x:c r="U399" s="14" t="str">
        <x:v>Legacy / nicht explizit versioniert</x:v>
      </x:c>
      <x:c r="V399" s="51" t="str"/>
      <x:c r="W399" s="14" t="str">
        <x:v>Migration auf NACE Rev. 2.1 erforderlich</x:v>
      </x:c>
      <x:c r="X399" s="14" t="str">
        <x:v>Programm/Portfolio/Systemraum; Empfängergruppe, Region und Zeitraum explizit definieren</x:v>
      </x:c>
      <x:c r="Y399" s="14" t="str">
        <x:v>Siehe Quelle: Definition gemäß Standard (ESRS/GRI/Taxonomie/ISO).</x:v>
      </x:c>
      <x:c r="Z399" s="14" t="str">
        <x:v>Primärdaten bevorzugt; Sekundärdaten nur transparent und versioniert; Methode und Systemgrenze dokumentieren</x:v>
      </x:c>
      <x:c r="AA399" s="14" t="str">
        <x:v>Limited Assurance; risikobasiert höhere Prüftiefe</x:v>
      </x:c>
      <x:c r="AB399" s="14" t="str">
        <x:v>Fachlogik nicht abschließend operationalisiert</x:v>
      </x:c>
      <x:c r="AC399" s="14" t="str">
        <x:v>Kritisch</x:v>
      </x:c>
      <x:c r="AD399" s="14" t="str">
        <x:v>SROI/SDG 17 ist keine hinreichend konkrete Mess- oder Schwellenquelle. Vollständige fünfstufige numerische Regel.</x:v>
      </x:c>
      <x:c r="AE399" s="14" t="str">
        <x:v>v1.4</x:v>
      </x:c>
      <x:c r="AF399" s="52" t="str">
        <x:v>2026-08-16</x:v>
      </x:c>
      <x:c r="AG399" s="52"/>
    </x:row>
    <x:row r="400" ht="42" customHeight="1">
      <x:c r="A400" s="14" t="str">
        <x:v>WOK-SYS-145</x:v>
      </x:c>
      <x:c r="B400" s="14" t="str">
        <x:v>SDG 15 – An Land</x:v>
      </x:c>
      <x:c r="C400" s="14" t="str">
        <x:v>15.5</x:v>
      </x:c>
      <x:c r="D400" s="14" t="str">
        <x:v>Kooperationen Naturschutz</x:v>
      </x:c>
      <x:c r="E400" s="14" t="str">
        <x:v>Kooperationen Naturschutz – Kooperationen</x:v>
      </x:c>
      <x:c r="F400" s="14" t="str">
        <x:v>aktive, evaluierte Partnerschaften/Jahr</x:v>
      </x:c>
      <x:c r="G400" s="14" t="str">
        <x:v>#/Jahr</x:v>
      </x:c>
      <x:c r="H400" s="14" t="str">
        <x:v>higher_is_better</x:v>
      </x:c>
      <x:c r="I400" s="14" t="str">
        <x:v>R20</x:v>
      </x:c>
      <x:c r="J400" s="14" t="str">
        <x:v>≥5:+3; 3–4:+2; 1–2:0; 0:‑2</x:v>
      </x:c>
      <x:c r="K400" s="14" t="str">
        <x:v>Feste WÖk-Grobkalibrierung</x:v>
      </x:c>
      <x:c r="L400" s="14" t="str">
        <x:v>Klasse −3 nur für negative/unzulässige Werte ergänzt</x:v>
      </x:c>
      <x:c r="M400" s="14" t="str">
        <x:v>WÖk-interne Grobkalibrierung</x:v>
      </x:c>
      <x:c r="N400" s="14" t="str">
        <x:v>Optional/Nein</x:v>
      </x:c>
      <x:c r="O400" s="14" t="str">
        <x:v>SROI/SDG17</x:v>
      </x:c>
      <x:c r="P400" s="14" t="str">
        <x:v>SDG 16/17, WJP, V‑Dem</x:v>
      </x:c>
      <x:c r="Q400" s="14" t="str">
        <x:v>Methodischer Platzhalter; konkrete Fach- und Primärdatenquelle erforderlich</x:v>
      </x:c>
      <x:c r="R400" s="14" t="str">
        <x:v>Platzhalter – fachliche Operationalisierung offen</x:v>
      </x:c>
      <x:c r="S400" s="14" t="str">
        <x:v>INT-WOEK-TSROI; SVI-SROI; UN-SDG</x:v>
      </x:c>
      <x:c r="T400" s="14" t="str">
        <x:v>G47 Handel; K Versicherungen; M72 F&amp;E</x:v>
      </x:c>
      <x:c r="U400" s="14" t="str">
        <x:v>Legacy / nicht explizit versioniert</x:v>
      </x:c>
      <x:c r="V400" s="51" t="str"/>
      <x:c r="W400" s="14" t="str">
        <x:v>Migration auf NACE Rev. 2.1 erforderlich</x:v>
      </x:c>
      <x:c r="X400" s="14" t="str">
        <x:v>Programm/Portfolio/Systemraum; Empfängergruppe, Region und Zeitraum explizit definieren</x:v>
      </x:c>
      <x:c r="Y400" s="14" t="str">
        <x:v>Siehe Quelle: Definition gemäß Standard (ESRS/GRI/Taxonomie/ISO).</x:v>
      </x:c>
      <x:c r="Z400" s="14" t="str">
        <x:v>Primärdaten bevorzugt; Sekundärdaten nur transparent und versioniert; Methode und Systemgrenze dokumentieren</x:v>
      </x:c>
      <x:c r="AA400" s="14" t="str">
        <x:v>Limited Assurance; risikobasiert höhere Prüftiefe</x:v>
      </x:c>
      <x:c r="AB400" s="14" t="str">
        <x:v>Fachlogik nicht abschließend operationalisiert</x:v>
      </x:c>
      <x:c r="AC400" s="14" t="str">
        <x:v>Kritisch</x:v>
      </x:c>
      <x:c r="AD400" s="14" t="str">
        <x:v>SROI/SDG 17 ist keine hinreichend konkrete Mess- oder Schwellenquelle. Für sachlogisch nichtnegative Zählwerte ist 0 die schlechteste reguläre Klasse (−2).</x:v>
      </x:c>
      <x:c r="AE400" s="14" t="str">
        <x:v>v1.4</x:v>
      </x:c>
      <x:c r="AF400" s="52" t="str">
        <x:v>2026-08-16</x:v>
      </x:c>
      <x:c r="AG400" s="52"/>
    </x:row>
    <x:row r="401" ht="42" customHeight="1">
      <x:c r="A401" s="14" t="str">
        <x:v>WOK-E-215</x:v>
      </x:c>
      <x:c r="B401" s="14" t="str">
        <x:v>SDG 15 – An Land</x:v>
      </x:c>
      <x:c r="C401" s="14" t="str">
        <x:v>15.8</x:v>
      </x:c>
      <x:c r="D401" s="14" t="str">
        <x:v>Invasive Arten Management</x:v>
      </x:c>
      <x:c r="E401" s="14" t="str">
        <x:v>Invasive Arten Management – Nettoeffekt</x:v>
      </x:c>
      <x:c r="F401" s="14" t="str">
        <x:v>Net Gain/No Net Loss/Net Loss</x:v>
      </x:c>
      <x:c r="G401" s="14" t="str">
        <x:v>Qualitativ → Klasse</x:v>
      </x:c>
      <x:c r="H401" s="14" t="str">
        <x:v>higher_is_better</x:v>
      </x:c>
      <x:c r="I401" s="14" t="str">
        <x:v>R03</x:v>
      </x:c>
      <x:c r="J401" s="14" t="str">
        <x:v>Net Gain:+3; No Net Loss:0; Net Loss:‑2/‑3</x:v>
      </x:c>
      <x:c r="K401" s="14" t="str">
        <x:v>Qualitativ</x:v>
      </x:c>
      <x:c r="L401" s="14" t="str">
        <x:v>Assurance und Kriterienkatalog erforderlich</x:v>
      </x:c>
      <x:c r="M401" s="14" t="str">
        <x:v>WÖk-Kategorien; fachliche Definition je Wirkungsfeld</x:v>
      </x:c>
      <x:c r="N401" s="14" t="str">
        <x:v>Optional/Nein</x:v>
      </x:c>
      <x:c r="O401" s="14" t="str">
        <x:v>ESRS E4; GIS/KBA</x:v>
      </x:c>
      <x:c r="P401" s="14" t="str">
        <x:v>ESRS E4, CBD/GBF, EN 15978 (Bau)</x:v>
      </x:c>
      <x:c r="Q401" s="14" t="str">
        <x:v>Mess-, Berichts- oder Managementrahmen; Schwellen sind grundsätzlich WÖk-Kalibrierungen</x:v>
      </x:c>
      <x:c r="R401" s="14" t="str">
        <x:v>Messgrundlage belegt; Schwellenkalibrierung offen</x:v>
      </x:c>
      <x:c r="S401" s="14" t="str">
        <x:v>EU-ESRS; CBD-GBF; KBA-DATA; DATA-GIS</x:v>
      </x:c>
      <x:c r="T401" s="14" t="str">
        <x:v>L68 Immobilien; F41/F42 Bau</x:v>
      </x:c>
      <x:c r="U401" s="14" t="str">
        <x:v>Legacy / nicht explizit versioniert</x:v>
      </x:c>
      <x:c r="V401" s="51" t="str"/>
      <x:c r="W401" s="14" t="str">
        <x:v>Migration auf NACE Rev. 2.1 erforderlich</x:v>
      </x:c>
      <x:c r="X401" s="14" t="str">
        <x:v>Standort/Prozess/Aktivität; Bezugsgröße und relevante Umweltmedien</x:v>
      </x:c>
      <x:c r="Y401" s="14" t="str">
        <x:v>Siehe Quelle: Definition gemäß Standard (ESRS/GRI/Taxonomie/ISO).</x:v>
      </x:c>
      <x:c r="Z401" s="14" t="str">
        <x:v>Dokumentierter Kriterienkatalog; nachvollziehbare Evidenz; DQR A/B bevorzugt</x:v>
      </x:c>
      <x:c r="AA401" s="14" t="str">
        <x:v>Unabhängige Fachprüfung/Limited Assurance; bei roten Linien Reasonable Assurance</x:v>
      </x:c>
      <x:c r="AB401" s="14" t="str">
        <x:v>Prüfung/Parametrisierung erforderlich</x:v>
      </x:c>
      <x:c r="AC401" s="14" t="str">
        <x:v>Hoch</x:v>
      </x:c>
      <x:c r="AD401" s="14" t="str">
        <x:v>Net Gain/No Net Loss/Net Loss ist ohne feldspezifischen Nachweis nicht automatisierbar.</x:v>
      </x:c>
      <x:c r="AE401" s="14" t="str">
        <x:v>v1.4</x:v>
      </x:c>
      <x:c r="AF401" s="52" t="str">
        <x:v>2026-08-16</x:v>
      </x:c>
      <x:c r="AG401" s="52"/>
    </x:row>
    <x:row r="402" ht="42" customHeight="1">
      <x:c r="A402" s="14" t="str">
        <x:v>WOK-E-216</x:v>
      </x:c>
      <x:c r="B402" s="14" t="str">
        <x:v>SDG 15 – An Land</x:v>
      </x:c>
      <x:c r="C402" s="14" t="str">
        <x:v>15.8</x:v>
      </x:c>
      <x:c r="D402" s="14" t="str">
        <x:v>Invasive Arten Management</x:v>
      </x:c>
      <x:c r="E402" s="14" t="str">
        <x:v>Invasive Arten Management – Landumwandlung</x:v>
      </x:c>
      <x:c r="F402" s="14" t="str">
        <x:v>Neue Flächen mit hohem Risiko</x:v>
      </x:c>
      <x:c r="G402" s="14" t="str">
        <x:v>ha/Jahr</x:v>
      </x:c>
      <x:c r="H402" s="14" t="str">
        <x:v>lower_is_better</x:v>
      </x:c>
      <x:c r="I402" s="14" t="str">
        <x:v>R02</x:v>
      </x:c>
      <x:c r="J402" s="14" t="str">
        <x:v>0:+3; ≤1:+2; ≤3:0; ≤5:‑2; &gt;5:‑3</x:v>
      </x:c>
      <x:c r="K402" s="14" t="str">
        <x:v>Feste WÖk-Kalibrierung</x:v>
      </x:c>
      <x:c r="L402" s="14" t="str">
        <x:v>Arbeitskalibrierung – fachlich zu validieren</x:v>
      </x:c>
      <x:c r="M402" s="14" t="str">
        <x:v>WÖk-interne Klassenlogik</x:v>
      </x:c>
      <x:c r="N402" s="14" t="str">
        <x:v>Optional/Nein</x:v>
      </x:c>
      <x:c r="O402" s="14" t="str">
        <x:v>ESRS E4; GIS/KBA</x:v>
      </x:c>
      <x:c r="P402" s="14" t="str">
        <x:v>ESRS E4, CBD/GBF, EN 15978 (Bau)</x:v>
      </x:c>
      <x:c r="Q402" s="14" t="str">
        <x:v>Mess-, Berichts- oder Managementrahmen; Schwellen sind grundsätzlich WÖk-Kalibrierungen</x:v>
      </x:c>
      <x:c r="R402" s="14" t="str">
        <x:v>Messgrundlage belegt; Schwellenkalibrierung offen</x:v>
      </x:c>
      <x:c r="S402" s="14" t="str">
        <x:v>EU-ESRS; CBD-GBF; KBA-DATA; DATA-GIS</x:v>
      </x:c>
      <x:c r="T402" s="14" t="str">
        <x:v>L68 Immobilien; F41/F42 Bau</x:v>
      </x:c>
      <x:c r="U402" s="14" t="str">
        <x:v>Legacy / nicht explizit versioniert</x:v>
      </x:c>
      <x:c r="V402" s="51" t="str"/>
      <x:c r="W402" s="14" t="str">
        <x:v>Migration auf NACE Rev. 2.1 erforderlich</x:v>
      </x:c>
      <x:c r="X402" s="14" t="str">
        <x:v>Standort/Prozess/Aktivität; Bezugsgröße und relevante Umweltmedien</x:v>
      </x:c>
      <x:c r="Y402" s="14" t="str">
        <x:v>Siehe Quelle: Definition gemäß Standard (ESRS/GRI/Taxonomie/ISO).</x:v>
      </x:c>
      <x:c r="Z402" s="14" t="str">
        <x:v>Primärdaten bevorzugt; Sekundärdaten nur transparent und versioniert; Methode und Systemgrenze dokumentieren</x:v>
      </x:c>
      <x:c r="AA402" s="14" t="str">
        <x:v>Limited Assurance; risikobasiert höhere Prüftiefe</x:v>
      </x:c>
      <x:c r="AB402" s="14" t="str">
        <x:v>Strukturell nutzbar; Schwellen fachlich zu validieren</x:v>
      </x:c>
      <x:c r="AC402" s="14" t="str">
        <x:v>Mittel</x:v>
      </x:c>
      <x:c r="AD402" s="14" t="str">
        <x:v>Vollständige fünfstufige numerische Regel.</x:v>
      </x:c>
      <x:c r="AE402" s="14" t="str">
        <x:v>v1.4</x:v>
      </x:c>
      <x:c r="AF402" s="52" t="str">
        <x:v>2026-08-16</x:v>
      </x:c>
      <x:c r="AG402" s="52"/>
    </x:row>
    <x:row r="403" ht="42" customHeight="1">
      <x:c r="A403" s="14" t="str">
        <x:v>WOK-E-217</x:v>
      </x:c>
      <x:c r="B403" s="14" t="str">
        <x:v>SDG 15 – An Land</x:v>
      </x:c>
      <x:c r="C403" s="14" t="str">
        <x:v>15.8</x:v>
      </x:c>
      <x:c r="D403" s="14" t="str">
        <x:v>Invasive Arten Management</x:v>
      </x:c>
      <x:c r="E403" s="14" t="str">
        <x:v>Invasive Arten Management – Deforestationsfrei</x:v>
      </x:c>
      <x:c r="F403" s="14" t="str">
        <x:v>Anteil deforestationsfreie Rohstoffe</x:v>
      </x:c>
      <x:c r="G403" s="14" t="str">
        <x:v>%</x:v>
      </x:c>
      <x:c r="H403" s="14" t="str">
        <x:v>higher_is_better</x:v>
      </x:c>
      <x:c r="I403" s="14" t="str">
        <x:v>R28</x:v>
      </x:c>
      <x:c r="J403" s="14" t="str">
        <x:v>≥98:+3; 90–97:+2; 75–89:0; 50–74:‑2; &lt;50:‑3</x:v>
      </x:c>
      <x:c r="K403" s="14" t="str">
        <x:v>Feste WÖk-Kalibrierung</x:v>
      </x:c>
      <x:c r="L403" s="14" t="str">
        <x:v>Arbeitskalibrierung – fachlich zu validieren</x:v>
      </x:c>
      <x:c r="M403" s="14" t="str">
        <x:v>WÖk-interne Klassenlogik</x:v>
      </x:c>
      <x:c r="N403" s="14" t="str">
        <x:v>Optional/Nein</x:v>
      </x:c>
      <x:c r="O403" s="14" t="str">
        <x:v>ESRS E4; GIS/KBA</x:v>
      </x:c>
      <x:c r="P403" s="14" t="str">
        <x:v>ESRS E4, CBD/GBF, EN 15978 (Bau)</x:v>
      </x:c>
      <x:c r="Q403" s="14" t="str">
        <x:v>Mess-, Berichts- oder Managementrahmen; Schwellen sind grundsätzlich WÖk-Kalibrierungen</x:v>
      </x:c>
      <x:c r="R403" s="14" t="str">
        <x:v>Messgrundlage belegt; Schwellenkalibrierung offen</x:v>
      </x:c>
      <x:c r="S403" s="14" t="str">
        <x:v>EU-ESRS; CBD-GBF; KBA-DATA; DATA-GIS</x:v>
      </x:c>
      <x:c r="T403" s="14" t="str">
        <x:v>L68 Immobilien; F41/F42 Bau</x:v>
      </x:c>
      <x:c r="U403" s="14" t="str">
        <x:v>Legacy / nicht explizit versioniert</x:v>
      </x:c>
      <x:c r="V403" s="51" t="str"/>
      <x:c r="W403" s="14" t="str">
        <x:v>Migration auf NACE Rev. 2.1 erforderlich</x:v>
      </x:c>
      <x:c r="X403" s="14" t="str">
        <x:v>Standort/Prozess/Aktivität; Bezugsgröße und relevante Umweltmedien</x:v>
      </x:c>
      <x:c r="Y403" s="14" t="str">
        <x:v>Quote = Zähler / Nenner gemäß Quelle; in %.</x:v>
      </x:c>
      <x:c r="Z403" s="14" t="str">
        <x:v>Primärdaten bevorzugt; Sekundärdaten nur transparent und versioniert; Methode und Systemgrenze dokumentieren</x:v>
      </x:c>
      <x:c r="AA403" s="14" t="str">
        <x:v>Limited Assurance; risikobasiert höhere Prüftiefe</x:v>
      </x:c>
      <x:c r="AB403" s="14" t="str">
        <x:v>Strukturell nutzbar; Schwellen fachlich zu validieren</x:v>
      </x:c>
      <x:c r="AC403" s="14" t="str">
        <x:v>Mittel</x:v>
      </x:c>
      <x:c r="AD403" s="14" t="str">
        <x:v>Vollständige fünfstufige numerische Regel.</x:v>
      </x:c>
      <x:c r="AE403" s="14" t="str">
        <x:v>v1.4</x:v>
      </x:c>
      <x:c r="AF403" s="52" t="str">
        <x:v>2026-08-16</x:v>
      </x:c>
      <x:c r="AG403" s="52"/>
    </x:row>
    <x:row r="404" ht="42" customHeight="1">
      <x:c r="A404" s="14" t="str">
        <x:v>WOK-POL-113</x:v>
      </x:c>
      <x:c r="B404" s="14" t="str">
        <x:v>SDG 15 – An Land</x:v>
      </x:c>
      <x:c r="C404" s="14" t="str">
        <x:v>15.5</x:v>
      </x:c>
      <x:c r="D404" s="14" t="str">
        <x:v>DNSH Biodiversität</x:v>
      </x:c>
      <x:c r="E404" s="14" t="str">
        <x:v>DNSH Biodiversität – Spezifische Emissionen</x:v>
      </x:c>
      <x:c r="F404" s="14" t="str">
        <x:v>CO₂e je kWh (LCA)</x:v>
      </x:c>
      <x:c r="G404" s="14" t="str">
        <x:v>g CO₂e/kWh</x:v>
      </x:c>
      <x:c r="H404" s="14" t="str">
        <x:v>lower_is_better</x:v>
      </x:c>
      <x:c r="I404" s="14" t="str">
        <x:v>R10</x:v>
      </x:c>
      <x:c r="J404" s="14" t="str">
        <x:v>≤100:+3; 101–250:0; &gt;250:‑2</x:v>
      </x:c>
      <x:c r="K404" s="14" t="str">
        <x:v>Feste WÖk-Grobkalibrierung</x:v>
      </x:c>
      <x:c r="L404" s="14" t="str">
        <x:v>Klassen +2 und −3 fehlen</x:v>
      </x:c>
      <x:c r="M404" s="14" t="str">
        <x:v>WÖk-interne Grobkalibrierung</x:v>
      </x:c>
      <x:c r="N404" s="14" t="str">
        <x:v>Optional/Nein</x:v>
      </x:c>
      <x:c r="O404" s="14" t="str">
        <x:v>EU‑Taxonomie TSC/DNSH</x:v>
      </x:c>
      <x:c r="P404" s="14" t="str">
        <x:v>ESRS E1, GHG Protocol (Corporate/Scope 1–3), ISO 14064/14067</x:v>
      </x:c>
      <x:c r="Q404" s="14" t="str">
        <x:v>Mess-, Berichts- oder Managementrahmen; Schwellen sind grundsätzlich WÖk-Kalibrierungen</x:v>
      </x:c>
      <x:c r="R404" s="14" t="str">
        <x:v>Messgrundlage belegt; Schwellenkalibrierung offen</x:v>
      </x:c>
      <x:c r="S404" s="14" t="str">
        <x:v>EU-TAX</x:v>
      </x:c>
      <x:c r="T404" s="14" t="str">
        <x:v>C20 Chemie; C24 Stahl; C29 Fahrzeuge</x:v>
      </x:c>
      <x:c r="U404" s="14" t="str">
        <x:v>Legacy / nicht explizit versioniert</x:v>
      </x:c>
      <x:c r="V404" s="51" t="str"/>
      <x:c r="W404" s="14" t="str">
        <x:v>Migration auf NACE Rev. 2.1 erforderlich</x:v>
      </x:c>
      <x:c r="X404" s="14" t="str">
        <x:v>Technologie-/Aktivitätsklasse; Anlagen-, Netz- oder Flottengrenze ausweisen</x:v>
      </x:c>
      <x:c r="Y404" s="14" t="str">
        <x:v>Nettoeffekt Biodiv: Net Gain/No Net Loss‑Bilanz (Projekt).</x:v>
      </x:c>
      <x:c r="Z404" s="14" t="str">
        <x:v>Primärdaten bevorzugt; Sekundärdaten nur transparent und versioniert; Methode und Systemgrenze dokumentieren</x:v>
      </x:c>
      <x:c r="AA404" s="14" t="str">
        <x:v>Limited Assurance; risikobasiert höhere Prüftiefe</x:v>
      </x:c>
      <x:c r="AB404" s="14" t="str">
        <x:v>Strukturell nutzbar; Schwellen fachlich zu validieren</x:v>
      </x:c>
      <x:c r="AC404" s="14" t="str">
        <x:v>Mittel</x:v>
      </x:c>
      <x:c r="AD404" s="14" t="str">
        <x:v>Automatik bildet nur die explizit vorhandenen Klassen ab.</x:v>
      </x:c>
      <x:c r="AE404" s="14" t="str">
        <x:v>v1.4</x:v>
      </x:c>
      <x:c r="AF404" s="52" t="str">
        <x:v>2026-08-16</x:v>
      </x:c>
      <x:c r="AG404" s="52"/>
    </x:row>
    <x:row r="405" ht="42" customHeight="1">
      <x:c r="A405" s="14" t="str">
        <x:v>WOK-POL-114</x:v>
      </x:c>
      <x:c r="B405" s="14" t="str">
        <x:v>SDG 15 – An Land</x:v>
      </x:c>
      <x:c r="C405" s="14" t="str">
        <x:v>15.5</x:v>
      </x:c>
      <x:c r="D405" s="14" t="str">
        <x:v>DNSH Biodiversität</x:v>
      </x:c>
      <x:c r="E405" s="14" t="str">
        <x:v>DNSH Biodiversität – DNSH‑Konformität</x:v>
      </x:c>
      <x:c r="F405" s="14" t="str">
        <x:v>‚Do No Significant Harm‘ erfüllt</x:v>
      </x:c>
      <x:c r="G405" s="14" t="str">
        <x:v>% Aktivitäten</x:v>
      </x:c>
      <x:c r="H405" s="14" t="str">
        <x:v>higher_is_better</x:v>
      </x:c>
      <x:c r="I405" s="14" t="str">
        <x:v>R25</x:v>
      </x:c>
      <x:c r="J405" s="14" t="str">
        <x:v>≥90%:+3; 70–89%:+2; 50–69%:0; 30–49%:‑2; &lt;30%:‑3</x:v>
      </x:c>
      <x:c r="K405" s="14" t="str">
        <x:v>Feste WÖk-Kalibrierung</x:v>
      </x:c>
      <x:c r="L405" s="14" t="str">
        <x:v>Arbeitskalibrierung – fachlich zu validieren</x:v>
      </x:c>
      <x:c r="M405" s="14" t="str">
        <x:v>WÖk-interne Klassenlogik</x:v>
      </x:c>
      <x:c r="N405" s="14" t="str">
        <x:v>Optional/Nein</x:v>
      </x:c>
      <x:c r="O405" s="14" t="str">
        <x:v>EU‑Taxonomie TSC/DNSH</x:v>
      </x:c>
      <x:c r="P405" s="14" t="str">
        <x:v>ESRS E4, CBD/GBF, EN 15978 (Bau)</x:v>
      </x:c>
      <x:c r="Q405" s="14" t="str">
        <x:v>Mess-, Berichts- oder Managementrahmen; Schwellen sind grundsätzlich WÖk-Kalibrierungen</x:v>
      </x:c>
      <x:c r="R405" s="14" t="str">
        <x:v>Messgrundlage belegt; Schwellenkalibrierung offen</x:v>
      </x:c>
      <x:c r="S405" s="14" t="str">
        <x:v>EU-TAX</x:v>
      </x:c>
      <x:c r="T405" s="14" t="str">
        <x:v>C20 Chemie; C24 Stahl; C29 Fahrzeuge</x:v>
      </x:c>
      <x:c r="U405" s="14" t="str">
        <x:v>Legacy / nicht explizit versioniert</x:v>
      </x:c>
      <x:c r="V405" s="51" t="str"/>
      <x:c r="W405" s="14" t="str">
        <x:v>Migration auf NACE Rev. 2.1 erforderlich</x:v>
      </x:c>
      <x:c r="X405" s="14" t="str">
        <x:v>Technologie-/Aktivitätsklasse; Anlagen-, Netz- oder Flottengrenze ausweisen</x:v>
      </x:c>
      <x:c r="Y405" s="14" t="str">
        <x:v>Nettoeffekt Biodiv: Net Gain/No Net Loss‑Bilanz (Projekt).</x:v>
      </x:c>
      <x:c r="Z405" s="14" t="str">
        <x:v>Primärdaten bevorzugt; Sekundärdaten nur transparent und versioniert; Methode und Systemgrenze dokumentieren</x:v>
      </x:c>
      <x:c r="AA405" s="14" t="str">
        <x:v>Limited Assurance; risikobasiert höhere Prüftiefe</x:v>
      </x:c>
      <x:c r="AB405" s="14" t="str">
        <x:v>Strukturell nutzbar; Schwellen fachlich zu validieren</x:v>
      </x:c>
      <x:c r="AC405" s="14" t="str">
        <x:v>Mittel</x:v>
      </x:c>
      <x:c r="AD405" s="14" t="str">
        <x:v>Vollständige fünfstufige Prozentregel.</x:v>
      </x:c>
      <x:c r="AE405" s="14" t="str">
        <x:v>v1.4</x:v>
      </x:c>
      <x:c r="AF405" s="52" t="str">
        <x:v>2026-08-16</x:v>
      </x:c>
      <x:c r="AG405" s="52"/>
    </x:row>
    <x:row r="406" ht="42" customHeight="1">
      <x:c r="A406" s="14" t="str">
        <x:v>WOK-POL-115</x:v>
      </x:c>
      <x:c r="B406" s="14" t="str">
        <x:v>SDG 15 – An Land</x:v>
      </x:c>
      <x:c r="C406" s="14" t="str">
        <x:v>15.5</x:v>
      </x:c>
      <x:c r="D406" s="14" t="str">
        <x:v>DNSH Biodiversität</x:v>
      </x:c>
      <x:c r="E406" s="14" t="str">
        <x:v>DNSH Biodiversität – TSC‑Schwellen</x:v>
      </x:c>
      <x:c r="F406" s="14" t="str">
        <x:v>Anteil unter technischen TSC‑Grenzen</x:v>
      </x:c>
      <x:c r="G406" s="14" t="str">
        <x:v>% Aktivitäten</x:v>
      </x:c>
      <x:c r="H406" s="14" t="str">
        <x:v>higher_is_better</x:v>
      </x:c>
      <x:c r="I406" s="14" t="str">
        <x:v>R25</x:v>
      </x:c>
      <x:c r="J406" s="14" t="str">
        <x:v>≥90%:+3; 70–89%:+2; 50–69%:0; 30–49%:‑2; &lt;30%:‑3</x:v>
      </x:c>
      <x:c r="K406" s="14" t="str">
        <x:v>Feste WÖk-Kalibrierung</x:v>
      </x:c>
      <x:c r="L406" s="14" t="str">
        <x:v>Arbeitskalibrierung – fachlich zu validieren</x:v>
      </x:c>
      <x:c r="M406" s="14" t="str">
        <x:v>WÖk-interne Klassenlogik</x:v>
      </x:c>
      <x:c r="N406" s="14" t="str">
        <x:v>Optional/Nein</x:v>
      </x:c>
      <x:c r="O406" s="14" t="str">
        <x:v>EU‑Taxonomie TSC/DNSH</x:v>
      </x:c>
      <x:c r="P406" s="14" t="str">
        <x:v>ESRS E4, CBD/GBF, EN 15978 (Bau)</x:v>
      </x:c>
      <x:c r="Q406" s="14" t="str">
        <x:v>Mess-, Berichts- oder Managementrahmen; Schwellen sind grundsätzlich WÖk-Kalibrierungen</x:v>
      </x:c>
      <x:c r="R406" s="14" t="str">
        <x:v>Messgrundlage belegt; Schwellenkalibrierung offen</x:v>
      </x:c>
      <x:c r="S406" s="14" t="str">
        <x:v>EU-TAX</x:v>
      </x:c>
      <x:c r="T406" s="14" t="str">
        <x:v>C20 Chemie; C24 Stahl; C29 Fahrzeuge</x:v>
      </x:c>
      <x:c r="U406" s="14" t="str">
        <x:v>Legacy / nicht explizit versioniert</x:v>
      </x:c>
      <x:c r="V406" s="51" t="str"/>
      <x:c r="W406" s="14" t="str">
        <x:v>Migration auf NACE Rev. 2.1 erforderlich</x:v>
      </x:c>
      <x:c r="X406" s="14" t="str">
        <x:v>Technologie-/Aktivitätsklasse; Anlagen-, Netz- oder Flottengrenze ausweisen</x:v>
      </x:c>
      <x:c r="Y406" s="14" t="str">
        <x:v>Nettoeffekt Biodiv: Net Gain/No Net Loss‑Bilanz (Projekt).</x:v>
      </x:c>
      <x:c r="Z406" s="14" t="str">
        <x:v>Primärdaten bevorzugt; Sekundärdaten nur transparent und versioniert; Methode und Systemgrenze dokumentieren</x:v>
      </x:c>
      <x:c r="AA406" s="14" t="str">
        <x:v>Limited Assurance; risikobasiert höhere Prüftiefe</x:v>
      </x:c>
      <x:c r="AB406" s="14" t="str">
        <x:v>Strukturell nutzbar; Schwellen fachlich zu validieren</x:v>
      </x:c>
      <x:c r="AC406" s="14" t="str">
        <x:v>Mittel</x:v>
      </x:c>
      <x:c r="AD406" s="14" t="str">
        <x:v>Vollständige fünfstufige Prozentregel.</x:v>
      </x:c>
      <x:c r="AE406" s="14" t="str">
        <x:v>v1.4</x:v>
      </x:c>
      <x:c r="AF406" s="52" t="str">
        <x:v>2026-08-16</x:v>
      </x:c>
      <x:c r="AG406" s="52"/>
    </x:row>
    <x:row r="407" ht="42" customHeight="1">
      <x:c r="A407" s="14" t="str">
        <x:v>WOK-E-218</x:v>
      </x:c>
      <x:c r="B407" s="14" t="str">
        <x:v>SDG 15 – An Land</x:v>
      </x:c>
      <x:c r="C407" s="14" t="str">
        <x:v>15.2</x:v>
      </x:c>
      <x:c r="D407" s="14" t="str">
        <x:v>Wiederaufforstung/Restoration</x:v>
      </x:c>
      <x:c r="E407" s="14" t="str">
        <x:v>Wiederaufforstung/Restoration – Nettoeffekt</x:v>
      </x:c>
      <x:c r="F407" s="14" t="str">
        <x:v>Net Gain/No Net Loss/Net Loss</x:v>
      </x:c>
      <x:c r="G407" s="14" t="str">
        <x:v>Qualitativ → Klasse</x:v>
      </x:c>
      <x:c r="H407" s="14" t="str">
        <x:v>higher_is_better</x:v>
      </x:c>
      <x:c r="I407" s="14" t="str">
        <x:v>R03</x:v>
      </x:c>
      <x:c r="J407" s="14" t="str">
        <x:v>Net Gain:+3; No Net Loss:0; Net Loss:‑2/‑3</x:v>
      </x:c>
      <x:c r="K407" s="14" t="str">
        <x:v>Qualitativ</x:v>
      </x:c>
      <x:c r="L407" s="14" t="str">
        <x:v>Assurance und Kriterienkatalog erforderlich</x:v>
      </x:c>
      <x:c r="M407" s="14" t="str">
        <x:v>WÖk-Kategorien; fachliche Definition je Wirkungsfeld</x:v>
      </x:c>
      <x:c r="N407" s="14" t="str">
        <x:v>Optional/Nein</x:v>
      </x:c>
      <x:c r="O407" s="14" t="str">
        <x:v>ESRS E4; GIS/KBA</x:v>
      </x:c>
      <x:c r="P407" s="14" t="str">
        <x:v>ESRS E4, CBD/GBF, EN 15978 (Bau)</x:v>
      </x:c>
      <x:c r="Q407" s="14" t="str">
        <x:v>Mess-, Berichts- oder Managementrahmen; Schwellen sind grundsätzlich WÖk-Kalibrierungen</x:v>
      </x:c>
      <x:c r="R407" s="14" t="str">
        <x:v>Messgrundlage belegt; Schwellenkalibrierung offen</x:v>
      </x:c>
      <x:c r="S407" s="14" t="str">
        <x:v>EU-ESRS; CBD-GBF; KBA-DATA; DATA-GIS</x:v>
      </x:c>
      <x:c r="T407" s="14" t="str">
        <x:v>L68 Immobilien; F41/F42 Bau</x:v>
      </x:c>
      <x:c r="U407" s="14" t="str">
        <x:v>Legacy / nicht explizit versioniert</x:v>
      </x:c>
      <x:c r="V407" s="51" t="str"/>
      <x:c r="W407" s="14" t="str">
        <x:v>Migration auf NACE Rev. 2.1 erforderlich</x:v>
      </x:c>
      <x:c r="X407" s="14" t="str">
        <x:v>Standort/Prozess/Aktivität; Bezugsgröße und relevante Umweltmedien</x:v>
      </x:c>
      <x:c r="Y407" s="14" t="str">
        <x:v>Siehe Quelle: Definition gemäß Standard (ESRS/GRI/Taxonomie/ISO).</x:v>
      </x:c>
      <x:c r="Z407" s="14" t="str">
        <x:v>Dokumentierter Kriterienkatalog; nachvollziehbare Evidenz; DQR A/B bevorzugt</x:v>
      </x:c>
      <x:c r="AA407" s="14" t="str">
        <x:v>Unabhängige Fachprüfung/Limited Assurance; bei roten Linien Reasonable Assurance</x:v>
      </x:c>
      <x:c r="AB407" s="14" t="str">
        <x:v>Prüfung/Parametrisierung erforderlich</x:v>
      </x:c>
      <x:c r="AC407" s="14" t="str">
        <x:v>Hoch</x:v>
      </x:c>
      <x:c r="AD407" s="14" t="str">
        <x:v>Net Gain/No Net Loss/Net Loss ist ohne feldspezifischen Nachweis nicht automatisierbar.</x:v>
      </x:c>
      <x:c r="AE407" s="14" t="str">
        <x:v>v1.4</x:v>
      </x:c>
      <x:c r="AF407" s="52" t="str">
        <x:v>2026-08-16</x:v>
      </x:c>
      <x:c r="AG407" s="52"/>
    </x:row>
    <x:row r="408" ht="42" customHeight="1">
      <x:c r="A408" s="14" t="str">
        <x:v>WOK-E-219</x:v>
      </x:c>
      <x:c r="B408" s="14" t="str">
        <x:v>SDG 15 – An Land</x:v>
      </x:c>
      <x:c r="C408" s="14" t="str">
        <x:v>15.2</x:v>
      </x:c>
      <x:c r="D408" s="14" t="str">
        <x:v>Wiederaufforstung/Restoration</x:v>
      </x:c>
      <x:c r="E408" s="14" t="str">
        <x:v>Wiederaufforstung/Restoration – Landumwandlung</x:v>
      </x:c>
      <x:c r="F408" s="14" t="str">
        <x:v>Neue Flächen mit hohem Risiko</x:v>
      </x:c>
      <x:c r="G408" s="14" t="str">
        <x:v>ha/Jahr</x:v>
      </x:c>
      <x:c r="H408" s="14" t="str">
        <x:v>lower_is_better</x:v>
      </x:c>
      <x:c r="I408" s="14" t="str">
        <x:v>R02</x:v>
      </x:c>
      <x:c r="J408" s="14" t="str">
        <x:v>0:+3; ≤1:+2; ≤3:0; ≤5:‑2; &gt;5:‑3</x:v>
      </x:c>
      <x:c r="K408" s="14" t="str">
        <x:v>Feste WÖk-Kalibrierung</x:v>
      </x:c>
      <x:c r="L408" s="14" t="str">
        <x:v>Arbeitskalibrierung – fachlich zu validieren</x:v>
      </x:c>
      <x:c r="M408" s="14" t="str">
        <x:v>WÖk-interne Klassenlogik</x:v>
      </x:c>
      <x:c r="N408" s="14" t="str">
        <x:v>Optional/Nein</x:v>
      </x:c>
      <x:c r="O408" s="14" t="str">
        <x:v>ESRS E4; GIS/KBA</x:v>
      </x:c>
      <x:c r="P408" s="14" t="str">
        <x:v>ESRS E4, CBD/GBF, EN 15978 (Bau)</x:v>
      </x:c>
      <x:c r="Q408" s="14" t="str">
        <x:v>Mess-, Berichts- oder Managementrahmen; Schwellen sind grundsätzlich WÖk-Kalibrierungen</x:v>
      </x:c>
      <x:c r="R408" s="14" t="str">
        <x:v>Messgrundlage belegt; Schwellenkalibrierung offen</x:v>
      </x:c>
      <x:c r="S408" s="14" t="str">
        <x:v>EU-ESRS; CBD-GBF; KBA-DATA; DATA-GIS</x:v>
      </x:c>
      <x:c r="T408" s="14" t="str">
        <x:v>L68 Immobilien; F41/F42 Bau</x:v>
      </x:c>
      <x:c r="U408" s="14" t="str">
        <x:v>Legacy / nicht explizit versioniert</x:v>
      </x:c>
      <x:c r="V408" s="51" t="str"/>
      <x:c r="W408" s="14" t="str">
        <x:v>Migration auf NACE Rev. 2.1 erforderlich</x:v>
      </x:c>
      <x:c r="X408" s="14" t="str">
        <x:v>Standort/Prozess/Aktivität; Bezugsgröße und relevante Umweltmedien</x:v>
      </x:c>
      <x:c r="Y408" s="14" t="str">
        <x:v>Siehe Quelle: Definition gemäß Standard (ESRS/GRI/Taxonomie/ISO).</x:v>
      </x:c>
      <x:c r="Z408" s="14" t="str">
        <x:v>Primärdaten bevorzugt; Sekundärdaten nur transparent und versioniert; Methode und Systemgrenze dokumentieren</x:v>
      </x:c>
      <x:c r="AA408" s="14" t="str">
        <x:v>Limited Assurance; risikobasiert höhere Prüftiefe</x:v>
      </x:c>
      <x:c r="AB408" s="14" t="str">
        <x:v>Strukturell nutzbar; Schwellen fachlich zu validieren</x:v>
      </x:c>
      <x:c r="AC408" s="14" t="str">
        <x:v>Mittel</x:v>
      </x:c>
      <x:c r="AD408" s="14" t="str">
        <x:v>Vollständige fünfstufige numerische Regel.</x:v>
      </x:c>
      <x:c r="AE408" s="14" t="str">
        <x:v>v1.4</x:v>
      </x:c>
      <x:c r="AF408" s="52" t="str">
        <x:v>2026-08-16</x:v>
      </x:c>
      <x:c r="AG408" s="52"/>
    </x:row>
    <x:row r="409" ht="42" customHeight="1">
      <x:c r="A409" s="14" t="str">
        <x:v>WOK-E-220</x:v>
      </x:c>
      <x:c r="B409" s="14" t="str">
        <x:v>SDG 15 – An Land</x:v>
      </x:c>
      <x:c r="C409" s="14" t="str">
        <x:v>15.2</x:v>
      </x:c>
      <x:c r="D409" s="14" t="str">
        <x:v>Wiederaufforstung/Restoration</x:v>
      </x:c>
      <x:c r="E409" s="14" t="str">
        <x:v>Wiederaufforstung/Restoration – Deforestationsfrei</x:v>
      </x:c>
      <x:c r="F409" s="14" t="str">
        <x:v>Anteil deforestationsfreie Rohstoffe</x:v>
      </x:c>
      <x:c r="G409" s="14" t="str">
        <x:v>%</x:v>
      </x:c>
      <x:c r="H409" s="14" t="str">
        <x:v>higher_is_better</x:v>
      </x:c>
      <x:c r="I409" s="14" t="str">
        <x:v>R28</x:v>
      </x:c>
      <x:c r="J409" s="14" t="str">
        <x:v>≥98:+3; 90–97:+2; 75–89:0; 50–74:‑2; &lt;50:‑3</x:v>
      </x:c>
      <x:c r="K409" s="14" t="str">
        <x:v>Feste WÖk-Kalibrierung</x:v>
      </x:c>
      <x:c r="L409" s="14" t="str">
        <x:v>Arbeitskalibrierung – fachlich zu validieren</x:v>
      </x:c>
      <x:c r="M409" s="14" t="str">
        <x:v>WÖk-interne Klassenlogik</x:v>
      </x:c>
      <x:c r="N409" s="14" t="str">
        <x:v>Optional/Nein</x:v>
      </x:c>
      <x:c r="O409" s="14" t="str">
        <x:v>ESRS E4; GIS/KBA</x:v>
      </x:c>
      <x:c r="P409" s="14" t="str">
        <x:v>ESRS E4, CBD/GBF, EN 15978 (Bau)</x:v>
      </x:c>
      <x:c r="Q409" s="14" t="str">
        <x:v>Mess-, Berichts- oder Managementrahmen; Schwellen sind grundsätzlich WÖk-Kalibrierungen</x:v>
      </x:c>
      <x:c r="R409" s="14" t="str">
        <x:v>Messgrundlage belegt; Schwellenkalibrierung offen</x:v>
      </x:c>
      <x:c r="S409" s="14" t="str">
        <x:v>EU-ESRS; CBD-GBF; KBA-DATA; DATA-GIS</x:v>
      </x:c>
      <x:c r="T409" s="14" t="str">
        <x:v>L68 Immobilien; F41/F42 Bau</x:v>
      </x:c>
      <x:c r="U409" s="14" t="str">
        <x:v>Legacy / nicht explizit versioniert</x:v>
      </x:c>
      <x:c r="V409" s="51" t="str"/>
      <x:c r="W409" s="14" t="str">
        <x:v>Migration auf NACE Rev. 2.1 erforderlich</x:v>
      </x:c>
      <x:c r="X409" s="14" t="str">
        <x:v>Standort/Prozess/Aktivität; Bezugsgröße und relevante Umweltmedien</x:v>
      </x:c>
      <x:c r="Y409" s="14" t="str">
        <x:v>Quote = Zähler / Nenner gemäß Quelle; in %.</x:v>
      </x:c>
      <x:c r="Z409" s="14" t="str">
        <x:v>Primärdaten bevorzugt; Sekundärdaten nur transparent und versioniert; Methode und Systemgrenze dokumentieren</x:v>
      </x:c>
      <x:c r="AA409" s="14" t="str">
        <x:v>Limited Assurance; risikobasiert höhere Prüftiefe</x:v>
      </x:c>
      <x:c r="AB409" s="14" t="str">
        <x:v>Strukturell nutzbar; Schwellen fachlich zu validieren</x:v>
      </x:c>
      <x:c r="AC409" s="14" t="str">
        <x:v>Mittel</x:v>
      </x:c>
      <x:c r="AD409" s="14" t="str">
        <x:v>Vollständige fünfstufige numerische Regel.</x:v>
      </x:c>
      <x:c r="AE409" s="14" t="str">
        <x:v>v1.4</x:v>
      </x:c>
      <x:c r="AF409" s="52" t="str">
        <x:v>2026-08-16</x:v>
      </x:c>
      <x:c r="AG409" s="52"/>
    </x:row>
    <x:row r="410" ht="42" customHeight="1">
      <x:c r="A410" s="14" t="str">
        <x:v>WOK-G-173</x:v>
      </x:c>
      <x:c r="B410" s="14" t="str">
        <x:v>SDG 16 – Institutionen</x:v>
      </x:c>
      <x:c r="C410" s="14" t="str">
        <x:v>16.5</x:v>
      </x:c>
      <x:c r="D410" s="14" t="str">
        <x:v>Antikorruption</x:v>
      </x:c>
      <x:c r="E410" s="14" t="str">
        <x:v>Antikorruption – Antikorruption</x:v>
      </x:c>
      <x:c r="F410" s="14" t="str">
        <x:v>Bestätigte Fälle/1.000 FTE</x:v>
      </x:c>
      <x:c r="G410" s="14" t="str">
        <x:v>Fälle/1.000 FTE</x:v>
      </x:c>
      <x:c r="H410" s="14" t="str">
        <x:v>lower_is_better</x:v>
      </x:c>
      <x:c r="I410" s="14" t="str">
        <x:v>R01</x:v>
      </x:c>
      <x:c r="J410" s="14" t="str">
        <x:v>0:+3; ≤0,2:+2; ≤0,5:0; ≤1:‑2; &gt;1:‑3</x:v>
      </x:c>
      <x:c r="K410" s="14" t="str">
        <x:v>Feste WÖk-Kalibrierung</x:v>
      </x:c>
      <x:c r="L410" s="14" t="str">
        <x:v>Arbeitskalibrierung – fachlich zu validieren</x:v>
      </x:c>
      <x:c r="M410" s="14" t="str">
        <x:v>WÖk-interne Klassenlogik</x:v>
      </x:c>
      <x:c r="N410" s="14" t="str">
        <x:v>Optional/Nein</x:v>
      </x:c>
      <x:c r="O410" s="14" t="str">
        <x:v>ESRS G1; GRI 205/207</x:v>
      </x:c>
      <x:c r="P410" s="14" t="str">
        <x:v>ESRS G1, GRI 205/207, OECD Anti‑Bribery</x:v>
      </x:c>
      <x:c r="Q410" s="14" t="str">
        <x:v>Mess-, Berichts- oder Managementrahmen; Schwellen sind grundsätzlich WÖk-Kalibrierungen</x:v>
      </x:c>
      <x:c r="R410" s="14" t="str">
        <x:v>Messgrundlage belegt; Schwellenkalibrierung offen</x:v>
      </x:c>
      <x:c r="S410" s="14" t="str">
        <x:v>EU-ESRS; GRI; OECD-AB</x:v>
      </x:c>
      <x:c r="T410" s="14" t="str">
        <x:v>G47 Handel; K Versicherungen; M72 F&amp;E</x:v>
      </x:c>
      <x:c r="U410" s="14" t="str">
        <x:v>Legacy / nicht explizit versioniert</x:v>
      </x:c>
      <x:c r="V410" s="51" t="str"/>
      <x:c r="W410" s="14" t="str">
        <x:v>Migration auf NACE Rev. 2.1 erforderlich</x:v>
      </x:c>
      <x:c r="X410" s="14" t="str">
        <x:v>Organisation/Governance; konsolidierter Kreis und relevante Rechtseinheiten</x:v>
      </x:c>
      <x:c r="Y410" s="14" t="str">
        <x:v>Siehe Quelle: Definition gemäß Standard (ESRS/GRI/Taxonomie/ISO).</x:v>
      </x:c>
      <x:c r="Z410" s="14" t="str">
        <x:v>Primärdaten bevorzugt; Sekundärdaten nur transparent und versioniert; Methode und Systemgrenze dokumentieren</x:v>
      </x:c>
      <x:c r="AA410" s="14" t="str">
        <x:v>Limited Assurance; risikobasiert höhere Prüftiefe</x:v>
      </x:c>
      <x:c r="AB410" s="14" t="str">
        <x:v>Strukturell nutzbar; Schwellen fachlich zu validieren</x:v>
      </x:c>
      <x:c r="AC410" s="14" t="str">
        <x:v>Mittel</x:v>
      </x:c>
      <x:c r="AD410" s="14" t="str">
        <x:v>Vollständige fünfstufige numerische Regel.</x:v>
      </x:c>
      <x:c r="AE410" s="14" t="str">
        <x:v>v1.4</x:v>
      </x:c>
      <x:c r="AF410" s="52" t="str">
        <x:v>2026-08-16</x:v>
      </x:c>
      <x:c r="AG410" s="52"/>
    </x:row>
    <x:row r="411" ht="42" customHeight="1">
      <x:c r="A411" s="14" t="str">
        <x:v>WOK-G-174</x:v>
      </x:c>
      <x:c r="B411" s="14" t="str">
        <x:v>SDG 16 – Institutionen</x:v>
      </x:c>
      <x:c r="C411" s="14" t="str">
        <x:v>16.5</x:v>
      </x:c>
      <x:c r="D411" s="14" t="str">
        <x:v>Antikorruption</x:v>
      </x:c>
      <x:c r="E411" s="14" t="str">
        <x:v>Antikorruption – Whistleblowing</x:v>
      </x:c>
      <x:c r="F411" s="14" t="str">
        <x:v>Wirksamkeits‑Score</x:v>
      </x:c>
      <x:c r="G411" s="14" t="str">
        <x:v>0–1</x:v>
      </x:c>
      <x:c r="H411" s="14" t="str">
        <x:v>higher_is_better</x:v>
      </x:c>
      <x:c r="I411" s="14" t="str">
        <x:v>R16</x:v>
      </x:c>
      <x:c r="J411" s="14" t="str">
        <x:v>≥0,9:+3; 0,75–0,89:+2; 0,6–0,74:0; 0,4–0,59:‑2; &lt;0,4:‑3</x:v>
      </x:c>
      <x:c r="K411" s="14" t="str">
        <x:v>Feste WÖk-Kalibrierung</x:v>
      </x:c>
      <x:c r="L411" s="14" t="str">
        <x:v>Arbeitskalibrierung – fachlich zu validieren</x:v>
      </x:c>
      <x:c r="M411" s="14" t="str">
        <x:v>WÖk-interne Klassenlogik</x:v>
      </x:c>
      <x:c r="N411" s="14" t="str">
        <x:v>Optional/Nein</x:v>
      </x:c>
      <x:c r="O411" s="14" t="str">
        <x:v>ESRS G1; GRI 205/207</x:v>
      </x:c>
      <x:c r="P411" s="14" t="str">
        <x:v>ESRS G1, GRI 205/207, OECD Anti‑Bribery</x:v>
      </x:c>
      <x:c r="Q411" s="14" t="str">
        <x:v>Mess-, Berichts- oder Managementrahmen; Schwellen sind grundsätzlich WÖk-Kalibrierungen</x:v>
      </x:c>
      <x:c r="R411" s="14" t="str">
        <x:v>Messgrundlage belegt; Schwellenkalibrierung offen</x:v>
      </x:c>
      <x:c r="S411" s="14" t="str">
        <x:v>EU-ESRS; GRI; OECD-AB</x:v>
      </x:c>
      <x:c r="T411" s="14" t="str">
        <x:v>G47 Handel; K Versicherungen; M72 F&amp;E</x:v>
      </x:c>
      <x:c r="U411" s="14" t="str">
        <x:v>Legacy / nicht explizit versioniert</x:v>
      </x:c>
      <x:c r="V411" s="51" t="str"/>
      <x:c r="W411" s="14" t="str">
        <x:v>Migration auf NACE Rev. 2.1 erforderlich</x:v>
      </x:c>
      <x:c r="X411" s="14" t="str">
        <x:v>Organisation/Governance; konsolidierter Kreis und relevante Rechtseinheiten</x:v>
      </x:c>
      <x:c r="Y411" s="14" t="str">
        <x:v>Siehe Quelle: Definition gemäß Standard (ESRS/GRI/Taxonomie/ISO).</x:v>
      </x:c>
      <x:c r="Z411" s="14" t="str">
        <x:v>Primärdaten bevorzugt; Sekundärdaten nur transparent und versioniert; Methode und Systemgrenze dokumentieren</x:v>
      </x:c>
      <x:c r="AA411" s="14" t="str">
        <x:v>Limited Assurance; risikobasiert höhere Prüftiefe</x:v>
      </x:c>
      <x:c r="AB411" s="14" t="str">
        <x:v>Strukturell nutzbar; Schwellen fachlich zu validieren</x:v>
      </x:c>
      <x:c r="AC411" s="14" t="str">
        <x:v>Mittel</x:v>
      </x:c>
      <x:c r="AD411" s="14" t="str">
        <x:v>Vollständige fünfstufige numerische Regel.</x:v>
      </x:c>
      <x:c r="AE411" s="14" t="str">
        <x:v>v1.4</x:v>
      </x:c>
      <x:c r="AF411" s="52" t="str">
        <x:v>2026-08-16</x:v>
      </x:c>
      <x:c r="AG411" s="52"/>
    </x:row>
    <x:row r="412" ht="42" customHeight="1">
      <x:c r="A412" s="14" t="str">
        <x:v>WOK-G-175</x:v>
      </x:c>
      <x:c r="B412" s="14" t="str">
        <x:v>SDG 16 – Institutionen</x:v>
      </x:c>
      <x:c r="C412" s="14" t="str">
        <x:v>16.5</x:v>
      </x:c>
      <x:c r="D412" s="14" t="str">
        <x:v>Antikorruption</x:v>
      </x:c>
      <x:c r="E412" s="14" t="str">
        <x:v>Antikorruption – Steuertransparenz</x:v>
      </x:c>
      <x:c r="F412" s="14" t="str">
        <x:v>CbCR‑Offenlegung</x:v>
      </x:c>
      <x:c r="G412" s="14" t="str">
        <x:v>0–1</x:v>
      </x:c>
      <x:c r="H412" s="14" t="str">
        <x:v>higher_is_better</x:v>
      </x:c>
      <x:c r="I412" s="14" t="str">
        <x:v>R08</x:v>
      </x:c>
      <x:c r="J412" s="14" t="str">
        <x:v>vollständig:+3; teilweise:+2; minimal:0; schlecht:‑2</x:v>
      </x:c>
      <x:c r="K412" s="14" t="str">
        <x:v>Qualitativ</x:v>
      </x:c>
      <x:c r="L412" s="14" t="str">
        <x:v>Assurance und Kriterienkatalog erforderlich</x:v>
      </x:c>
      <x:c r="M412" s="14" t="str">
        <x:v>WÖk-interne Kategorien</x:v>
      </x:c>
      <x:c r="N412" s="14" t="str">
        <x:v>Optional/Nein</x:v>
      </x:c>
      <x:c r="O412" s="14" t="str">
        <x:v>ESRS G1; GRI 205/207</x:v>
      </x:c>
      <x:c r="P412" s="14" t="str">
        <x:v>ESRS G1, GRI 205/207, OECD Anti‑Bribery</x:v>
      </x:c>
      <x:c r="Q412" s="14" t="str">
        <x:v>Mess-, Berichts- oder Managementrahmen; Schwellen sind grundsätzlich WÖk-Kalibrierungen</x:v>
      </x:c>
      <x:c r="R412" s="14" t="str">
        <x:v>Messgrundlage belegt; Schwellenkalibrierung offen</x:v>
      </x:c>
      <x:c r="S412" s="14" t="str">
        <x:v>EU-ESRS; GRI; OECD-AB</x:v>
      </x:c>
      <x:c r="T412" s="14" t="str">
        <x:v>G47 Handel; K Versicherungen; M72 F&amp;E</x:v>
      </x:c>
      <x:c r="U412" s="14" t="str">
        <x:v>Legacy / nicht explizit versioniert</x:v>
      </x:c>
      <x:c r="V412" s="51" t="str"/>
      <x:c r="W412" s="14" t="str">
        <x:v>Migration auf NACE Rev. 2.1 erforderlich</x:v>
      </x:c>
      <x:c r="X412" s="14" t="str">
        <x:v>Organisation/Governance; konsolidierter Kreis und relevante Rechtseinheiten</x:v>
      </x:c>
      <x:c r="Y412" s="14" t="str">
        <x:v>Siehe Quelle: Definition gemäß Standard (ESRS/GRI/Taxonomie/ISO).</x:v>
      </x:c>
      <x:c r="Z412" s="14" t="str">
        <x:v>Dokumentierter Kriterienkatalog; nachvollziehbare Evidenz; DQR A/B bevorzugt</x:v>
      </x:c>
      <x:c r="AA412" s="14" t="str">
        <x:v>Unabhängige Fachprüfung/Limited Assurance; bei roten Linien Reasonable Assurance</x:v>
      </x:c>
      <x:c r="AB412" s="14" t="str">
        <x:v>Prüfung/Parametrisierung erforderlich</x:v>
      </x:c>
      <x:c r="AC412" s="14" t="str">
        <x:v>Hoch</x:v>
      </x:c>
      <x:c r="AD412" s="14" t="str">
        <x:v>Die Kategorie −3 fehlt; Vollständigkeit und Wirksamkeit sind feldspezifisch zu definieren.</x:v>
      </x:c>
      <x:c r="AE412" s="14" t="str">
        <x:v>v1.4</x:v>
      </x:c>
      <x:c r="AF412" s="52" t="str">
        <x:v>2026-08-16</x:v>
      </x:c>
      <x:c r="AG412" s="52"/>
    </x:row>
    <x:row r="413" ht="42" customHeight="1">
      <x:c r="A413" s="14" t="str">
        <x:v>WOK-G-176</x:v>
      </x:c>
      <x:c r="B413" s="14" t="str">
        <x:v>SDG 16 – Institutionen</x:v>
      </x:c>
      <x:c r="C413" s="14" t="str">
        <x:v>16.6</x:v>
      </x:c>
      <x:c r="D413" s="14" t="str">
        <x:v>Whistleblowing‑Wirksamkeit</x:v>
      </x:c>
      <x:c r="E413" s="14" t="str">
        <x:v>Whistleblowing‑Wirksamkeit – Antikorruption</x:v>
      </x:c>
      <x:c r="F413" s="14" t="str">
        <x:v>Bestätigte Fälle/1.000 FTE</x:v>
      </x:c>
      <x:c r="G413" s="14" t="str">
        <x:v>Fälle/1.000 FTE</x:v>
      </x:c>
      <x:c r="H413" s="14" t="str">
        <x:v>lower_is_better</x:v>
      </x:c>
      <x:c r="I413" s="14" t="str">
        <x:v>R01</x:v>
      </x:c>
      <x:c r="J413" s="14" t="str">
        <x:v>0:+3; ≤0,2:+2; ≤0,5:0; ≤1:‑2; &gt;1:‑3</x:v>
      </x:c>
      <x:c r="K413" s="14" t="str">
        <x:v>Feste WÖk-Kalibrierung</x:v>
      </x:c>
      <x:c r="L413" s="14" t="str">
        <x:v>Arbeitskalibrierung – fachlich zu validieren</x:v>
      </x:c>
      <x:c r="M413" s="14" t="str">
        <x:v>WÖk-interne Klassenlogik</x:v>
      </x:c>
      <x:c r="N413" s="14" t="str">
        <x:v>Optional/Nein</x:v>
      </x:c>
      <x:c r="O413" s="14" t="str">
        <x:v>ESRS G1; GRI 205/207</x:v>
      </x:c>
      <x:c r="P413" s="14" t="str">
        <x:v>ESRS G1, GRI 205/207, OECD Anti‑Bribery</x:v>
      </x:c>
      <x:c r="Q413" s="14" t="str">
        <x:v>Mess-, Berichts- oder Managementrahmen; Schwellen sind grundsätzlich WÖk-Kalibrierungen</x:v>
      </x:c>
      <x:c r="R413" s="14" t="str">
        <x:v>Messgrundlage belegt; Schwellenkalibrierung offen</x:v>
      </x:c>
      <x:c r="S413" s="14" t="str">
        <x:v>EU-ESRS; GRI; OECD-AB</x:v>
      </x:c>
      <x:c r="T413" s="14" t="str">
        <x:v>G47 Handel; K Versicherungen; M72 F&amp;E</x:v>
      </x:c>
      <x:c r="U413" s="14" t="str">
        <x:v>Legacy / nicht explizit versioniert</x:v>
      </x:c>
      <x:c r="V413" s="51" t="str"/>
      <x:c r="W413" s="14" t="str">
        <x:v>Migration auf NACE Rev. 2.1 erforderlich</x:v>
      </x:c>
      <x:c r="X413" s="14" t="str">
        <x:v>Organisation/Governance; konsolidierter Kreis und relevante Rechtseinheiten</x:v>
      </x:c>
      <x:c r="Y413" s="14" t="str">
        <x:v>Siehe Quelle: Definition gemäß Standard (ESRS/GRI/Taxonomie/ISO).</x:v>
      </x:c>
      <x:c r="Z413" s="14" t="str">
        <x:v>Primärdaten bevorzugt; Sekundärdaten nur transparent und versioniert; Methode und Systemgrenze dokumentieren</x:v>
      </x:c>
      <x:c r="AA413" s="14" t="str">
        <x:v>Limited Assurance; risikobasiert höhere Prüftiefe</x:v>
      </x:c>
      <x:c r="AB413" s="14" t="str">
        <x:v>Strukturell nutzbar; Schwellen fachlich zu validieren</x:v>
      </x:c>
      <x:c r="AC413" s="14" t="str">
        <x:v>Mittel</x:v>
      </x:c>
      <x:c r="AD413" s="14" t="str">
        <x:v>Vollständige fünfstufige numerische Regel.</x:v>
      </x:c>
      <x:c r="AE413" s="14" t="str">
        <x:v>v1.4</x:v>
      </x:c>
      <x:c r="AF413" s="52" t="str">
        <x:v>2026-08-16</x:v>
      </x:c>
      <x:c r="AG413" s="52"/>
    </x:row>
    <x:row r="414" ht="42" customHeight="1">
      <x:c r="A414" s="14" t="str">
        <x:v>WOK-G-177</x:v>
      </x:c>
      <x:c r="B414" s="14" t="str">
        <x:v>SDG 16 – Institutionen</x:v>
      </x:c>
      <x:c r="C414" s="14" t="str">
        <x:v>16.6</x:v>
      </x:c>
      <x:c r="D414" s="14" t="str">
        <x:v>Whistleblowing‑Wirksamkeit</x:v>
      </x:c>
      <x:c r="E414" s="14" t="str">
        <x:v>Whistleblowing‑Wirksamkeit – Whistleblowing</x:v>
      </x:c>
      <x:c r="F414" s="14" t="str">
        <x:v>Wirksamkeits‑Score</x:v>
      </x:c>
      <x:c r="G414" s="14" t="str">
        <x:v>0–1</x:v>
      </x:c>
      <x:c r="H414" s="14" t="str">
        <x:v>higher_is_better</x:v>
      </x:c>
      <x:c r="I414" s="14" t="str">
        <x:v>R16</x:v>
      </x:c>
      <x:c r="J414" s="14" t="str">
        <x:v>≥0,9:+3; 0,75–0,89:+2; 0,6–0,74:0; 0,4–0,59:‑2; &lt;0,4:‑3</x:v>
      </x:c>
      <x:c r="K414" s="14" t="str">
        <x:v>Feste WÖk-Kalibrierung</x:v>
      </x:c>
      <x:c r="L414" s="14" t="str">
        <x:v>Arbeitskalibrierung – fachlich zu validieren</x:v>
      </x:c>
      <x:c r="M414" s="14" t="str">
        <x:v>WÖk-interne Klassenlogik</x:v>
      </x:c>
      <x:c r="N414" s="14" t="str">
        <x:v>Optional/Nein</x:v>
      </x:c>
      <x:c r="O414" s="14" t="str">
        <x:v>ESRS G1; GRI 205/207</x:v>
      </x:c>
      <x:c r="P414" s="14" t="str">
        <x:v>ESRS G1, GRI 205/207, OECD Anti‑Bribery</x:v>
      </x:c>
      <x:c r="Q414" s="14" t="str">
        <x:v>Mess-, Berichts- oder Managementrahmen; Schwellen sind grundsätzlich WÖk-Kalibrierungen</x:v>
      </x:c>
      <x:c r="R414" s="14" t="str">
        <x:v>Messgrundlage belegt; Schwellenkalibrierung offen</x:v>
      </x:c>
      <x:c r="S414" s="14" t="str">
        <x:v>EU-ESRS; GRI; OECD-AB</x:v>
      </x:c>
      <x:c r="T414" s="14" t="str">
        <x:v>G47 Handel; K Versicherungen; M72 F&amp;E</x:v>
      </x:c>
      <x:c r="U414" s="14" t="str">
        <x:v>Legacy / nicht explizit versioniert</x:v>
      </x:c>
      <x:c r="V414" s="51" t="str"/>
      <x:c r="W414" s="14" t="str">
        <x:v>Migration auf NACE Rev. 2.1 erforderlich</x:v>
      </x:c>
      <x:c r="X414" s="14" t="str">
        <x:v>Organisation/Governance; konsolidierter Kreis und relevante Rechtseinheiten</x:v>
      </x:c>
      <x:c r="Y414" s="14" t="str">
        <x:v>Siehe Quelle: Definition gemäß Standard (ESRS/GRI/Taxonomie/ISO).</x:v>
      </x:c>
      <x:c r="Z414" s="14" t="str">
        <x:v>Primärdaten bevorzugt; Sekundärdaten nur transparent und versioniert; Methode und Systemgrenze dokumentieren</x:v>
      </x:c>
      <x:c r="AA414" s="14" t="str">
        <x:v>Limited Assurance; risikobasiert höhere Prüftiefe</x:v>
      </x:c>
      <x:c r="AB414" s="14" t="str">
        <x:v>Strukturell nutzbar; Schwellen fachlich zu validieren</x:v>
      </x:c>
      <x:c r="AC414" s="14" t="str">
        <x:v>Mittel</x:v>
      </x:c>
      <x:c r="AD414" s="14" t="str">
        <x:v>Vollständige fünfstufige numerische Regel.</x:v>
      </x:c>
      <x:c r="AE414" s="14" t="str">
        <x:v>v1.4</x:v>
      </x:c>
      <x:c r="AF414" s="52" t="str">
        <x:v>2026-08-16</x:v>
      </x:c>
      <x:c r="AG414" s="52"/>
    </x:row>
    <x:row r="415" ht="42" customHeight="1">
      <x:c r="A415" s="14" t="str">
        <x:v>WOK-G-178</x:v>
      </x:c>
      <x:c r="B415" s="14" t="str">
        <x:v>SDG 16 – Institutionen</x:v>
      </x:c>
      <x:c r="C415" s="14" t="str">
        <x:v>16.6</x:v>
      </x:c>
      <x:c r="D415" s="14" t="str">
        <x:v>Whistleblowing‑Wirksamkeit</x:v>
      </x:c>
      <x:c r="E415" s="14" t="str">
        <x:v>Whistleblowing‑Wirksamkeit – Steuertransparenz</x:v>
      </x:c>
      <x:c r="F415" s="14" t="str">
        <x:v>CbCR‑Offenlegung</x:v>
      </x:c>
      <x:c r="G415" s="14" t="str">
        <x:v>0–1</x:v>
      </x:c>
      <x:c r="H415" s="14" t="str">
        <x:v>higher_is_better</x:v>
      </x:c>
      <x:c r="I415" s="14" t="str">
        <x:v>R08</x:v>
      </x:c>
      <x:c r="J415" s="14" t="str">
        <x:v>vollständig:+3; teilweise:+2; minimal:0; schlecht:‑2</x:v>
      </x:c>
      <x:c r="K415" s="14" t="str">
        <x:v>Qualitativ</x:v>
      </x:c>
      <x:c r="L415" s="14" t="str">
        <x:v>Assurance und Kriterienkatalog erforderlich</x:v>
      </x:c>
      <x:c r="M415" s="14" t="str">
        <x:v>WÖk-interne Kategorien</x:v>
      </x:c>
      <x:c r="N415" s="14" t="str">
        <x:v>Optional/Nein</x:v>
      </x:c>
      <x:c r="O415" s="14" t="str">
        <x:v>ESRS G1; GRI 205/207</x:v>
      </x:c>
      <x:c r="P415" s="14" t="str">
        <x:v>ESRS G1, GRI 205/207, OECD Anti‑Bribery</x:v>
      </x:c>
      <x:c r="Q415" s="14" t="str">
        <x:v>Mess-, Berichts- oder Managementrahmen; Schwellen sind grundsätzlich WÖk-Kalibrierungen</x:v>
      </x:c>
      <x:c r="R415" s="14" t="str">
        <x:v>Messgrundlage belegt; Schwellenkalibrierung offen</x:v>
      </x:c>
      <x:c r="S415" s="14" t="str">
        <x:v>EU-ESRS; GRI; OECD-AB</x:v>
      </x:c>
      <x:c r="T415" s="14" t="str">
        <x:v>G47 Handel; K Versicherungen; M72 F&amp;E</x:v>
      </x:c>
      <x:c r="U415" s="14" t="str">
        <x:v>Legacy / nicht explizit versioniert</x:v>
      </x:c>
      <x:c r="V415" s="51" t="str"/>
      <x:c r="W415" s="14" t="str">
        <x:v>Migration auf NACE Rev. 2.1 erforderlich</x:v>
      </x:c>
      <x:c r="X415" s="14" t="str">
        <x:v>Organisation/Governance; konsolidierter Kreis und relevante Rechtseinheiten</x:v>
      </x:c>
      <x:c r="Y415" s="14" t="str">
        <x:v>Siehe Quelle: Definition gemäß Standard (ESRS/GRI/Taxonomie/ISO).</x:v>
      </x:c>
      <x:c r="Z415" s="14" t="str">
        <x:v>Dokumentierter Kriterienkatalog; nachvollziehbare Evidenz; DQR A/B bevorzugt</x:v>
      </x:c>
      <x:c r="AA415" s="14" t="str">
        <x:v>Unabhängige Fachprüfung/Limited Assurance; bei roten Linien Reasonable Assurance</x:v>
      </x:c>
      <x:c r="AB415" s="14" t="str">
        <x:v>Prüfung/Parametrisierung erforderlich</x:v>
      </x:c>
      <x:c r="AC415" s="14" t="str">
        <x:v>Hoch</x:v>
      </x:c>
      <x:c r="AD415" s="14" t="str">
        <x:v>Die Kategorie −3 fehlt; Vollständigkeit und Wirksamkeit sind feldspezifisch zu definieren.</x:v>
      </x:c>
      <x:c r="AE415" s="14" t="str">
        <x:v>v1.4</x:v>
      </x:c>
      <x:c r="AF415" s="52" t="str">
        <x:v>2026-08-16</x:v>
      </x:c>
      <x:c r="AG415" s="52"/>
    </x:row>
    <x:row r="416" ht="42" customHeight="1">
      <x:c r="A416" s="14" t="str">
        <x:v>WOK-G-179</x:v>
      </x:c>
      <x:c r="B416" s="14" t="str">
        <x:v>SDG 16 – Institutionen</x:v>
      </x:c>
      <x:c r="C416" s="14" t="str">
        <x:v>16.10</x:v>
      </x:c>
      <x:c r="D416" s="14" t="str">
        <x:v>Datenschutz/IT‑Sicherheit</x:v>
      </x:c>
      <x:c r="E416" s="14" t="str">
        <x:v>Datenschutz/IT‑Sicherheit – Datenschutzvorfälle</x:v>
      </x:c>
      <x:c r="F416" s="14" t="str">
        <x:v>Fälle pro 1 Mio Kunden</x:v>
      </x:c>
      <x:c r="G416" s="14" t="str">
        <x:v>Fälle/Mio</x:v>
      </x:c>
      <x:c r="H416" s="14" t="str">
        <x:v>lower_is_better</x:v>
      </x:c>
      <x:c r="I416" s="14" t="str">
        <x:v>R02</x:v>
      </x:c>
      <x:c r="J416" s="14" t="str">
        <x:v>0:+3; ≤1:+2; ≤3:0; ≤5:‑2; &gt;5:‑3</x:v>
      </x:c>
      <x:c r="K416" s="14" t="str">
        <x:v>Feste WÖk-Kalibrierung</x:v>
      </x:c>
      <x:c r="L416" s="14" t="str">
        <x:v>Arbeitskalibrierung – fachlich zu validieren</x:v>
      </x:c>
      <x:c r="M416" s="14" t="str">
        <x:v>WÖk-interne Klassenlogik</x:v>
      </x:c>
      <x:c r="N416" s="14" t="str">
        <x:v>Optional/Nein</x:v>
      </x:c>
      <x:c r="O416" s="14" t="str">
        <x:v>ISO 14067/50001/45001/22301/27701/23894</x:v>
      </x:c>
      <x:c r="P416" s="14" t="str">
        <x:v>ISO/IEC 27001 &amp; 27701, NIS2</x:v>
      </x:c>
      <x:c r="Q416" s="14" t="str">
        <x:v>Mess-, Berichts- oder Managementrahmen; Schwellen sind grundsätzlich WÖk-Kalibrierungen</x:v>
      </x:c>
      <x:c r="R416" s="14" t="str">
        <x:v>Messgrundlage belegt; Schwellenkalibrierung offen</x:v>
      </x:c>
      <x:c r="S416" s="14" t="str">
        <x:v>ISO-14067; ISO-50001; ISO-45001; ISO-22301; ISO-27701; ISO-23894</x:v>
      </x:c>
      <x:c r="T416" s="14" t="str">
        <x:v>G47 Handel; K Versicherungen; M72 F&amp;E</x:v>
      </x:c>
      <x:c r="U416" s="14" t="str">
        <x:v>Legacy / nicht explizit versioniert</x:v>
      </x:c>
      <x:c r="V416" s="51" t="str"/>
      <x:c r="W416" s="14" t="str">
        <x:v>Migration auf NACE Rev. 2.1 erforderlich</x:v>
      </x:c>
      <x:c r="X416" s="14" t="str">
        <x:v>Organisation/Governance; konsolidierter Kreis und relevante Rechtseinheiten</x:v>
      </x:c>
      <x:c r="Y416" s="14" t="str">
        <x:v>Vorfälle pro 1 Mio. Kunden (DSGVO/NIS2).</x:v>
      </x:c>
      <x:c r="Z416" s="14" t="str">
        <x:v>Primärdaten bevorzugt; Sekundärdaten nur transparent und versioniert; Methode und Systemgrenze dokumentieren</x:v>
      </x:c>
      <x:c r="AA416" s="14" t="str">
        <x:v>Limited Assurance; risikobasiert höhere Prüftiefe</x:v>
      </x:c>
      <x:c r="AB416" s="14" t="str">
        <x:v>Strukturell nutzbar; Schwellen fachlich zu validieren</x:v>
      </x:c>
      <x:c r="AC416" s="14" t="str">
        <x:v>Mittel</x:v>
      </x:c>
      <x:c r="AD416" s="14" t="str">
        <x:v>Vollständige fünfstufige numerische Regel.</x:v>
      </x:c>
      <x:c r="AE416" s="14" t="str">
        <x:v>v1.4</x:v>
      </x:c>
      <x:c r="AF416" s="52" t="str">
        <x:v>2026-08-16</x:v>
      </x:c>
      <x:c r="AG416" s="52"/>
    </x:row>
    <x:row r="417" ht="42" customHeight="1">
      <x:c r="A417" s="14" t="str">
        <x:v>WOK-G-180</x:v>
      </x:c>
      <x:c r="B417" s="14" t="str">
        <x:v>SDG 16 – Institutionen</x:v>
      </x:c>
      <x:c r="C417" s="14" t="str">
        <x:v>16.10</x:v>
      </x:c>
      <x:c r="D417" s="14" t="str">
        <x:v>Datenschutz/IT‑Sicherheit</x:v>
      </x:c>
      <x:c r="E417" s="14" t="str">
        <x:v>Datenschutz/IT‑Sicherheit – Privacy by Design</x:v>
      </x:c>
      <x:c r="F417" s="14" t="str">
        <x:v>Abdeckung relevanter Features/Produkte</x:v>
      </x:c>
      <x:c r="G417" s="14" t="str">
        <x:v>%</x:v>
      </x:c>
      <x:c r="H417" s="14" t="str">
        <x:v>higher_is_better</x:v>
      </x:c>
      <x:c r="I417" s="14" t="str">
        <x:v>R25</x:v>
      </x:c>
      <x:c r="J417" s="14" t="str">
        <x:v>≥90%:+3; 70–89%:+2; 50–69%:0; 30–49%:‑2; &lt;30%:‑3</x:v>
      </x:c>
      <x:c r="K417" s="14" t="str">
        <x:v>Feste WÖk-Kalibrierung</x:v>
      </x:c>
      <x:c r="L417" s="14" t="str">
        <x:v>Arbeitskalibrierung – fachlich zu validieren</x:v>
      </x:c>
      <x:c r="M417" s="14" t="str">
        <x:v>WÖk-interne Klassenlogik</x:v>
      </x:c>
      <x:c r="N417" s="14" t="str">
        <x:v>Optional/Nein</x:v>
      </x:c>
      <x:c r="O417" s="14" t="str">
        <x:v>ISO 14067/50001/45001/22301/27701/23894</x:v>
      </x:c>
      <x:c r="P417" s="14" t="str">
        <x:v>ISO/IEC 27001 &amp; 27701, NIS2</x:v>
      </x:c>
      <x:c r="Q417" s="14" t="str">
        <x:v>Mess-, Berichts- oder Managementrahmen; Schwellen sind grundsätzlich WÖk-Kalibrierungen</x:v>
      </x:c>
      <x:c r="R417" s="14" t="str">
        <x:v>Messgrundlage belegt; Schwellenkalibrierung offen</x:v>
      </x:c>
      <x:c r="S417" s="14" t="str">
        <x:v>ISO-14067; ISO-50001; ISO-45001; ISO-22301; ISO-27701; ISO-23894</x:v>
      </x:c>
      <x:c r="T417" s="14" t="str">
        <x:v>G47 Handel; K Versicherungen; M72 F&amp;E</x:v>
      </x:c>
      <x:c r="U417" s="14" t="str">
        <x:v>Legacy / nicht explizit versioniert</x:v>
      </x:c>
      <x:c r="V417" s="51" t="str"/>
      <x:c r="W417" s="14" t="str">
        <x:v>Migration auf NACE Rev. 2.1 erforderlich</x:v>
      </x:c>
      <x:c r="X417" s="14" t="str">
        <x:v>Organisation/Governance; konsolidierter Kreis und relevante Rechtseinheiten</x:v>
      </x:c>
      <x:c r="Y417" s="14" t="str">
        <x:v>Vorfälle pro 1 Mio. Kunden (DSGVO/NIS2).</x:v>
      </x:c>
      <x:c r="Z417" s="14" t="str">
        <x:v>Primärdaten bevorzugt; Sekundärdaten nur transparent und versioniert; Methode und Systemgrenze dokumentieren</x:v>
      </x:c>
      <x:c r="AA417" s="14" t="str">
        <x:v>Limited Assurance; risikobasiert höhere Prüftiefe</x:v>
      </x:c>
      <x:c r="AB417" s="14" t="str">
        <x:v>Strukturell nutzbar; Schwellen fachlich zu validieren</x:v>
      </x:c>
      <x:c r="AC417" s="14" t="str">
        <x:v>Mittel</x:v>
      </x:c>
      <x:c r="AD417" s="14" t="str">
        <x:v>Vollständige fünfstufige Prozentregel.</x:v>
      </x:c>
      <x:c r="AE417" s="14" t="str">
        <x:v>v1.4</x:v>
      </x:c>
      <x:c r="AF417" s="52" t="str">
        <x:v>2026-08-16</x:v>
      </x:c>
      <x:c r="AG417" s="52"/>
    </x:row>
    <x:row r="418" ht="42" customHeight="1">
      <x:c r="A418" s="14" t="str">
        <x:v>WOK-G-181</x:v>
      </x:c>
      <x:c r="B418" s="14" t="str">
        <x:v>SDG 16 – Institutionen</x:v>
      </x:c>
      <x:c r="C418" s="14" t="str">
        <x:v>16.10</x:v>
      </x:c>
      <x:c r="D418" s="14" t="str">
        <x:v>Datenschutz/IT‑Sicherheit</x:v>
      </x:c>
      <x:c r="E418" s="14" t="str">
        <x:v>Datenschutz/IT‑Sicherheit – Security Reifegrad</x:v>
      </x:c>
      <x:c r="F418" s="14" t="str">
        <x:v>ISO/27001 Reifegrad</x:v>
      </x:c>
      <x:c r="G418" s="14" t="str">
        <x:v>0–1</x:v>
      </x:c>
      <x:c r="H418" s="14" t="str">
        <x:v>higher_is_better</x:v>
      </x:c>
      <x:c r="I418" s="14" t="str">
        <x:v>R16</x:v>
      </x:c>
      <x:c r="J418" s="14" t="str">
        <x:v>≥0,9:+3; 0,75–0,89:+2; 0,6–0,74:0; 0,4–0,59:‑2; &lt;0,4:‑3</x:v>
      </x:c>
      <x:c r="K418" s="14" t="str">
        <x:v>Feste WÖk-Kalibrierung</x:v>
      </x:c>
      <x:c r="L418" s="14" t="str">
        <x:v>Arbeitskalibrierung – fachlich zu validieren</x:v>
      </x:c>
      <x:c r="M418" s="14" t="str">
        <x:v>WÖk-interne Klassenlogik</x:v>
      </x:c>
      <x:c r="N418" s="14" t="str">
        <x:v>Optional/Nein</x:v>
      </x:c>
      <x:c r="O418" s="14" t="str">
        <x:v>ISO 14067/50001/45001/22301/27701/23894</x:v>
      </x:c>
      <x:c r="P418" s="14" t="str">
        <x:v>ISO/IEC 27001 &amp; 27701, NIS2</x:v>
      </x:c>
      <x:c r="Q418" s="14" t="str">
        <x:v>Mess-, Berichts- oder Managementrahmen; Schwellen sind grundsätzlich WÖk-Kalibrierungen</x:v>
      </x:c>
      <x:c r="R418" s="14" t="str">
        <x:v>Messgrundlage belegt; Schwellenkalibrierung offen</x:v>
      </x:c>
      <x:c r="S418" s="14" t="str">
        <x:v>ISO-14067; ISO-50001; ISO-45001; ISO-22301; ISO-27701; ISO-23894</x:v>
      </x:c>
      <x:c r="T418" s="14" t="str">
        <x:v>G47 Handel; K Versicherungen; M72 F&amp;E</x:v>
      </x:c>
      <x:c r="U418" s="14" t="str">
        <x:v>Legacy / nicht explizit versioniert</x:v>
      </x:c>
      <x:c r="V418" s="51" t="str"/>
      <x:c r="W418" s="14" t="str">
        <x:v>Migration auf NACE Rev. 2.1 erforderlich</x:v>
      </x:c>
      <x:c r="X418" s="14" t="str">
        <x:v>Organisation/Governance; konsolidierter Kreis und relevante Rechtseinheiten</x:v>
      </x:c>
      <x:c r="Y418" s="14" t="str">
        <x:v>Vorfälle pro 1 Mio. Kunden (DSGVO/NIS2).</x:v>
      </x:c>
      <x:c r="Z418" s="14" t="str">
        <x:v>Primärdaten bevorzugt; Sekundärdaten nur transparent und versioniert; Methode und Systemgrenze dokumentieren</x:v>
      </x:c>
      <x:c r="AA418" s="14" t="str">
        <x:v>Limited Assurance; risikobasiert höhere Prüftiefe</x:v>
      </x:c>
      <x:c r="AB418" s="14" t="str">
        <x:v>Strukturell nutzbar; Schwellen fachlich zu validieren</x:v>
      </x:c>
      <x:c r="AC418" s="14" t="str">
        <x:v>Mittel</x:v>
      </x:c>
      <x:c r="AD418" s="14" t="str">
        <x:v>Vollständige fünfstufige numerische Regel.</x:v>
      </x:c>
      <x:c r="AE418" s="14" t="str">
        <x:v>v1.4</x:v>
      </x:c>
      <x:c r="AF418" s="52" t="str">
        <x:v>2026-08-16</x:v>
      </x:c>
      <x:c r="AG418" s="52"/>
    </x:row>
    <x:row r="419" ht="42" customHeight="1">
      <x:c r="A419" s="14" t="str">
        <x:v>WOK-SYS-146</x:v>
      </x:c>
      <x:c r="B419" s="14" t="str">
        <x:v>SDG 16 – Institutionen</x:v>
      </x:c>
      <x:c r="C419" s="14" t="str">
        <x:v>16.6</x:v>
      </x:c>
      <x:c r="D419" s="14" t="str">
        <x:v>Demokratie‑/Rechtsstaat‑Exposure</x:v>
      </x:c>
      <x:c r="E419" s="14" t="str">
        <x:v>Demokratie‑/Rechtsstaat‑Exposure – Index</x:v>
      </x:c>
      <x:c r="F419" s="14" t="str">
        <x:v>umsatzgewichteter Index (z. B. Demokratie/Rule of Law)</x:v>
      </x:c>
      <x:c r="G419" s="14" t="str">
        <x:v>0–1</x:v>
      </x:c>
      <x:c r="H419" s="14" t="str">
        <x:v>higher_is_better</x:v>
      </x:c>
      <x:c r="I419" s="14" t="str">
        <x:v>R15</x:v>
      </x:c>
      <x:c r="J419" s="14" t="str">
        <x:v>≥0,8:+3; 0,7–0,79:+2; 0,6–0,69:0; 0,5–0,59:‑2; &lt;0,5:‑3</x:v>
      </x:c>
      <x:c r="K419" s="14" t="str">
        <x:v>Feste WÖk-Kalibrierung</x:v>
      </x:c>
      <x:c r="L419" s="14" t="str">
        <x:v>Arbeitskalibrierung – fachlich zu validieren</x:v>
      </x:c>
      <x:c r="M419" s="14" t="str">
        <x:v>WÖk-interne Klassenlogik</x:v>
      </x:c>
      <x:c r="N419" s="14" t="str">
        <x:v>Optional/Nein</x:v>
      </x:c>
      <x:c r="O419" s="14" t="str">
        <x:v>SROI/SDG17</x:v>
      </x:c>
      <x:c r="P419" s="14" t="str">
        <x:v>SDG 16/17, WJP, V‑Dem</x:v>
      </x:c>
      <x:c r="Q419" s="14" t="str">
        <x:v>Methodischer Platzhalter; konkrete Fach- und Primärdatenquelle erforderlich</x:v>
      </x:c>
      <x:c r="R419" s="14" t="str">
        <x:v>Platzhalter – fachliche Operationalisierung offen</x:v>
      </x:c>
      <x:c r="S419" s="14" t="str">
        <x:v>INT-WOEK-TSROI; SVI-SROI; UN-SDG</x:v>
      </x:c>
      <x:c r="T419" s="14" t="str">
        <x:v>G47 Handel; K Versicherungen; M72 F&amp;E</x:v>
      </x:c>
      <x:c r="U419" s="14" t="str">
        <x:v>Legacy / nicht explizit versioniert</x:v>
      </x:c>
      <x:c r="V419" s="51" t="str"/>
      <x:c r="W419" s="14" t="str">
        <x:v>Migration auf NACE Rev. 2.1 erforderlich</x:v>
      </x:c>
      <x:c r="X419" s="14" t="str">
        <x:v>Programm/Portfolio/Systemraum; Empfängergruppe, Region und Zeitraum explizit definieren</x:v>
      </x:c>
      <x:c r="Y419" s="14" t="str">
        <x:v>Siehe Quelle: Definition gemäß Standard (ESRS/GRI/Taxonomie/ISO).</x:v>
      </x:c>
      <x:c r="Z419" s="14" t="str">
        <x:v>Primärdaten bevorzugt; Sekundärdaten nur transparent und versioniert; Methode und Systemgrenze dokumentieren</x:v>
      </x:c>
      <x:c r="AA419" s="14" t="str">
        <x:v>Limited Assurance; risikobasiert höhere Prüftiefe</x:v>
      </x:c>
      <x:c r="AB419" s="14" t="str">
        <x:v>Fachlogik nicht abschließend operationalisiert</x:v>
      </x:c>
      <x:c r="AC419" s="14" t="str">
        <x:v>Kritisch</x:v>
      </x:c>
      <x:c r="AD419" s="14" t="str">
        <x:v>SROI/SDG 17 ist keine hinreichend konkrete Mess- oder Schwellenquelle. Vollständige fünfstufige numerische Regel.</x:v>
      </x:c>
      <x:c r="AE419" s="14" t="str">
        <x:v>v1.4</x:v>
      </x:c>
      <x:c r="AF419" s="52" t="str">
        <x:v>2026-08-16</x:v>
      </x:c>
      <x:c r="AG419" s="52"/>
    </x:row>
    <x:row r="420" ht="42" customHeight="1">
      <x:c r="A420" s="14" t="str">
        <x:v>WOK-SYS-147</x:v>
      </x:c>
      <x:c r="B420" s="14" t="str">
        <x:v>SDG 16 – Institutionen</x:v>
      </x:c>
      <x:c r="C420" s="14" t="str">
        <x:v>16.6</x:v>
      </x:c>
      <x:c r="D420" s="14" t="str">
        <x:v>Demokratie‑/Rechtsstaat‑Exposure</x:v>
      </x:c>
      <x:c r="E420" s="14" t="str">
        <x:v>Demokratie‑/Rechtsstaat‑Exposure – Exposure</x:v>
      </x:c>
      <x:c r="F420" s="14" t="str">
        <x:v>Umsatz in Hochrisikoländern</x:v>
      </x:c>
      <x:c r="G420" s="14" t="str">
        <x:v>%</x:v>
      </x:c>
      <x:c r="H420" s="14" t="str">
        <x:v>lower_is_better</x:v>
      </x:c>
      <x:c r="I420" s="14" t="str">
        <x:v>R13</x:v>
      </x:c>
      <x:c r="J420" s="14" t="str">
        <x:v>≤5:+3; 6–10:+2; 11–20:0; 21–30:‑2; &gt;30:‑3</x:v>
      </x:c>
      <x:c r="K420" s="14" t="str">
        <x:v>Feste WÖk-Kalibrierung</x:v>
      </x:c>
      <x:c r="L420" s="14" t="str">
        <x:v>Arbeitskalibrierung – fachlich zu validieren</x:v>
      </x:c>
      <x:c r="M420" s="14" t="str">
        <x:v>WÖk-interne Klassenlogik</x:v>
      </x:c>
      <x:c r="N420" s="14" t="str">
        <x:v>Optional/Nein</x:v>
      </x:c>
      <x:c r="O420" s="14" t="str">
        <x:v>SROI/SDG17</x:v>
      </x:c>
      <x:c r="P420" s="14" t="str">
        <x:v>SDG 16/17, WJP, V‑Dem</x:v>
      </x:c>
      <x:c r="Q420" s="14" t="str">
        <x:v>Methodischer Platzhalter; konkrete Fach- und Primärdatenquelle erforderlich</x:v>
      </x:c>
      <x:c r="R420" s="14" t="str">
        <x:v>Platzhalter – fachliche Operationalisierung offen</x:v>
      </x:c>
      <x:c r="S420" s="14" t="str">
        <x:v>INT-WOEK-TSROI; SVI-SROI; UN-SDG</x:v>
      </x:c>
      <x:c r="T420" s="14" t="str">
        <x:v>G47 Handel; K Versicherungen; M72 F&amp;E</x:v>
      </x:c>
      <x:c r="U420" s="14" t="str">
        <x:v>Legacy / nicht explizit versioniert</x:v>
      </x:c>
      <x:c r="V420" s="51" t="str"/>
      <x:c r="W420" s="14" t="str">
        <x:v>Migration auf NACE Rev. 2.1 erforderlich</x:v>
      </x:c>
      <x:c r="X420" s="14" t="str">
        <x:v>Programm/Portfolio/Systemraum; Empfängergruppe, Region und Zeitraum explizit definieren</x:v>
      </x:c>
      <x:c r="Y420" s="14" t="str">
        <x:v>Siehe Quelle: Definition gemäß Standard (ESRS/GRI/Taxonomie/ISO).</x:v>
      </x:c>
      <x:c r="Z420" s="14" t="str">
        <x:v>Primärdaten bevorzugt; Sekundärdaten nur transparent und versioniert; Methode und Systemgrenze dokumentieren</x:v>
      </x:c>
      <x:c r="AA420" s="14" t="str">
        <x:v>Limited Assurance; risikobasiert höhere Prüftiefe</x:v>
      </x:c>
      <x:c r="AB420" s="14" t="str">
        <x:v>Fachlogik nicht abschließend operationalisiert</x:v>
      </x:c>
      <x:c r="AC420" s="14" t="str">
        <x:v>Kritisch</x:v>
      </x:c>
      <x:c r="AD420" s="14" t="str">
        <x:v>SROI/SDG 17 ist keine hinreichend konkrete Mess- oder Schwellenquelle. Vollständige fünfstufige numerische Regel.</x:v>
      </x:c>
      <x:c r="AE420" s="14" t="str">
        <x:v>v1.4</x:v>
      </x:c>
      <x:c r="AF420" s="52" t="str">
        <x:v>2026-08-16</x:v>
      </x:c>
      <x:c r="AG420" s="52"/>
    </x:row>
    <x:row r="421" ht="42" customHeight="1">
      <x:c r="A421" s="14" t="str">
        <x:v>WOK-SYS-148</x:v>
      </x:c>
      <x:c r="B421" s="14" t="str">
        <x:v>SDG 16 – Institutionen</x:v>
      </x:c>
      <x:c r="C421" s="14" t="str">
        <x:v>16.6</x:v>
      </x:c>
      <x:c r="D421" s="14" t="str">
        <x:v>Demokratie‑/Rechtsstaat‑Exposure</x:v>
      </x:c>
      <x:c r="E421" s="14" t="str">
        <x:v>Demokratie‑/Rechtsstaat‑Exposure – Kooperationen</x:v>
      </x:c>
      <x:c r="F421" s="14" t="str">
        <x:v>aktive, evaluierte Partnerschaften/Jahr</x:v>
      </x:c>
      <x:c r="G421" s="14" t="str">
        <x:v>#/Jahr</x:v>
      </x:c>
      <x:c r="H421" s="14" t="str">
        <x:v>higher_is_better</x:v>
      </x:c>
      <x:c r="I421" s="14" t="str">
        <x:v>R20</x:v>
      </x:c>
      <x:c r="J421" s="14" t="str">
        <x:v>≥5:+3; 3–4:+2; 1–2:0; 0:‑2</x:v>
      </x:c>
      <x:c r="K421" s="14" t="str">
        <x:v>Feste WÖk-Grobkalibrierung</x:v>
      </x:c>
      <x:c r="L421" s="14" t="str">
        <x:v>Klasse −3 nur für negative/unzulässige Werte ergänzt</x:v>
      </x:c>
      <x:c r="M421" s="14" t="str">
        <x:v>WÖk-interne Grobkalibrierung</x:v>
      </x:c>
      <x:c r="N421" s="14" t="str">
        <x:v>Optional/Nein</x:v>
      </x:c>
      <x:c r="O421" s="14" t="str">
        <x:v>SROI/SDG17</x:v>
      </x:c>
      <x:c r="P421" s="14" t="str">
        <x:v>SDG 16/17, WJP, V‑Dem</x:v>
      </x:c>
      <x:c r="Q421" s="14" t="str">
        <x:v>Methodischer Platzhalter; konkrete Fach- und Primärdatenquelle erforderlich</x:v>
      </x:c>
      <x:c r="R421" s="14" t="str">
        <x:v>Platzhalter – fachliche Operationalisierung offen</x:v>
      </x:c>
      <x:c r="S421" s="14" t="str">
        <x:v>INT-WOEK-TSROI; SVI-SROI; UN-SDG</x:v>
      </x:c>
      <x:c r="T421" s="14" t="str">
        <x:v>G47 Handel; K Versicherungen; M72 F&amp;E</x:v>
      </x:c>
      <x:c r="U421" s="14" t="str">
        <x:v>Legacy / nicht explizit versioniert</x:v>
      </x:c>
      <x:c r="V421" s="51" t="str"/>
      <x:c r="W421" s="14" t="str">
        <x:v>Migration auf NACE Rev. 2.1 erforderlich</x:v>
      </x:c>
      <x:c r="X421" s="14" t="str">
        <x:v>Programm/Portfolio/Systemraum; Empfängergruppe, Region und Zeitraum explizit definieren</x:v>
      </x:c>
      <x:c r="Y421" s="14" t="str">
        <x:v>Siehe Quelle: Definition gemäß Standard (ESRS/GRI/Taxonomie/ISO).</x:v>
      </x:c>
      <x:c r="Z421" s="14" t="str">
        <x:v>Primärdaten bevorzugt; Sekundärdaten nur transparent und versioniert; Methode und Systemgrenze dokumentieren</x:v>
      </x:c>
      <x:c r="AA421" s="14" t="str">
        <x:v>Limited Assurance; risikobasiert höhere Prüftiefe</x:v>
      </x:c>
      <x:c r="AB421" s="14" t="str">
        <x:v>Fachlogik nicht abschließend operationalisiert</x:v>
      </x:c>
      <x:c r="AC421" s="14" t="str">
        <x:v>Kritisch</x:v>
      </x:c>
      <x:c r="AD421" s="14" t="str">
        <x:v>SROI/SDG 17 ist keine hinreichend konkrete Mess- oder Schwellenquelle. Für sachlogisch nichtnegative Zählwerte ist 0 die schlechteste reguläre Klasse (−2).</x:v>
      </x:c>
      <x:c r="AE421" s="14" t="str">
        <x:v>v1.4</x:v>
      </x:c>
      <x:c r="AF421" s="52" t="str">
        <x:v>2026-08-16</x:v>
      </x:c>
      <x:c r="AG421" s="52"/>
    </x:row>
    <x:row r="422" ht="42" customHeight="1">
      <x:c r="A422" s="14" t="str">
        <x:v>WOK-G-182</x:v>
      </x:c>
      <x:c r="B422" s="14" t="str">
        <x:v>SDG 16 – Institutionen</x:v>
      </x:c>
      <x:c r="C422" s="14" t="str">
        <x:v>16.6</x:v>
      </x:c>
      <x:c r="D422" s="14" t="str">
        <x:v>Transparente Beschaffung</x:v>
      </x:c>
      <x:c r="E422" s="14" t="str">
        <x:v>Transparente Beschaffung – Antikorruption</x:v>
      </x:c>
      <x:c r="F422" s="14" t="str">
        <x:v>Bestätigte Fälle/1.000 FTE</x:v>
      </x:c>
      <x:c r="G422" s="14" t="str">
        <x:v>Fälle/1.000 FTE</x:v>
      </x:c>
      <x:c r="H422" s="14" t="str">
        <x:v>lower_is_better</x:v>
      </x:c>
      <x:c r="I422" s="14" t="str">
        <x:v>R01</x:v>
      </x:c>
      <x:c r="J422" s="14" t="str">
        <x:v>0:+3; ≤0,2:+2; ≤0,5:0; ≤1:‑2; &gt;1:‑3</x:v>
      </x:c>
      <x:c r="K422" s="14" t="str">
        <x:v>Feste WÖk-Kalibrierung</x:v>
      </x:c>
      <x:c r="L422" s="14" t="str">
        <x:v>Arbeitskalibrierung – fachlich zu validieren</x:v>
      </x:c>
      <x:c r="M422" s="14" t="str">
        <x:v>WÖk-interne Klassenlogik</x:v>
      </x:c>
      <x:c r="N422" s="14" t="str">
        <x:v>Optional/Nein</x:v>
      </x:c>
      <x:c r="O422" s="14" t="str">
        <x:v>ESRS G1; GRI 205/207</x:v>
      </x:c>
      <x:c r="P422" s="14" t="str">
        <x:v>ESRS G1, GRI 205/207, OECD Anti‑Bribery</x:v>
      </x:c>
      <x:c r="Q422" s="14" t="str">
        <x:v>Mess-, Berichts- oder Managementrahmen; Schwellen sind grundsätzlich WÖk-Kalibrierungen</x:v>
      </x:c>
      <x:c r="R422" s="14" t="str">
        <x:v>Messgrundlage belegt; Schwellenkalibrierung offen</x:v>
      </x:c>
      <x:c r="S422" s="14" t="str">
        <x:v>EU-ESRS; GRI; OECD-AB</x:v>
      </x:c>
      <x:c r="T422" s="14" t="str">
        <x:v>G47 Handel; K Versicherungen; M72 F&amp;E</x:v>
      </x:c>
      <x:c r="U422" s="14" t="str">
        <x:v>Legacy / nicht explizit versioniert</x:v>
      </x:c>
      <x:c r="V422" s="51" t="str"/>
      <x:c r="W422" s="14" t="str">
        <x:v>Migration auf NACE Rev. 2.1 erforderlich</x:v>
      </x:c>
      <x:c r="X422" s="14" t="str">
        <x:v>Organisation/Governance; konsolidierter Kreis und relevante Rechtseinheiten</x:v>
      </x:c>
      <x:c r="Y422" s="14" t="str">
        <x:v>Siehe Quelle: Definition gemäß Standard (ESRS/GRI/Taxonomie/ISO).</x:v>
      </x:c>
      <x:c r="Z422" s="14" t="str">
        <x:v>Primärdaten bevorzugt; Sekundärdaten nur transparent und versioniert; Methode und Systemgrenze dokumentieren</x:v>
      </x:c>
      <x:c r="AA422" s="14" t="str">
        <x:v>Limited Assurance; risikobasiert höhere Prüftiefe</x:v>
      </x:c>
      <x:c r="AB422" s="14" t="str">
        <x:v>Strukturell nutzbar; Schwellen fachlich zu validieren</x:v>
      </x:c>
      <x:c r="AC422" s="14" t="str">
        <x:v>Mittel</x:v>
      </x:c>
      <x:c r="AD422" s="14" t="str">
        <x:v>Vollständige fünfstufige numerische Regel.</x:v>
      </x:c>
      <x:c r="AE422" s="14" t="str">
        <x:v>v1.4</x:v>
      </x:c>
      <x:c r="AF422" s="52" t="str">
        <x:v>2026-08-16</x:v>
      </x:c>
      <x:c r="AG422" s="52"/>
    </x:row>
    <x:row r="423" ht="42" customHeight="1">
      <x:c r="A423" s="14" t="str">
        <x:v>WOK-G-183</x:v>
      </x:c>
      <x:c r="B423" s="14" t="str">
        <x:v>SDG 16 – Institutionen</x:v>
      </x:c>
      <x:c r="C423" s="14" t="str">
        <x:v>16.6</x:v>
      </x:c>
      <x:c r="D423" s="14" t="str">
        <x:v>Transparente Beschaffung</x:v>
      </x:c>
      <x:c r="E423" s="14" t="str">
        <x:v>Transparente Beschaffung – Whistleblowing</x:v>
      </x:c>
      <x:c r="F423" s="14" t="str">
        <x:v>Wirksamkeits‑Score</x:v>
      </x:c>
      <x:c r="G423" s="14" t="str">
        <x:v>0–1</x:v>
      </x:c>
      <x:c r="H423" s="14" t="str">
        <x:v>higher_is_better</x:v>
      </x:c>
      <x:c r="I423" s="14" t="str">
        <x:v>R16</x:v>
      </x:c>
      <x:c r="J423" s="14" t="str">
        <x:v>≥0,9:+3; 0,75–0,89:+2; 0,6–0,74:0; 0,4–0,59:‑2; &lt;0,4:‑3</x:v>
      </x:c>
      <x:c r="K423" s="14" t="str">
        <x:v>Feste WÖk-Kalibrierung</x:v>
      </x:c>
      <x:c r="L423" s="14" t="str">
        <x:v>Arbeitskalibrierung – fachlich zu validieren</x:v>
      </x:c>
      <x:c r="M423" s="14" t="str">
        <x:v>WÖk-interne Klassenlogik</x:v>
      </x:c>
      <x:c r="N423" s="14" t="str">
        <x:v>Optional/Nein</x:v>
      </x:c>
      <x:c r="O423" s="14" t="str">
        <x:v>ESRS G1; GRI 205/207</x:v>
      </x:c>
      <x:c r="P423" s="14" t="str">
        <x:v>ESRS G1, GRI 205/207, OECD Anti‑Bribery</x:v>
      </x:c>
      <x:c r="Q423" s="14" t="str">
        <x:v>Mess-, Berichts- oder Managementrahmen; Schwellen sind grundsätzlich WÖk-Kalibrierungen</x:v>
      </x:c>
      <x:c r="R423" s="14" t="str">
        <x:v>Messgrundlage belegt; Schwellenkalibrierung offen</x:v>
      </x:c>
      <x:c r="S423" s="14" t="str">
        <x:v>EU-ESRS; GRI; OECD-AB</x:v>
      </x:c>
      <x:c r="T423" s="14" t="str">
        <x:v>G47 Handel; K Versicherungen; M72 F&amp;E</x:v>
      </x:c>
      <x:c r="U423" s="14" t="str">
        <x:v>Legacy / nicht explizit versioniert</x:v>
      </x:c>
      <x:c r="V423" s="51" t="str"/>
      <x:c r="W423" s="14" t="str">
        <x:v>Migration auf NACE Rev. 2.1 erforderlich</x:v>
      </x:c>
      <x:c r="X423" s="14" t="str">
        <x:v>Organisation/Governance; konsolidierter Kreis und relevante Rechtseinheiten</x:v>
      </x:c>
      <x:c r="Y423" s="14" t="str">
        <x:v>Siehe Quelle: Definition gemäß Standard (ESRS/GRI/Taxonomie/ISO).</x:v>
      </x:c>
      <x:c r="Z423" s="14" t="str">
        <x:v>Primärdaten bevorzugt; Sekundärdaten nur transparent und versioniert; Methode und Systemgrenze dokumentieren</x:v>
      </x:c>
      <x:c r="AA423" s="14" t="str">
        <x:v>Limited Assurance; risikobasiert höhere Prüftiefe</x:v>
      </x:c>
      <x:c r="AB423" s="14" t="str">
        <x:v>Strukturell nutzbar; Schwellen fachlich zu validieren</x:v>
      </x:c>
      <x:c r="AC423" s="14" t="str">
        <x:v>Mittel</x:v>
      </x:c>
      <x:c r="AD423" s="14" t="str">
        <x:v>Vollständige fünfstufige numerische Regel.</x:v>
      </x:c>
      <x:c r="AE423" s="14" t="str">
        <x:v>v1.4</x:v>
      </x:c>
      <x:c r="AF423" s="52" t="str">
        <x:v>2026-08-16</x:v>
      </x:c>
      <x:c r="AG423" s="52"/>
    </x:row>
    <x:row r="424" ht="42" customHeight="1">
      <x:c r="A424" s="14" t="str">
        <x:v>WOK-G-184</x:v>
      </x:c>
      <x:c r="B424" s="14" t="str">
        <x:v>SDG 16 – Institutionen</x:v>
      </x:c>
      <x:c r="C424" s="14" t="str">
        <x:v>16.6</x:v>
      </x:c>
      <x:c r="D424" s="14" t="str">
        <x:v>Transparente Beschaffung</x:v>
      </x:c>
      <x:c r="E424" s="14" t="str">
        <x:v>Transparente Beschaffung – Steuertransparenz</x:v>
      </x:c>
      <x:c r="F424" s="14" t="str">
        <x:v>CbCR‑Offenlegung</x:v>
      </x:c>
      <x:c r="G424" s="14" t="str">
        <x:v>0–1</x:v>
      </x:c>
      <x:c r="H424" s="14" t="str">
        <x:v>higher_is_better</x:v>
      </x:c>
      <x:c r="I424" s="14" t="str">
        <x:v>R08</x:v>
      </x:c>
      <x:c r="J424" s="14" t="str">
        <x:v>vollständig:+3; teilweise:+2; minimal:0; schlecht:‑2</x:v>
      </x:c>
      <x:c r="K424" s="14" t="str">
        <x:v>Qualitativ</x:v>
      </x:c>
      <x:c r="L424" s="14" t="str">
        <x:v>Assurance und Kriterienkatalog erforderlich</x:v>
      </x:c>
      <x:c r="M424" s="14" t="str">
        <x:v>WÖk-interne Kategorien</x:v>
      </x:c>
      <x:c r="N424" s="14" t="str">
        <x:v>Optional/Nein</x:v>
      </x:c>
      <x:c r="O424" s="14" t="str">
        <x:v>ESRS G1; GRI 205/207</x:v>
      </x:c>
      <x:c r="P424" s="14" t="str">
        <x:v>ESRS G1, GRI 205/207, OECD Anti‑Bribery</x:v>
      </x:c>
      <x:c r="Q424" s="14" t="str">
        <x:v>Mess-, Berichts- oder Managementrahmen; Schwellen sind grundsätzlich WÖk-Kalibrierungen</x:v>
      </x:c>
      <x:c r="R424" s="14" t="str">
        <x:v>Messgrundlage belegt; Schwellenkalibrierung offen</x:v>
      </x:c>
      <x:c r="S424" s="14" t="str">
        <x:v>EU-ESRS; GRI; OECD-AB</x:v>
      </x:c>
      <x:c r="T424" s="14" t="str">
        <x:v>G47 Handel; K Versicherungen; M72 F&amp;E</x:v>
      </x:c>
      <x:c r="U424" s="14" t="str">
        <x:v>Legacy / nicht explizit versioniert</x:v>
      </x:c>
      <x:c r="V424" s="51" t="str"/>
      <x:c r="W424" s="14" t="str">
        <x:v>Migration auf NACE Rev. 2.1 erforderlich</x:v>
      </x:c>
      <x:c r="X424" s="14" t="str">
        <x:v>Organisation/Governance; konsolidierter Kreis und relevante Rechtseinheiten</x:v>
      </x:c>
      <x:c r="Y424" s="14" t="str">
        <x:v>Siehe Quelle: Definition gemäß Standard (ESRS/GRI/Taxonomie/ISO).</x:v>
      </x:c>
      <x:c r="Z424" s="14" t="str">
        <x:v>Dokumentierter Kriterienkatalog; nachvollziehbare Evidenz; DQR A/B bevorzugt</x:v>
      </x:c>
      <x:c r="AA424" s="14" t="str">
        <x:v>Unabhängige Fachprüfung/Limited Assurance; bei roten Linien Reasonable Assurance</x:v>
      </x:c>
      <x:c r="AB424" s="14" t="str">
        <x:v>Prüfung/Parametrisierung erforderlich</x:v>
      </x:c>
      <x:c r="AC424" s="14" t="str">
        <x:v>Hoch</x:v>
      </x:c>
      <x:c r="AD424" s="14" t="str">
        <x:v>Die Kategorie −3 fehlt; Vollständigkeit und Wirksamkeit sind feldspezifisch zu definieren.</x:v>
      </x:c>
      <x:c r="AE424" s="14" t="str">
        <x:v>v1.4</x:v>
      </x:c>
      <x:c r="AF424" s="52" t="str">
        <x:v>2026-08-16</x:v>
      </x:c>
      <x:c r="AG424" s="52"/>
    </x:row>
    <x:row r="425" ht="42" customHeight="1">
      <x:c r="A425" s="14" t="str">
        <x:v>WOK-SC-137</x:v>
      </x:c>
      <x:c r="B425" s="14" t="str">
        <x:v>SDG 16 – Institutionen</x:v>
      </x:c>
      <x:c r="C425" s="14" t="str">
        <x:v>16.7</x:v>
      </x:c>
      <x:c r="D425" s="14" t="str">
        <x:v>Responsible Sourcing (Governance)</x:v>
      </x:c>
      <x:c r="E425" s="14" t="str">
        <x:v>Responsible Sourcing (Governance) – ESG‑Spend‑Coverage</x:v>
      </x:c>
      <x:c r="F425" s="14" t="str">
        <x:v>Anteil verifizierter ESG‑Daten am Spend</x:v>
      </x:c>
      <x:c r="G425" s="14" t="str">
        <x:v>%</x:v>
      </x:c>
      <x:c r="H425" s="14" t="str">
        <x:v>higher_is_better</x:v>
      </x:c>
      <x:c r="I425" s="14" t="str">
        <x:v>R26</x:v>
      </x:c>
      <x:c r="J425" s="14" t="str">
        <x:v>≥90:+3; 70–89:+2; 50–69:0; 30–49:‑2; &lt;30:‑3</x:v>
      </x:c>
      <x:c r="K425" s="14" t="str">
        <x:v>Feste WÖk-Kalibrierung</x:v>
      </x:c>
      <x:c r="L425" s="14" t="str">
        <x:v>Arbeitskalibrierung – fachlich zu validieren</x:v>
      </x:c>
      <x:c r="M425" s="14" t="str">
        <x:v>WÖk-interne Klassenlogik</x:v>
      </x:c>
      <x:c r="N425" s="14" t="str">
        <x:v>Optional/Nein</x:v>
      </x:c>
      <x:c r="O425" s="14" t="str">
        <x:v>ESRS S2; GRI 308/414/408/409</x:v>
      </x:c>
      <x:c r="P425" s="14" t="str">
        <x:v>ESRS G1, GRI 205/207, OECD Anti‑Bribery</x:v>
      </x:c>
      <x:c r="Q425" s="14" t="str">
        <x:v>Mess-, Berichts- oder Managementrahmen; Schwellen sind grundsätzlich WÖk-Kalibrierungen</x:v>
      </x:c>
      <x:c r="R425" s="14" t="str">
        <x:v>Messgrundlage belegt; Schwellenkalibrierung offen</x:v>
      </x:c>
      <x:c r="S425" s="14" t="str">
        <x:v>EU-ESRS; GRI; OECD-DD; ILO-CORE</x:v>
      </x:c>
      <x:c r="T425" s="14" t="str">
        <x:v>C20 Chemie; C24 Stahl; C29 Fahrzeuge</x:v>
      </x:c>
      <x:c r="U425" s="14" t="str">
        <x:v>Legacy / nicht explizit versioniert</x:v>
      </x:c>
      <x:c r="V425" s="51" t="str"/>
      <x:c r="W425" s="14" t="str">
        <x:v>Migration auf NACE Rev. 2.1 erforderlich</x:v>
      </x:c>
      <x:c r="X425" s="14" t="str">
        <x:v>Vorgelagerte Lieferkette; relevante Tier-Stufen und Beschaffungsvolumen</x:v>
      </x:c>
      <x:c r="Y425" s="14" t="str">
        <x:v>Quote = Zähler / Nenner gemäß Quelle; in %.</x:v>
      </x:c>
      <x:c r="Z425" s="14" t="str">
        <x:v>Primärdaten bevorzugt; Sekundärdaten nur transparent und versioniert; Methode und Systemgrenze dokumentieren</x:v>
      </x:c>
      <x:c r="AA425" s="14" t="str">
        <x:v>Limited Assurance; risikobasiert höhere Prüftiefe</x:v>
      </x:c>
      <x:c r="AB425" s="14" t="str">
        <x:v>Strukturell nutzbar; Schwellen fachlich zu validieren</x:v>
      </x:c>
      <x:c r="AC425" s="14" t="str">
        <x:v>Mittel</x:v>
      </x:c>
      <x:c r="AD425" s="14" t="str">
        <x:v>Vollständige fünfstufige numerische Regel.</x:v>
      </x:c>
      <x:c r="AE425" s="14" t="str">
        <x:v>v1.4</x:v>
      </x:c>
      <x:c r="AF425" s="52" t="str">
        <x:v>2026-08-16</x:v>
      </x:c>
      <x:c r="AG425" s="52"/>
    </x:row>
    <x:row r="426" ht="42" customHeight="1">
      <x:c r="A426" s="14" t="str">
        <x:v>WOK-SC-138</x:v>
      </x:c>
      <x:c r="B426" s="14" t="str">
        <x:v>SDG 16 – Institutionen</x:v>
      </x:c>
      <x:c r="C426" s="14" t="str">
        <x:v>16.7</x:v>
      </x:c>
      <x:c r="D426" s="14" t="str">
        <x:v>Responsible Sourcing (Governance)</x:v>
      </x:c>
      <x:c r="E426" s="14" t="str">
        <x:v>Responsible Sourcing (Governance) – Kinder/Zwangsarbeit</x:v>
      </x:c>
      <x:c r="F426" s="14" t="str">
        <x:v>Audits ohne Verstöße</x:v>
      </x:c>
      <x:c r="G426" s="14" t="str">
        <x:v>% Lieferanten</x:v>
      </x:c>
      <x:c r="H426" s="14" t="str">
        <x:v>higher_is_better</x:v>
      </x:c>
      <x:c r="I426" s="14" t="str">
        <x:v>R28</x:v>
      </x:c>
      <x:c r="J426" s="14" t="str">
        <x:v>≥98:+3; 90–97:+2; 75–89:0; 50–74:‑2; &lt;50:‑3</x:v>
      </x:c>
      <x:c r="K426" s="14" t="str">
        <x:v>Feste WÖk-Kalibrierung</x:v>
      </x:c>
      <x:c r="L426" s="14" t="str">
        <x:v>Arbeitskalibrierung – fachlich zu validieren</x:v>
      </x:c>
      <x:c r="M426" s="14" t="str">
        <x:v>WÖk-interne Klassenlogik</x:v>
      </x:c>
      <x:c r="N426" s="14" t="str">
        <x:v>Optional/Nein</x:v>
      </x:c>
      <x:c r="O426" s="14" t="str">
        <x:v>ESRS S2; GRI 308/414/408/409</x:v>
      </x:c>
      <x:c r="P426" s="14" t="str">
        <x:v>ESRS S2, GRI 308/414, OECD Due Diligence</x:v>
      </x:c>
      <x:c r="Q426" s="14" t="str">
        <x:v>Mess-, Berichts- oder Managementrahmen; Schwellen sind grundsätzlich WÖk-Kalibrierungen</x:v>
      </x:c>
      <x:c r="R426" s="14" t="str">
        <x:v>Messgrundlage belegt; Schwellenkalibrierung offen</x:v>
      </x:c>
      <x:c r="S426" s="14" t="str">
        <x:v>EU-ESRS; GRI; OECD-DD; ILO-CORE</x:v>
      </x:c>
      <x:c r="T426" s="14" t="str">
        <x:v>C20 Chemie; C24 Stahl; C29 Fahrzeuge</x:v>
      </x:c>
      <x:c r="U426" s="14" t="str">
        <x:v>Legacy / nicht explizit versioniert</x:v>
      </x:c>
      <x:c r="V426" s="51" t="str"/>
      <x:c r="W426" s="14" t="str">
        <x:v>Migration auf NACE Rev. 2.1 erforderlich</x:v>
      </x:c>
      <x:c r="X426" s="14" t="str">
        <x:v>Vorgelagerte Lieferkette; relevante Tier-Stufen und Beschaffungsvolumen</x:v>
      </x:c>
      <x:c r="Y426" s="14" t="str">
        <x:v>Quote = Zähler / Nenner gemäß Quelle; in %.</x:v>
      </x:c>
      <x:c r="Z426" s="14" t="str">
        <x:v>Primärdaten bevorzugt; Sekundärdaten nur transparent und versioniert; Methode und Systemgrenze dokumentieren</x:v>
      </x:c>
      <x:c r="AA426" s="14" t="str">
        <x:v>Limited Assurance; risikobasiert höhere Prüftiefe</x:v>
      </x:c>
      <x:c r="AB426" s="14" t="str">
        <x:v>Strukturell nutzbar; Schwellen fachlich zu validieren</x:v>
      </x:c>
      <x:c r="AC426" s="14" t="str">
        <x:v>Mittel</x:v>
      </x:c>
      <x:c r="AD426" s="14" t="str">
        <x:v>Vollständige fünfstufige numerische Regel.</x:v>
      </x:c>
      <x:c r="AE426" s="14" t="str">
        <x:v>v1.4</x:v>
      </x:c>
      <x:c r="AF426" s="52" t="str">
        <x:v>2026-08-16</x:v>
      </x:c>
      <x:c r="AG426" s="52"/>
    </x:row>
    <x:row r="427" ht="42" customHeight="1">
      <x:c r="A427" s="14" t="str">
        <x:v>WOK-SC-139</x:v>
      </x:c>
      <x:c r="B427" s="14" t="str">
        <x:v>SDG 16 – Institutionen</x:v>
      </x:c>
      <x:c r="C427" s="14" t="str">
        <x:v>16.7</x:v>
      </x:c>
      <x:c r="D427" s="14" t="str">
        <x:v>Responsible Sourcing (Governance)</x:v>
      </x:c>
      <x:c r="E427" s="14" t="str">
        <x:v>Responsible Sourcing (Governance) – Scope‑3 Daten</x:v>
      </x:c>
      <x:c r="F427" s="14" t="str">
        <x:v>Primärdaten‑Abdeckung</x:v>
      </x:c>
      <x:c r="G427" s="14" t="str">
        <x:v>% Kategorien</x:v>
      </x:c>
      <x:c r="H427" s="14" t="str">
        <x:v>higher_is_better</x:v>
      </x:c>
      <x:c r="I427" s="14" t="str">
        <x:v>R23</x:v>
      </x:c>
      <x:c r="J427" s="14" t="str">
        <x:v>≥80:+3; 60–79:+2; 40–59:0; 20–39:‑2; &lt;20:‑3</x:v>
      </x:c>
      <x:c r="K427" s="14" t="str">
        <x:v>Feste WÖk-Kalibrierung</x:v>
      </x:c>
      <x:c r="L427" s="14" t="str">
        <x:v>Arbeitskalibrierung – fachlich zu validieren</x:v>
      </x:c>
      <x:c r="M427" s="14" t="str">
        <x:v>WÖk-interne Klassenlogik</x:v>
      </x:c>
      <x:c r="N427" s="14" t="str">
        <x:v>Optional/Nein</x:v>
      </x:c>
      <x:c r="O427" s="14" t="str">
        <x:v>ESRS E1; GHG Protocol</x:v>
      </x:c>
      <x:c r="P427" s="14" t="str">
        <x:v>ESRS E1, GHG Protocol (Corporate/Scope 1–3), ISO 14064/14067</x:v>
      </x:c>
      <x:c r="Q427" s="14" t="str">
        <x:v>Mess-, Berichts- oder Managementrahmen; Schwellen sind grundsätzlich WÖk-Kalibrierungen</x:v>
      </x:c>
      <x:c r="R427" s="14" t="str">
        <x:v>Messgrundlage belegt; Schwellenkalibrierung offen</x:v>
      </x:c>
      <x:c r="S427" s="14" t="str">
        <x:v>EU-ESRS; GHG-CORP; GHG-S3; GHG-PROD</x:v>
      </x:c>
      <x:c r="T427" s="14" t="str">
        <x:v>C20 Chemie; C24 Stahl; C29 Fahrzeuge</x:v>
      </x:c>
      <x:c r="U427" s="14" t="str">
        <x:v>Legacy / nicht explizit versioniert</x:v>
      </x:c>
      <x:c r="V427" s="51" t="str"/>
      <x:c r="W427" s="14" t="str">
        <x:v>Migration auf NACE Rev. 2.1 erforderlich</x:v>
      </x:c>
      <x:c r="X427" s="14" t="str">
        <x:v>Vorgelagerte Lieferkette; relevante Tier-Stufen und Beschaffungsvolumen</x:v>
      </x:c>
      <x:c r="Y427" s="14" t="str">
        <x:v>Quote = Zähler / Nenner gemäß Quelle; in %.</x:v>
      </x:c>
      <x:c r="Z427" s="14" t="str">
        <x:v>Primärdaten bevorzugt; Sekundärdaten nur transparent und versioniert; Methode und Systemgrenze dokumentieren</x:v>
      </x:c>
      <x:c r="AA427" s="14" t="str">
        <x:v>Limited Assurance; risikobasiert höhere Prüftiefe</x:v>
      </x:c>
      <x:c r="AB427" s="14" t="str">
        <x:v>Strukturell nutzbar; Schwellen fachlich zu validieren</x:v>
      </x:c>
      <x:c r="AC427" s="14" t="str">
        <x:v>Mittel</x:v>
      </x:c>
      <x:c r="AD427" s="14" t="str">
        <x:v>Vollständige fünfstufige numerische Regel.</x:v>
      </x:c>
      <x:c r="AE427" s="14" t="str">
        <x:v>v1.4</x:v>
      </x:c>
      <x:c r="AF427" s="52" t="str">
        <x:v>2026-08-16</x:v>
      </x:c>
      <x:c r="AG427" s="52"/>
    </x:row>
    <x:row r="428" ht="42" customHeight="1">
      <x:c r="A428" s="14" t="str">
        <x:v>WOK-G-185</x:v>
      </x:c>
      <x:c r="B428" s="14" t="str">
        <x:v>SDG 16 – Institutionen</x:v>
      </x:c>
      <x:c r="C428" s="14" t="str">
        <x:v>16.6</x:v>
      </x:c>
      <x:c r="D428" s="14" t="str">
        <x:v>Steuertransparenz/CbCR</x:v>
      </x:c>
      <x:c r="E428" s="14" t="str">
        <x:v>Steuertransparenz/CbCR – Antikorruption</x:v>
      </x:c>
      <x:c r="F428" s="14" t="str">
        <x:v>Bestätigte Fälle/1.000 FTE</x:v>
      </x:c>
      <x:c r="G428" s="14" t="str">
        <x:v>Fälle/1.000 FTE</x:v>
      </x:c>
      <x:c r="H428" s="14" t="str">
        <x:v>lower_is_better</x:v>
      </x:c>
      <x:c r="I428" s="14" t="str">
        <x:v>R01</x:v>
      </x:c>
      <x:c r="J428" s="14" t="str">
        <x:v>0:+3; ≤0,2:+2; ≤0,5:0; ≤1:‑2; &gt;1:‑3</x:v>
      </x:c>
      <x:c r="K428" s="14" t="str">
        <x:v>Feste WÖk-Kalibrierung</x:v>
      </x:c>
      <x:c r="L428" s="14" t="str">
        <x:v>Arbeitskalibrierung – fachlich zu validieren</x:v>
      </x:c>
      <x:c r="M428" s="14" t="str">
        <x:v>WÖk-interne Klassenlogik</x:v>
      </x:c>
      <x:c r="N428" s="14" t="str">
        <x:v>Optional/Nein</x:v>
      </x:c>
      <x:c r="O428" s="14" t="str">
        <x:v>ESRS G1; GRI 205/207</x:v>
      </x:c>
      <x:c r="P428" s="14" t="str">
        <x:v>ESRS G1, GRI 205/207, OECD Anti‑Bribery</x:v>
      </x:c>
      <x:c r="Q428" s="14" t="str">
        <x:v>Mess-, Berichts- oder Managementrahmen; Schwellen sind grundsätzlich WÖk-Kalibrierungen</x:v>
      </x:c>
      <x:c r="R428" s="14" t="str">
        <x:v>Messgrundlage belegt; Schwellenkalibrierung offen</x:v>
      </x:c>
      <x:c r="S428" s="14" t="str">
        <x:v>EU-ESRS; GRI; OECD-AB</x:v>
      </x:c>
      <x:c r="T428" s="14" t="str">
        <x:v>G47 Handel; K Versicherungen; M72 F&amp;E</x:v>
      </x:c>
      <x:c r="U428" s="14" t="str">
        <x:v>Legacy / nicht explizit versioniert</x:v>
      </x:c>
      <x:c r="V428" s="51" t="str"/>
      <x:c r="W428" s="14" t="str">
        <x:v>Migration auf NACE Rev. 2.1 erforderlich</x:v>
      </x:c>
      <x:c r="X428" s="14" t="str">
        <x:v>Organisation/Governance; konsolidierter Kreis und relevante Rechtseinheiten</x:v>
      </x:c>
      <x:c r="Y428" s="14" t="str">
        <x:v>Siehe Quelle: Definition gemäß Standard (ESRS/GRI/Taxonomie/ISO).</x:v>
      </x:c>
      <x:c r="Z428" s="14" t="str">
        <x:v>Primärdaten bevorzugt; Sekundärdaten nur transparent und versioniert; Methode und Systemgrenze dokumentieren</x:v>
      </x:c>
      <x:c r="AA428" s="14" t="str">
        <x:v>Limited Assurance; risikobasiert höhere Prüftiefe</x:v>
      </x:c>
      <x:c r="AB428" s="14" t="str">
        <x:v>Strukturell nutzbar; Schwellen fachlich zu validieren</x:v>
      </x:c>
      <x:c r="AC428" s="14" t="str">
        <x:v>Mittel</x:v>
      </x:c>
      <x:c r="AD428" s="14" t="str">
        <x:v>Vollständige fünfstufige numerische Regel.</x:v>
      </x:c>
      <x:c r="AE428" s="14" t="str">
        <x:v>v1.4</x:v>
      </x:c>
      <x:c r="AF428" s="52" t="str">
        <x:v>2026-08-16</x:v>
      </x:c>
      <x:c r="AG428" s="52"/>
    </x:row>
    <x:row r="429" ht="42" customHeight="1">
      <x:c r="A429" s="14" t="str">
        <x:v>WOK-G-186</x:v>
      </x:c>
      <x:c r="B429" s="14" t="str">
        <x:v>SDG 16 – Institutionen</x:v>
      </x:c>
      <x:c r="C429" s="14" t="str">
        <x:v>16.6</x:v>
      </x:c>
      <x:c r="D429" s="14" t="str">
        <x:v>Steuertransparenz/CbCR</x:v>
      </x:c>
      <x:c r="E429" s="14" t="str">
        <x:v>Steuertransparenz/CbCR – Whistleblowing</x:v>
      </x:c>
      <x:c r="F429" s="14" t="str">
        <x:v>Wirksamkeits‑Score</x:v>
      </x:c>
      <x:c r="G429" s="14" t="str">
        <x:v>0–1</x:v>
      </x:c>
      <x:c r="H429" s="14" t="str">
        <x:v>higher_is_better</x:v>
      </x:c>
      <x:c r="I429" s="14" t="str">
        <x:v>R16</x:v>
      </x:c>
      <x:c r="J429" s="14" t="str">
        <x:v>≥0,9:+3; 0,75–0,89:+2; 0,6–0,74:0; 0,4–0,59:‑2; &lt;0,4:‑3</x:v>
      </x:c>
      <x:c r="K429" s="14" t="str">
        <x:v>Feste WÖk-Kalibrierung</x:v>
      </x:c>
      <x:c r="L429" s="14" t="str">
        <x:v>Arbeitskalibrierung – fachlich zu validieren</x:v>
      </x:c>
      <x:c r="M429" s="14" t="str">
        <x:v>WÖk-interne Klassenlogik</x:v>
      </x:c>
      <x:c r="N429" s="14" t="str">
        <x:v>Optional/Nein</x:v>
      </x:c>
      <x:c r="O429" s="14" t="str">
        <x:v>ESRS G1; GRI 205/207</x:v>
      </x:c>
      <x:c r="P429" s="14" t="str">
        <x:v>ESRS G1, GRI 205/207, OECD Anti‑Bribery</x:v>
      </x:c>
      <x:c r="Q429" s="14" t="str">
        <x:v>Mess-, Berichts- oder Managementrahmen; Schwellen sind grundsätzlich WÖk-Kalibrierungen</x:v>
      </x:c>
      <x:c r="R429" s="14" t="str">
        <x:v>Messgrundlage belegt; Schwellenkalibrierung offen</x:v>
      </x:c>
      <x:c r="S429" s="14" t="str">
        <x:v>EU-ESRS; GRI; OECD-AB</x:v>
      </x:c>
      <x:c r="T429" s="14" t="str">
        <x:v>G47 Handel; K Versicherungen; M72 F&amp;E</x:v>
      </x:c>
      <x:c r="U429" s="14" t="str">
        <x:v>Legacy / nicht explizit versioniert</x:v>
      </x:c>
      <x:c r="V429" s="51" t="str"/>
      <x:c r="W429" s="14" t="str">
        <x:v>Migration auf NACE Rev. 2.1 erforderlich</x:v>
      </x:c>
      <x:c r="X429" s="14" t="str">
        <x:v>Organisation/Governance; konsolidierter Kreis und relevante Rechtseinheiten</x:v>
      </x:c>
      <x:c r="Y429" s="14" t="str">
        <x:v>Siehe Quelle: Definition gemäß Standard (ESRS/GRI/Taxonomie/ISO).</x:v>
      </x:c>
      <x:c r="Z429" s="14" t="str">
        <x:v>Primärdaten bevorzugt; Sekundärdaten nur transparent und versioniert; Methode und Systemgrenze dokumentieren</x:v>
      </x:c>
      <x:c r="AA429" s="14" t="str">
        <x:v>Limited Assurance; risikobasiert höhere Prüftiefe</x:v>
      </x:c>
      <x:c r="AB429" s="14" t="str">
        <x:v>Strukturell nutzbar; Schwellen fachlich zu validieren</x:v>
      </x:c>
      <x:c r="AC429" s="14" t="str">
        <x:v>Mittel</x:v>
      </x:c>
      <x:c r="AD429" s="14" t="str">
        <x:v>Vollständige fünfstufige numerische Regel.</x:v>
      </x:c>
      <x:c r="AE429" s="14" t="str">
        <x:v>v1.4</x:v>
      </x:c>
      <x:c r="AF429" s="52" t="str">
        <x:v>2026-08-16</x:v>
      </x:c>
      <x:c r="AG429" s="52"/>
    </x:row>
    <x:row r="430" ht="42" customHeight="1">
      <x:c r="A430" s="14" t="str">
        <x:v>WOK-G-187</x:v>
      </x:c>
      <x:c r="B430" s="14" t="str">
        <x:v>SDG 16 – Institutionen</x:v>
      </x:c>
      <x:c r="C430" s="14" t="str">
        <x:v>16.6</x:v>
      </x:c>
      <x:c r="D430" s="14" t="str">
        <x:v>Steuertransparenz/CbCR</x:v>
      </x:c>
      <x:c r="E430" s="14" t="str">
        <x:v>Steuertransparenz/CbCR – Steuertransparenz</x:v>
      </x:c>
      <x:c r="F430" s="14" t="str">
        <x:v>CbCR‑Offenlegung</x:v>
      </x:c>
      <x:c r="G430" s="14" t="str">
        <x:v>0–1</x:v>
      </x:c>
      <x:c r="H430" s="14" t="str">
        <x:v>higher_is_better</x:v>
      </x:c>
      <x:c r="I430" s="14" t="str">
        <x:v>R08</x:v>
      </x:c>
      <x:c r="J430" s="14" t="str">
        <x:v>vollständig:+3; teilweise:+2; minimal:0; schlecht:‑2</x:v>
      </x:c>
      <x:c r="K430" s="14" t="str">
        <x:v>Qualitativ</x:v>
      </x:c>
      <x:c r="L430" s="14" t="str">
        <x:v>Assurance und Kriterienkatalog erforderlich</x:v>
      </x:c>
      <x:c r="M430" s="14" t="str">
        <x:v>WÖk-interne Kategorien</x:v>
      </x:c>
      <x:c r="N430" s="14" t="str">
        <x:v>Optional/Nein</x:v>
      </x:c>
      <x:c r="O430" s="14" t="str">
        <x:v>ESRS G1; GRI 205/207</x:v>
      </x:c>
      <x:c r="P430" s="14" t="str">
        <x:v>ESRS G1, GRI 205/207, OECD Anti‑Bribery</x:v>
      </x:c>
      <x:c r="Q430" s="14" t="str">
        <x:v>Mess-, Berichts- oder Managementrahmen; Schwellen sind grundsätzlich WÖk-Kalibrierungen</x:v>
      </x:c>
      <x:c r="R430" s="14" t="str">
        <x:v>Messgrundlage belegt; Schwellenkalibrierung offen</x:v>
      </x:c>
      <x:c r="S430" s="14" t="str">
        <x:v>EU-ESRS; GRI; OECD-AB</x:v>
      </x:c>
      <x:c r="T430" s="14" t="str">
        <x:v>G47 Handel; K Versicherungen; M72 F&amp;E</x:v>
      </x:c>
      <x:c r="U430" s="14" t="str">
        <x:v>Legacy / nicht explizit versioniert</x:v>
      </x:c>
      <x:c r="V430" s="51" t="str"/>
      <x:c r="W430" s="14" t="str">
        <x:v>Migration auf NACE Rev. 2.1 erforderlich</x:v>
      </x:c>
      <x:c r="X430" s="14" t="str">
        <x:v>Organisation/Governance; konsolidierter Kreis und relevante Rechtseinheiten</x:v>
      </x:c>
      <x:c r="Y430" s="14" t="str">
        <x:v>Siehe Quelle: Definition gemäß Standard (ESRS/GRI/Taxonomie/ISO).</x:v>
      </x:c>
      <x:c r="Z430" s="14" t="str">
        <x:v>Dokumentierter Kriterienkatalog; nachvollziehbare Evidenz; DQR A/B bevorzugt</x:v>
      </x:c>
      <x:c r="AA430" s="14" t="str">
        <x:v>Unabhängige Fachprüfung/Limited Assurance; bei roten Linien Reasonable Assurance</x:v>
      </x:c>
      <x:c r="AB430" s="14" t="str">
        <x:v>Prüfung/Parametrisierung erforderlich</x:v>
      </x:c>
      <x:c r="AC430" s="14" t="str">
        <x:v>Hoch</x:v>
      </x:c>
      <x:c r="AD430" s="14" t="str">
        <x:v>Die Kategorie −3 fehlt; Vollständigkeit und Wirksamkeit sind feldspezifisch zu definieren.</x:v>
      </x:c>
      <x:c r="AE430" s="14" t="str">
        <x:v>v1.4</x:v>
      </x:c>
      <x:c r="AF430" s="52" t="str">
        <x:v>2026-08-16</x:v>
      </x:c>
      <x:c r="AG430" s="52"/>
    </x:row>
    <x:row r="431" ht="42" customHeight="1">
      <x:c r="A431" s="14" t="str">
        <x:v>WOK-SYS-149</x:v>
      </x:c>
      <x:c r="B431" s="14" t="str">
        <x:v>SDG 16 – Institutionen</x:v>
      </x:c>
      <x:c r="C431" s="14" t="str">
        <x:v>16.7</x:v>
      </x:c>
      <x:c r="D431" s="14" t="str">
        <x:v>Zivilgesellschaft‑Partnerschaften</x:v>
      </x:c>
      <x:c r="E431" s="14" t="str">
        <x:v>Zivilgesellschaft‑Partnerschaften – Index</x:v>
      </x:c>
      <x:c r="F431" s="14" t="str">
        <x:v>umsatzgewichteter Index (z. B. Demokratie/Rule of Law)</x:v>
      </x:c>
      <x:c r="G431" s="14" t="str">
        <x:v>0–1</x:v>
      </x:c>
      <x:c r="H431" s="14" t="str">
        <x:v>higher_is_better</x:v>
      </x:c>
      <x:c r="I431" s="14" t="str">
        <x:v>R15</x:v>
      </x:c>
      <x:c r="J431" s="14" t="str">
        <x:v>≥0,8:+3; 0,7–0,79:+2; 0,6–0,69:0; 0,5–0,59:‑2; &lt;0,5:‑3</x:v>
      </x:c>
      <x:c r="K431" s="14" t="str">
        <x:v>Feste WÖk-Kalibrierung</x:v>
      </x:c>
      <x:c r="L431" s="14" t="str">
        <x:v>Arbeitskalibrierung – fachlich zu validieren</x:v>
      </x:c>
      <x:c r="M431" s="14" t="str">
        <x:v>WÖk-interne Klassenlogik</x:v>
      </x:c>
      <x:c r="N431" s="14" t="str">
        <x:v>Optional/Nein</x:v>
      </x:c>
      <x:c r="O431" s="14" t="str">
        <x:v>SROI/SDG17</x:v>
      </x:c>
      <x:c r="P431" s="14" t="str">
        <x:v>SDG 16/17, WJP, V‑Dem</x:v>
      </x:c>
      <x:c r="Q431" s="14" t="str">
        <x:v>Methodischer Platzhalter; konkrete Fach- und Primärdatenquelle erforderlich</x:v>
      </x:c>
      <x:c r="R431" s="14" t="str">
        <x:v>Platzhalter – fachliche Operationalisierung offen</x:v>
      </x:c>
      <x:c r="S431" s="14" t="str">
        <x:v>INT-WOEK-TSROI; SVI-SROI; UN-SDG</x:v>
      </x:c>
      <x:c r="T431" s="14" t="str">
        <x:v>G47 Handel; K Versicherungen; M72 F&amp;E</x:v>
      </x:c>
      <x:c r="U431" s="14" t="str">
        <x:v>Legacy / nicht explizit versioniert</x:v>
      </x:c>
      <x:c r="V431" s="51" t="str"/>
      <x:c r="W431" s="14" t="str">
        <x:v>Migration auf NACE Rev. 2.1 erforderlich</x:v>
      </x:c>
      <x:c r="X431" s="14" t="str">
        <x:v>Programm/Portfolio/Systemraum; Empfängergruppe, Region und Zeitraum explizit definieren</x:v>
      </x:c>
      <x:c r="Y431" s="14" t="str">
        <x:v>Siehe Quelle: Definition gemäß Standard (ESRS/GRI/Taxonomie/ISO).</x:v>
      </x:c>
      <x:c r="Z431" s="14" t="str">
        <x:v>Primärdaten bevorzugt; Sekundärdaten nur transparent und versioniert; Methode und Systemgrenze dokumentieren</x:v>
      </x:c>
      <x:c r="AA431" s="14" t="str">
        <x:v>Limited Assurance; risikobasiert höhere Prüftiefe</x:v>
      </x:c>
      <x:c r="AB431" s="14" t="str">
        <x:v>Fachlogik nicht abschließend operationalisiert</x:v>
      </x:c>
      <x:c r="AC431" s="14" t="str">
        <x:v>Kritisch</x:v>
      </x:c>
      <x:c r="AD431" s="14" t="str">
        <x:v>SROI/SDG 17 ist keine hinreichend konkrete Mess- oder Schwellenquelle. Vollständige fünfstufige numerische Regel.</x:v>
      </x:c>
      <x:c r="AE431" s="14" t="str">
        <x:v>v1.4</x:v>
      </x:c>
      <x:c r="AF431" s="52" t="str">
        <x:v>2026-08-16</x:v>
      </x:c>
      <x:c r="AG431" s="52"/>
    </x:row>
    <x:row r="432" ht="42" customHeight="1">
      <x:c r="A432" s="14" t="str">
        <x:v>WOK-SYS-150</x:v>
      </x:c>
      <x:c r="B432" s="14" t="str">
        <x:v>SDG 16 – Institutionen</x:v>
      </x:c>
      <x:c r="C432" s="14" t="str">
        <x:v>16.7</x:v>
      </x:c>
      <x:c r="D432" s="14" t="str">
        <x:v>Zivilgesellschaft‑Partnerschaften</x:v>
      </x:c>
      <x:c r="E432" s="14" t="str">
        <x:v>Zivilgesellschaft‑Partnerschaften – Exposure</x:v>
      </x:c>
      <x:c r="F432" s="14" t="str">
        <x:v>Umsatz in Hochrisikoländern</x:v>
      </x:c>
      <x:c r="G432" s="14" t="str">
        <x:v>%</x:v>
      </x:c>
      <x:c r="H432" s="14" t="str">
        <x:v>lower_is_better</x:v>
      </x:c>
      <x:c r="I432" s="14" t="str">
        <x:v>R13</x:v>
      </x:c>
      <x:c r="J432" s="14" t="str">
        <x:v>≤5:+3; 6–10:+2; 11–20:0; 21–30:‑2; &gt;30:‑3</x:v>
      </x:c>
      <x:c r="K432" s="14" t="str">
        <x:v>Feste WÖk-Kalibrierung</x:v>
      </x:c>
      <x:c r="L432" s="14" t="str">
        <x:v>Arbeitskalibrierung – fachlich zu validieren</x:v>
      </x:c>
      <x:c r="M432" s="14" t="str">
        <x:v>WÖk-interne Klassenlogik</x:v>
      </x:c>
      <x:c r="N432" s="14" t="str">
        <x:v>Optional/Nein</x:v>
      </x:c>
      <x:c r="O432" s="14" t="str">
        <x:v>SROI/SDG17</x:v>
      </x:c>
      <x:c r="P432" s="14" t="str">
        <x:v>SDG 16/17, WJP, V‑Dem</x:v>
      </x:c>
      <x:c r="Q432" s="14" t="str">
        <x:v>Methodischer Platzhalter; konkrete Fach- und Primärdatenquelle erforderlich</x:v>
      </x:c>
      <x:c r="R432" s="14" t="str">
        <x:v>Platzhalter – fachliche Operationalisierung offen</x:v>
      </x:c>
      <x:c r="S432" s="14" t="str">
        <x:v>INT-WOEK-TSROI; SVI-SROI; UN-SDG</x:v>
      </x:c>
      <x:c r="T432" s="14" t="str">
        <x:v>G47 Handel; K Versicherungen; M72 F&amp;E</x:v>
      </x:c>
      <x:c r="U432" s="14" t="str">
        <x:v>Legacy / nicht explizit versioniert</x:v>
      </x:c>
      <x:c r="V432" s="51" t="str"/>
      <x:c r="W432" s="14" t="str">
        <x:v>Migration auf NACE Rev. 2.1 erforderlich</x:v>
      </x:c>
      <x:c r="X432" s="14" t="str">
        <x:v>Programm/Portfolio/Systemraum; Empfängergruppe, Region und Zeitraum explizit definieren</x:v>
      </x:c>
      <x:c r="Y432" s="14" t="str">
        <x:v>Siehe Quelle: Definition gemäß Standard (ESRS/GRI/Taxonomie/ISO).</x:v>
      </x:c>
      <x:c r="Z432" s="14" t="str">
        <x:v>Primärdaten bevorzugt; Sekundärdaten nur transparent und versioniert; Methode und Systemgrenze dokumentieren</x:v>
      </x:c>
      <x:c r="AA432" s="14" t="str">
        <x:v>Limited Assurance; risikobasiert höhere Prüftiefe</x:v>
      </x:c>
      <x:c r="AB432" s="14" t="str">
        <x:v>Fachlogik nicht abschließend operationalisiert</x:v>
      </x:c>
      <x:c r="AC432" s="14" t="str">
        <x:v>Kritisch</x:v>
      </x:c>
      <x:c r="AD432" s="14" t="str">
        <x:v>SROI/SDG 17 ist keine hinreichend konkrete Mess- oder Schwellenquelle. Vollständige fünfstufige numerische Regel.</x:v>
      </x:c>
      <x:c r="AE432" s="14" t="str">
        <x:v>v1.4</x:v>
      </x:c>
      <x:c r="AF432" s="52" t="str">
        <x:v>2026-08-16</x:v>
      </x:c>
      <x:c r="AG432" s="52"/>
    </x:row>
    <x:row r="433" ht="42" customHeight="1">
      <x:c r="A433" s="14" t="str">
        <x:v>WOK-SYS-151</x:v>
      </x:c>
      <x:c r="B433" s="14" t="str">
        <x:v>SDG 16 – Institutionen</x:v>
      </x:c>
      <x:c r="C433" s="14" t="str">
        <x:v>16.7</x:v>
      </x:c>
      <x:c r="D433" s="14" t="str">
        <x:v>Zivilgesellschaft‑Partnerschaften</x:v>
      </x:c>
      <x:c r="E433" s="14" t="str">
        <x:v>Zivilgesellschaft‑Partnerschaften – Kooperationen</x:v>
      </x:c>
      <x:c r="F433" s="14" t="str">
        <x:v>aktive, evaluierte Partnerschaften/Jahr</x:v>
      </x:c>
      <x:c r="G433" s="14" t="str">
        <x:v>#/Jahr</x:v>
      </x:c>
      <x:c r="H433" s="14" t="str">
        <x:v>higher_is_better</x:v>
      </x:c>
      <x:c r="I433" s="14" t="str">
        <x:v>R20</x:v>
      </x:c>
      <x:c r="J433" s="14" t="str">
        <x:v>≥5:+3; 3–4:+2; 1–2:0; 0:‑2</x:v>
      </x:c>
      <x:c r="K433" s="14" t="str">
        <x:v>Feste WÖk-Grobkalibrierung</x:v>
      </x:c>
      <x:c r="L433" s="14" t="str">
        <x:v>Klasse −3 nur für negative/unzulässige Werte ergänzt</x:v>
      </x:c>
      <x:c r="M433" s="14" t="str">
        <x:v>WÖk-interne Grobkalibrierung</x:v>
      </x:c>
      <x:c r="N433" s="14" t="str">
        <x:v>Optional/Nein</x:v>
      </x:c>
      <x:c r="O433" s="14" t="str">
        <x:v>SROI/SDG17</x:v>
      </x:c>
      <x:c r="P433" s="14" t="str">
        <x:v>SDG 16/17, WJP, V‑Dem</x:v>
      </x:c>
      <x:c r="Q433" s="14" t="str">
        <x:v>Methodischer Platzhalter; konkrete Fach- und Primärdatenquelle erforderlich</x:v>
      </x:c>
      <x:c r="R433" s="14" t="str">
        <x:v>Platzhalter – fachliche Operationalisierung offen</x:v>
      </x:c>
      <x:c r="S433" s="14" t="str">
        <x:v>INT-WOEK-TSROI; SVI-SROI; UN-SDG</x:v>
      </x:c>
      <x:c r="T433" s="14" t="str">
        <x:v>G47 Handel; K Versicherungen; M72 F&amp;E</x:v>
      </x:c>
      <x:c r="U433" s="14" t="str">
        <x:v>Legacy / nicht explizit versioniert</x:v>
      </x:c>
      <x:c r="V433" s="51" t="str"/>
      <x:c r="W433" s="14" t="str">
        <x:v>Migration auf NACE Rev. 2.1 erforderlich</x:v>
      </x:c>
      <x:c r="X433" s="14" t="str">
        <x:v>Programm/Portfolio/Systemraum; Empfängergruppe, Region und Zeitraum explizit definieren</x:v>
      </x:c>
      <x:c r="Y433" s="14" t="str">
        <x:v>Siehe Quelle: Definition gemäß Standard (ESRS/GRI/Taxonomie/ISO).</x:v>
      </x:c>
      <x:c r="Z433" s="14" t="str">
        <x:v>Primärdaten bevorzugt; Sekundärdaten nur transparent und versioniert; Methode und Systemgrenze dokumentieren</x:v>
      </x:c>
      <x:c r="AA433" s="14" t="str">
        <x:v>Limited Assurance; risikobasiert höhere Prüftiefe</x:v>
      </x:c>
      <x:c r="AB433" s="14" t="str">
        <x:v>Fachlogik nicht abschließend operationalisiert</x:v>
      </x:c>
      <x:c r="AC433" s="14" t="str">
        <x:v>Kritisch</x:v>
      </x:c>
      <x:c r="AD433" s="14" t="str">
        <x:v>SROI/SDG 17 ist keine hinreichend konkrete Mess- oder Schwellenquelle. Für sachlogisch nichtnegative Zählwerte ist 0 die schlechteste reguläre Klasse (−2).</x:v>
      </x:c>
      <x:c r="AE433" s="14" t="str">
        <x:v>v1.4</x:v>
      </x:c>
      <x:c r="AF433" s="52" t="str">
        <x:v>2026-08-16</x:v>
      </x:c>
      <x:c r="AG433" s="52"/>
    </x:row>
    <x:row r="434" ht="42" customHeight="1">
      <x:c r="A434" s="14" t="str">
        <x:v>WOK-POL-116</x:v>
      </x:c>
      <x:c r="B434" s="14" t="str">
        <x:v>SDG 16 – Institutionen</x:v>
      </x:c>
      <x:c r="C434" s="14" t="str">
        <x:v>16.10</x:v>
      </x:c>
      <x:c r="D434" s="14" t="str">
        <x:v>Reg‑Konformität (DSA/AI‑Act)</x:v>
      </x:c>
      <x:c r="E434" s="14" t="str">
        <x:v>Reg‑Konformität (DSA/AI‑Act) – Spezifische Emissionen</x:v>
      </x:c>
      <x:c r="F434" s="14" t="str">
        <x:v>CO₂e je kWh (LCA)</x:v>
      </x:c>
      <x:c r="G434" s="14" t="str">
        <x:v>g CO₂e/kWh</x:v>
      </x:c>
      <x:c r="H434" s="14" t="str">
        <x:v>lower_is_better</x:v>
      </x:c>
      <x:c r="I434" s="14" t="str">
        <x:v>R10</x:v>
      </x:c>
      <x:c r="J434" s="14" t="str">
        <x:v>≤100:+3; 101–250:0; &gt;250:‑2</x:v>
      </x:c>
      <x:c r="K434" s="14" t="str">
        <x:v>Feste WÖk-Grobkalibrierung</x:v>
      </x:c>
      <x:c r="L434" s="14" t="str">
        <x:v>Klassen +2 und −3 fehlen</x:v>
      </x:c>
      <x:c r="M434" s="14" t="str">
        <x:v>WÖk-interne Grobkalibrierung</x:v>
      </x:c>
      <x:c r="N434" s="14" t="str">
        <x:v>Optional/Nein</x:v>
      </x:c>
      <x:c r="O434" s="14" t="str">
        <x:v>EU‑Taxonomie TSC/DNSH</x:v>
      </x:c>
      <x:c r="P434" s="14" t="str">
        <x:v>ESRS E1, GHG Protocol (Corporate/Scope 1–3), ISO 14064/14067</x:v>
      </x:c>
      <x:c r="Q434" s="14" t="str">
        <x:v>Mess-, Berichts- oder Managementrahmen; Schwellen sind grundsätzlich WÖk-Kalibrierungen</x:v>
      </x:c>
      <x:c r="R434" s="14" t="str">
        <x:v>Messgrundlage belegt; Schwellenkalibrierung offen</x:v>
      </x:c>
      <x:c r="S434" s="14" t="str">
        <x:v>EU-TAX</x:v>
      </x:c>
      <x:c r="T434" s="14" t="str">
        <x:v>J58/J60/J63 Medien/Plattformen</x:v>
      </x:c>
      <x:c r="U434" s="14" t="str">
        <x:v>Legacy / nicht explizit versioniert</x:v>
      </x:c>
      <x:c r="V434" s="51" t="str"/>
      <x:c r="W434" s="14" t="str">
        <x:v>Migration auf NACE Rev. 2.1 erforderlich</x:v>
      </x:c>
      <x:c r="X434" s="14" t="str">
        <x:v>Technologie-/Aktivitätsklasse; Anlagen-, Netz- oder Flottengrenze ausweisen</x:v>
      </x:c>
      <x:c r="Y434" s="14" t="str">
        <x:v>Siehe Quelle: Definition gemäß Standard (ESRS/GRI/Taxonomie/ISO).</x:v>
      </x:c>
      <x:c r="Z434" s="14" t="str">
        <x:v>Primärdaten bevorzugt; Sekundärdaten nur transparent und versioniert; Methode und Systemgrenze dokumentieren</x:v>
      </x:c>
      <x:c r="AA434" s="14" t="str">
        <x:v>Limited Assurance; risikobasiert höhere Prüftiefe</x:v>
      </x:c>
      <x:c r="AB434" s="14" t="str">
        <x:v>Strukturell nutzbar; Schwellen fachlich zu validieren</x:v>
      </x:c>
      <x:c r="AC434" s="14" t="str">
        <x:v>Mittel</x:v>
      </x:c>
      <x:c r="AD434" s="14" t="str">
        <x:v>Automatik bildet nur die explizit vorhandenen Klassen ab.</x:v>
      </x:c>
      <x:c r="AE434" s="14" t="str">
        <x:v>v1.4</x:v>
      </x:c>
      <x:c r="AF434" s="52" t="str">
        <x:v>2026-08-16</x:v>
      </x:c>
      <x:c r="AG434" s="52"/>
    </x:row>
    <x:row r="435" ht="42" customHeight="1">
      <x:c r="A435" s="14" t="str">
        <x:v>WOK-POL-117</x:v>
      </x:c>
      <x:c r="B435" s="14" t="str">
        <x:v>SDG 16 – Institutionen</x:v>
      </x:c>
      <x:c r="C435" s="14" t="str">
        <x:v>16.10</x:v>
      </x:c>
      <x:c r="D435" s="14" t="str">
        <x:v>Reg‑Konformität (DSA/AI‑Act)</x:v>
      </x:c>
      <x:c r="E435" s="14" t="str">
        <x:v>Reg‑Konformität (DSA/AI‑Act) – DNSH‑Konformität</x:v>
      </x:c>
      <x:c r="F435" s="14" t="str">
        <x:v>‚Do No Significant Harm‘ erfüllt</x:v>
      </x:c>
      <x:c r="G435" s="14" t="str">
        <x:v>% Aktivitäten</x:v>
      </x:c>
      <x:c r="H435" s="14" t="str">
        <x:v>higher_is_better</x:v>
      </x:c>
      <x:c r="I435" s="14" t="str">
        <x:v>R25</x:v>
      </x:c>
      <x:c r="J435" s="14" t="str">
        <x:v>≥90%:+3; 70–89%:+2; 50–69%:0; 30–49%:‑2; &lt;30%:‑3</x:v>
      </x:c>
      <x:c r="K435" s="14" t="str">
        <x:v>Feste WÖk-Kalibrierung</x:v>
      </x:c>
      <x:c r="L435" s="14" t="str">
        <x:v>Arbeitskalibrierung – fachlich zu validieren</x:v>
      </x:c>
      <x:c r="M435" s="14" t="str">
        <x:v>WÖk-interne Klassenlogik</x:v>
      </x:c>
      <x:c r="N435" s="14" t="str">
        <x:v>Optional/Nein</x:v>
      </x:c>
      <x:c r="O435" s="14" t="str">
        <x:v>EU‑Taxonomie TSC/DNSH</x:v>
      </x:c>
      <x:c r="P435" s="14" t="str">
        <x:v>EU‑Taxonomie (TSC &amp; DNSH)</x:v>
      </x:c>
      <x:c r="Q435" s="14" t="str">
        <x:v>Mess-, Berichts- oder Managementrahmen; Schwellen sind grundsätzlich WÖk-Kalibrierungen</x:v>
      </x:c>
      <x:c r="R435" s="14" t="str">
        <x:v>Messgrundlage belegt; Schwellenkalibrierung offen</x:v>
      </x:c>
      <x:c r="S435" s="14" t="str">
        <x:v>EU-TAX</x:v>
      </x:c>
      <x:c r="T435" s="14" t="str">
        <x:v>J58/J60/J63 Medien/Plattformen</x:v>
      </x:c>
      <x:c r="U435" s="14" t="str">
        <x:v>Legacy / nicht explizit versioniert</x:v>
      </x:c>
      <x:c r="V435" s="51" t="str"/>
      <x:c r="W435" s="14" t="str">
        <x:v>Migration auf NACE Rev. 2.1 erforderlich</x:v>
      </x:c>
      <x:c r="X435" s="14" t="str">
        <x:v>Technologie-/Aktivitätsklasse; Anlagen-, Netz- oder Flottengrenze ausweisen</x:v>
      </x:c>
      <x:c r="Y435" s="14" t="str">
        <x:v>EU‑Taxonomie: TSC erfüllt &amp; DNSH + MSR; Anteil konformer Aktivitäten.</x:v>
      </x:c>
      <x:c r="Z435" s="14" t="str">
        <x:v>Primärdaten bevorzugt; Sekundärdaten nur transparent und versioniert; Methode und Systemgrenze dokumentieren</x:v>
      </x:c>
      <x:c r="AA435" s="14" t="str">
        <x:v>Limited Assurance; risikobasiert höhere Prüftiefe</x:v>
      </x:c>
      <x:c r="AB435" s="14" t="str">
        <x:v>Strukturell nutzbar; Schwellen fachlich zu validieren</x:v>
      </x:c>
      <x:c r="AC435" s="14" t="str">
        <x:v>Mittel</x:v>
      </x:c>
      <x:c r="AD435" s="14" t="str">
        <x:v>Vollständige fünfstufige Prozentregel.</x:v>
      </x:c>
      <x:c r="AE435" s="14" t="str">
        <x:v>v1.4</x:v>
      </x:c>
      <x:c r="AF435" s="52" t="str">
        <x:v>2026-08-16</x:v>
      </x:c>
      <x:c r="AG435" s="52"/>
    </x:row>
    <x:row r="436" ht="42" customHeight="1">
      <x:c r="A436" s="14" t="str">
        <x:v>WOK-POL-118</x:v>
      </x:c>
      <x:c r="B436" s="14" t="str">
        <x:v>SDG 16 – Institutionen</x:v>
      </x:c>
      <x:c r="C436" s="14" t="str">
        <x:v>16.10</x:v>
      </x:c>
      <x:c r="D436" s="14" t="str">
        <x:v>Reg‑Konformität (DSA/AI‑Act)</x:v>
      </x:c>
      <x:c r="E436" s="14" t="str">
        <x:v>Reg‑Konformität (DSA/AI‑Act) – TSC‑Schwellen</x:v>
      </x:c>
      <x:c r="F436" s="14" t="str">
        <x:v>Anteil unter technischen TSC‑Grenzen</x:v>
      </x:c>
      <x:c r="G436" s="14" t="str">
        <x:v>% Aktivitäten</x:v>
      </x:c>
      <x:c r="H436" s="14" t="str">
        <x:v>higher_is_better</x:v>
      </x:c>
      <x:c r="I436" s="14" t="str">
        <x:v>R25</x:v>
      </x:c>
      <x:c r="J436" s="14" t="str">
        <x:v>≥90%:+3; 70–89%:+2; 50–69%:0; 30–49%:‑2; &lt;30%:‑3</x:v>
      </x:c>
      <x:c r="K436" s="14" t="str">
        <x:v>Feste WÖk-Kalibrierung</x:v>
      </x:c>
      <x:c r="L436" s="14" t="str">
        <x:v>Arbeitskalibrierung – fachlich zu validieren</x:v>
      </x:c>
      <x:c r="M436" s="14" t="str">
        <x:v>WÖk-interne Klassenlogik</x:v>
      </x:c>
      <x:c r="N436" s="14" t="str">
        <x:v>Optional/Nein</x:v>
      </x:c>
      <x:c r="O436" s="14" t="str">
        <x:v>EU‑Taxonomie TSC/DNSH</x:v>
      </x:c>
      <x:c r="P436" s="14" t="str">
        <x:v>EU‑Taxonomie (TSC &amp; DNSH)</x:v>
      </x:c>
      <x:c r="Q436" s="14" t="str">
        <x:v>Mess-, Berichts- oder Managementrahmen; Schwellen sind grundsätzlich WÖk-Kalibrierungen</x:v>
      </x:c>
      <x:c r="R436" s="14" t="str">
        <x:v>Messgrundlage belegt; Schwellenkalibrierung offen</x:v>
      </x:c>
      <x:c r="S436" s="14" t="str">
        <x:v>EU-TAX</x:v>
      </x:c>
      <x:c r="T436" s="14" t="str">
        <x:v>J58/J60/J63 Medien/Plattformen</x:v>
      </x:c>
      <x:c r="U436" s="14" t="str">
        <x:v>Legacy / nicht explizit versioniert</x:v>
      </x:c>
      <x:c r="V436" s="51" t="str"/>
      <x:c r="W436" s="14" t="str">
        <x:v>Migration auf NACE Rev. 2.1 erforderlich</x:v>
      </x:c>
      <x:c r="X436" s="14" t="str">
        <x:v>Technologie-/Aktivitätsklasse; Anlagen-, Netz- oder Flottengrenze ausweisen</x:v>
      </x:c>
      <x:c r="Y436" s="14" t="str">
        <x:v>EU‑Taxonomie: TSC erfüllt &amp; DNSH + MSR; Anteil konformer Aktivitäten.</x:v>
      </x:c>
      <x:c r="Z436" s="14" t="str">
        <x:v>Primärdaten bevorzugt; Sekundärdaten nur transparent und versioniert; Methode und Systemgrenze dokumentieren</x:v>
      </x:c>
      <x:c r="AA436" s="14" t="str">
        <x:v>Limited Assurance; risikobasiert höhere Prüftiefe</x:v>
      </x:c>
      <x:c r="AB436" s="14" t="str">
        <x:v>Strukturell nutzbar; Schwellen fachlich zu validieren</x:v>
      </x:c>
      <x:c r="AC436" s="14" t="str">
        <x:v>Mittel</x:v>
      </x:c>
      <x:c r="AD436" s="14" t="str">
        <x:v>Vollständige fünfstufige Prozentregel.</x:v>
      </x:c>
      <x:c r="AE436" s="14" t="str">
        <x:v>v1.4</x:v>
      </x:c>
      <x:c r="AF436" s="52" t="str">
        <x:v>2026-08-16</x:v>
      </x:c>
      <x:c r="AG436" s="52"/>
    </x:row>
    <x:row r="437" ht="42" customHeight="1">
      <x:c r="A437" s="14" t="str">
        <x:v>WOK-SYS-152</x:v>
      </x:c>
      <x:c r="B437" s="14" t="str">
        <x:v>SDG 17 – Partnerschaften</x:v>
      </x:c>
      <x:c r="C437" s="14" t="str">
        <x:v>17.17</x:v>
      </x:c>
      <x:c r="D437" s="14" t="str">
        <x:v>Systemische Kooperationen</x:v>
      </x:c>
      <x:c r="E437" s="14" t="str">
        <x:v>Systemische Kooperationen – Index</x:v>
      </x:c>
      <x:c r="F437" s="14" t="str">
        <x:v>umsatzgewichteter Index (z. B. Demokratie/Rule of Law)</x:v>
      </x:c>
      <x:c r="G437" s="14" t="str">
        <x:v>0–1</x:v>
      </x:c>
      <x:c r="H437" s="14" t="str">
        <x:v>higher_is_better</x:v>
      </x:c>
      <x:c r="I437" s="14" t="str">
        <x:v>R15</x:v>
      </x:c>
      <x:c r="J437" s="14" t="str">
        <x:v>≥0,8:+3; 0,7–0,79:+2; 0,6–0,69:0; 0,5–0,59:‑2; &lt;0,5:‑3</x:v>
      </x:c>
      <x:c r="K437" s="14" t="str">
        <x:v>Feste WÖk-Kalibrierung</x:v>
      </x:c>
      <x:c r="L437" s="14" t="str">
        <x:v>Arbeitskalibrierung – fachlich zu validieren</x:v>
      </x:c>
      <x:c r="M437" s="14" t="str">
        <x:v>WÖk-interne Klassenlogik</x:v>
      </x:c>
      <x:c r="N437" s="14" t="str">
        <x:v>Optional/Nein</x:v>
      </x:c>
      <x:c r="O437" s="14" t="str">
        <x:v>SROI/SDG17</x:v>
      </x:c>
      <x:c r="P437" s="14" t="str">
        <x:v>SDG 16/17, WJP, V‑Dem</x:v>
      </x:c>
      <x:c r="Q437" s="14" t="str">
        <x:v>Methodischer Platzhalter; konkrete Fach- und Primärdatenquelle erforderlich</x:v>
      </x:c>
      <x:c r="R437" s="14" t="str">
        <x:v>Platzhalter – fachliche Operationalisierung offen</x:v>
      </x:c>
      <x:c r="S437" s="14" t="str">
        <x:v>INT-WOEK-TSROI; SVI-SROI; UN-SDG</x:v>
      </x:c>
      <x:c r="T437" s="14" t="str">
        <x:v>G47 Handel; K Versicherungen; M72 F&amp;E</x:v>
      </x:c>
      <x:c r="U437" s="14" t="str">
        <x:v>Legacy / nicht explizit versioniert</x:v>
      </x:c>
      <x:c r="V437" s="51" t="str"/>
      <x:c r="W437" s="14" t="str">
        <x:v>Migration auf NACE Rev. 2.1 erforderlich</x:v>
      </x:c>
      <x:c r="X437" s="14" t="str">
        <x:v>Programm/Portfolio/Systemraum; Empfängergruppe, Region und Zeitraum explizit definieren</x:v>
      </x:c>
      <x:c r="Y437" s="14" t="str">
        <x:v>Siehe Quelle: Definition gemäß Standard (ESRS/GRI/Taxonomie/ISO).</x:v>
      </x:c>
      <x:c r="Z437" s="14" t="str">
        <x:v>Primärdaten bevorzugt; Sekundärdaten nur transparent und versioniert; Methode und Systemgrenze dokumentieren</x:v>
      </x:c>
      <x:c r="AA437" s="14" t="str">
        <x:v>Limited Assurance; risikobasiert höhere Prüftiefe</x:v>
      </x:c>
      <x:c r="AB437" s="14" t="str">
        <x:v>Fachlogik nicht abschließend operationalisiert</x:v>
      </x:c>
      <x:c r="AC437" s="14" t="str">
        <x:v>Kritisch</x:v>
      </x:c>
      <x:c r="AD437" s="14" t="str">
        <x:v>SROI/SDG 17 ist keine hinreichend konkrete Mess- oder Schwellenquelle. Vollständige fünfstufige numerische Regel.</x:v>
      </x:c>
      <x:c r="AE437" s="14" t="str">
        <x:v>v1.4</x:v>
      </x:c>
      <x:c r="AF437" s="52" t="str">
        <x:v>2026-08-16</x:v>
      </x:c>
      <x:c r="AG437" s="52"/>
    </x:row>
    <x:row r="438" ht="42" customHeight="1">
      <x:c r="A438" s="14" t="str">
        <x:v>WOK-SYS-153</x:v>
      </x:c>
      <x:c r="B438" s="14" t="str">
        <x:v>SDG 17 – Partnerschaften</x:v>
      </x:c>
      <x:c r="C438" s="14" t="str">
        <x:v>17.17</x:v>
      </x:c>
      <x:c r="D438" s="14" t="str">
        <x:v>Systemische Kooperationen</x:v>
      </x:c>
      <x:c r="E438" s="14" t="str">
        <x:v>Systemische Kooperationen – Exposure</x:v>
      </x:c>
      <x:c r="F438" s="14" t="str">
        <x:v>Umsatz in Hochrisikoländern</x:v>
      </x:c>
      <x:c r="G438" s="14" t="str">
        <x:v>%</x:v>
      </x:c>
      <x:c r="H438" s="14" t="str">
        <x:v>lower_is_better</x:v>
      </x:c>
      <x:c r="I438" s="14" t="str">
        <x:v>R13</x:v>
      </x:c>
      <x:c r="J438" s="14" t="str">
        <x:v>≤5:+3; 6–10:+2; 11–20:0; 21–30:‑2; &gt;30:‑3</x:v>
      </x:c>
      <x:c r="K438" s="14" t="str">
        <x:v>Feste WÖk-Kalibrierung</x:v>
      </x:c>
      <x:c r="L438" s="14" t="str">
        <x:v>Arbeitskalibrierung – fachlich zu validieren</x:v>
      </x:c>
      <x:c r="M438" s="14" t="str">
        <x:v>WÖk-interne Klassenlogik</x:v>
      </x:c>
      <x:c r="N438" s="14" t="str">
        <x:v>Optional/Nein</x:v>
      </x:c>
      <x:c r="O438" s="14" t="str">
        <x:v>SROI/SDG17</x:v>
      </x:c>
      <x:c r="P438" s="14" t="str">
        <x:v>SROI/SDG17</x:v>
      </x:c>
      <x:c r="Q438" s="14" t="str">
        <x:v>Methodischer Platzhalter; konkrete Fach- und Primärdatenquelle erforderlich</x:v>
      </x:c>
      <x:c r="R438" s="14" t="str">
        <x:v>Platzhalter – fachliche Operationalisierung offen</x:v>
      </x:c>
      <x:c r="S438" s="14" t="str">
        <x:v>INT-WOEK-TSROI; SVI-SROI; UN-SDG</x:v>
      </x:c>
      <x:c r="T438" s="14" t="str">
        <x:v>G47 Handel; K Versicherungen; M72 F&amp;E</x:v>
      </x:c>
      <x:c r="U438" s="14" t="str">
        <x:v>Legacy / nicht explizit versioniert</x:v>
      </x:c>
      <x:c r="V438" s="51" t="str"/>
      <x:c r="W438" s="14" t="str">
        <x:v>Migration auf NACE Rev. 2.1 erforderlich</x:v>
      </x:c>
      <x:c r="X438" s="14" t="str">
        <x:v>Programm/Portfolio/Systemraum; Empfängergruppe, Region und Zeitraum explizit definieren</x:v>
      </x:c>
      <x:c r="Y438" s="14" t="str">
        <x:v>Siehe Quelle: Definition gemäß Standard (ESRS/GRI/Taxonomie/ISO).</x:v>
      </x:c>
      <x:c r="Z438" s="14" t="str">
        <x:v>Primärdaten bevorzugt; Sekundärdaten nur transparent und versioniert; Methode und Systemgrenze dokumentieren</x:v>
      </x:c>
      <x:c r="AA438" s="14" t="str">
        <x:v>Limited Assurance; risikobasiert höhere Prüftiefe</x:v>
      </x:c>
      <x:c r="AB438" s="14" t="str">
        <x:v>Fachlogik nicht abschließend operationalisiert</x:v>
      </x:c>
      <x:c r="AC438" s="14" t="str">
        <x:v>Kritisch</x:v>
      </x:c>
      <x:c r="AD438" s="14" t="str">
        <x:v>SROI/SDG 17 ist keine hinreichend konkrete Mess- oder Schwellenquelle. Vollständige fünfstufige numerische Regel.</x:v>
      </x:c>
      <x:c r="AE438" s="14" t="str">
        <x:v>v1.4</x:v>
      </x:c>
      <x:c r="AF438" s="52" t="str">
        <x:v>2026-08-16</x:v>
      </x:c>
      <x:c r="AG438" s="52"/>
    </x:row>
    <x:row r="439" ht="42" customHeight="1">
      <x:c r="A439" s="14" t="str">
        <x:v>WOK-SYS-154</x:v>
      </x:c>
      <x:c r="B439" s="14" t="str">
        <x:v>SDG 17 – Partnerschaften</x:v>
      </x:c>
      <x:c r="C439" s="14" t="str">
        <x:v>17.17</x:v>
      </x:c>
      <x:c r="D439" s="14" t="str">
        <x:v>Systemische Kooperationen</x:v>
      </x:c>
      <x:c r="E439" s="14" t="str">
        <x:v>Systemische Kooperationen – Kooperationen</x:v>
      </x:c>
      <x:c r="F439" s="14" t="str">
        <x:v>aktive, evaluierte Partnerschaften/Jahr</x:v>
      </x:c>
      <x:c r="G439" s="14" t="str">
        <x:v>#/Jahr</x:v>
      </x:c>
      <x:c r="H439" s="14" t="str">
        <x:v>higher_is_better</x:v>
      </x:c>
      <x:c r="I439" s="14" t="str">
        <x:v>R20</x:v>
      </x:c>
      <x:c r="J439" s="14" t="str">
        <x:v>≥5:+3; 3–4:+2; 1–2:0; 0:‑2</x:v>
      </x:c>
      <x:c r="K439" s="14" t="str">
        <x:v>Feste WÖk-Grobkalibrierung</x:v>
      </x:c>
      <x:c r="L439" s="14" t="str">
        <x:v>Klasse −3 nur für negative/unzulässige Werte ergänzt</x:v>
      </x:c>
      <x:c r="M439" s="14" t="str">
        <x:v>WÖk-interne Grobkalibrierung</x:v>
      </x:c>
      <x:c r="N439" s="14" t="str">
        <x:v>Optional/Nein</x:v>
      </x:c>
      <x:c r="O439" s="14" t="str">
        <x:v>SROI/SDG17</x:v>
      </x:c>
      <x:c r="P439" s="14" t="str">
        <x:v>SDG 16/17, WJP, V‑Dem</x:v>
      </x:c>
      <x:c r="Q439" s="14" t="str">
        <x:v>Methodischer Platzhalter; konkrete Fach- und Primärdatenquelle erforderlich</x:v>
      </x:c>
      <x:c r="R439" s="14" t="str">
        <x:v>Platzhalter – fachliche Operationalisierung offen</x:v>
      </x:c>
      <x:c r="S439" s="14" t="str">
        <x:v>INT-WOEK-TSROI; SVI-SROI; UN-SDG</x:v>
      </x:c>
      <x:c r="T439" s="14" t="str">
        <x:v>G47 Handel; K Versicherungen; M72 F&amp;E</x:v>
      </x:c>
      <x:c r="U439" s="14" t="str">
        <x:v>Legacy / nicht explizit versioniert</x:v>
      </x:c>
      <x:c r="V439" s="51" t="str"/>
      <x:c r="W439" s="14" t="str">
        <x:v>Migration auf NACE Rev. 2.1 erforderlich</x:v>
      </x:c>
      <x:c r="X439" s="14" t="str">
        <x:v>Programm/Portfolio/Systemraum; Empfängergruppe, Region und Zeitraum explizit definieren</x:v>
      </x:c>
      <x:c r="Y439" s="14" t="str">
        <x:v>Siehe Quelle: Definition gemäß Standard (ESRS/GRI/Taxonomie/ISO).</x:v>
      </x:c>
      <x:c r="Z439" s="14" t="str">
        <x:v>Primärdaten bevorzugt; Sekundärdaten nur transparent und versioniert; Methode und Systemgrenze dokumentieren</x:v>
      </x:c>
      <x:c r="AA439" s="14" t="str">
        <x:v>Limited Assurance; risikobasiert höhere Prüftiefe</x:v>
      </x:c>
      <x:c r="AB439" s="14" t="str">
        <x:v>Fachlogik nicht abschließend operationalisiert</x:v>
      </x:c>
      <x:c r="AC439" s="14" t="str">
        <x:v>Kritisch</x:v>
      </x:c>
      <x:c r="AD439" s="14" t="str">
        <x:v>SROI/SDG 17 ist keine hinreichend konkrete Mess- oder Schwellenquelle. Für sachlogisch nichtnegative Zählwerte ist 0 die schlechteste reguläre Klasse (−2).</x:v>
      </x:c>
      <x:c r="AE439" s="14" t="str">
        <x:v>v1.4</x:v>
      </x:c>
      <x:c r="AF439" s="52" t="str">
        <x:v>2026-08-16</x:v>
      </x:c>
      <x:c r="AG439" s="52"/>
    </x:row>
    <x:row r="440" ht="42" customHeight="1">
      <x:c r="A440" s="14" t="str">
        <x:v>WOK-SC-140</x:v>
      </x:c>
      <x:c r="B440" s="14" t="str">
        <x:v>SDG 17 – Partnerschaften</x:v>
      </x:c>
      <x:c r="C440" s="14" t="str">
        <x:v>17.16</x:v>
      </x:c>
      <x:c r="D440" s="14" t="str">
        <x:v>Lieferketten‑Transparenz</x:v>
      </x:c>
      <x:c r="E440" s="14" t="str">
        <x:v>Lieferketten‑Transparenz – ESG‑Spend‑Coverage</x:v>
      </x:c>
      <x:c r="F440" s="14" t="str">
        <x:v>Anteil verifizierter ESG‑Daten am Spend</x:v>
      </x:c>
      <x:c r="G440" s="14" t="str">
        <x:v>%</x:v>
      </x:c>
      <x:c r="H440" s="14" t="str">
        <x:v>higher_is_better</x:v>
      </x:c>
      <x:c r="I440" s="14" t="str">
        <x:v>R26</x:v>
      </x:c>
      <x:c r="J440" s="14" t="str">
        <x:v>≥90:+3; 70–89:+2; 50–69:0; 30–49:‑2; &lt;30:‑3</x:v>
      </x:c>
      <x:c r="K440" s="14" t="str">
        <x:v>Feste WÖk-Kalibrierung</x:v>
      </x:c>
      <x:c r="L440" s="14" t="str">
        <x:v>Arbeitskalibrierung – fachlich zu validieren</x:v>
      </x:c>
      <x:c r="M440" s="14" t="str">
        <x:v>WÖk-interne Klassenlogik</x:v>
      </x:c>
      <x:c r="N440" s="14" t="str">
        <x:v>Optional/Nein</x:v>
      </x:c>
      <x:c r="O440" s="14" t="str">
        <x:v>ESRS S2; GRI 308/414/408/409</x:v>
      </x:c>
      <x:c r="P440" s="14" t="str">
        <x:v>ESRS S2, GRI 308/414, OECD Due Diligence</x:v>
      </x:c>
      <x:c r="Q440" s="14" t="str">
        <x:v>Mess-, Berichts- oder Managementrahmen; Schwellen sind grundsätzlich WÖk-Kalibrierungen</x:v>
      </x:c>
      <x:c r="R440" s="14" t="str">
        <x:v>Messgrundlage belegt; Schwellenkalibrierung offen</x:v>
      </x:c>
      <x:c r="S440" s="14" t="str">
        <x:v>EU-ESRS; GRI; OECD-DD; ILO-CORE</x:v>
      </x:c>
      <x:c r="T440" s="14" t="str">
        <x:v>C20 Chemie; C24 Stahl; C29 Fahrzeuge</x:v>
      </x:c>
      <x:c r="U440" s="14" t="str">
        <x:v>Legacy / nicht explizit versioniert</x:v>
      </x:c>
      <x:c r="V440" s="51" t="str"/>
      <x:c r="W440" s="14" t="str">
        <x:v>Migration auf NACE Rev. 2.1 erforderlich</x:v>
      </x:c>
      <x:c r="X440" s="14" t="str">
        <x:v>Vorgelagerte Lieferkette; relevante Tier-Stufen und Beschaffungsvolumen</x:v>
      </x:c>
      <x:c r="Y440" s="14" t="str">
        <x:v>Quote = Zähler / Nenner gemäß Quelle; in %.</x:v>
      </x:c>
      <x:c r="Z440" s="14" t="str">
        <x:v>Primärdaten bevorzugt; Sekundärdaten nur transparent und versioniert; Methode und Systemgrenze dokumentieren</x:v>
      </x:c>
      <x:c r="AA440" s="14" t="str">
        <x:v>Limited Assurance; risikobasiert höhere Prüftiefe</x:v>
      </x:c>
      <x:c r="AB440" s="14" t="str">
        <x:v>Strukturell nutzbar; Schwellen fachlich zu validieren</x:v>
      </x:c>
      <x:c r="AC440" s="14" t="str">
        <x:v>Mittel</x:v>
      </x:c>
      <x:c r="AD440" s="14" t="str">
        <x:v>Vollständige fünfstufige numerische Regel.</x:v>
      </x:c>
      <x:c r="AE440" s="14" t="str">
        <x:v>v1.4</x:v>
      </x:c>
      <x:c r="AF440" s="52" t="str">
        <x:v>2026-08-16</x:v>
      </x:c>
      <x:c r="AG440" s="52"/>
    </x:row>
    <x:row r="441" ht="42" customHeight="1">
      <x:c r="A441" s="14" t="str">
        <x:v>WOK-SC-141</x:v>
      </x:c>
      <x:c r="B441" s="14" t="str">
        <x:v>SDG 17 – Partnerschaften</x:v>
      </x:c>
      <x:c r="C441" s="14" t="str">
        <x:v>17.16</x:v>
      </x:c>
      <x:c r="D441" s="14" t="str">
        <x:v>Lieferketten‑Transparenz</x:v>
      </x:c>
      <x:c r="E441" s="14" t="str">
        <x:v>Lieferketten‑Transparenz – Kinder/Zwangsarbeit</x:v>
      </x:c>
      <x:c r="F441" s="14" t="str">
        <x:v>Audits ohne Verstöße</x:v>
      </x:c>
      <x:c r="G441" s="14" t="str">
        <x:v>% Lieferanten</x:v>
      </x:c>
      <x:c r="H441" s="14" t="str">
        <x:v>higher_is_better</x:v>
      </x:c>
      <x:c r="I441" s="14" t="str">
        <x:v>R28</x:v>
      </x:c>
      <x:c r="J441" s="14" t="str">
        <x:v>≥98:+3; 90–97:+2; 75–89:0; 50–74:‑2; &lt;50:‑3</x:v>
      </x:c>
      <x:c r="K441" s="14" t="str">
        <x:v>Feste WÖk-Kalibrierung</x:v>
      </x:c>
      <x:c r="L441" s="14" t="str">
        <x:v>Arbeitskalibrierung – fachlich zu validieren</x:v>
      </x:c>
      <x:c r="M441" s="14" t="str">
        <x:v>WÖk-interne Klassenlogik</x:v>
      </x:c>
      <x:c r="N441" s="14" t="str">
        <x:v>Optional/Nein</x:v>
      </x:c>
      <x:c r="O441" s="14" t="str">
        <x:v>ESRS S2; GRI 308/414/408/409</x:v>
      </x:c>
      <x:c r="P441" s="14" t="str">
        <x:v>ESRS S2, GRI 308/414, OECD Due Diligence</x:v>
      </x:c>
      <x:c r="Q441" s="14" t="str">
        <x:v>Mess-, Berichts- oder Managementrahmen; Schwellen sind grundsätzlich WÖk-Kalibrierungen</x:v>
      </x:c>
      <x:c r="R441" s="14" t="str">
        <x:v>Messgrundlage belegt; Schwellenkalibrierung offen</x:v>
      </x:c>
      <x:c r="S441" s="14" t="str">
        <x:v>EU-ESRS; GRI; OECD-DD; ILO-CORE</x:v>
      </x:c>
      <x:c r="T441" s="14" t="str">
        <x:v>C20 Chemie; C24 Stahl; C29 Fahrzeuge</x:v>
      </x:c>
      <x:c r="U441" s="14" t="str">
        <x:v>Legacy / nicht explizit versioniert</x:v>
      </x:c>
      <x:c r="V441" s="51" t="str"/>
      <x:c r="W441" s="14" t="str">
        <x:v>Migration auf NACE Rev. 2.1 erforderlich</x:v>
      </x:c>
      <x:c r="X441" s="14" t="str">
        <x:v>Vorgelagerte Lieferkette; relevante Tier-Stufen und Beschaffungsvolumen</x:v>
      </x:c>
      <x:c r="Y441" s="14" t="str">
        <x:v>Quote = Zähler / Nenner gemäß Quelle; in %.</x:v>
      </x:c>
      <x:c r="Z441" s="14" t="str">
        <x:v>Primärdaten bevorzugt; Sekundärdaten nur transparent und versioniert; Methode und Systemgrenze dokumentieren</x:v>
      </x:c>
      <x:c r="AA441" s="14" t="str">
        <x:v>Limited Assurance; risikobasiert höhere Prüftiefe</x:v>
      </x:c>
      <x:c r="AB441" s="14" t="str">
        <x:v>Strukturell nutzbar; Schwellen fachlich zu validieren</x:v>
      </x:c>
      <x:c r="AC441" s="14" t="str">
        <x:v>Mittel</x:v>
      </x:c>
      <x:c r="AD441" s="14" t="str">
        <x:v>Vollständige fünfstufige numerische Regel.</x:v>
      </x:c>
      <x:c r="AE441" s="14" t="str">
        <x:v>v1.4</x:v>
      </x:c>
      <x:c r="AF441" s="52" t="str">
        <x:v>2026-08-16</x:v>
      </x:c>
      <x:c r="AG441" s="52"/>
    </x:row>
    <x:row r="442" ht="42" customHeight="1">
      <x:c r="A442" s="14" t="str">
        <x:v>WOK-SC-142</x:v>
      </x:c>
      <x:c r="B442" s="14" t="str">
        <x:v>SDG 17 – Partnerschaften</x:v>
      </x:c>
      <x:c r="C442" s="14" t="str">
        <x:v>17.16</x:v>
      </x:c>
      <x:c r="D442" s="14" t="str">
        <x:v>Lieferketten‑Transparenz</x:v>
      </x:c>
      <x:c r="E442" s="14" t="str">
        <x:v>Lieferketten‑Transparenz – Scope‑3 Daten</x:v>
      </x:c>
      <x:c r="F442" s="14" t="str">
        <x:v>Primärdaten‑Abdeckung</x:v>
      </x:c>
      <x:c r="G442" s="14" t="str">
        <x:v>% Kategorien</x:v>
      </x:c>
      <x:c r="H442" s="14" t="str">
        <x:v>higher_is_better</x:v>
      </x:c>
      <x:c r="I442" s="14" t="str">
        <x:v>R23</x:v>
      </x:c>
      <x:c r="J442" s="14" t="str">
        <x:v>≥80:+3; 60–79:+2; 40–59:0; 20–39:‑2; &lt;20:‑3</x:v>
      </x:c>
      <x:c r="K442" s="14" t="str">
        <x:v>Feste WÖk-Kalibrierung</x:v>
      </x:c>
      <x:c r="L442" s="14" t="str">
        <x:v>Arbeitskalibrierung – fachlich zu validieren</x:v>
      </x:c>
      <x:c r="M442" s="14" t="str">
        <x:v>WÖk-interne Klassenlogik</x:v>
      </x:c>
      <x:c r="N442" s="14" t="str">
        <x:v>Optional/Nein</x:v>
      </x:c>
      <x:c r="O442" s="14" t="str">
        <x:v>ESRS E1; GHG Protocol</x:v>
      </x:c>
      <x:c r="P442" s="14" t="str">
        <x:v>ESRS E1, GHG Protocol (Corporate/Scope 1–3), ISO 14064/14067</x:v>
      </x:c>
      <x:c r="Q442" s="14" t="str">
        <x:v>Mess-, Berichts- oder Managementrahmen; Schwellen sind grundsätzlich WÖk-Kalibrierungen</x:v>
      </x:c>
      <x:c r="R442" s="14" t="str">
        <x:v>Messgrundlage belegt; Schwellenkalibrierung offen</x:v>
      </x:c>
      <x:c r="S442" s="14" t="str">
        <x:v>EU-ESRS; GHG-CORP; GHG-S3; GHG-PROD</x:v>
      </x:c>
      <x:c r="T442" s="14" t="str">
        <x:v>C20 Chemie; C24 Stahl; C29 Fahrzeuge</x:v>
      </x:c>
      <x:c r="U442" s="14" t="str">
        <x:v>Legacy / nicht explizit versioniert</x:v>
      </x:c>
      <x:c r="V442" s="51" t="str"/>
      <x:c r="W442" s="14" t="str">
        <x:v>Migration auf NACE Rev. 2.1 erforderlich</x:v>
      </x:c>
      <x:c r="X442" s="14" t="str">
        <x:v>Vorgelagerte Lieferkette; relevante Tier-Stufen und Beschaffungsvolumen</x:v>
      </x:c>
      <x:c r="Y442" s="14" t="str">
        <x:v>Quote = Zähler / Nenner gemäß Quelle; in %.</x:v>
      </x:c>
      <x:c r="Z442" s="14" t="str">
        <x:v>Primärdaten bevorzugt; Sekundärdaten nur transparent und versioniert; Methode und Systemgrenze dokumentieren</x:v>
      </x:c>
      <x:c r="AA442" s="14" t="str">
        <x:v>Limited Assurance; risikobasiert höhere Prüftiefe</x:v>
      </x:c>
      <x:c r="AB442" s="14" t="str">
        <x:v>Strukturell nutzbar; Schwellen fachlich zu validieren</x:v>
      </x:c>
      <x:c r="AC442" s="14" t="str">
        <x:v>Mittel</x:v>
      </x:c>
      <x:c r="AD442" s="14" t="str">
        <x:v>Vollständige fünfstufige numerische Regel.</x:v>
      </x:c>
      <x:c r="AE442" s="14" t="str">
        <x:v>v1.4</x:v>
      </x:c>
      <x:c r="AF442" s="52" t="str">
        <x:v>2026-08-16</x:v>
      </x:c>
      <x:c r="AG442" s="52"/>
    </x:row>
    <x:row r="443" ht="42" customHeight="1">
      <x:c r="A443" s="14" t="str">
        <x:v>WOK-G-188</x:v>
      </x:c>
      <x:c r="B443" s="14" t="str">
        <x:v>SDG 17 – Partnerschaften</x:v>
      </x:c>
      <x:c r="C443" s="14" t="str">
        <x:v>17.1</x:v>
      </x:c>
      <x:c r="D443" s="14" t="str">
        <x:v>Steuertransparenz</x:v>
      </x:c>
      <x:c r="E443" s="14" t="str">
        <x:v>Steuertransparenz – Antikorruption</x:v>
      </x:c>
      <x:c r="F443" s="14" t="str">
        <x:v>Bestätigte Fälle/1.000 FTE</x:v>
      </x:c>
      <x:c r="G443" s="14" t="str">
        <x:v>Fälle/1.000 FTE</x:v>
      </x:c>
      <x:c r="H443" s="14" t="str">
        <x:v>lower_is_better</x:v>
      </x:c>
      <x:c r="I443" s="14" t="str">
        <x:v>R01</x:v>
      </x:c>
      <x:c r="J443" s="14" t="str">
        <x:v>0:+3; ≤0,2:+2; ≤0,5:0; ≤1:‑2; &gt;1:‑3</x:v>
      </x:c>
      <x:c r="K443" s="14" t="str">
        <x:v>Feste WÖk-Kalibrierung</x:v>
      </x:c>
      <x:c r="L443" s="14" t="str">
        <x:v>Arbeitskalibrierung – fachlich zu validieren</x:v>
      </x:c>
      <x:c r="M443" s="14" t="str">
        <x:v>WÖk-interne Klassenlogik</x:v>
      </x:c>
      <x:c r="N443" s="14" t="str">
        <x:v>Optional/Nein</x:v>
      </x:c>
      <x:c r="O443" s="14" t="str">
        <x:v>ESRS G1; GRI 205/207</x:v>
      </x:c>
      <x:c r="P443" s="14" t="str">
        <x:v>ESRS G1, GRI 205/207, OECD Anti‑Bribery</x:v>
      </x:c>
      <x:c r="Q443" s="14" t="str">
        <x:v>Mess-, Berichts- oder Managementrahmen; Schwellen sind grundsätzlich WÖk-Kalibrierungen</x:v>
      </x:c>
      <x:c r="R443" s="14" t="str">
        <x:v>Messgrundlage belegt; Schwellenkalibrierung offen</x:v>
      </x:c>
      <x:c r="S443" s="14" t="str">
        <x:v>EU-ESRS; GRI; OECD-AB</x:v>
      </x:c>
      <x:c r="T443" s="14" t="str">
        <x:v>G47 Handel; K Versicherungen; M72 F&amp;E</x:v>
      </x:c>
      <x:c r="U443" s="14" t="str">
        <x:v>Legacy / nicht explizit versioniert</x:v>
      </x:c>
      <x:c r="V443" s="51" t="str"/>
      <x:c r="W443" s="14" t="str">
        <x:v>Migration auf NACE Rev. 2.1 erforderlich</x:v>
      </x:c>
      <x:c r="X443" s="14" t="str">
        <x:v>Organisation/Governance; konsolidierter Kreis und relevante Rechtseinheiten</x:v>
      </x:c>
      <x:c r="Y443" s="14" t="str">
        <x:v>Siehe Quelle: Definition gemäß Standard (ESRS/GRI/Taxonomie/ISO).</x:v>
      </x:c>
      <x:c r="Z443" s="14" t="str">
        <x:v>Primärdaten bevorzugt; Sekundärdaten nur transparent und versioniert; Methode und Systemgrenze dokumentieren</x:v>
      </x:c>
      <x:c r="AA443" s="14" t="str">
        <x:v>Limited Assurance; risikobasiert höhere Prüftiefe</x:v>
      </x:c>
      <x:c r="AB443" s="14" t="str">
        <x:v>Strukturell nutzbar; Schwellen fachlich zu validieren</x:v>
      </x:c>
      <x:c r="AC443" s="14" t="str">
        <x:v>Mittel</x:v>
      </x:c>
      <x:c r="AD443" s="14" t="str">
        <x:v>Vollständige fünfstufige numerische Regel.</x:v>
      </x:c>
      <x:c r="AE443" s="14" t="str">
        <x:v>v1.4</x:v>
      </x:c>
      <x:c r="AF443" s="52" t="str">
        <x:v>2026-08-16</x:v>
      </x:c>
      <x:c r="AG443" s="52"/>
    </x:row>
    <x:row r="444" ht="42" customHeight="1">
      <x:c r="A444" s="14" t="str">
        <x:v>WOK-G-189</x:v>
      </x:c>
      <x:c r="B444" s="14" t="str">
        <x:v>SDG 17 – Partnerschaften</x:v>
      </x:c>
      <x:c r="C444" s="14" t="str">
        <x:v>17.1</x:v>
      </x:c>
      <x:c r="D444" s="14" t="str">
        <x:v>Steuertransparenz</x:v>
      </x:c>
      <x:c r="E444" s="14" t="str">
        <x:v>Steuertransparenz – Whistleblowing</x:v>
      </x:c>
      <x:c r="F444" s="14" t="str">
        <x:v>Wirksamkeits‑Score</x:v>
      </x:c>
      <x:c r="G444" s="14" t="str">
        <x:v>0–1</x:v>
      </x:c>
      <x:c r="H444" s="14" t="str">
        <x:v>higher_is_better</x:v>
      </x:c>
      <x:c r="I444" s="14" t="str">
        <x:v>R16</x:v>
      </x:c>
      <x:c r="J444" s="14" t="str">
        <x:v>≥0,9:+3; 0,75–0,89:+2; 0,6–0,74:0; 0,4–0,59:‑2; &lt;0,4:‑3</x:v>
      </x:c>
      <x:c r="K444" s="14" t="str">
        <x:v>Feste WÖk-Kalibrierung</x:v>
      </x:c>
      <x:c r="L444" s="14" t="str">
        <x:v>Arbeitskalibrierung – fachlich zu validieren</x:v>
      </x:c>
      <x:c r="M444" s="14" t="str">
        <x:v>WÖk-interne Klassenlogik</x:v>
      </x:c>
      <x:c r="N444" s="14" t="str">
        <x:v>Optional/Nein</x:v>
      </x:c>
      <x:c r="O444" s="14" t="str">
        <x:v>ESRS G1; GRI 205/207</x:v>
      </x:c>
      <x:c r="P444" s="14" t="str">
        <x:v>ESRS G1, GRI 205/207, OECD Anti‑Bribery</x:v>
      </x:c>
      <x:c r="Q444" s="14" t="str">
        <x:v>Mess-, Berichts- oder Managementrahmen; Schwellen sind grundsätzlich WÖk-Kalibrierungen</x:v>
      </x:c>
      <x:c r="R444" s="14" t="str">
        <x:v>Messgrundlage belegt; Schwellenkalibrierung offen</x:v>
      </x:c>
      <x:c r="S444" s="14" t="str">
        <x:v>EU-ESRS; GRI; OECD-AB</x:v>
      </x:c>
      <x:c r="T444" s="14" t="str">
        <x:v>G47 Handel; K Versicherungen; M72 F&amp;E</x:v>
      </x:c>
      <x:c r="U444" s="14" t="str">
        <x:v>Legacy / nicht explizit versioniert</x:v>
      </x:c>
      <x:c r="V444" s="51" t="str"/>
      <x:c r="W444" s="14" t="str">
        <x:v>Migration auf NACE Rev. 2.1 erforderlich</x:v>
      </x:c>
      <x:c r="X444" s="14" t="str">
        <x:v>Organisation/Governance; konsolidierter Kreis und relevante Rechtseinheiten</x:v>
      </x:c>
      <x:c r="Y444" s="14" t="str">
        <x:v>Siehe Quelle: Definition gemäß Standard (ESRS/GRI/Taxonomie/ISO).</x:v>
      </x:c>
      <x:c r="Z444" s="14" t="str">
        <x:v>Primärdaten bevorzugt; Sekundärdaten nur transparent und versioniert; Methode und Systemgrenze dokumentieren</x:v>
      </x:c>
      <x:c r="AA444" s="14" t="str">
        <x:v>Limited Assurance; risikobasiert höhere Prüftiefe</x:v>
      </x:c>
      <x:c r="AB444" s="14" t="str">
        <x:v>Strukturell nutzbar; Schwellen fachlich zu validieren</x:v>
      </x:c>
      <x:c r="AC444" s="14" t="str">
        <x:v>Mittel</x:v>
      </x:c>
      <x:c r="AD444" s="14" t="str">
        <x:v>Vollständige fünfstufige numerische Regel.</x:v>
      </x:c>
      <x:c r="AE444" s="14" t="str">
        <x:v>v1.4</x:v>
      </x:c>
      <x:c r="AF444" s="52" t="str">
        <x:v>2026-08-16</x:v>
      </x:c>
      <x:c r="AG444" s="52"/>
    </x:row>
    <x:row r="445" ht="42" customHeight="1">
      <x:c r="A445" s="14" t="str">
        <x:v>WOK-G-190</x:v>
      </x:c>
      <x:c r="B445" s="14" t="str">
        <x:v>SDG 17 – Partnerschaften</x:v>
      </x:c>
      <x:c r="C445" s="14" t="str">
        <x:v>17.1</x:v>
      </x:c>
      <x:c r="D445" s="14" t="str">
        <x:v>Steuertransparenz</x:v>
      </x:c>
      <x:c r="E445" s="14" t="str">
        <x:v>Steuertransparenz – Steuertransparenz</x:v>
      </x:c>
      <x:c r="F445" s="14" t="str">
        <x:v>CbCR‑Offenlegung</x:v>
      </x:c>
      <x:c r="G445" s="14" t="str">
        <x:v>0–1</x:v>
      </x:c>
      <x:c r="H445" s="14" t="str">
        <x:v>higher_is_better</x:v>
      </x:c>
      <x:c r="I445" s="14" t="str">
        <x:v>R08</x:v>
      </x:c>
      <x:c r="J445" s="14" t="str">
        <x:v>vollständig:+3; teilweise:+2; minimal:0; schlecht:‑2</x:v>
      </x:c>
      <x:c r="K445" s="14" t="str">
        <x:v>Qualitativ</x:v>
      </x:c>
      <x:c r="L445" s="14" t="str">
        <x:v>Assurance und Kriterienkatalog erforderlich</x:v>
      </x:c>
      <x:c r="M445" s="14" t="str">
        <x:v>WÖk-interne Kategorien</x:v>
      </x:c>
      <x:c r="N445" s="14" t="str">
        <x:v>Optional/Nein</x:v>
      </x:c>
      <x:c r="O445" s="14" t="str">
        <x:v>ESRS G1; GRI 205/207</x:v>
      </x:c>
      <x:c r="P445" s="14" t="str">
        <x:v>ESRS G1, GRI 205/207, OECD Anti‑Bribery</x:v>
      </x:c>
      <x:c r="Q445" s="14" t="str">
        <x:v>Mess-, Berichts- oder Managementrahmen; Schwellen sind grundsätzlich WÖk-Kalibrierungen</x:v>
      </x:c>
      <x:c r="R445" s="14" t="str">
        <x:v>Messgrundlage belegt; Schwellenkalibrierung offen</x:v>
      </x:c>
      <x:c r="S445" s="14" t="str">
        <x:v>EU-ESRS; GRI; OECD-AB</x:v>
      </x:c>
      <x:c r="T445" s="14" t="str">
        <x:v>G47 Handel; K Versicherungen; M72 F&amp;E</x:v>
      </x:c>
      <x:c r="U445" s="14" t="str">
        <x:v>Legacy / nicht explizit versioniert</x:v>
      </x:c>
      <x:c r="V445" s="51" t="str"/>
      <x:c r="W445" s="14" t="str">
        <x:v>Migration auf NACE Rev. 2.1 erforderlich</x:v>
      </x:c>
      <x:c r="X445" s="14" t="str">
        <x:v>Organisation/Governance; konsolidierter Kreis und relevante Rechtseinheiten</x:v>
      </x:c>
      <x:c r="Y445" s="14" t="str">
        <x:v>Siehe Quelle: Definition gemäß Standard (ESRS/GRI/Taxonomie/ISO).</x:v>
      </x:c>
      <x:c r="Z445" s="14" t="str">
        <x:v>Dokumentierter Kriterienkatalog; nachvollziehbare Evidenz; DQR A/B bevorzugt</x:v>
      </x:c>
      <x:c r="AA445" s="14" t="str">
        <x:v>Unabhängige Fachprüfung/Limited Assurance; bei roten Linien Reasonable Assurance</x:v>
      </x:c>
      <x:c r="AB445" s="14" t="str">
        <x:v>Prüfung/Parametrisierung erforderlich</x:v>
      </x:c>
      <x:c r="AC445" s="14" t="str">
        <x:v>Hoch</x:v>
      </x:c>
      <x:c r="AD445" s="14" t="str">
        <x:v>Die Kategorie −3 fehlt; Vollständigkeit und Wirksamkeit sind feldspezifisch zu definieren.</x:v>
      </x:c>
      <x:c r="AE445" s="14" t="str">
        <x:v>v1.4</x:v>
      </x:c>
      <x:c r="AF445" s="52" t="str">
        <x:v>2026-08-16</x:v>
      </x:c>
      <x:c r="AG445" s="52"/>
    </x:row>
    <x:row r="446" ht="42" customHeight="1">
      <x:c r="A446" s="14" t="str">
        <x:v>WOK-SYS-155</x:v>
      </x:c>
      <x:c r="B446" s="14" t="str">
        <x:v>SDG 17 – Partnerschaften</x:v>
      </x:c>
      <x:c r="C446" s="14" t="str">
        <x:v>17.18</x:v>
      </x:c>
      <x:c r="D446" s="14" t="str">
        <x:v>Open Data/Transparenz</x:v>
      </x:c>
      <x:c r="E446" s="14" t="str">
        <x:v>Open Data/Transparenz – Index</x:v>
      </x:c>
      <x:c r="F446" s="14" t="str">
        <x:v>umsatzgewichteter Index (z. B. Demokratie/Rule of Law)</x:v>
      </x:c>
      <x:c r="G446" s="14" t="str">
        <x:v>0–1</x:v>
      </x:c>
      <x:c r="H446" s="14" t="str">
        <x:v>higher_is_better</x:v>
      </x:c>
      <x:c r="I446" s="14" t="str">
        <x:v>R15</x:v>
      </x:c>
      <x:c r="J446" s="14" t="str">
        <x:v>≥0,8:+3; 0,7–0,79:+2; 0,6–0,69:0; 0,5–0,59:‑2; &lt;0,5:‑3</x:v>
      </x:c>
      <x:c r="K446" s="14" t="str">
        <x:v>Feste WÖk-Kalibrierung</x:v>
      </x:c>
      <x:c r="L446" s="14" t="str">
        <x:v>Arbeitskalibrierung – fachlich zu validieren</x:v>
      </x:c>
      <x:c r="M446" s="14" t="str">
        <x:v>WÖk-interne Klassenlogik</x:v>
      </x:c>
      <x:c r="N446" s="14" t="str">
        <x:v>Optional/Nein</x:v>
      </x:c>
      <x:c r="O446" s="14" t="str">
        <x:v>SROI/SDG17</x:v>
      </x:c>
      <x:c r="P446" s="14" t="str">
        <x:v>SDG 16/17, WJP, V‑Dem</x:v>
      </x:c>
      <x:c r="Q446" s="14" t="str">
        <x:v>Methodischer Platzhalter; konkrete Fach- und Primärdatenquelle erforderlich</x:v>
      </x:c>
      <x:c r="R446" s="14" t="str">
        <x:v>Platzhalter – fachliche Operationalisierung offen</x:v>
      </x:c>
      <x:c r="S446" s="14" t="str">
        <x:v>INT-WOEK-TSROI; SVI-SROI; UN-SDG</x:v>
      </x:c>
      <x:c r="T446" s="14" t="str">
        <x:v>G47 Handel; K Versicherungen; M72 F&amp;E</x:v>
      </x:c>
      <x:c r="U446" s="14" t="str">
        <x:v>Legacy / nicht explizit versioniert</x:v>
      </x:c>
      <x:c r="V446" s="51" t="str"/>
      <x:c r="W446" s="14" t="str">
        <x:v>Migration auf NACE Rev. 2.1 erforderlich</x:v>
      </x:c>
      <x:c r="X446" s="14" t="str">
        <x:v>Programm/Portfolio/Systemraum; Empfängergruppe, Region und Zeitraum explizit definieren</x:v>
      </x:c>
      <x:c r="Y446" s="14" t="str">
        <x:v>Siehe Quelle: Definition gemäß Standard (ESRS/GRI/Taxonomie/ISO).</x:v>
      </x:c>
      <x:c r="Z446" s="14" t="str">
        <x:v>Primärdaten bevorzugt; Sekundärdaten nur transparent und versioniert; Methode und Systemgrenze dokumentieren</x:v>
      </x:c>
      <x:c r="AA446" s="14" t="str">
        <x:v>Limited Assurance; risikobasiert höhere Prüftiefe</x:v>
      </x:c>
      <x:c r="AB446" s="14" t="str">
        <x:v>Fachlogik nicht abschließend operationalisiert</x:v>
      </x:c>
      <x:c r="AC446" s="14" t="str">
        <x:v>Kritisch</x:v>
      </x:c>
      <x:c r="AD446" s="14" t="str">
        <x:v>SROI/SDG 17 ist keine hinreichend konkrete Mess- oder Schwellenquelle. Vollständige fünfstufige numerische Regel.</x:v>
      </x:c>
      <x:c r="AE446" s="14" t="str">
        <x:v>v1.4</x:v>
      </x:c>
      <x:c r="AF446" s="52" t="str">
        <x:v>2026-08-16</x:v>
      </x:c>
      <x:c r="AG446" s="52"/>
    </x:row>
    <x:row r="447" ht="42" customHeight="1">
      <x:c r="A447" s="14" t="str">
        <x:v>WOK-SYS-156</x:v>
      </x:c>
      <x:c r="B447" s="14" t="str">
        <x:v>SDG 17 – Partnerschaften</x:v>
      </x:c>
      <x:c r="C447" s="14" t="str">
        <x:v>17.18</x:v>
      </x:c>
      <x:c r="D447" s="14" t="str">
        <x:v>Open Data/Transparenz</x:v>
      </x:c>
      <x:c r="E447" s="14" t="str">
        <x:v>Open Data/Transparenz – Exposure</x:v>
      </x:c>
      <x:c r="F447" s="14" t="str">
        <x:v>Umsatz in Hochrisikoländern</x:v>
      </x:c>
      <x:c r="G447" s="14" t="str">
        <x:v>%</x:v>
      </x:c>
      <x:c r="H447" s="14" t="str">
        <x:v>lower_is_better</x:v>
      </x:c>
      <x:c r="I447" s="14" t="str">
        <x:v>R13</x:v>
      </x:c>
      <x:c r="J447" s="14" t="str">
        <x:v>≤5:+3; 6–10:+2; 11–20:0; 21–30:‑2; &gt;30:‑3</x:v>
      </x:c>
      <x:c r="K447" s="14" t="str">
        <x:v>Feste WÖk-Kalibrierung</x:v>
      </x:c>
      <x:c r="L447" s="14" t="str">
        <x:v>Arbeitskalibrierung – fachlich zu validieren</x:v>
      </x:c>
      <x:c r="M447" s="14" t="str">
        <x:v>WÖk-interne Klassenlogik</x:v>
      </x:c>
      <x:c r="N447" s="14" t="str">
        <x:v>Optional/Nein</x:v>
      </x:c>
      <x:c r="O447" s="14" t="str">
        <x:v>SROI/SDG17</x:v>
      </x:c>
      <x:c r="P447" s="14" t="str">
        <x:v>SDG 16/17, WJP, V‑Dem</x:v>
      </x:c>
      <x:c r="Q447" s="14" t="str">
        <x:v>Methodischer Platzhalter; konkrete Fach- und Primärdatenquelle erforderlich</x:v>
      </x:c>
      <x:c r="R447" s="14" t="str">
        <x:v>Platzhalter – fachliche Operationalisierung offen</x:v>
      </x:c>
      <x:c r="S447" s="14" t="str">
        <x:v>INT-WOEK-TSROI; SVI-SROI; UN-SDG</x:v>
      </x:c>
      <x:c r="T447" s="14" t="str">
        <x:v>G47 Handel; K Versicherungen; M72 F&amp;E</x:v>
      </x:c>
      <x:c r="U447" s="14" t="str">
        <x:v>Legacy / nicht explizit versioniert</x:v>
      </x:c>
      <x:c r="V447" s="51" t="str"/>
      <x:c r="W447" s="14" t="str">
        <x:v>Migration auf NACE Rev. 2.1 erforderlich</x:v>
      </x:c>
      <x:c r="X447" s="14" t="str">
        <x:v>Programm/Portfolio/Systemraum; Empfängergruppe, Region und Zeitraum explizit definieren</x:v>
      </x:c>
      <x:c r="Y447" s="14" t="str">
        <x:v>Siehe Quelle: Definition gemäß Standard (ESRS/GRI/Taxonomie/ISO).</x:v>
      </x:c>
      <x:c r="Z447" s="14" t="str">
        <x:v>Primärdaten bevorzugt; Sekundärdaten nur transparent und versioniert; Methode und Systemgrenze dokumentieren</x:v>
      </x:c>
      <x:c r="AA447" s="14" t="str">
        <x:v>Limited Assurance; risikobasiert höhere Prüftiefe</x:v>
      </x:c>
      <x:c r="AB447" s="14" t="str">
        <x:v>Fachlogik nicht abschließend operationalisiert</x:v>
      </x:c>
      <x:c r="AC447" s="14" t="str">
        <x:v>Kritisch</x:v>
      </x:c>
      <x:c r="AD447" s="14" t="str">
        <x:v>SROI/SDG 17 ist keine hinreichend konkrete Mess- oder Schwellenquelle. Vollständige fünfstufige numerische Regel.</x:v>
      </x:c>
      <x:c r="AE447" s="14" t="str">
        <x:v>v1.4</x:v>
      </x:c>
      <x:c r="AF447" s="52" t="str">
        <x:v>2026-08-16</x:v>
      </x:c>
      <x:c r="AG447" s="52"/>
    </x:row>
    <x:row r="448" ht="42" customHeight="1">
      <x:c r="A448" s="14" t="str">
        <x:v>WOK-SYS-157</x:v>
      </x:c>
      <x:c r="B448" s="14" t="str">
        <x:v>SDG 17 – Partnerschaften</x:v>
      </x:c>
      <x:c r="C448" s="14" t="str">
        <x:v>17.18</x:v>
      </x:c>
      <x:c r="D448" s="14" t="str">
        <x:v>Open Data/Transparenz</x:v>
      </x:c>
      <x:c r="E448" s="14" t="str">
        <x:v>Open Data/Transparenz – Kooperationen</x:v>
      </x:c>
      <x:c r="F448" s="14" t="str">
        <x:v>aktive, evaluierte Partnerschaften/Jahr</x:v>
      </x:c>
      <x:c r="G448" s="14" t="str">
        <x:v>#/Jahr</x:v>
      </x:c>
      <x:c r="H448" s="14" t="str">
        <x:v>higher_is_better</x:v>
      </x:c>
      <x:c r="I448" s="14" t="str">
        <x:v>R20</x:v>
      </x:c>
      <x:c r="J448" s="14" t="str">
        <x:v>≥5:+3; 3–4:+2; 1–2:0; 0:‑2</x:v>
      </x:c>
      <x:c r="K448" s="14" t="str">
        <x:v>Feste WÖk-Grobkalibrierung</x:v>
      </x:c>
      <x:c r="L448" s="14" t="str">
        <x:v>Klasse −3 nur für negative/unzulässige Werte ergänzt</x:v>
      </x:c>
      <x:c r="M448" s="14" t="str">
        <x:v>WÖk-interne Grobkalibrierung</x:v>
      </x:c>
      <x:c r="N448" s="14" t="str">
        <x:v>Optional/Nein</x:v>
      </x:c>
      <x:c r="O448" s="14" t="str">
        <x:v>SROI/SDG17</x:v>
      </x:c>
      <x:c r="P448" s="14" t="str">
        <x:v>SDG 16/17, WJP, V‑Dem</x:v>
      </x:c>
      <x:c r="Q448" s="14" t="str">
        <x:v>Methodischer Platzhalter; konkrete Fach- und Primärdatenquelle erforderlich</x:v>
      </x:c>
      <x:c r="R448" s="14" t="str">
        <x:v>Platzhalter – fachliche Operationalisierung offen</x:v>
      </x:c>
      <x:c r="S448" s="14" t="str">
        <x:v>INT-WOEK-TSROI; SVI-SROI; UN-SDG</x:v>
      </x:c>
      <x:c r="T448" s="14" t="str">
        <x:v>G47 Handel; K Versicherungen; M72 F&amp;E</x:v>
      </x:c>
      <x:c r="U448" s="14" t="str">
        <x:v>Legacy / nicht explizit versioniert</x:v>
      </x:c>
      <x:c r="V448" s="51" t="str"/>
      <x:c r="W448" s="14" t="str">
        <x:v>Migration auf NACE Rev. 2.1 erforderlich</x:v>
      </x:c>
      <x:c r="X448" s="14" t="str">
        <x:v>Programm/Portfolio/Systemraum; Empfängergruppe, Region und Zeitraum explizit definieren</x:v>
      </x:c>
      <x:c r="Y448" s="14" t="str">
        <x:v>Siehe Quelle: Definition gemäß Standard (ESRS/GRI/Taxonomie/ISO).</x:v>
      </x:c>
      <x:c r="Z448" s="14" t="str">
        <x:v>Primärdaten bevorzugt; Sekundärdaten nur transparent und versioniert; Methode und Systemgrenze dokumentieren</x:v>
      </x:c>
      <x:c r="AA448" s="14" t="str">
        <x:v>Limited Assurance; risikobasiert höhere Prüftiefe</x:v>
      </x:c>
      <x:c r="AB448" s="14" t="str">
        <x:v>Fachlogik nicht abschließend operationalisiert</x:v>
      </x:c>
      <x:c r="AC448" s="14" t="str">
        <x:v>Kritisch</x:v>
      </x:c>
      <x:c r="AD448" s="14" t="str">
        <x:v>SROI/SDG 17 ist keine hinreichend konkrete Mess- oder Schwellenquelle. Für sachlogisch nichtnegative Zählwerte ist 0 die schlechteste reguläre Klasse (−2).</x:v>
      </x:c>
      <x:c r="AE448" s="14" t="str">
        <x:v>v1.4</x:v>
      </x:c>
      <x:c r="AF448" s="52" t="str">
        <x:v>2026-08-16</x:v>
      </x:c>
      <x:c r="AG448" s="52"/>
    </x:row>
    <x:row r="449" ht="42" customHeight="1">
      <x:c r="A449" s="14" t="str">
        <x:v>WOK-G-191</x:v>
      </x:c>
      <x:c r="B449" s="14" t="str">
        <x:v>SDG 17 – Partnerschaften</x:v>
      </x:c>
      <x:c r="C449" s="14" t="str">
        <x:v>17.17</x:v>
      </x:c>
      <x:c r="D449" s="14" t="str">
        <x:v>Multi‑Stakeholder‑Governance</x:v>
      </x:c>
      <x:c r="E449" s="14" t="str">
        <x:v>Multi‑Stakeholder‑Governance – Antikorruption</x:v>
      </x:c>
      <x:c r="F449" s="14" t="str">
        <x:v>Bestätigte Fälle/1.000 FTE</x:v>
      </x:c>
      <x:c r="G449" s="14" t="str">
        <x:v>Fälle/1.000 FTE</x:v>
      </x:c>
      <x:c r="H449" s="14" t="str">
        <x:v>lower_is_better</x:v>
      </x:c>
      <x:c r="I449" s="14" t="str">
        <x:v>R01</x:v>
      </x:c>
      <x:c r="J449" s="14" t="str">
        <x:v>0:+3; ≤0,2:+2; ≤0,5:0; ≤1:‑2; &gt;1:‑3</x:v>
      </x:c>
      <x:c r="K449" s="14" t="str">
        <x:v>Feste WÖk-Kalibrierung</x:v>
      </x:c>
      <x:c r="L449" s="14" t="str">
        <x:v>Arbeitskalibrierung – fachlich zu validieren</x:v>
      </x:c>
      <x:c r="M449" s="14" t="str">
        <x:v>WÖk-interne Klassenlogik</x:v>
      </x:c>
      <x:c r="N449" s="14" t="str">
        <x:v>Optional/Nein</x:v>
      </x:c>
      <x:c r="O449" s="14" t="str">
        <x:v>ESRS G1; GRI 205/207</x:v>
      </x:c>
      <x:c r="P449" s="14" t="str">
        <x:v>ESRS G1, GRI 205/207, OECD Anti‑Bribery</x:v>
      </x:c>
      <x:c r="Q449" s="14" t="str">
        <x:v>Mess-, Berichts- oder Managementrahmen; Schwellen sind grundsätzlich WÖk-Kalibrierungen</x:v>
      </x:c>
      <x:c r="R449" s="14" t="str">
        <x:v>Messgrundlage belegt; Schwellenkalibrierung offen</x:v>
      </x:c>
      <x:c r="S449" s="14" t="str">
        <x:v>EU-ESRS; GRI; OECD-AB</x:v>
      </x:c>
      <x:c r="T449" s="14" t="str">
        <x:v>G47 Handel; K Versicherungen; M72 F&amp;E</x:v>
      </x:c>
      <x:c r="U449" s="14" t="str">
        <x:v>Legacy / nicht explizit versioniert</x:v>
      </x:c>
      <x:c r="V449" s="51" t="str"/>
      <x:c r="W449" s="14" t="str">
        <x:v>Migration auf NACE Rev. 2.1 erforderlich</x:v>
      </x:c>
      <x:c r="X449" s="14" t="str">
        <x:v>Organisation/Governance; konsolidierter Kreis und relevante Rechtseinheiten</x:v>
      </x:c>
      <x:c r="Y449" s="14" t="str">
        <x:v>Siehe Quelle: Definition gemäß Standard (ESRS/GRI/Taxonomie/ISO).</x:v>
      </x:c>
      <x:c r="Z449" s="14" t="str">
        <x:v>Primärdaten bevorzugt; Sekundärdaten nur transparent und versioniert; Methode und Systemgrenze dokumentieren</x:v>
      </x:c>
      <x:c r="AA449" s="14" t="str">
        <x:v>Limited Assurance; risikobasiert höhere Prüftiefe</x:v>
      </x:c>
      <x:c r="AB449" s="14" t="str">
        <x:v>Strukturell nutzbar; Schwellen fachlich zu validieren</x:v>
      </x:c>
      <x:c r="AC449" s="14" t="str">
        <x:v>Mittel</x:v>
      </x:c>
      <x:c r="AD449" s="14" t="str">
        <x:v>Vollständige fünfstufige numerische Regel.</x:v>
      </x:c>
      <x:c r="AE449" s="14" t="str">
        <x:v>v1.4</x:v>
      </x:c>
      <x:c r="AF449" s="52" t="str">
        <x:v>2026-08-16</x:v>
      </x:c>
      <x:c r="AG449" s="52"/>
    </x:row>
    <x:row r="450" ht="42" customHeight="1">
      <x:c r="A450" s="14" t="str">
        <x:v>WOK-G-192</x:v>
      </x:c>
      <x:c r="B450" s="14" t="str">
        <x:v>SDG 17 – Partnerschaften</x:v>
      </x:c>
      <x:c r="C450" s="14" t="str">
        <x:v>17.17</x:v>
      </x:c>
      <x:c r="D450" s="14" t="str">
        <x:v>Multi‑Stakeholder‑Governance</x:v>
      </x:c>
      <x:c r="E450" s="14" t="str">
        <x:v>Multi‑Stakeholder‑Governance – Whistleblowing</x:v>
      </x:c>
      <x:c r="F450" s="14" t="str">
        <x:v>Wirksamkeits‑Score</x:v>
      </x:c>
      <x:c r="G450" s="14" t="str">
        <x:v>0–1</x:v>
      </x:c>
      <x:c r="H450" s="14" t="str">
        <x:v>higher_is_better</x:v>
      </x:c>
      <x:c r="I450" s="14" t="str">
        <x:v>R16</x:v>
      </x:c>
      <x:c r="J450" s="14" t="str">
        <x:v>≥0,9:+3; 0,75–0,89:+2; 0,6–0,74:0; 0,4–0,59:‑2; &lt;0,4:‑3</x:v>
      </x:c>
      <x:c r="K450" s="14" t="str">
        <x:v>Feste WÖk-Kalibrierung</x:v>
      </x:c>
      <x:c r="L450" s="14" t="str">
        <x:v>Arbeitskalibrierung – fachlich zu validieren</x:v>
      </x:c>
      <x:c r="M450" s="14" t="str">
        <x:v>WÖk-interne Klassenlogik</x:v>
      </x:c>
      <x:c r="N450" s="14" t="str">
        <x:v>Optional/Nein</x:v>
      </x:c>
      <x:c r="O450" s="14" t="str">
        <x:v>ESRS G1; GRI 205/207</x:v>
      </x:c>
      <x:c r="P450" s="14" t="str">
        <x:v>ESRS G1, GRI 205/207, OECD Anti‑Bribery</x:v>
      </x:c>
      <x:c r="Q450" s="14" t="str">
        <x:v>Mess-, Berichts- oder Managementrahmen; Schwellen sind grundsätzlich WÖk-Kalibrierungen</x:v>
      </x:c>
      <x:c r="R450" s="14" t="str">
        <x:v>Messgrundlage belegt; Schwellenkalibrierung offen</x:v>
      </x:c>
      <x:c r="S450" s="14" t="str">
        <x:v>EU-ESRS; GRI; OECD-AB</x:v>
      </x:c>
      <x:c r="T450" s="14" t="str">
        <x:v>G47 Handel; K Versicherungen; M72 F&amp;E</x:v>
      </x:c>
      <x:c r="U450" s="14" t="str">
        <x:v>Legacy / nicht explizit versioniert</x:v>
      </x:c>
      <x:c r="V450" s="51" t="str"/>
      <x:c r="W450" s="14" t="str">
        <x:v>Migration auf NACE Rev. 2.1 erforderlich</x:v>
      </x:c>
      <x:c r="X450" s="14" t="str">
        <x:v>Organisation/Governance; konsolidierter Kreis und relevante Rechtseinheiten</x:v>
      </x:c>
      <x:c r="Y450" s="14" t="str">
        <x:v>Siehe Quelle: Definition gemäß Standard (ESRS/GRI/Taxonomie/ISO).</x:v>
      </x:c>
      <x:c r="Z450" s="14" t="str">
        <x:v>Primärdaten bevorzugt; Sekundärdaten nur transparent und versioniert; Methode und Systemgrenze dokumentieren</x:v>
      </x:c>
      <x:c r="AA450" s="14" t="str">
        <x:v>Limited Assurance; risikobasiert höhere Prüftiefe</x:v>
      </x:c>
      <x:c r="AB450" s="14" t="str">
        <x:v>Strukturell nutzbar; Schwellen fachlich zu validieren</x:v>
      </x:c>
      <x:c r="AC450" s="14" t="str">
        <x:v>Mittel</x:v>
      </x:c>
      <x:c r="AD450" s="14" t="str">
        <x:v>Vollständige fünfstufige numerische Regel.</x:v>
      </x:c>
      <x:c r="AE450" s="14" t="str">
        <x:v>v1.4</x:v>
      </x:c>
      <x:c r="AF450" s="52" t="str">
        <x:v>2026-08-16</x:v>
      </x:c>
      <x:c r="AG450" s="52"/>
    </x:row>
    <x:row r="451" ht="42" customHeight="1">
      <x:c r="A451" s="14" t="str">
        <x:v>WOK-G-193</x:v>
      </x:c>
      <x:c r="B451" s="14" t="str">
        <x:v>SDG 17 – Partnerschaften</x:v>
      </x:c>
      <x:c r="C451" s="14" t="str">
        <x:v>17.17</x:v>
      </x:c>
      <x:c r="D451" s="14" t="str">
        <x:v>Multi‑Stakeholder‑Governance</x:v>
      </x:c>
      <x:c r="E451" s="14" t="str">
        <x:v>Multi‑Stakeholder‑Governance – Steuertransparenz</x:v>
      </x:c>
      <x:c r="F451" s="14" t="str">
        <x:v>CbCR‑Offenlegung</x:v>
      </x:c>
      <x:c r="G451" s="14" t="str">
        <x:v>0–1</x:v>
      </x:c>
      <x:c r="H451" s="14" t="str">
        <x:v>higher_is_better</x:v>
      </x:c>
      <x:c r="I451" s="14" t="str">
        <x:v>R08</x:v>
      </x:c>
      <x:c r="J451" s="14" t="str">
        <x:v>vollständig:+3; teilweise:+2; minimal:0; schlecht:‑2</x:v>
      </x:c>
      <x:c r="K451" s="14" t="str">
        <x:v>Qualitativ</x:v>
      </x:c>
      <x:c r="L451" s="14" t="str">
        <x:v>Assurance und Kriterienkatalog erforderlich</x:v>
      </x:c>
      <x:c r="M451" s="14" t="str">
        <x:v>WÖk-interne Kategorien</x:v>
      </x:c>
      <x:c r="N451" s="14" t="str">
        <x:v>Optional/Nein</x:v>
      </x:c>
      <x:c r="O451" s="14" t="str">
        <x:v>ESRS G1; GRI 205/207</x:v>
      </x:c>
      <x:c r="P451" s="14" t="str">
        <x:v>ESRS G1, GRI 205/207, OECD Anti‑Bribery</x:v>
      </x:c>
      <x:c r="Q451" s="14" t="str">
        <x:v>Mess-, Berichts- oder Managementrahmen; Schwellen sind grundsätzlich WÖk-Kalibrierungen</x:v>
      </x:c>
      <x:c r="R451" s="14" t="str">
        <x:v>Messgrundlage belegt; Schwellenkalibrierung offen</x:v>
      </x:c>
      <x:c r="S451" s="14" t="str">
        <x:v>EU-ESRS; GRI; OECD-AB</x:v>
      </x:c>
      <x:c r="T451" s="14" t="str">
        <x:v>G47 Handel; K Versicherungen; M72 F&amp;E</x:v>
      </x:c>
      <x:c r="U451" s="14" t="str">
        <x:v>Legacy / nicht explizit versioniert</x:v>
      </x:c>
      <x:c r="V451" s="51" t="str"/>
      <x:c r="W451" s="14" t="str">
        <x:v>Migration auf NACE Rev. 2.1 erforderlich</x:v>
      </x:c>
      <x:c r="X451" s="14" t="str">
        <x:v>Organisation/Governance; konsolidierter Kreis und relevante Rechtseinheiten</x:v>
      </x:c>
      <x:c r="Y451" s="14" t="str">
        <x:v>Siehe Quelle: Definition gemäß Standard (ESRS/GRI/Taxonomie/ISO).</x:v>
      </x:c>
      <x:c r="Z451" s="14" t="str">
        <x:v>Dokumentierter Kriterienkatalog; nachvollziehbare Evidenz; DQR A/B bevorzugt</x:v>
      </x:c>
      <x:c r="AA451" s="14" t="str">
        <x:v>Unabhängige Fachprüfung/Limited Assurance; bei roten Linien Reasonable Assurance</x:v>
      </x:c>
      <x:c r="AB451" s="14" t="str">
        <x:v>Prüfung/Parametrisierung erforderlich</x:v>
      </x:c>
      <x:c r="AC451" s="14" t="str">
        <x:v>Hoch</x:v>
      </x:c>
      <x:c r="AD451" s="14" t="str">
        <x:v>Die Kategorie −3 fehlt; Vollständigkeit und Wirksamkeit sind feldspezifisch zu definieren.</x:v>
      </x:c>
      <x:c r="AE451" s="14" t="str">
        <x:v>v1.4</x:v>
      </x:c>
      <x:c r="AF451" s="52" t="str">
        <x:v>2026-08-16</x:v>
      </x:c>
      <x:c r="AG451" s="52"/>
    </x:row>
    <x:row r="452" ht="42" customHeight="1">
      <x:c r="A452" s="14" t="str">
        <x:v>WOK-SC-143</x:v>
      </x:c>
      <x:c r="B452" s="14" t="str">
        <x:v>SDG 17 – Partnerschaften</x:v>
      </x:c>
      <x:c r="C452" s="14" t="str">
        <x:v>17.11</x:v>
      </x:c>
      <x:c r="D452" s="14" t="str">
        <x:v>Lokalisierung/SME‑Einbindung</x:v>
      </x:c>
      <x:c r="E452" s="14" t="str">
        <x:v>Lokalisierung/SME‑Einbindung – ESG‑Spend‑Coverage</x:v>
      </x:c>
      <x:c r="F452" s="14" t="str">
        <x:v>Anteil verifizierter ESG‑Daten am Spend</x:v>
      </x:c>
      <x:c r="G452" s="14" t="str">
        <x:v>%</x:v>
      </x:c>
      <x:c r="H452" s="14" t="str">
        <x:v>higher_is_better</x:v>
      </x:c>
      <x:c r="I452" s="14" t="str">
        <x:v>R26</x:v>
      </x:c>
      <x:c r="J452" s="14" t="str">
        <x:v>≥90:+3; 70–89:+2; 50–69:0; 30–49:‑2; &lt;30:‑3</x:v>
      </x:c>
      <x:c r="K452" s="14" t="str">
        <x:v>Feste WÖk-Kalibrierung</x:v>
      </x:c>
      <x:c r="L452" s="14" t="str">
        <x:v>Arbeitskalibrierung – fachlich zu validieren</x:v>
      </x:c>
      <x:c r="M452" s="14" t="str">
        <x:v>WÖk-interne Klassenlogik</x:v>
      </x:c>
      <x:c r="N452" s="14" t="str">
        <x:v>Optional/Nein</x:v>
      </x:c>
      <x:c r="O452" s="14" t="str">
        <x:v>ESRS S2; GRI 308/414/408/409</x:v>
      </x:c>
      <x:c r="P452" s="14" t="str">
        <x:v>ESRS S2; GRI 308/414/408/409</x:v>
      </x:c>
      <x:c r="Q452" s="14" t="str">
        <x:v>Mess-, Berichts- oder Managementrahmen; Schwellen sind grundsätzlich WÖk-Kalibrierungen</x:v>
      </x:c>
      <x:c r="R452" s="14" t="str">
        <x:v>Messgrundlage belegt; Schwellenkalibrierung offen</x:v>
      </x:c>
      <x:c r="S452" s="14" t="str">
        <x:v>EU-ESRS; GRI; OECD-DD; ILO-CORE</x:v>
      </x:c>
      <x:c r="T452" s="14" t="str">
        <x:v>G47 Handel; K Versicherungen; M72 F&amp;E</x:v>
      </x:c>
      <x:c r="U452" s="14" t="str">
        <x:v>Legacy / nicht explizit versioniert</x:v>
      </x:c>
      <x:c r="V452" s="51" t="str"/>
      <x:c r="W452" s="14" t="str">
        <x:v>Migration auf NACE Rev. 2.1 erforderlich</x:v>
      </x:c>
      <x:c r="X452" s="14" t="str">
        <x:v>Vorgelagerte Lieferkette; relevante Tier-Stufen und Beschaffungsvolumen</x:v>
      </x:c>
      <x:c r="Y452" s="14" t="str">
        <x:v>Quote = Zähler / Nenner gemäß Quelle; in %.</x:v>
      </x:c>
      <x:c r="Z452" s="14" t="str">
        <x:v>Primärdaten bevorzugt; Sekundärdaten nur transparent und versioniert; Methode und Systemgrenze dokumentieren</x:v>
      </x:c>
      <x:c r="AA452" s="14" t="str">
        <x:v>Limited Assurance; risikobasiert höhere Prüftiefe</x:v>
      </x:c>
      <x:c r="AB452" s="14" t="str">
        <x:v>Strukturell nutzbar; Schwellen fachlich zu validieren</x:v>
      </x:c>
      <x:c r="AC452" s="14" t="str">
        <x:v>Mittel</x:v>
      </x:c>
      <x:c r="AD452" s="14" t="str">
        <x:v>Vollständige fünfstufige numerische Regel.</x:v>
      </x:c>
      <x:c r="AE452" s="14" t="str">
        <x:v>v1.4</x:v>
      </x:c>
      <x:c r="AF452" s="52" t="str">
        <x:v>2026-08-16</x:v>
      </x:c>
      <x:c r="AG452" s="52"/>
    </x:row>
    <x:row r="453" ht="42" customHeight="1">
      <x:c r="A453" s="14" t="str">
        <x:v>WOK-SC-144</x:v>
      </x:c>
      <x:c r="B453" s="14" t="str">
        <x:v>SDG 17 – Partnerschaften</x:v>
      </x:c>
      <x:c r="C453" s="14" t="str">
        <x:v>17.11</x:v>
      </x:c>
      <x:c r="D453" s="14" t="str">
        <x:v>Lokalisierung/SME‑Einbindung</x:v>
      </x:c>
      <x:c r="E453" s="14" t="str">
        <x:v>Lokalisierung/SME‑Einbindung – Kinder/Zwangsarbeit</x:v>
      </x:c>
      <x:c r="F453" s="14" t="str">
        <x:v>Audits ohne Verstöße</x:v>
      </x:c>
      <x:c r="G453" s="14" t="str">
        <x:v>% Lieferanten</x:v>
      </x:c>
      <x:c r="H453" s="14" t="str">
        <x:v>higher_is_better</x:v>
      </x:c>
      <x:c r="I453" s="14" t="str">
        <x:v>R28</x:v>
      </x:c>
      <x:c r="J453" s="14" t="str">
        <x:v>≥98:+3; 90–97:+2; 75–89:0; 50–74:‑2; &lt;50:‑3</x:v>
      </x:c>
      <x:c r="K453" s="14" t="str">
        <x:v>Feste WÖk-Kalibrierung</x:v>
      </x:c>
      <x:c r="L453" s="14" t="str">
        <x:v>Arbeitskalibrierung – fachlich zu validieren</x:v>
      </x:c>
      <x:c r="M453" s="14" t="str">
        <x:v>WÖk-interne Klassenlogik</x:v>
      </x:c>
      <x:c r="N453" s="14" t="str">
        <x:v>Optional/Nein</x:v>
      </x:c>
      <x:c r="O453" s="14" t="str">
        <x:v>ESRS S2; GRI 308/414/408/409</x:v>
      </x:c>
      <x:c r="P453" s="14" t="str">
        <x:v>ESRS S2, GRI 308/414, OECD Due Diligence</x:v>
      </x:c>
      <x:c r="Q453" s="14" t="str">
        <x:v>Mess-, Berichts- oder Managementrahmen; Schwellen sind grundsätzlich WÖk-Kalibrierungen</x:v>
      </x:c>
      <x:c r="R453" s="14" t="str">
        <x:v>Messgrundlage belegt; Schwellenkalibrierung offen</x:v>
      </x:c>
      <x:c r="S453" s="14" t="str">
        <x:v>EU-ESRS; GRI; OECD-DD; ILO-CORE</x:v>
      </x:c>
      <x:c r="T453" s="14" t="str">
        <x:v>G47 Handel; K Versicherungen; M72 F&amp;E</x:v>
      </x:c>
      <x:c r="U453" s="14" t="str">
        <x:v>Legacy / nicht explizit versioniert</x:v>
      </x:c>
      <x:c r="V453" s="51" t="str"/>
      <x:c r="W453" s="14" t="str">
        <x:v>Migration auf NACE Rev. 2.1 erforderlich</x:v>
      </x:c>
      <x:c r="X453" s="14" t="str">
        <x:v>Vorgelagerte Lieferkette; relevante Tier-Stufen und Beschaffungsvolumen</x:v>
      </x:c>
      <x:c r="Y453" s="14" t="str">
        <x:v>Quote = Zähler / Nenner gemäß Quelle; in %.</x:v>
      </x:c>
      <x:c r="Z453" s="14" t="str">
        <x:v>Primärdaten bevorzugt; Sekundärdaten nur transparent und versioniert; Methode und Systemgrenze dokumentieren</x:v>
      </x:c>
      <x:c r="AA453" s="14" t="str">
        <x:v>Limited Assurance; risikobasiert höhere Prüftiefe</x:v>
      </x:c>
      <x:c r="AB453" s="14" t="str">
        <x:v>Strukturell nutzbar; Schwellen fachlich zu validieren</x:v>
      </x:c>
      <x:c r="AC453" s="14" t="str">
        <x:v>Mittel</x:v>
      </x:c>
      <x:c r="AD453" s="14" t="str">
        <x:v>Vollständige fünfstufige numerische Regel.</x:v>
      </x:c>
      <x:c r="AE453" s="14" t="str">
        <x:v>v1.4</x:v>
      </x:c>
      <x:c r="AF453" s="52" t="str">
        <x:v>2026-08-16</x:v>
      </x:c>
      <x:c r="AG453" s="52"/>
    </x:row>
    <x:row r="454" ht="42" customHeight="1">
      <x:c r="A454" s="14" t="str">
        <x:v>WOK-SC-145</x:v>
      </x:c>
      <x:c r="B454" s="14" t="str">
        <x:v>SDG 17 – Partnerschaften</x:v>
      </x:c>
      <x:c r="C454" s="14" t="str">
        <x:v>17.11</x:v>
      </x:c>
      <x:c r="D454" s="14" t="str">
        <x:v>Lokalisierung/SME‑Einbindung</x:v>
      </x:c>
      <x:c r="E454" s="14" t="str">
        <x:v>Lokalisierung/SME‑Einbindung – Scope‑3 Daten</x:v>
      </x:c>
      <x:c r="F454" s="14" t="str">
        <x:v>Primärdaten‑Abdeckung</x:v>
      </x:c>
      <x:c r="G454" s="14" t="str">
        <x:v>% Kategorien</x:v>
      </x:c>
      <x:c r="H454" s="14" t="str">
        <x:v>higher_is_better</x:v>
      </x:c>
      <x:c r="I454" s="14" t="str">
        <x:v>R23</x:v>
      </x:c>
      <x:c r="J454" s="14" t="str">
        <x:v>≥80:+3; 60–79:+2; 40–59:0; 20–39:‑2; &lt;20:‑3</x:v>
      </x:c>
      <x:c r="K454" s="14" t="str">
        <x:v>Feste WÖk-Kalibrierung</x:v>
      </x:c>
      <x:c r="L454" s="14" t="str">
        <x:v>Arbeitskalibrierung – fachlich zu validieren</x:v>
      </x:c>
      <x:c r="M454" s="14" t="str">
        <x:v>WÖk-interne Klassenlogik</x:v>
      </x:c>
      <x:c r="N454" s="14" t="str">
        <x:v>Optional/Nein</x:v>
      </x:c>
      <x:c r="O454" s="14" t="str">
        <x:v>ESRS E1; GHG Protocol</x:v>
      </x:c>
      <x:c r="P454" s="14" t="str">
        <x:v>ESRS E1, GHG Protocol (Corporate/Scope 1–3), ISO 14064/14067</x:v>
      </x:c>
      <x:c r="Q454" s="14" t="str">
        <x:v>Mess-, Berichts- oder Managementrahmen; Schwellen sind grundsätzlich WÖk-Kalibrierungen</x:v>
      </x:c>
      <x:c r="R454" s="14" t="str">
        <x:v>Messgrundlage belegt; Schwellenkalibrierung offen</x:v>
      </x:c>
      <x:c r="S454" s="14" t="str">
        <x:v>EU-ESRS; GHG-CORP; GHG-S3; GHG-PROD</x:v>
      </x:c>
      <x:c r="T454" s="14" t="str">
        <x:v>G47 Handel; K Versicherungen; M72 F&amp;E</x:v>
      </x:c>
      <x:c r="U454" s="14" t="str">
        <x:v>Legacy / nicht explizit versioniert</x:v>
      </x:c>
      <x:c r="V454" s="51" t="str"/>
      <x:c r="W454" s="14" t="str">
        <x:v>Migration auf NACE Rev. 2.1 erforderlich</x:v>
      </x:c>
      <x:c r="X454" s="14" t="str">
        <x:v>Vorgelagerte Lieferkette; relevante Tier-Stufen und Beschaffungsvolumen</x:v>
      </x:c>
      <x:c r="Y454" s="14" t="str">
        <x:v>Quote = Zähler / Nenner gemäß Quelle; in %.</x:v>
      </x:c>
      <x:c r="Z454" s="14" t="str">
        <x:v>Primärdaten bevorzugt; Sekundärdaten nur transparent und versioniert; Methode und Systemgrenze dokumentieren</x:v>
      </x:c>
      <x:c r="AA454" s="14" t="str">
        <x:v>Limited Assurance; risikobasiert höhere Prüftiefe</x:v>
      </x:c>
      <x:c r="AB454" s="14" t="str">
        <x:v>Strukturell nutzbar; Schwellen fachlich zu validieren</x:v>
      </x:c>
      <x:c r="AC454" s="14" t="str">
        <x:v>Mittel</x:v>
      </x:c>
      <x:c r="AD454" s="14" t="str">
        <x:v>Vollständige fünfstufige numerische Regel.</x:v>
      </x:c>
      <x:c r="AE454" s="14" t="str">
        <x:v>v1.4</x:v>
      </x:c>
      <x:c r="AF454" s="52" t="str">
        <x:v>2026-08-16</x:v>
      </x:c>
      <x:c r="AG454" s="52"/>
    </x:row>
    <x:row r="455" ht="42" customHeight="1">
      <x:c r="A455" s="14" t="str">
        <x:v>WOK-E-221</x:v>
      </x:c>
      <x:c r="B455" s="14" t="str">
        <x:v>SDG 17 – Partnerschaften</x:v>
      </x:c>
      <x:c r="C455" s="14" t="str">
        <x:v>17.17</x:v>
      </x:c>
      <x:c r="D455" s="14" t="str">
        <x:v>Gemeinsame Klimainitiativen</x:v>
      </x:c>
      <x:c r="E455" s="14" t="str">
        <x:v>Gemeinsame Klimainitiativen – EE‑Anteil</x:v>
      </x:c>
      <x:c r="F455" s="14" t="str">
        <x:v>Anteil erneuerbarer Energien am Strombezug</x:v>
      </x:c>
      <x:c r="G455" s="14" t="str">
        <x:v>%</x:v>
      </x:c>
      <x:c r="H455" s="14" t="str">
        <x:v>higher_is_better</x:v>
      </x:c>
      <x:c r="I455" s="14" t="str">
        <x:v>R25</x:v>
      </x:c>
      <x:c r="J455" s="14" t="str">
        <x:v>≥90%:+3; 70–89%:+2; 50–69%:0; 30–49%:‑2; &lt;30%:‑3</x:v>
      </x:c>
      <x:c r="K455" s="14" t="str">
        <x:v>Feste WÖk-Kalibrierung</x:v>
      </x:c>
      <x:c r="L455" s="14" t="str">
        <x:v>Arbeitskalibrierung – fachlich zu validieren</x:v>
      </x:c>
      <x:c r="M455" s="14" t="str">
        <x:v>WÖk-interne Klassenlogik</x:v>
      </x:c>
      <x:c r="N455" s="14" t="str">
        <x:v>Optional/Nein</x:v>
      </x:c>
      <x:c r="O455" s="14" t="str">
        <x:v>ESRS E1; GHG Protocol</x:v>
      </x:c>
      <x:c r="P455" s="14" t="str">
        <x:v>ESRS E1, ISO 50001 (EnMS), ISO/IEC 30134‑2 (PUE), EU EPBD</x:v>
      </x:c>
      <x:c r="Q455" s="14" t="str">
        <x:v>Mess-, Berichts- oder Managementrahmen; Schwellen sind grundsätzlich WÖk-Kalibrierungen</x:v>
      </x:c>
      <x:c r="R455" s="14" t="str">
        <x:v>Messgrundlage belegt; Schwellenkalibrierung offen</x:v>
      </x:c>
      <x:c r="S455" s="14" t="str">
        <x:v>EU-ESRS; GHG-CORP; GHG-S3; GHG-PROD</x:v>
      </x:c>
      <x:c r="T455" s="14" t="str">
        <x:v>C20 Chemie; C24 Stahl; C29 Fahrzeuge</x:v>
      </x:c>
      <x:c r="U455" s="14" t="str">
        <x:v>Legacy / nicht explizit versioniert</x:v>
      </x:c>
      <x:c r="V455" s="51" t="str"/>
      <x:c r="W455" s="14" t="str">
        <x:v>Migration auf NACE Rev. 2.1 erforderlich</x:v>
      </x:c>
      <x:c r="X455" s="14" t="str">
        <x:v>Standort/Prozess/Aktivität; Bezugsgröße und relevante Umweltmedien</x:v>
      </x:c>
      <x:c r="Y455" s="14" t="str">
        <x:v>EE‑Anteil = EE‑Strom (inkl. PPA/HKN) / Gesamtstrom.</x:v>
      </x:c>
      <x:c r="Z455" s="14" t="str">
        <x:v>Primärdaten bevorzugt; Sekundärdaten nur transparent und versioniert; Methode und Systemgrenze dokumentieren</x:v>
      </x:c>
      <x:c r="AA455" s="14" t="str">
        <x:v>Limited Assurance; risikobasiert höhere Prüftiefe</x:v>
      </x:c>
      <x:c r="AB455" s="14" t="str">
        <x:v>Strukturell nutzbar; Schwellen fachlich zu validieren</x:v>
      </x:c>
      <x:c r="AC455" s="14" t="str">
        <x:v>Mittel</x:v>
      </x:c>
      <x:c r="AD455" s="14" t="str">
        <x:v>Vollständige fünfstufige Prozentregel.</x:v>
      </x:c>
      <x:c r="AE455" s="14" t="str">
        <x:v>v1.4</x:v>
      </x:c>
      <x:c r="AF455" s="52" t="str">
        <x:v>2026-08-16</x:v>
      </x:c>
      <x:c r="AG455" s="52"/>
    </x:row>
    <x:row r="456" ht="42" customHeight="1">
      <x:c r="A456" s="14" t="str">
        <x:v>WOK-E-222</x:v>
      </x:c>
      <x:c r="B456" s="14" t="str">
        <x:v>SDG 17 – Partnerschaften</x:v>
      </x:c>
      <x:c r="C456" s="14" t="str">
        <x:v>17.17</x:v>
      </x:c>
      <x:c r="D456" s="14" t="str">
        <x:v>Gemeinsame Klimainitiativen</x:v>
      </x:c>
      <x:c r="E456" s="14" t="str">
        <x:v>Gemeinsame Klimainitiativen – Intensität</x:v>
      </x:c>
      <x:c r="F456" s="14" t="str">
        <x:v>Energie je Output/Umsatz</x:v>
      </x:c>
      <x:c r="G456" s="14" t="str">
        <x:v>kWh/€ Mio bzw. kWh/t</x:v>
      </x:c>
      <x:c r="H456" s="14" t="str">
        <x:v>lower_is_better</x:v>
      </x:c>
      <x:c r="I456" s="14" t="str">
        <x:v>R06</x:v>
      </x:c>
      <x:c r="J456" s="14" t="str">
        <x:v>Top‑10%:+3; Mittel:0; &gt;150%:‑2; &gt;250%:‑3</x:v>
      </x:c>
      <x:c r="K456" s="14" t="str">
        <x:v>Benchmarkabhängig</x:v>
      </x:c>
      <x:c r="L456" s="14" t="str">
        <x:v>Validierter Benchmark fehlt</x:v>
      </x:c>
      <x:c r="M456" s="14" t="str">
        <x:v>Branche/Region/Technologie</x:v>
      </x:c>
      <x:c r="N456" s="14" t="str">
        <x:v>Ja</x:v>
      </x:c>
      <x:c r="O456" s="14" t="str">
        <x:v>ESRS E1; GHG Protocol</x:v>
      </x:c>
      <x:c r="P456" s="14" t="str">
        <x:v>ESRS E1, ISO 50001 (EnMS), ISO/IEC 30134‑2 (PUE), EU EPBD</x:v>
      </x:c>
      <x:c r="Q456" s="14" t="str">
        <x:v>Mess-/Methodenrahmen; aktiver Branchen-/Regional-/Technologiebenchmark separat erforderlich</x:v>
      </x:c>
      <x:c r="R456" s="14" t="str">
        <x:v>Teilbelegt – Benchmarkquelle fehlt</x:v>
      </x:c>
      <x:c r="S456" s="14" t="str">
        <x:v>EU-ESRS; GHG-CORP; GHG-S3; GHG-PROD</x:v>
      </x:c>
      <x:c r="T456" s="14" t="str">
        <x:v>C20 Chemie; C24 Stahl; C29 Fahrzeuge</x:v>
      </x:c>
      <x:c r="U456" s="14" t="str">
        <x:v>Legacy / nicht explizit versioniert</x:v>
      </x:c>
      <x:c r="V456" s="51" t="str"/>
      <x:c r="W456" s="14" t="str">
        <x:v>Migration auf NACE Rev. 2.1 erforderlich</x:v>
      </x:c>
      <x:c r="X456" s="14" t="str">
        <x:v>Standort/Prozess/Aktivität; Bezugsgröße und relevante Umweltmedien</x:v>
      </x:c>
      <x:c r="Y456" s="14" t="str">
        <x:v>Siehe Quelle: Definition gemäß Standard (ESRS/GRI/Taxonomie/ISO).</x:v>
      </x:c>
      <x:c r="Z456" s="14" t="str">
        <x:v>Primärdaten plus repräsentativer, versionierter Benchmarkdatensatz; Stichprobe und Population offenlegen</x:v>
      </x:c>
      <x:c r="AA456" s="14" t="str">
        <x:v>Messwert-Assurance und unabhängige Benchmark-Governance</x:v>
      </x:c>
      <x:c r="AB456" s="14" t="str">
        <x:v>Prüfung/Parametrisierung erforderlich</x:v>
      </x:c>
      <x:c r="AC456" s="14" t="str">
        <x:v>Hoch</x:v>
      </x:c>
      <x:c r="AD456" s="14" t="str">
        <x:v>Top-10-Prozent, Mittelwert, 150 % und 250 % müssen aus einer dokumentierten Grundgesamtheit stammen.</x:v>
      </x:c>
      <x:c r="AE456" s="14" t="str">
        <x:v>v1.4</x:v>
      </x:c>
      <x:c r="AF456" s="52" t="str">
        <x:v>2026-08-16</x:v>
      </x:c>
      <x:c r="AG456" s="52"/>
    </x:row>
    <x:row r="457" ht="42" customHeight="1">
      <x:c r="A457" s="14" t="str">
        <x:v>WOK-E-223</x:v>
      </x:c>
      <x:c r="B457" s="14" t="str">
        <x:v>SDG 17 – Partnerschaften</x:v>
      </x:c>
      <x:c r="C457" s="14" t="str">
        <x:v>17.17</x:v>
      </x:c>
      <x:c r="D457" s="14" t="str">
        <x:v>Gemeinsame Klimainitiativen</x:v>
      </x:c>
      <x:c r="E457" s="14" t="str">
        <x:v>Gemeinsame Klimainitiativen – Effizienz (PUE)*</x:v>
      </x:c>
      <x:c r="F457" s="14" t="str">
        <x:v>Effizienz Rechenzentrum/IT‑Betrieb (falls zutreffend)</x:v>
      </x:c>
      <x:c r="G457" s="14" t="str">
        <x:v>PUE</x:v>
      </x:c>
      <x:c r="H457" s="14" t="str">
        <x:v>lower_is_better</x:v>
      </x:c>
      <x:c r="I457" s="14" t="str">
        <x:v>R09</x:v>
      </x:c>
      <x:c r="J457" s="14" t="str">
        <x:v>≤1,2:+3; 1,21–1,4:+2; 1,41–1,6:0; 1,61–1,8:‑2; &gt;1,8:‑3</x:v>
      </x:c>
      <x:c r="K457" s="14" t="str">
        <x:v>Feste WÖk-Kalibrierung</x:v>
      </x:c>
      <x:c r="L457" s="14" t="str">
        <x:v>Messstandard belegt; Klassen sind WÖk-Kalibrierung</x:v>
      </x:c>
      <x:c r="M457" s="14" t="str">
        <x:v>PUE-Messung nach ISO/IEC 30134-2; Klassen intern</x:v>
      </x:c>
      <x:c r="N457" s="14" t="str">
        <x:v>Optional/Nein</x:v>
      </x:c>
      <x:c r="O457" s="14" t="str">
        <x:v>ISO 14067/50001/45001/22301/27701/23894</x:v>
      </x:c>
      <x:c r="P457" s="14" t="str">
        <x:v>ESRS E1, ISO 50001 (EnMS), ISO/IEC 30134‑2 (PUE), EU EPBD</x:v>
      </x:c>
      <x:c r="Q457" s="14" t="str">
        <x:v>Mess-, Berichts- oder Managementrahmen; Schwellen sind grundsätzlich WÖk-Kalibrierungen</x:v>
      </x:c>
      <x:c r="R457" s="14" t="str">
        <x:v>Messgrundlage belegt; Schwellenkalibrierung offen</x:v>
      </x:c>
      <x:c r="S457" s="14" t="str">
        <x:v>ISO-14067; ISO-50001; ISO-45001; ISO-22301; ISO-27701; ISO-23894</x:v>
      </x:c>
      <x:c r="T457" s="14" t="str">
        <x:v>C20 Chemie; C24 Stahl; C29 Fahrzeuge</x:v>
      </x:c>
      <x:c r="U457" s="14" t="str">
        <x:v>Legacy / nicht explizit versioniert</x:v>
      </x:c>
      <x:c r="V457" s="51" t="str"/>
      <x:c r="W457" s="14" t="str">
        <x:v>Migration auf NACE Rev. 2.1 erforderlich</x:v>
      </x:c>
      <x:c r="X457" s="14" t="str">
        <x:v>Standort/Prozess/Aktivität; Bezugsgröße und relevante Umweltmedien</x:v>
      </x:c>
      <x:c r="Y457" s="14" t="str">
        <x:v>PUE = Gesamtstrom RZ / IT‑Last (ISO/IEC 30134‑2).</x:v>
      </x:c>
      <x:c r="Z457" s="14" t="str">
        <x:v>Primärdaten bevorzugt; Sekundärdaten nur transparent und versioniert; Methode und Systemgrenze dokumentieren</x:v>
      </x:c>
      <x:c r="AA457" s="14" t="str">
        <x:v>Limited Assurance; risikobasiert höhere Prüftiefe</x:v>
      </x:c>
      <x:c r="AB457" s="14" t="str">
        <x:v>Strukturell nutzbar; Schwellen fachlich zu validieren</x:v>
      </x:c>
      <x:c r="AC457" s="14" t="str">
        <x:v>Mittel</x:v>
      </x:c>
      <x:c r="AD457" s="14" t="str">
        <x:v>Klimazone und Rechenzentrumstyp sind bei der Validierung zu berücksichtigen.</x:v>
      </x:c>
      <x:c r="AE457" s="14" t="str">
        <x:v>v1.4</x:v>
      </x:c>
      <x:c r="AF457" s="52" t="str">
        <x:v>2026-08-16</x:v>
      </x:c>
      <x:c r="AG457" s="52"/>
    </x:row>
    <x:row r="458" ht="42" customHeight="1">
      <x:c r="A458" s="14" t="str">
        <x:v>WOK-P-128</x:v>
      </x:c>
      <x:c r="B458" s="14" t="str">
        <x:v>SDG 17 – Partnerschaften</x:v>
      </x:c>
      <x:c r="C458" s="14" t="str">
        <x:v>17.6</x:v>
      </x:c>
      <x:c r="D458" s="14" t="str">
        <x:v>Offene Standards/Interoperabilität</x:v>
      </x:c>
      <x:c r="E458" s="14" t="str">
        <x:v>Offene Standards/Interoperabilität – PCF</x:v>
      </x:c>
      <x:c r="F458" s="14" t="str">
        <x:v>CO₂‑Fußabdruck pro Einheit</x:v>
      </x:c>
      <x:c r="G458" s="14" t="str">
        <x:v>kg CO₂e/Einheit</x:v>
      </x:c>
      <x:c r="H458" s="14" t="str">
        <x:v>lower_is_better</x:v>
      </x:c>
      <x:c r="I458" s="14" t="str">
        <x:v>R07</x:v>
      </x:c>
      <x:c r="J458" s="14" t="str">
        <x:v>Top‑10%:+3; ±Benchmark:0; &gt;150%:‑2; &gt;250%:‑3</x:v>
      </x:c>
      <x:c r="K458" s="14" t="str">
        <x:v>Benchmarkabhängig</x:v>
      </x:c>
      <x:c r="L458" s="14" t="str">
        <x:v>Validierter Benchmark fehlt</x:v>
      </x:c>
      <x:c r="M458" s="14" t="str">
        <x:v>Produktgruppe/Region/Technologie</x:v>
      </x:c>
      <x:c r="N458" s="14" t="str">
        <x:v>Ja</x:v>
      </x:c>
      <x:c r="O458" s="14" t="str">
        <x:v>ISO 14067; ESRS E5; GRI 306/301; WEEE/VerpackG</x:v>
      </x:c>
      <x:c r="P458" s="14" t="str">
        <x:v>ISO 14067/14040/44 (LCA/PCF), PEF/EF 3.1, EU Reparierbarkeitsindex</x:v>
      </x:c>
      <x:c r="Q458" s="14" t="str">
        <x:v>Mess-/Methodenrahmen; aktiver Branchen-/Regional-/Technologiebenchmark separat erforderlich</x:v>
      </x:c>
      <x:c r="R458" s="14" t="str">
        <x:v>Teilbelegt – Benchmarkquelle fehlt</x:v>
      </x:c>
      <x:c r="S458" s="14" t="str">
        <x:v>ISO-14067; EU-ESRS; GRI; EU-WEEE; DE-VERPACKG; EU-PPWR</x:v>
      </x:c>
      <x:c r="T458" s="14" t="str">
        <x:v>J61 Telekom; J62 IT; RZ</x:v>
      </x:c>
      <x:c r="U458" s="14" t="str">
        <x:v>Legacy / nicht explizit versioniert</x:v>
      </x:c>
      <x:c r="V458" s="51" t="str"/>
      <x:c r="W458" s="14" t="str">
        <x:v>Migration auf NACE Rev. 2.1 erforderlich</x:v>
      </x:c>
      <x:c r="X458" s="14" t="str">
        <x:v>Produkt/Funktionseinheit; Lebenszyklusgrenze mindestens cradle-to-gate, bei Nutzungs-/End-of-Life-Relevanz cradle-to-grave</x:v>
      </x:c>
      <x:c r="Y458" s="14" t="str">
        <x:v>PCF gemäß ISO 14067/PEF; Well‑to‑Gate + Nutzung falls zutreffend.</x:v>
      </x:c>
      <x:c r="Z458" s="14" t="str">
        <x:v>Primärdaten plus repräsentativer, versionierter Benchmarkdatensatz; Stichprobe und Population offenlegen</x:v>
      </x:c>
      <x:c r="AA458" s="14" t="str">
        <x:v>Messwert-Assurance und unabhängige Benchmark-Governance</x:v>
      </x:c>
      <x:c r="AB458" s="14" t="str">
        <x:v>Prüfung/Parametrisierung erforderlich</x:v>
      </x:c>
      <x:c r="AC458" s="14" t="str">
        <x:v>Hoch</x:v>
      </x:c>
      <x:c r="AD458" s="14" t="str">
        <x:v>Produktspezifische Referenzpopulation erforderlich.</x:v>
      </x:c>
      <x:c r="AE458" s="14" t="str">
        <x:v>v1.4</x:v>
      </x:c>
      <x:c r="AF458" s="52" t="str">
        <x:v>2026-08-16</x:v>
      </x:c>
      <x:c r="AG458" s="52"/>
    </x:row>
    <x:row r="459" ht="42" customHeight="1">
      <x:c r="A459" s="14" t="str">
        <x:v>WOK-P-129</x:v>
      </x:c>
      <x:c r="B459" s="14" t="str">
        <x:v>SDG 17 – Partnerschaften</x:v>
      </x:c>
      <x:c r="C459" s="14" t="str">
        <x:v>17.6</x:v>
      </x:c>
      <x:c r="D459" s="14" t="str">
        <x:v>Offene Standards/Interoperabilität</x:v>
      </x:c>
      <x:c r="E459" s="14" t="str">
        <x:v>Offene Standards/Interoperabilität – Reparierbarkeit</x:v>
      </x:c>
      <x:c r="F459" s="14" t="str">
        <x:v>Reparierbarkeitsindex</x:v>
      </x:c>
      <x:c r="G459" s="14" t="str">
        <x:v>Score 0–10</x:v>
      </x:c>
      <x:c r="H459" s="14" t="str">
        <x:v>higher_is_better</x:v>
      </x:c>
      <x:c r="I459" s="14" t="str">
        <x:v>R24</x:v>
      </x:c>
      <x:c r="J459" s="14" t="str">
        <x:v>≥8:+3; 6–7,9:+2; 4–5,9:0; 2–3,9:‑2; &lt;2:‑3</x:v>
      </x:c>
      <x:c r="K459" s="14" t="str">
        <x:v>Produktspezifische Indexkalibrierung</x:v>
      </x:c>
      <x:c r="L459" s="14" t="str">
        <x:v>Indexsystem und Produktgruppe müssen ausgewiesen werden</x:v>
      </x:c>
      <x:c r="M459" s="14" t="str">
        <x:v>FR-/EU-Reparierbarkeitssystem je Produktgruppe</x:v>
      </x:c>
      <x:c r="N459" s="14" t="str">
        <x:v>Optional/Nein</x:v>
      </x:c>
      <x:c r="O459" s="14" t="str">
        <x:v>EU/FR Index</x:v>
      </x:c>
      <x:c r="P459" s="14" t="str">
        <x:v>ISO 14067/14040/44 (LCA/PCF), PEF/EF 3.1, EU Reparierbarkeitsindex</x:v>
      </x:c>
      <x:c r="Q459" s="14" t="str">
        <x:v>Produktspezifischer Rechts-/Indexrahmen; System und Produktgruppe explizit auswählen</x:v>
      </x:c>
      <x:c r="R459" s="14" t="str">
        <x:v>Teilbelegt – produktspezifisch zu validieren</x:v>
      </x:c>
      <x:c r="S459" s="14" t="str">
        <x:v>FR-REPAIR; EU-REPAIR; EU-ESPR</x:v>
      </x:c>
      <x:c r="T459" s="14" t="str">
        <x:v>J61 Telekom; J62 IT; RZ</x:v>
      </x:c>
      <x:c r="U459" s="14" t="str">
        <x:v>Legacy / nicht explizit versioniert</x:v>
      </x:c>
      <x:c r="V459" s="51" t="str"/>
      <x:c r="W459" s="14" t="str">
        <x:v>Migration auf NACE Rev. 2.1 erforderlich</x:v>
      </x:c>
      <x:c r="X459" s="14" t="str">
        <x:v>Produkt/Funktionseinheit; Lebenszyklusgrenze mindestens cradle-to-gate, bei Nutzungs-/End-of-Life-Relevanz cradle-to-grave</x:v>
      </x:c>
      <x:c r="Y459" s="14" t="str">
        <x:v>EU/FR‑Reparierbarkeitsindex: Zerlegbarkeit, Ersatzteile, Doku.</x:v>
      </x:c>
      <x:c r="Z459" s="14" t="str">
        <x:v>Primärdaten oder qualitätsgesicherte Sekundärdaten; Methode, Zeitraum und Systemgrenze dokumentieren</x:v>
      </x:c>
      <x:c r="AA459" s="14" t="str">
        <x:v>Limited Assurance; bei materieller Steuerwirkung risikobasiert vertiefen</x:v>
      </x:c>
      <x:c r="AB459" s="14" t="str">
        <x:v>Produktspezifische bzw. lokale Prüfung erforderlich</x:v>
      </x:c>
      <x:c r="AC459" s="14" t="str">
        <x:v>Hoch</x:v>
      </x:c>
      <x:c r="AD459" s="14" t="str">
        <x:v>Indexsystem, Produktgruppe und Rechtsstand festlegen. Französischer Index und EU-Score sind nicht pauschal austauschbar.</x:v>
      </x:c>
      <x:c r="AE459" s="14" t="str">
        <x:v>v1.4</x:v>
      </x:c>
      <x:c r="AF459" s="52" t="str">
        <x:v>2026-08-16</x:v>
      </x:c>
      <x:c r="AG459" s="52"/>
    </x:row>
    <x:row r="460" ht="42" customHeight="1">
      <x:c r="A460" s="14" t="str">
        <x:v>WOK-P-130</x:v>
      </x:c>
      <x:c r="B460" s="14" t="str">
        <x:v>SDG 17 – Partnerschaften</x:v>
      </x:c>
      <x:c r="C460" s="14" t="str">
        <x:v>17.6</x:v>
      </x:c>
      <x:c r="D460" s="14" t="str">
        <x:v>Offene Standards/Interoperabilität</x:v>
      </x:c>
      <x:c r="E460" s="14" t="str">
        <x:v>Offene Standards/Interoperabilität – Rücknahme/Recycling</x:v>
      </x:c>
      <x:c r="F460" s="14" t="str">
        <x:v>Rücknahme‑/Recyclingquote</x:v>
      </x:c>
      <x:c r="G460" s="14" t="str">
        <x:v>%</x:v>
      </x:c>
      <x:c r="H460" s="14" t="str">
        <x:v>higher_is_better</x:v>
      </x:c>
      <x:c r="I460" s="14" t="str">
        <x:v>R22</x:v>
      </x:c>
      <x:c r="J460" s="14" t="str">
        <x:v>≥70:+3; 50–69:+2; 30–49:0; 15–29:‑2; &lt;15:‑3</x:v>
      </x:c>
      <x:c r="K460" s="14" t="str">
        <x:v>Feste WÖk-Kalibrierung</x:v>
      </x:c>
      <x:c r="L460" s="14" t="str">
        <x:v>Arbeitskalibrierung – fachlich zu validieren</x:v>
      </x:c>
      <x:c r="M460" s="14" t="str">
        <x:v>WÖk-interne Klassenlogik</x:v>
      </x:c>
      <x:c r="N460" s="14" t="str">
        <x:v>Optional/Nein</x:v>
      </x:c>
      <x:c r="O460" s="14" t="str">
        <x:v>ESRS E5; GRI 306/301; WEEE/VerpackG</x:v>
      </x:c>
      <x:c r="P460" s="14" t="str">
        <x:v>ESRS E5, GRI 306, WEEE/VerpackG</x:v>
      </x:c>
      <x:c r="Q460" s="14" t="str">
        <x:v>Mess-, Berichts- oder Managementrahmen; Schwellen sind grundsätzlich WÖk-Kalibrierungen</x:v>
      </x:c>
      <x:c r="R460" s="14" t="str">
        <x:v>Messgrundlage belegt; Schwellenkalibrierung offen</x:v>
      </x:c>
      <x:c r="S460" s="14" t="str">
        <x:v>EU-ESRS; GRI; EU-WEEE; DE-VERPACKG; EU-PPWR</x:v>
      </x:c>
      <x:c r="T460" s="14" t="str">
        <x:v>J61 Telekom; J62 IT; RZ</x:v>
      </x:c>
      <x:c r="U460" s="14" t="str">
        <x:v>Legacy / nicht explizit versioniert</x:v>
      </x:c>
      <x:c r="V460" s="51" t="str"/>
      <x:c r="W460" s="14" t="str">
        <x:v>Migration auf NACE Rev. 2.1 erforderlich</x:v>
      </x:c>
      <x:c r="X460" s="14" t="str">
        <x:v>Produkt/Funktionseinheit; Lebenszyklusgrenze mindestens cradle-to-gate, bei Nutzungs-/End-of-Life-Relevanz cradle-to-grave</x:v>
      </x:c>
      <x:c r="Y460" s="14" t="str">
        <x:v>Siehe Quelle: Definition gemäß Standard (ESRS/GRI/Taxonomie/ISO).</x:v>
      </x:c>
      <x:c r="Z460" s="14" t="str">
        <x:v>Primärdaten bevorzugt; Sekundärdaten nur transparent und versioniert; Methode und Systemgrenze dokumentieren</x:v>
      </x:c>
      <x:c r="AA460" s="14" t="str">
        <x:v>Limited Assurance; risikobasiert höhere Prüftiefe</x:v>
      </x:c>
      <x:c r="AB460" s="14" t="str">
        <x:v>Strukturell nutzbar; Schwellen fachlich zu validieren</x:v>
      </x:c>
      <x:c r="AC460" s="14" t="str">
        <x:v>Mittel</x:v>
      </x:c>
      <x:c r="AD460" s="14" t="str">
        <x:v>Vollständige fünfstufige numerische Regel.</x:v>
      </x:c>
      <x:c r="AE460" s="14" t="str">
        <x:v>v1.4</x:v>
      </x:c>
      <x:c r="AF460" s="52" t="str">
        <x:v>2026-08-16</x:v>
      </x:c>
      <x:c r="AG460" s="52"/>
    </x:row>
    <x:row r="461" ht="42" customHeight="1">
      <x:c r="A461" s="14" t="str">
        <x:v>WOK-POL-119</x:v>
      </x:c>
      <x:c r="B461" s="14" t="str">
        <x:v>SDG 17 – Partnerschaften</x:v>
      </x:c>
      <x:c r="C461" s="14" t="str">
        <x:v>17.19</x:v>
      </x:c>
      <x:c r="D461" s="14" t="str">
        <x:v>Taxonomie‑Reporting</x:v>
      </x:c>
      <x:c r="E461" s="14" t="str">
        <x:v>Taxonomie‑Reporting – Spezifische Emissionen</x:v>
      </x:c>
      <x:c r="F461" s="14" t="str">
        <x:v>CO₂e je kWh (LCA)</x:v>
      </x:c>
      <x:c r="G461" s="14" t="str">
        <x:v>g CO₂e/kWh</x:v>
      </x:c>
      <x:c r="H461" s="14" t="str">
        <x:v>lower_is_better</x:v>
      </x:c>
      <x:c r="I461" s="14" t="str">
        <x:v>R10</x:v>
      </x:c>
      <x:c r="J461" s="14" t="str">
        <x:v>≤100:+3; 101–250:0; &gt;250:‑2</x:v>
      </x:c>
      <x:c r="K461" s="14" t="str">
        <x:v>Feste WÖk-Grobkalibrierung</x:v>
      </x:c>
      <x:c r="L461" s="14" t="str">
        <x:v>Klassen +2 und −3 fehlen</x:v>
      </x:c>
      <x:c r="M461" s="14" t="str">
        <x:v>WÖk-interne Grobkalibrierung</x:v>
      </x:c>
      <x:c r="N461" s="14" t="str">
        <x:v>Optional/Nein</x:v>
      </x:c>
      <x:c r="O461" s="14" t="str">
        <x:v>EU‑Taxonomie TSC/DNSH</x:v>
      </x:c>
      <x:c r="P461" s="14" t="str">
        <x:v>ESRS E1, GHG Protocol (Corporate/Scope 1–3), ISO 14064/14067</x:v>
      </x:c>
      <x:c r="Q461" s="14" t="str">
        <x:v>Mess-, Berichts- oder Managementrahmen; Schwellen sind grundsätzlich WÖk-Kalibrierungen</x:v>
      </x:c>
      <x:c r="R461" s="14" t="str">
        <x:v>Messgrundlage belegt; Schwellenkalibrierung offen</x:v>
      </x:c>
      <x:c r="S461" s="14" t="str">
        <x:v>EU-TAX</x:v>
      </x:c>
      <x:c r="T461" s="14" t="str">
        <x:v>C20 Chemie; C24 Stahl; C29 Fahrzeuge</x:v>
      </x:c>
      <x:c r="U461" s="14" t="str">
        <x:v>Legacy / nicht explizit versioniert</x:v>
      </x:c>
      <x:c r="V461" s="51" t="str"/>
      <x:c r="W461" s="14" t="str">
        <x:v>Migration auf NACE Rev. 2.1 erforderlich</x:v>
      </x:c>
      <x:c r="X461" s="14" t="str">
        <x:v>Technologie-/Aktivitätsklasse; Anlagen-, Netz- oder Flottengrenze ausweisen</x:v>
      </x:c>
      <x:c r="Y461" s="14" t="str">
        <x:v>EU‑Taxonomie: TSC erfüllt &amp; DNSH + MSR; Anteil konformer Aktivitäten.</x:v>
      </x:c>
      <x:c r="Z461" s="14" t="str">
        <x:v>Primärdaten bevorzugt; Sekundärdaten nur transparent und versioniert; Methode und Systemgrenze dokumentieren</x:v>
      </x:c>
      <x:c r="AA461" s="14" t="str">
        <x:v>Limited Assurance; risikobasiert höhere Prüftiefe</x:v>
      </x:c>
      <x:c r="AB461" s="14" t="str">
        <x:v>Strukturell nutzbar; Schwellen fachlich zu validieren</x:v>
      </x:c>
      <x:c r="AC461" s="14" t="str">
        <x:v>Mittel</x:v>
      </x:c>
      <x:c r="AD461" s="14" t="str">
        <x:v>Automatik bildet nur die explizit vorhandenen Klassen ab.</x:v>
      </x:c>
      <x:c r="AE461" s="14" t="str">
        <x:v>v1.4</x:v>
      </x:c>
      <x:c r="AF461" s="52" t="str">
        <x:v>2026-08-16</x:v>
      </x:c>
      <x:c r="AG461" s="52"/>
    </x:row>
    <x:row r="462" ht="42" customHeight="1">
      <x:c r="A462" s="14" t="str">
        <x:v>WOK-POL-120</x:v>
      </x:c>
      <x:c r="B462" s="14" t="str">
        <x:v>SDG 17 – Partnerschaften</x:v>
      </x:c>
      <x:c r="C462" s="14" t="str">
        <x:v>17.19</x:v>
      </x:c>
      <x:c r="D462" s="14" t="str">
        <x:v>Taxonomie‑Reporting</x:v>
      </x:c>
      <x:c r="E462" s="14" t="str">
        <x:v>Taxonomie‑Reporting – DNSH‑Konformität</x:v>
      </x:c>
      <x:c r="F462" s="14" t="str">
        <x:v>‚Do No Significant Harm‘ erfüllt</x:v>
      </x:c>
      <x:c r="G462" s="14" t="str">
        <x:v>% Aktivitäten</x:v>
      </x:c>
      <x:c r="H462" s="14" t="str">
        <x:v>higher_is_better</x:v>
      </x:c>
      <x:c r="I462" s="14" t="str">
        <x:v>R25</x:v>
      </x:c>
      <x:c r="J462" s="14" t="str">
        <x:v>≥90%:+3; 70–89%:+2; 50–69%:0; 30–49%:‑2; &lt;30%:‑3</x:v>
      </x:c>
      <x:c r="K462" s="14" t="str">
        <x:v>Feste WÖk-Kalibrierung</x:v>
      </x:c>
      <x:c r="L462" s="14" t="str">
        <x:v>Arbeitskalibrierung – fachlich zu validieren</x:v>
      </x:c>
      <x:c r="M462" s="14" t="str">
        <x:v>WÖk-interne Klassenlogik</x:v>
      </x:c>
      <x:c r="N462" s="14" t="str">
        <x:v>Optional/Nein</x:v>
      </x:c>
      <x:c r="O462" s="14" t="str">
        <x:v>EU‑Taxonomie TSC/DNSH</x:v>
      </x:c>
      <x:c r="P462" s="14" t="str">
        <x:v>EU‑Taxonomie (TSC &amp; DNSH)</x:v>
      </x:c>
      <x:c r="Q462" s="14" t="str">
        <x:v>Mess-, Berichts- oder Managementrahmen; Schwellen sind grundsätzlich WÖk-Kalibrierungen</x:v>
      </x:c>
      <x:c r="R462" s="14" t="str">
        <x:v>Messgrundlage belegt; Schwellenkalibrierung offen</x:v>
      </x:c>
      <x:c r="S462" s="14" t="str">
        <x:v>EU-TAX</x:v>
      </x:c>
      <x:c r="T462" s="14" t="str">
        <x:v>C20 Chemie; C24 Stahl; C29 Fahrzeuge</x:v>
      </x:c>
      <x:c r="U462" s="14" t="str">
        <x:v>Legacy / nicht explizit versioniert</x:v>
      </x:c>
      <x:c r="V462" s="51" t="str"/>
      <x:c r="W462" s="14" t="str">
        <x:v>Migration auf NACE Rev. 2.1 erforderlich</x:v>
      </x:c>
      <x:c r="X462" s="14" t="str">
        <x:v>Technologie-/Aktivitätsklasse; Anlagen-, Netz- oder Flottengrenze ausweisen</x:v>
      </x:c>
      <x:c r="Y462" s="14" t="str">
        <x:v>EU‑Taxonomie: TSC erfüllt &amp; DNSH + MSR; Anteil konformer Aktivitäten.</x:v>
      </x:c>
      <x:c r="Z462" s="14" t="str">
        <x:v>Primärdaten bevorzugt; Sekundärdaten nur transparent und versioniert; Methode und Systemgrenze dokumentieren</x:v>
      </x:c>
      <x:c r="AA462" s="14" t="str">
        <x:v>Limited Assurance; risikobasiert höhere Prüftiefe</x:v>
      </x:c>
      <x:c r="AB462" s="14" t="str">
        <x:v>Strukturell nutzbar; Schwellen fachlich zu validieren</x:v>
      </x:c>
      <x:c r="AC462" s="14" t="str">
        <x:v>Mittel</x:v>
      </x:c>
      <x:c r="AD462" s="14" t="str">
        <x:v>Vollständige fünfstufige Prozentregel.</x:v>
      </x:c>
      <x:c r="AE462" s="14" t="str">
        <x:v>v1.4</x:v>
      </x:c>
      <x:c r="AF462" s="52" t="str">
        <x:v>2026-08-16</x:v>
      </x:c>
      <x:c r="AG462" s="52"/>
    </x:row>
    <x:row r="463" ht="42" customHeight="1">
      <x:c r="A463" s="14" t="str">
        <x:v>WOK-POL-121</x:v>
      </x:c>
      <x:c r="B463" s="14" t="str">
        <x:v>SDG 17 – Partnerschaften</x:v>
      </x:c>
      <x:c r="C463" s="14" t="str">
        <x:v>17.19</x:v>
      </x:c>
      <x:c r="D463" s="14" t="str">
        <x:v>Taxonomie‑Reporting</x:v>
      </x:c>
      <x:c r="E463" s="14" t="str">
        <x:v>Taxonomie‑Reporting – TSC‑Schwellen</x:v>
      </x:c>
      <x:c r="F463" s="14" t="str">
        <x:v>Anteil unter technischen TSC‑Grenzen</x:v>
      </x:c>
      <x:c r="G463" s="14" t="str">
        <x:v>% Aktivitäten</x:v>
      </x:c>
      <x:c r="H463" s="14" t="str">
        <x:v>higher_is_better</x:v>
      </x:c>
      <x:c r="I463" s="14" t="str">
        <x:v>R25</x:v>
      </x:c>
      <x:c r="J463" s="14" t="str">
        <x:v>≥90%:+3; 70–89%:+2; 50–69%:0; 30–49%:‑2; &lt;30%:‑3</x:v>
      </x:c>
      <x:c r="K463" s="14" t="str">
        <x:v>Feste WÖk-Kalibrierung</x:v>
      </x:c>
      <x:c r="L463" s="14" t="str">
        <x:v>Arbeitskalibrierung – fachlich zu validieren</x:v>
      </x:c>
      <x:c r="M463" s="14" t="str">
        <x:v>WÖk-interne Klassenlogik</x:v>
      </x:c>
      <x:c r="N463" s="14" t="str">
        <x:v>Optional/Nein</x:v>
      </x:c>
      <x:c r="O463" s="14" t="str">
        <x:v>EU‑Taxonomie TSC/DNSH</x:v>
      </x:c>
      <x:c r="P463" s="14" t="str">
        <x:v>EU‑Taxonomie (TSC &amp; DNSH)</x:v>
      </x:c>
      <x:c r="Q463" s="14" t="str">
        <x:v>Mess-, Berichts- oder Managementrahmen; Schwellen sind grundsätzlich WÖk-Kalibrierungen</x:v>
      </x:c>
      <x:c r="R463" s="14" t="str">
        <x:v>Messgrundlage belegt; Schwellenkalibrierung offen</x:v>
      </x:c>
      <x:c r="S463" s="14" t="str">
        <x:v>EU-TAX</x:v>
      </x:c>
      <x:c r="T463" s="14" t="str">
        <x:v>C20 Chemie; C24 Stahl; C29 Fahrzeuge</x:v>
      </x:c>
      <x:c r="U463" s="14" t="str">
        <x:v>Legacy / nicht explizit versioniert</x:v>
      </x:c>
      <x:c r="V463" s="51" t="str"/>
      <x:c r="W463" s="14" t="str">
        <x:v>Migration auf NACE Rev. 2.1 erforderlich</x:v>
      </x:c>
      <x:c r="X463" s="14" t="str">
        <x:v>Technologie-/Aktivitätsklasse; Anlagen-, Netz- oder Flottengrenze ausweisen</x:v>
      </x:c>
      <x:c r="Y463" s="14" t="str">
        <x:v>EU‑Taxonomie: TSC erfüllt &amp; DNSH + MSR; Anteil konformer Aktivitäten.</x:v>
      </x:c>
      <x:c r="Z463" s="14" t="str">
        <x:v>Primärdaten bevorzugt; Sekundärdaten nur transparent und versioniert; Methode und Systemgrenze dokumentieren</x:v>
      </x:c>
      <x:c r="AA463" s="14" t="str">
        <x:v>Limited Assurance; risikobasiert höhere Prüftiefe</x:v>
      </x:c>
      <x:c r="AB463" s="14" t="str">
        <x:v>Strukturell nutzbar; Schwellen fachlich zu validieren</x:v>
      </x:c>
      <x:c r="AC463" s="14" t="str">
        <x:v>Mittel</x:v>
      </x:c>
      <x:c r="AD463" s="14" t="str">
        <x:v>Vollständige fünfstufige Prozentregel.</x:v>
      </x:c>
      <x:c r="AE463" s="14" t="str">
        <x:v>v1.4</x:v>
      </x:c>
      <x:c r="AF463" s="52" t="str">
        <x:v>2026-08-16</x:v>
      </x:c>
      <x:c r="AG463" s="52"/>
    </x:row>
    <x:row r="464" ht="42" customHeight="1">
      <x:c r="A464" s="14" t="str">
        <x:v>WOK-SYS-158</x:v>
      </x:c>
      <x:c r="B464" s="14" t="str">
        <x:v>SDG+ – Demokratie</x:v>
      </x:c>
      <x:c r="C464" s="14" t="str">
        <x:v>—</x:v>
      </x:c>
      <x:c r="D464" s="14" t="str">
        <x:v>Demokratie‑Index</x:v>
      </x:c>
      <x:c r="E464" s="14" t="str">
        <x:v>Demokratie‑Index – Index</x:v>
      </x:c>
      <x:c r="F464" s="14" t="str">
        <x:v>umsatzgewichteter Index (z. B. Demokratie/Rule of Law)</x:v>
      </x:c>
      <x:c r="G464" s="14" t="str">
        <x:v>0–1</x:v>
      </x:c>
      <x:c r="H464" s="14" t="str">
        <x:v>higher_is_better</x:v>
      </x:c>
      <x:c r="I464" s="14" t="str">
        <x:v>R15</x:v>
      </x:c>
      <x:c r="J464" s="14" t="str">
        <x:v>≥0,8:+3; 0,7–0,79:+2; 0,6–0,69:0; 0,5–0,59:‑2; &lt;0,5:‑3</x:v>
      </x:c>
      <x:c r="K464" s="14" t="str">
        <x:v>Feste WÖk-Kalibrierung</x:v>
      </x:c>
      <x:c r="L464" s="14" t="str">
        <x:v>Arbeitskalibrierung – fachlich zu validieren</x:v>
      </x:c>
      <x:c r="M464" s="14" t="str">
        <x:v>WÖk-interne Klassenlogik</x:v>
      </x:c>
      <x:c r="N464" s="14" t="str">
        <x:v>Optional/Nein</x:v>
      </x:c>
      <x:c r="O464" s="14" t="str">
        <x:v>SROI/SDG17</x:v>
      </x:c>
      <x:c r="P464" s="14" t="str">
        <x:v>SDG 16/17, WJP, V‑Dem</x:v>
      </x:c>
      <x:c r="Q464" s="14" t="str">
        <x:v>Methodischer Platzhalter; konkrete Fach- und Primärdatenquelle erforderlich</x:v>
      </x:c>
      <x:c r="R464" s="14" t="str">
        <x:v>Platzhalter – fachliche Operationalisierung offen</x:v>
      </x:c>
      <x:c r="S464" s="14" t="str">
        <x:v>INT-WOEK-TSROI; SVI-SROI; UN-SDG</x:v>
      </x:c>
      <x:c r="T464" s="14" t="str">
        <x:v>G47 Handel; K Versicherungen; M72 F&amp;E</x:v>
      </x:c>
      <x:c r="U464" s="14" t="str">
        <x:v>Legacy / nicht explizit versioniert</x:v>
      </x:c>
      <x:c r="V464" s="51" t="str"/>
      <x:c r="W464" s="14" t="str">
        <x:v>Migration auf NACE Rev. 2.1 erforderlich</x:v>
      </x:c>
      <x:c r="X464" s="14" t="str">
        <x:v>Programm/Portfolio/Systemraum; Empfängergruppe, Region und Zeitraum explizit definieren</x:v>
      </x:c>
      <x:c r="Y464" s="14" t="str">
        <x:v>Siehe Quelle: Definition gemäß Standard (ESRS/GRI/Taxonomie/ISO).</x:v>
      </x:c>
      <x:c r="Z464" s="14" t="str">
        <x:v>Primärdaten bevorzugt; Sekundärdaten nur transparent und versioniert; Methode und Systemgrenze dokumentieren</x:v>
      </x:c>
      <x:c r="AA464" s="14" t="str">
        <x:v>Limited Assurance; risikobasiert höhere Prüftiefe</x:v>
      </x:c>
      <x:c r="AB464" s="14" t="str">
        <x:v>Fachlogik nicht abschließend operationalisiert</x:v>
      </x:c>
      <x:c r="AC464" s="14" t="str">
        <x:v>Kritisch</x:v>
      </x:c>
      <x:c r="AD464" s="14" t="str">
        <x:v>SROI/SDG 17 ist keine hinreichend konkrete Mess- oder Schwellenquelle. Vollständige fünfstufige numerische Regel.</x:v>
      </x:c>
      <x:c r="AE464" s="14" t="str">
        <x:v>v1.4</x:v>
      </x:c>
      <x:c r="AF464" s="52" t="str">
        <x:v>2026-08-16</x:v>
      </x:c>
      <x:c r="AG464" s="52"/>
    </x:row>
    <x:row r="465" ht="42" customHeight="1">
      <x:c r="A465" s="14" t="str">
        <x:v>WOK-SYS-159</x:v>
      </x:c>
      <x:c r="B465" s="14" t="str">
        <x:v>SDG+ – Demokratie</x:v>
      </x:c>
      <x:c r="C465" s="14" t="str">
        <x:v>—</x:v>
      </x:c>
      <x:c r="D465" s="14" t="str">
        <x:v>Demokratie‑Index</x:v>
      </x:c>
      <x:c r="E465" s="14" t="str">
        <x:v>Demokratie‑Index – Exposure</x:v>
      </x:c>
      <x:c r="F465" s="14" t="str">
        <x:v>Umsatz in Hochrisikoländern</x:v>
      </x:c>
      <x:c r="G465" s="14" t="str">
        <x:v>%</x:v>
      </x:c>
      <x:c r="H465" s="14" t="str">
        <x:v>lower_is_better</x:v>
      </x:c>
      <x:c r="I465" s="14" t="str">
        <x:v>R13</x:v>
      </x:c>
      <x:c r="J465" s="14" t="str">
        <x:v>≤5:+3; 6–10:+2; 11–20:0; 21–30:‑2; &gt;30:‑3</x:v>
      </x:c>
      <x:c r="K465" s="14" t="str">
        <x:v>Feste WÖk-Kalibrierung</x:v>
      </x:c>
      <x:c r="L465" s="14" t="str">
        <x:v>Arbeitskalibrierung – fachlich zu validieren</x:v>
      </x:c>
      <x:c r="M465" s="14" t="str">
        <x:v>WÖk-interne Klassenlogik</x:v>
      </x:c>
      <x:c r="N465" s="14" t="str">
        <x:v>Optional/Nein</x:v>
      </x:c>
      <x:c r="O465" s="14" t="str">
        <x:v>SROI/SDG17</x:v>
      </x:c>
      <x:c r="P465" s="14" t="str">
        <x:v>SDG 16/17, WJP, V‑Dem</x:v>
      </x:c>
      <x:c r="Q465" s="14" t="str">
        <x:v>Methodischer Platzhalter; konkrete Fach- und Primärdatenquelle erforderlich</x:v>
      </x:c>
      <x:c r="R465" s="14" t="str">
        <x:v>Platzhalter – fachliche Operationalisierung offen</x:v>
      </x:c>
      <x:c r="S465" s="14" t="str">
        <x:v>INT-WOEK-TSROI; SVI-SROI; UN-SDG</x:v>
      </x:c>
      <x:c r="T465" s="14" t="str">
        <x:v>G47 Handel; K Versicherungen; M72 F&amp;E</x:v>
      </x:c>
      <x:c r="U465" s="14" t="str">
        <x:v>Legacy / nicht explizit versioniert</x:v>
      </x:c>
      <x:c r="V465" s="51" t="str"/>
      <x:c r="W465" s="14" t="str">
        <x:v>Migration auf NACE Rev. 2.1 erforderlich</x:v>
      </x:c>
      <x:c r="X465" s="14" t="str">
        <x:v>Programm/Portfolio/Systemraum; Empfängergruppe, Region und Zeitraum explizit definieren</x:v>
      </x:c>
      <x:c r="Y465" s="14" t="str">
        <x:v>Siehe Quelle: Definition gemäß Standard (ESRS/GRI/Taxonomie/ISO).</x:v>
      </x:c>
      <x:c r="Z465" s="14" t="str">
        <x:v>Primärdaten bevorzugt; Sekundärdaten nur transparent und versioniert; Methode und Systemgrenze dokumentieren</x:v>
      </x:c>
      <x:c r="AA465" s="14" t="str">
        <x:v>Limited Assurance; risikobasiert höhere Prüftiefe</x:v>
      </x:c>
      <x:c r="AB465" s="14" t="str">
        <x:v>Fachlogik nicht abschließend operationalisiert</x:v>
      </x:c>
      <x:c r="AC465" s="14" t="str">
        <x:v>Kritisch</x:v>
      </x:c>
      <x:c r="AD465" s="14" t="str">
        <x:v>SROI/SDG 17 ist keine hinreichend konkrete Mess- oder Schwellenquelle. Vollständige fünfstufige numerische Regel.</x:v>
      </x:c>
      <x:c r="AE465" s="14" t="str">
        <x:v>v1.4</x:v>
      </x:c>
      <x:c r="AF465" s="52" t="str">
        <x:v>2026-08-16</x:v>
      </x:c>
      <x:c r="AG465" s="52"/>
    </x:row>
    <x:row r="466" ht="42" customHeight="1">
      <x:c r="A466" s="14" t="str">
        <x:v>WOK-SYS-160</x:v>
      </x:c>
      <x:c r="B466" s="14" t="str">
        <x:v>SDG+ – Demokratie</x:v>
      </x:c>
      <x:c r="C466" s="14" t="str">
        <x:v>—</x:v>
      </x:c>
      <x:c r="D466" s="14" t="str">
        <x:v>Demokratie‑Index</x:v>
      </x:c>
      <x:c r="E466" s="14" t="str">
        <x:v>Demokratie‑Index – Kooperationen</x:v>
      </x:c>
      <x:c r="F466" s="14" t="str">
        <x:v>aktive, evaluierte Partnerschaften/Jahr</x:v>
      </x:c>
      <x:c r="G466" s="14" t="str">
        <x:v>#/Jahr</x:v>
      </x:c>
      <x:c r="H466" s="14" t="str">
        <x:v>higher_is_better</x:v>
      </x:c>
      <x:c r="I466" s="14" t="str">
        <x:v>R20</x:v>
      </x:c>
      <x:c r="J466" s="14" t="str">
        <x:v>≥5:+3; 3–4:+2; 1–2:0; 0:‑2</x:v>
      </x:c>
      <x:c r="K466" s="14" t="str">
        <x:v>Feste WÖk-Grobkalibrierung</x:v>
      </x:c>
      <x:c r="L466" s="14" t="str">
        <x:v>Klasse −3 nur für negative/unzulässige Werte ergänzt</x:v>
      </x:c>
      <x:c r="M466" s="14" t="str">
        <x:v>WÖk-interne Grobkalibrierung</x:v>
      </x:c>
      <x:c r="N466" s="14" t="str">
        <x:v>Optional/Nein</x:v>
      </x:c>
      <x:c r="O466" s="14" t="str">
        <x:v>SROI/SDG17</x:v>
      </x:c>
      <x:c r="P466" s="14" t="str">
        <x:v>SDG 16/17, WJP, V‑Dem</x:v>
      </x:c>
      <x:c r="Q466" s="14" t="str">
        <x:v>Methodischer Platzhalter; konkrete Fach- und Primärdatenquelle erforderlich</x:v>
      </x:c>
      <x:c r="R466" s="14" t="str">
        <x:v>Platzhalter – fachliche Operationalisierung offen</x:v>
      </x:c>
      <x:c r="S466" s="14" t="str">
        <x:v>INT-WOEK-TSROI; SVI-SROI; UN-SDG</x:v>
      </x:c>
      <x:c r="T466" s="14" t="str">
        <x:v>G47 Handel; K Versicherungen; M72 F&amp;E</x:v>
      </x:c>
      <x:c r="U466" s="14" t="str">
        <x:v>Legacy / nicht explizit versioniert</x:v>
      </x:c>
      <x:c r="V466" s="51" t="str"/>
      <x:c r="W466" s="14" t="str">
        <x:v>Migration auf NACE Rev. 2.1 erforderlich</x:v>
      </x:c>
      <x:c r="X466" s="14" t="str">
        <x:v>Programm/Portfolio/Systemraum; Empfängergruppe, Region und Zeitraum explizit definieren</x:v>
      </x:c>
      <x:c r="Y466" s="14" t="str">
        <x:v>Siehe Quelle: Definition gemäß Standard (ESRS/GRI/Taxonomie/ISO).</x:v>
      </x:c>
      <x:c r="Z466" s="14" t="str">
        <x:v>Primärdaten bevorzugt; Sekundärdaten nur transparent und versioniert; Methode und Systemgrenze dokumentieren</x:v>
      </x:c>
      <x:c r="AA466" s="14" t="str">
        <x:v>Limited Assurance; risikobasiert höhere Prüftiefe</x:v>
      </x:c>
      <x:c r="AB466" s="14" t="str">
        <x:v>Fachlogik nicht abschließend operationalisiert</x:v>
      </x:c>
      <x:c r="AC466" s="14" t="str">
        <x:v>Kritisch</x:v>
      </x:c>
      <x:c r="AD466" s="14" t="str">
        <x:v>SROI/SDG 17 ist keine hinreichend konkrete Mess- oder Schwellenquelle. Für sachlogisch nichtnegative Zählwerte ist 0 die schlechteste reguläre Klasse (−2).</x:v>
      </x:c>
      <x:c r="AE466" s="14" t="str">
        <x:v>v1.4</x:v>
      </x:c>
      <x:c r="AF466" s="52" t="str">
        <x:v>2026-08-16</x:v>
      </x:c>
      <x:c r="AG466" s="52"/>
    </x:row>
    <x:row r="467" ht="42" customHeight="1">
      <x:c r="A467" s="14" t="str">
        <x:v>WOK-SYS-161</x:v>
      </x:c>
      <x:c r="B467" s="14" t="str">
        <x:v>SDG+ – Demokratie</x:v>
      </x:c>
      <x:c r="C467" s="14" t="str">
        <x:v>—</x:v>
      </x:c>
      <x:c r="D467" s="14" t="str">
        <x:v>Pressefreiheit‑Exposure</x:v>
      </x:c>
      <x:c r="E467" s="14" t="str">
        <x:v>Pressefreiheit‑Exposure – Index</x:v>
      </x:c>
      <x:c r="F467" s="14" t="str">
        <x:v>umsatzgewichteter Index (z. B. Demokratie/Rule of Law)</x:v>
      </x:c>
      <x:c r="G467" s="14" t="str">
        <x:v>0–1</x:v>
      </x:c>
      <x:c r="H467" s="14" t="str">
        <x:v>higher_is_better</x:v>
      </x:c>
      <x:c r="I467" s="14" t="str">
        <x:v>R15</x:v>
      </x:c>
      <x:c r="J467" s="14" t="str">
        <x:v>≥0,8:+3; 0,7–0,79:+2; 0,6–0,69:0; 0,5–0,59:‑2; &lt;0,5:‑3</x:v>
      </x:c>
      <x:c r="K467" s="14" t="str">
        <x:v>Feste WÖk-Kalibrierung</x:v>
      </x:c>
      <x:c r="L467" s="14" t="str">
        <x:v>Arbeitskalibrierung – fachlich zu validieren</x:v>
      </x:c>
      <x:c r="M467" s="14" t="str">
        <x:v>WÖk-interne Klassenlogik</x:v>
      </x:c>
      <x:c r="N467" s="14" t="str">
        <x:v>Optional/Nein</x:v>
      </x:c>
      <x:c r="O467" s="14" t="str">
        <x:v>SROI/SDG17</x:v>
      </x:c>
      <x:c r="P467" s="14" t="str">
        <x:v>SDG 16/17, WJP, V‑Dem</x:v>
      </x:c>
      <x:c r="Q467" s="14" t="str">
        <x:v>Methodischer Platzhalter; konkrete Fach- und Primärdatenquelle erforderlich</x:v>
      </x:c>
      <x:c r="R467" s="14" t="str">
        <x:v>Platzhalter – fachliche Operationalisierung offen</x:v>
      </x:c>
      <x:c r="S467" s="14" t="str">
        <x:v>INT-WOEK-TSROI; SVI-SROI; UN-SDG</x:v>
      </x:c>
      <x:c r="T467" s="14" t="str">
        <x:v>G47 Handel; K Versicherungen; M72 F&amp;E</x:v>
      </x:c>
      <x:c r="U467" s="14" t="str">
        <x:v>Legacy / nicht explizit versioniert</x:v>
      </x:c>
      <x:c r="V467" s="51" t="str"/>
      <x:c r="W467" s="14" t="str">
        <x:v>Migration auf NACE Rev. 2.1 erforderlich</x:v>
      </x:c>
      <x:c r="X467" s="14" t="str">
        <x:v>Programm/Portfolio/Systemraum; Empfängergruppe, Region und Zeitraum explizit definieren</x:v>
      </x:c>
      <x:c r="Y467" s="14" t="str">
        <x:v>Siehe Quelle: Definition gemäß Standard (ESRS/GRI/Taxonomie/ISO).</x:v>
      </x:c>
      <x:c r="Z467" s="14" t="str">
        <x:v>Primärdaten bevorzugt; Sekundärdaten nur transparent und versioniert; Methode und Systemgrenze dokumentieren</x:v>
      </x:c>
      <x:c r="AA467" s="14" t="str">
        <x:v>Limited Assurance; risikobasiert höhere Prüftiefe</x:v>
      </x:c>
      <x:c r="AB467" s="14" t="str">
        <x:v>Fachlogik nicht abschließend operationalisiert</x:v>
      </x:c>
      <x:c r="AC467" s="14" t="str">
        <x:v>Kritisch</x:v>
      </x:c>
      <x:c r="AD467" s="14" t="str">
        <x:v>SROI/SDG 17 ist keine hinreichend konkrete Mess- oder Schwellenquelle. Vollständige fünfstufige numerische Regel.</x:v>
      </x:c>
      <x:c r="AE467" s="14" t="str">
        <x:v>v1.4</x:v>
      </x:c>
      <x:c r="AF467" s="52" t="str">
        <x:v>2026-08-16</x:v>
      </x:c>
      <x:c r="AG467" s="52"/>
    </x:row>
    <x:row r="468" ht="42" customHeight="1">
      <x:c r="A468" s="14" t="str">
        <x:v>WOK-SYS-162</x:v>
      </x:c>
      <x:c r="B468" s="14" t="str">
        <x:v>SDG+ – Demokratie</x:v>
      </x:c>
      <x:c r="C468" s="14" t="str">
        <x:v>—</x:v>
      </x:c>
      <x:c r="D468" s="14" t="str">
        <x:v>Pressefreiheit‑Exposure</x:v>
      </x:c>
      <x:c r="E468" s="14" t="str">
        <x:v>Pressefreiheit‑Exposure – Exposure</x:v>
      </x:c>
      <x:c r="F468" s="14" t="str">
        <x:v>Umsatz in Hochrisikoländern</x:v>
      </x:c>
      <x:c r="G468" s="14" t="str">
        <x:v>%</x:v>
      </x:c>
      <x:c r="H468" s="14" t="str">
        <x:v>lower_is_better</x:v>
      </x:c>
      <x:c r="I468" s="14" t="str">
        <x:v>R13</x:v>
      </x:c>
      <x:c r="J468" s="14" t="str">
        <x:v>≤5:+3; 6–10:+2; 11–20:0; 21–30:‑2; &gt;30:‑3</x:v>
      </x:c>
      <x:c r="K468" s="14" t="str">
        <x:v>Feste WÖk-Kalibrierung</x:v>
      </x:c>
      <x:c r="L468" s="14" t="str">
        <x:v>Arbeitskalibrierung – fachlich zu validieren</x:v>
      </x:c>
      <x:c r="M468" s="14" t="str">
        <x:v>WÖk-interne Klassenlogik</x:v>
      </x:c>
      <x:c r="N468" s="14" t="str">
        <x:v>Optional/Nein</x:v>
      </x:c>
      <x:c r="O468" s="14" t="str">
        <x:v>SROI/SDG17</x:v>
      </x:c>
      <x:c r="P468" s="14" t="str">
        <x:v>SROI/SDG17</x:v>
      </x:c>
      <x:c r="Q468" s="14" t="str">
        <x:v>Methodischer Platzhalter; konkrete Fach- und Primärdatenquelle erforderlich</x:v>
      </x:c>
      <x:c r="R468" s="14" t="str">
        <x:v>Platzhalter – fachliche Operationalisierung offen</x:v>
      </x:c>
      <x:c r="S468" s="14" t="str">
        <x:v>INT-WOEK-TSROI; SVI-SROI; UN-SDG</x:v>
      </x:c>
      <x:c r="T468" s="14" t="str">
        <x:v>G47 Handel; K Versicherungen; M72 F&amp;E</x:v>
      </x:c>
      <x:c r="U468" s="14" t="str">
        <x:v>Legacy / nicht explizit versioniert</x:v>
      </x:c>
      <x:c r="V468" s="51" t="str"/>
      <x:c r="W468" s="14" t="str">
        <x:v>Migration auf NACE Rev. 2.1 erforderlich</x:v>
      </x:c>
      <x:c r="X468" s="14" t="str">
        <x:v>Programm/Portfolio/Systemraum; Empfängergruppe, Region und Zeitraum explizit definieren</x:v>
      </x:c>
      <x:c r="Y468" s="14" t="str">
        <x:v>Siehe Quelle: Definition gemäß Standard (ESRS/GRI/Taxonomie/ISO).</x:v>
      </x:c>
      <x:c r="Z468" s="14" t="str">
        <x:v>Primärdaten bevorzugt; Sekundärdaten nur transparent und versioniert; Methode und Systemgrenze dokumentieren</x:v>
      </x:c>
      <x:c r="AA468" s="14" t="str">
        <x:v>Limited Assurance; risikobasiert höhere Prüftiefe</x:v>
      </x:c>
      <x:c r="AB468" s="14" t="str">
        <x:v>Fachlogik nicht abschließend operationalisiert</x:v>
      </x:c>
      <x:c r="AC468" s="14" t="str">
        <x:v>Kritisch</x:v>
      </x:c>
      <x:c r="AD468" s="14" t="str">
        <x:v>SROI/SDG 17 ist keine hinreichend konkrete Mess- oder Schwellenquelle. Vollständige fünfstufige numerische Regel.</x:v>
      </x:c>
      <x:c r="AE468" s="14" t="str">
        <x:v>v1.4</x:v>
      </x:c>
      <x:c r="AF468" s="52" t="str">
        <x:v>2026-08-16</x:v>
      </x:c>
      <x:c r="AG468" s="52"/>
    </x:row>
    <x:row r="469" ht="42" customHeight="1">
      <x:c r="A469" s="14" t="str">
        <x:v>WOK-SYS-163</x:v>
      </x:c>
      <x:c r="B469" s="14" t="str">
        <x:v>SDG+ – Demokratie</x:v>
      </x:c>
      <x:c r="C469" s="14" t="str">
        <x:v>—</x:v>
      </x:c>
      <x:c r="D469" s="14" t="str">
        <x:v>Pressefreiheit‑Exposure</x:v>
      </x:c>
      <x:c r="E469" s="14" t="str">
        <x:v>Pressefreiheit‑Exposure – Kooperationen</x:v>
      </x:c>
      <x:c r="F469" s="14" t="str">
        <x:v>aktive, evaluierte Partnerschaften/Jahr</x:v>
      </x:c>
      <x:c r="G469" s="14" t="str">
        <x:v>#/Jahr</x:v>
      </x:c>
      <x:c r="H469" s="14" t="str">
        <x:v>higher_is_better</x:v>
      </x:c>
      <x:c r="I469" s="14" t="str">
        <x:v>R20</x:v>
      </x:c>
      <x:c r="J469" s="14" t="str">
        <x:v>≥5:+3; 3–4:+2; 1–2:0; 0:‑2</x:v>
      </x:c>
      <x:c r="K469" s="14" t="str">
        <x:v>Feste WÖk-Grobkalibrierung</x:v>
      </x:c>
      <x:c r="L469" s="14" t="str">
        <x:v>Klasse −3 nur für negative/unzulässige Werte ergänzt</x:v>
      </x:c>
      <x:c r="M469" s="14" t="str">
        <x:v>WÖk-interne Grobkalibrierung</x:v>
      </x:c>
      <x:c r="N469" s="14" t="str">
        <x:v>Optional/Nein</x:v>
      </x:c>
      <x:c r="O469" s="14" t="str">
        <x:v>SROI/SDG17</x:v>
      </x:c>
      <x:c r="P469" s="14" t="str">
        <x:v>SDG 16/17, WJP, V‑Dem</x:v>
      </x:c>
      <x:c r="Q469" s="14" t="str">
        <x:v>Methodischer Platzhalter; konkrete Fach- und Primärdatenquelle erforderlich</x:v>
      </x:c>
      <x:c r="R469" s="14" t="str">
        <x:v>Platzhalter – fachliche Operationalisierung offen</x:v>
      </x:c>
      <x:c r="S469" s="14" t="str">
        <x:v>INT-WOEK-TSROI; SVI-SROI; UN-SDG</x:v>
      </x:c>
      <x:c r="T469" s="14" t="str">
        <x:v>G47 Handel; K Versicherungen; M72 F&amp;E</x:v>
      </x:c>
      <x:c r="U469" s="14" t="str">
        <x:v>Legacy / nicht explizit versioniert</x:v>
      </x:c>
      <x:c r="V469" s="51" t="str"/>
      <x:c r="W469" s="14" t="str">
        <x:v>Migration auf NACE Rev. 2.1 erforderlich</x:v>
      </x:c>
      <x:c r="X469" s="14" t="str">
        <x:v>Programm/Portfolio/Systemraum; Empfängergruppe, Region und Zeitraum explizit definieren</x:v>
      </x:c>
      <x:c r="Y469" s="14" t="str">
        <x:v>Siehe Quelle: Definition gemäß Standard (ESRS/GRI/Taxonomie/ISO).</x:v>
      </x:c>
      <x:c r="Z469" s="14" t="str">
        <x:v>Primärdaten bevorzugt; Sekundärdaten nur transparent und versioniert; Methode und Systemgrenze dokumentieren</x:v>
      </x:c>
      <x:c r="AA469" s="14" t="str">
        <x:v>Limited Assurance; risikobasiert höhere Prüftiefe</x:v>
      </x:c>
      <x:c r="AB469" s="14" t="str">
        <x:v>Fachlogik nicht abschließend operationalisiert</x:v>
      </x:c>
      <x:c r="AC469" s="14" t="str">
        <x:v>Kritisch</x:v>
      </x:c>
      <x:c r="AD469" s="14" t="str">
        <x:v>SROI/SDG 17 ist keine hinreichend konkrete Mess- oder Schwellenquelle. Für sachlogisch nichtnegative Zählwerte ist 0 die schlechteste reguläre Klasse (−2).</x:v>
      </x:c>
      <x:c r="AE469" s="14" t="str">
        <x:v>v1.4</x:v>
      </x:c>
      <x:c r="AF469" s="52" t="str">
        <x:v>2026-08-16</x:v>
      </x:c>
      <x:c r="AG469" s="52"/>
    </x:row>
    <x:row r="470" ht="42" customHeight="1">
      <x:c r="A470" s="14" t="str">
        <x:v>WOK-G-194</x:v>
      </x:c>
      <x:c r="B470" s="14" t="str">
        <x:v>SDG+ – Demokratie</x:v>
      </x:c>
      <x:c r="C470" s="14" t="str">
        <x:v>—</x:v>
      </x:c>
      <x:c r="D470" s="14" t="str">
        <x:v>Transparenz/Anti‑Korruption</x:v>
      </x:c>
      <x:c r="E470" s="14" t="str">
        <x:v>Transparenz/Anti‑Korruption – Antikorruption</x:v>
      </x:c>
      <x:c r="F470" s="14" t="str">
        <x:v>Bestätigte Fälle/1.000 FTE</x:v>
      </x:c>
      <x:c r="G470" s="14" t="str">
        <x:v>Fälle/1.000 FTE</x:v>
      </x:c>
      <x:c r="H470" s="14" t="str">
        <x:v>lower_is_better</x:v>
      </x:c>
      <x:c r="I470" s="14" t="str">
        <x:v>R01</x:v>
      </x:c>
      <x:c r="J470" s="14" t="str">
        <x:v>0:+3; ≤0,2:+2; ≤0,5:0; ≤1:‑2; &gt;1:‑3</x:v>
      </x:c>
      <x:c r="K470" s="14" t="str">
        <x:v>Feste WÖk-Kalibrierung</x:v>
      </x:c>
      <x:c r="L470" s="14" t="str">
        <x:v>Arbeitskalibrierung – fachlich zu validieren</x:v>
      </x:c>
      <x:c r="M470" s="14" t="str">
        <x:v>WÖk-interne Klassenlogik</x:v>
      </x:c>
      <x:c r="N470" s="14" t="str">
        <x:v>Optional/Nein</x:v>
      </x:c>
      <x:c r="O470" s="14" t="str">
        <x:v>ESRS G1; GRI 205/207</x:v>
      </x:c>
      <x:c r="P470" s="14" t="str">
        <x:v>ESRS G1, GRI 205/207, OECD Anti‑Bribery</x:v>
      </x:c>
      <x:c r="Q470" s="14" t="str">
        <x:v>Mess-, Berichts- oder Managementrahmen; Schwellen sind grundsätzlich WÖk-Kalibrierungen</x:v>
      </x:c>
      <x:c r="R470" s="14" t="str">
        <x:v>Messgrundlage belegt; Schwellenkalibrierung offen</x:v>
      </x:c>
      <x:c r="S470" s="14" t="str">
        <x:v>EU-ESRS; GRI; OECD-AB</x:v>
      </x:c>
      <x:c r="T470" s="14" t="str">
        <x:v>G47 Handel; K Versicherungen; M72 F&amp;E</x:v>
      </x:c>
      <x:c r="U470" s="14" t="str">
        <x:v>Legacy / nicht explizit versioniert</x:v>
      </x:c>
      <x:c r="V470" s="51" t="str"/>
      <x:c r="W470" s="14" t="str">
        <x:v>Migration auf NACE Rev. 2.1 erforderlich</x:v>
      </x:c>
      <x:c r="X470" s="14" t="str">
        <x:v>Organisation/Governance; konsolidierter Kreis und relevante Rechtseinheiten</x:v>
      </x:c>
      <x:c r="Y470" s="14" t="str">
        <x:v>Siehe Quelle: Definition gemäß Standard (ESRS/GRI/Taxonomie/ISO).</x:v>
      </x:c>
      <x:c r="Z470" s="14" t="str">
        <x:v>Primärdaten bevorzugt; Sekundärdaten nur transparent und versioniert; Methode und Systemgrenze dokumentieren</x:v>
      </x:c>
      <x:c r="AA470" s="14" t="str">
        <x:v>Limited Assurance; risikobasiert höhere Prüftiefe</x:v>
      </x:c>
      <x:c r="AB470" s="14" t="str">
        <x:v>Strukturell nutzbar; Schwellen fachlich zu validieren</x:v>
      </x:c>
      <x:c r="AC470" s="14" t="str">
        <x:v>Mittel</x:v>
      </x:c>
      <x:c r="AD470" s="14" t="str">
        <x:v>Vollständige fünfstufige numerische Regel.</x:v>
      </x:c>
      <x:c r="AE470" s="14" t="str">
        <x:v>v1.4</x:v>
      </x:c>
      <x:c r="AF470" s="52" t="str">
        <x:v>2026-08-16</x:v>
      </x:c>
      <x:c r="AG470" s="52"/>
    </x:row>
    <x:row r="471" ht="42" customHeight="1">
      <x:c r="A471" s="14" t="str">
        <x:v>WOK-G-195</x:v>
      </x:c>
      <x:c r="B471" s="14" t="str">
        <x:v>SDG+ – Demokratie</x:v>
      </x:c>
      <x:c r="C471" s="14" t="str">
        <x:v>—</x:v>
      </x:c>
      <x:c r="D471" s="14" t="str">
        <x:v>Transparenz/Anti‑Korruption</x:v>
      </x:c>
      <x:c r="E471" s="14" t="str">
        <x:v>Transparenz/Anti‑Korruption – Whistleblowing</x:v>
      </x:c>
      <x:c r="F471" s="14" t="str">
        <x:v>Wirksamkeits‑Score</x:v>
      </x:c>
      <x:c r="G471" s="14" t="str">
        <x:v>0–1</x:v>
      </x:c>
      <x:c r="H471" s="14" t="str">
        <x:v>higher_is_better</x:v>
      </x:c>
      <x:c r="I471" s="14" t="str">
        <x:v>R16</x:v>
      </x:c>
      <x:c r="J471" s="14" t="str">
        <x:v>≥0,9:+3; 0,75–0,89:+2; 0,6–0,74:0; 0,4–0,59:‑2; &lt;0,4:‑3</x:v>
      </x:c>
      <x:c r="K471" s="14" t="str">
        <x:v>Feste WÖk-Kalibrierung</x:v>
      </x:c>
      <x:c r="L471" s="14" t="str">
        <x:v>Arbeitskalibrierung – fachlich zu validieren</x:v>
      </x:c>
      <x:c r="M471" s="14" t="str">
        <x:v>WÖk-interne Klassenlogik</x:v>
      </x:c>
      <x:c r="N471" s="14" t="str">
        <x:v>Optional/Nein</x:v>
      </x:c>
      <x:c r="O471" s="14" t="str">
        <x:v>ESRS G1; GRI 205/207</x:v>
      </x:c>
      <x:c r="P471" s="14" t="str">
        <x:v>ESRS G1, GRI 205/207, OECD Anti‑Bribery</x:v>
      </x:c>
      <x:c r="Q471" s="14" t="str">
        <x:v>Mess-, Berichts- oder Managementrahmen; Schwellen sind grundsätzlich WÖk-Kalibrierungen</x:v>
      </x:c>
      <x:c r="R471" s="14" t="str">
        <x:v>Messgrundlage belegt; Schwellenkalibrierung offen</x:v>
      </x:c>
      <x:c r="S471" s="14" t="str">
        <x:v>EU-ESRS; GRI; OECD-AB</x:v>
      </x:c>
      <x:c r="T471" s="14" t="str">
        <x:v>G47 Handel; K Versicherungen; M72 F&amp;E</x:v>
      </x:c>
      <x:c r="U471" s="14" t="str">
        <x:v>Legacy / nicht explizit versioniert</x:v>
      </x:c>
      <x:c r="V471" s="51" t="str"/>
      <x:c r="W471" s="14" t="str">
        <x:v>Migration auf NACE Rev. 2.1 erforderlich</x:v>
      </x:c>
      <x:c r="X471" s="14" t="str">
        <x:v>Organisation/Governance; konsolidierter Kreis und relevante Rechtseinheiten</x:v>
      </x:c>
      <x:c r="Y471" s="14" t="str">
        <x:v>Siehe Quelle: Definition gemäß Standard (ESRS/GRI/Taxonomie/ISO).</x:v>
      </x:c>
      <x:c r="Z471" s="14" t="str">
        <x:v>Primärdaten bevorzugt; Sekundärdaten nur transparent und versioniert; Methode und Systemgrenze dokumentieren</x:v>
      </x:c>
      <x:c r="AA471" s="14" t="str">
        <x:v>Limited Assurance; risikobasiert höhere Prüftiefe</x:v>
      </x:c>
      <x:c r="AB471" s="14" t="str">
        <x:v>Strukturell nutzbar; Schwellen fachlich zu validieren</x:v>
      </x:c>
      <x:c r="AC471" s="14" t="str">
        <x:v>Mittel</x:v>
      </x:c>
      <x:c r="AD471" s="14" t="str">
        <x:v>Vollständige fünfstufige numerische Regel.</x:v>
      </x:c>
      <x:c r="AE471" s="14" t="str">
        <x:v>v1.4</x:v>
      </x:c>
      <x:c r="AF471" s="52" t="str">
        <x:v>2026-08-16</x:v>
      </x:c>
      <x:c r="AG471" s="52"/>
    </x:row>
    <x:row r="472" ht="42" customHeight="1">
      <x:c r="A472" s="14" t="str">
        <x:v>WOK-G-196</x:v>
      </x:c>
      <x:c r="B472" s="14" t="str">
        <x:v>SDG+ – Demokratie</x:v>
      </x:c>
      <x:c r="C472" s="14" t="str">
        <x:v>—</x:v>
      </x:c>
      <x:c r="D472" s="14" t="str">
        <x:v>Transparenz/Anti‑Korruption</x:v>
      </x:c>
      <x:c r="E472" s="14" t="str">
        <x:v>Transparenz/Anti‑Korruption – Steuertransparenz</x:v>
      </x:c>
      <x:c r="F472" s="14" t="str">
        <x:v>CbCR‑Offenlegung</x:v>
      </x:c>
      <x:c r="G472" s="14" t="str">
        <x:v>0–1</x:v>
      </x:c>
      <x:c r="H472" s="14" t="str">
        <x:v>higher_is_better</x:v>
      </x:c>
      <x:c r="I472" s="14" t="str">
        <x:v>R08</x:v>
      </x:c>
      <x:c r="J472" s="14" t="str">
        <x:v>vollständig:+3; teilweise:+2; minimal:0; schlecht:‑2</x:v>
      </x:c>
      <x:c r="K472" s="14" t="str">
        <x:v>Qualitativ</x:v>
      </x:c>
      <x:c r="L472" s="14" t="str">
        <x:v>Assurance und Kriterienkatalog erforderlich</x:v>
      </x:c>
      <x:c r="M472" s="14" t="str">
        <x:v>WÖk-interne Kategorien</x:v>
      </x:c>
      <x:c r="N472" s="14" t="str">
        <x:v>Optional/Nein</x:v>
      </x:c>
      <x:c r="O472" s="14" t="str">
        <x:v>ESRS G1; GRI 205/207</x:v>
      </x:c>
      <x:c r="P472" s="14" t="str">
        <x:v>ESRS G1, GRI 205/207, OECD Anti‑Bribery</x:v>
      </x:c>
      <x:c r="Q472" s="14" t="str">
        <x:v>Mess-, Berichts- oder Managementrahmen; Schwellen sind grundsätzlich WÖk-Kalibrierungen</x:v>
      </x:c>
      <x:c r="R472" s="14" t="str">
        <x:v>Messgrundlage belegt; Schwellenkalibrierung offen</x:v>
      </x:c>
      <x:c r="S472" s="14" t="str">
        <x:v>EU-ESRS; GRI; OECD-AB</x:v>
      </x:c>
      <x:c r="T472" s="14" t="str">
        <x:v>G47 Handel; K Versicherungen; M72 F&amp;E</x:v>
      </x:c>
      <x:c r="U472" s="14" t="str">
        <x:v>Legacy / nicht explizit versioniert</x:v>
      </x:c>
      <x:c r="V472" s="51" t="str"/>
      <x:c r="W472" s="14" t="str">
        <x:v>Migration auf NACE Rev. 2.1 erforderlich</x:v>
      </x:c>
      <x:c r="X472" s="14" t="str">
        <x:v>Organisation/Governance; konsolidierter Kreis und relevante Rechtseinheiten</x:v>
      </x:c>
      <x:c r="Y472" s="14" t="str">
        <x:v>Siehe Quelle: Definition gemäß Standard (ESRS/GRI/Taxonomie/ISO).</x:v>
      </x:c>
      <x:c r="Z472" s="14" t="str">
        <x:v>Dokumentierter Kriterienkatalog; nachvollziehbare Evidenz; DQR A/B bevorzugt</x:v>
      </x:c>
      <x:c r="AA472" s="14" t="str">
        <x:v>Unabhängige Fachprüfung/Limited Assurance; bei roten Linien Reasonable Assurance</x:v>
      </x:c>
      <x:c r="AB472" s="14" t="str">
        <x:v>Prüfung/Parametrisierung erforderlich</x:v>
      </x:c>
      <x:c r="AC472" s="14" t="str">
        <x:v>Hoch</x:v>
      </x:c>
      <x:c r="AD472" s="14" t="str">
        <x:v>Die Kategorie −3 fehlt; Vollständigkeit und Wirksamkeit sind feldspezifisch zu definieren.</x:v>
      </x:c>
      <x:c r="AE472" s="14" t="str">
        <x:v>v1.4</x:v>
      </x:c>
      <x:c r="AF472" s="52" t="str">
        <x:v>2026-08-16</x:v>
      </x:c>
      <x:c r="AG472" s="52"/>
    </x:row>
    <x:row r="473" ht="42" customHeight="1">
      <x:c r="A473" s="14" t="str">
        <x:v>WOK-SYS-164</x:v>
      </x:c>
      <x:c r="B473" s="14" t="str">
        <x:v>SDG+ – Demokratie</x:v>
      </x:c>
      <x:c r="C473" s="14" t="str">
        <x:v>—</x:v>
      </x:c>
      <x:c r="D473" s="14" t="str">
        <x:v>Civic Tech / Open Gov</x:v>
      </x:c>
      <x:c r="E473" s="14" t="str">
        <x:v>Civic Tech / Open Gov – Index</x:v>
      </x:c>
      <x:c r="F473" s="14" t="str">
        <x:v>umsatzgewichteter Index (z. B. Demokratie/Rule of Law)</x:v>
      </x:c>
      <x:c r="G473" s="14" t="str">
        <x:v>0–1</x:v>
      </x:c>
      <x:c r="H473" s="14" t="str">
        <x:v>higher_is_better</x:v>
      </x:c>
      <x:c r="I473" s="14" t="str">
        <x:v>R15</x:v>
      </x:c>
      <x:c r="J473" s="14" t="str">
        <x:v>≥0,8:+3; 0,7–0,79:+2; 0,6–0,69:0; 0,5–0,59:‑2; &lt;0,5:‑3</x:v>
      </x:c>
      <x:c r="K473" s="14" t="str">
        <x:v>Feste WÖk-Kalibrierung</x:v>
      </x:c>
      <x:c r="L473" s="14" t="str">
        <x:v>Arbeitskalibrierung – fachlich zu validieren</x:v>
      </x:c>
      <x:c r="M473" s="14" t="str">
        <x:v>WÖk-interne Klassenlogik</x:v>
      </x:c>
      <x:c r="N473" s="14" t="str">
        <x:v>Optional/Nein</x:v>
      </x:c>
      <x:c r="O473" s="14" t="str">
        <x:v>SROI/SDG17</x:v>
      </x:c>
      <x:c r="P473" s="14" t="str">
        <x:v>SDG 16/17, WJP, V‑Dem</x:v>
      </x:c>
      <x:c r="Q473" s="14" t="str">
        <x:v>Methodischer Platzhalter; konkrete Fach- und Primärdatenquelle erforderlich</x:v>
      </x:c>
      <x:c r="R473" s="14" t="str">
        <x:v>Platzhalter – fachliche Operationalisierung offen</x:v>
      </x:c>
      <x:c r="S473" s="14" t="str">
        <x:v>INT-WOEK-TSROI; SVI-SROI; UN-SDG</x:v>
      </x:c>
      <x:c r="T473" s="14" t="str">
        <x:v>G47 Handel; K Versicherungen; M72 F&amp;E</x:v>
      </x:c>
      <x:c r="U473" s="14" t="str">
        <x:v>Legacy / nicht explizit versioniert</x:v>
      </x:c>
      <x:c r="V473" s="51" t="str"/>
      <x:c r="W473" s="14" t="str">
        <x:v>Migration auf NACE Rev. 2.1 erforderlich</x:v>
      </x:c>
      <x:c r="X473" s="14" t="str">
        <x:v>Programm/Portfolio/Systemraum; Empfängergruppe, Region und Zeitraum explizit definieren</x:v>
      </x:c>
      <x:c r="Y473" s="14" t="str">
        <x:v>Siehe Quelle: Definition gemäß Standard (ESRS/GRI/Taxonomie/ISO).</x:v>
      </x:c>
      <x:c r="Z473" s="14" t="str">
        <x:v>Primärdaten bevorzugt; Sekundärdaten nur transparent und versioniert; Methode und Systemgrenze dokumentieren</x:v>
      </x:c>
      <x:c r="AA473" s="14" t="str">
        <x:v>Limited Assurance; risikobasiert höhere Prüftiefe</x:v>
      </x:c>
      <x:c r="AB473" s="14" t="str">
        <x:v>Fachlogik nicht abschließend operationalisiert</x:v>
      </x:c>
      <x:c r="AC473" s="14" t="str">
        <x:v>Kritisch</x:v>
      </x:c>
      <x:c r="AD473" s="14" t="str">
        <x:v>SROI/SDG 17 ist keine hinreichend konkrete Mess- oder Schwellenquelle. Vollständige fünfstufige numerische Regel.</x:v>
      </x:c>
      <x:c r="AE473" s="14" t="str">
        <x:v>v1.4</x:v>
      </x:c>
      <x:c r="AF473" s="52" t="str">
        <x:v>2026-08-16</x:v>
      </x:c>
      <x:c r="AG473" s="52"/>
    </x:row>
    <x:row r="474" ht="42" customHeight="1">
      <x:c r="A474" s="14" t="str">
        <x:v>WOK-SYS-165</x:v>
      </x:c>
      <x:c r="B474" s="14" t="str">
        <x:v>SDG+ – Demokratie</x:v>
      </x:c>
      <x:c r="C474" s="14" t="str">
        <x:v>—</x:v>
      </x:c>
      <x:c r="D474" s="14" t="str">
        <x:v>Civic Tech / Open Gov</x:v>
      </x:c>
      <x:c r="E474" s="14" t="str">
        <x:v>Civic Tech / Open Gov – Exposure</x:v>
      </x:c>
      <x:c r="F474" s="14" t="str">
        <x:v>Umsatz in Hochrisikoländern</x:v>
      </x:c>
      <x:c r="G474" s="14" t="str">
        <x:v>%</x:v>
      </x:c>
      <x:c r="H474" s="14" t="str">
        <x:v>lower_is_better</x:v>
      </x:c>
      <x:c r="I474" s="14" t="str">
        <x:v>R13</x:v>
      </x:c>
      <x:c r="J474" s="14" t="str">
        <x:v>≤5:+3; 6–10:+2; 11–20:0; 21–30:‑2; &gt;30:‑3</x:v>
      </x:c>
      <x:c r="K474" s="14" t="str">
        <x:v>Feste WÖk-Kalibrierung</x:v>
      </x:c>
      <x:c r="L474" s="14" t="str">
        <x:v>Arbeitskalibrierung – fachlich zu validieren</x:v>
      </x:c>
      <x:c r="M474" s="14" t="str">
        <x:v>WÖk-interne Klassenlogik</x:v>
      </x:c>
      <x:c r="N474" s="14" t="str">
        <x:v>Optional/Nein</x:v>
      </x:c>
      <x:c r="O474" s="14" t="str">
        <x:v>SROI/SDG17</x:v>
      </x:c>
      <x:c r="P474" s="14" t="str">
        <x:v>SROI/SDG17</x:v>
      </x:c>
      <x:c r="Q474" s="14" t="str">
        <x:v>Methodischer Platzhalter; konkrete Fach- und Primärdatenquelle erforderlich</x:v>
      </x:c>
      <x:c r="R474" s="14" t="str">
        <x:v>Platzhalter – fachliche Operationalisierung offen</x:v>
      </x:c>
      <x:c r="S474" s="14" t="str">
        <x:v>INT-WOEK-TSROI; SVI-SROI; UN-SDG</x:v>
      </x:c>
      <x:c r="T474" s="14" t="str">
        <x:v>G47 Handel; K Versicherungen; M72 F&amp;E</x:v>
      </x:c>
      <x:c r="U474" s="14" t="str">
        <x:v>Legacy / nicht explizit versioniert</x:v>
      </x:c>
      <x:c r="V474" s="51" t="str"/>
      <x:c r="W474" s="14" t="str">
        <x:v>Migration auf NACE Rev. 2.1 erforderlich</x:v>
      </x:c>
      <x:c r="X474" s="14" t="str">
        <x:v>Programm/Portfolio/Systemraum; Empfängergruppe, Region und Zeitraum explizit definieren</x:v>
      </x:c>
      <x:c r="Y474" s="14" t="str">
        <x:v>Siehe Quelle: Definition gemäß Standard (ESRS/GRI/Taxonomie/ISO).</x:v>
      </x:c>
      <x:c r="Z474" s="14" t="str">
        <x:v>Primärdaten bevorzugt; Sekundärdaten nur transparent und versioniert; Methode und Systemgrenze dokumentieren</x:v>
      </x:c>
      <x:c r="AA474" s="14" t="str">
        <x:v>Limited Assurance; risikobasiert höhere Prüftiefe</x:v>
      </x:c>
      <x:c r="AB474" s="14" t="str">
        <x:v>Fachlogik nicht abschließend operationalisiert</x:v>
      </x:c>
      <x:c r="AC474" s="14" t="str">
        <x:v>Kritisch</x:v>
      </x:c>
      <x:c r="AD474" s="14" t="str">
        <x:v>SROI/SDG 17 ist keine hinreichend konkrete Mess- oder Schwellenquelle. Vollständige fünfstufige numerische Regel.</x:v>
      </x:c>
      <x:c r="AE474" s="14" t="str">
        <x:v>v1.4</x:v>
      </x:c>
      <x:c r="AF474" s="52" t="str">
        <x:v>2026-08-16</x:v>
      </x:c>
      <x:c r="AG474" s="52"/>
    </x:row>
    <x:row r="475" ht="42" customHeight="1">
      <x:c r="A475" s="14" t="str">
        <x:v>WOK-SYS-166</x:v>
      </x:c>
      <x:c r="B475" s="14" t="str">
        <x:v>SDG+ – Demokratie</x:v>
      </x:c>
      <x:c r="C475" s="14" t="str">
        <x:v>—</x:v>
      </x:c>
      <x:c r="D475" s="14" t="str">
        <x:v>Civic Tech / Open Gov</x:v>
      </x:c>
      <x:c r="E475" s="14" t="str">
        <x:v>Civic Tech / Open Gov – Kooperationen</x:v>
      </x:c>
      <x:c r="F475" s="14" t="str">
        <x:v>aktive, evaluierte Partnerschaften/Jahr</x:v>
      </x:c>
      <x:c r="G475" s="14" t="str">
        <x:v>#/Jahr</x:v>
      </x:c>
      <x:c r="H475" s="14" t="str">
        <x:v>higher_is_better</x:v>
      </x:c>
      <x:c r="I475" s="14" t="str">
        <x:v>R20</x:v>
      </x:c>
      <x:c r="J475" s="14" t="str">
        <x:v>≥5:+3; 3–4:+2; 1–2:0; 0:‑2</x:v>
      </x:c>
      <x:c r="K475" s="14" t="str">
        <x:v>Feste WÖk-Grobkalibrierung</x:v>
      </x:c>
      <x:c r="L475" s="14" t="str">
        <x:v>Klasse −3 nur für negative/unzulässige Werte ergänzt</x:v>
      </x:c>
      <x:c r="M475" s="14" t="str">
        <x:v>WÖk-interne Grobkalibrierung</x:v>
      </x:c>
      <x:c r="N475" s="14" t="str">
        <x:v>Optional/Nein</x:v>
      </x:c>
      <x:c r="O475" s="14" t="str">
        <x:v>SROI/SDG17</x:v>
      </x:c>
      <x:c r="P475" s="14" t="str">
        <x:v>SDG 16/17, WJP, V‑Dem</x:v>
      </x:c>
      <x:c r="Q475" s="14" t="str">
        <x:v>Methodischer Platzhalter; konkrete Fach- und Primärdatenquelle erforderlich</x:v>
      </x:c>
      <x:c r="R475" s="14" t="str">
        <x:v>Platzhalter – fachliche Operationalisierung offen</x:v>
      </x:c>
      <x:c r="S475" s="14" t="str">
        <x:v>INT-WOEK-TSROI; SVI-SROI; UN-SDG</x:v>
      </x:c>
      <x:c r="T475" s="14" t="str">
        <x:v>G47 Handel; K Versicherungen; M72 F&amp;E</x:v>
      </x:c>
      <x:c r="U475" s="14" t="str">
        <x:v>Legacy / nicht explizit versioniert</x:v>
      </x:c>
      <x:c r="V475" s="51" t="str"/>
      <x:c r="W475" s="14" t="str">
        <x:v>Migration auf NACE Rev. 2.1 erforderlich</x:v>
      </x:c>
      <x:c r="X475" s="14" t="str">
        <x:v>Programm/Portfolio/Systemraum; Empfängergruppe, Region und Zeitraum explizit definieren</x:v>
      </x:c>
      <x:c r="Y475" s="14" t="str">
        <x:v>Siehe Quelle: Definition gemäß Standard (ESRS/GRI/Taxonomie/ISO).</x:v>
      </x:c>
      <x:c r="Z475" s="14" t="str">
        <x:v>Primärdaten bevorzugt; Sekundärdaten nur transparent und versioniert; Methode und Systemgrenze dokumentieren</x:v>
      </x:c>
      <x:c r="AA475" s="14" t="str">
        <x:v>Limited Assurance; risikobasiert höhere Prüftiefe</x:v>
      </x:c>
      <x:c r="AB475" s="14" t="str">
        <x:v>Fachlogik nicht abschließend operationalisiert</x:v>
      </x:c>
      <x:c r="AC475" s="14" t="str">
        <x:v>Kritisch</x:v>
      </x:c>
      <x:c r="AD475" s="14" t="str">
        <x:v>SROI/SDG 17 ist keine hinreichend konkrete Mess- oder Schwellenquelle. Für sachlogisch nichtnegative Zählwerte ist 0 die schlechteste reguläre Klasse (−2).</x:v>
      </x:c>
      <x:c r="AE475" s="14" t="str">
        <x:v>v1.4</x:v>
      </x:c>
      <x:c r="AF475" s="52" t="str">
        <x:v>2026-08-16</x:v>
      </x:c>
      <x:c r="AG475" s="52"/>
    </x:row>
    <x:row r="476" ht="42" customHeight="1">
      <x:c r="A476" s="14" t="str">
        <x:v>WOK-G-197</x:v>
      </x:c>
      <x:c r="B476" s="14" t="str">
        <x:v>SDG+ – Demokratie</x:v>
      </x:c>
      <x:c r="C476" s="14" t="str">
        <x:v>—</x:v>
      </x:c>
      <x:c r="D476" s="14" t="str">
        <x:v>Unabhängigkeit Aufsicht</x:v>
      </x:c>
      <x:c r="E476" s="14" t="str">
        <x:v>Unabhängigkeit Aufsicht – Antikorruption</x:v>
      </x:c>
      <x:c r="F476" s="14" t="str">
        <x:v>Bestätigte Fälle/1.000 FTE</x:v>
      </x:c>
      <x:c r="G476" s="14" t="str">
        <x:v>Fälle/1.000 FTE</x:v>
      </x:c>
      <x:c r="H476" s="14" t="str">
        <x:v>lower_is_better</x:v>
      </x:c>
      <x:c r="I476" s="14" t="str">
        <x:v>R01</x:v>
      </x:c>
      <x:c r="J476" s="14" t="str">
        <x:v>0:+3; ≤0,2:+2; ≤0,5:0; ≤1:‑2; &gt;1:‑3</x:v>
      </x:c>
      <x:c r="K476" s="14" t="str">
        <x:v>Feste WÖk-Kalibrierung</x:v>
      </x:c>
      <x:c r="L476" s="14" t="str">
        <x:v>Arbeitskalibrierung – fachlich zu validieren</x:v>
      </x:c>
      <x:c r="M476" s="14" t="str">
        <x:v>WÖk-interne Klassenlogik</x:v>
      </x:c>
      <x:c r="N476" s="14" t="str">
        <x:v>Optional/Nein</x:v>
      </x:c>
      <x:c r="O476" s="14" t="str">
        <x:v>ESRS G1; GRI 205/207</x:v>
      </x:c>
      <x:c r="P476" s="14" t="str">
        <x:v>ESRS G1, GRI 205/207, OECD Anti‑Bribery</x:v>
      </x:c>
      <x:c r="Q476" s="14" t="str">
        <x:v>Mess-, Berichts- oder Managementrahmen; Schwellen sind grundsätzlich WÖk-Kalibrierungen</x:v>
      </x:c>
      <x:c r="R476" s="14" t="str">
        <x:v>Messgrundlage belegt; Schwellenkalibrierung offen</x:v>
      </x:c>
      <x:c r="S476" s="14" t="str">
        <x:v>EU-ESRS; GRI; OECD-AB</x:v>
      </x:c>
      <x:c r="T476" s="14" t="str">
        <x:v>G47 Handel; K Versicherungen; M72 F&amp;E</x:v>
      </x:c>
      <x:c r="U476" s="14" t="str">
        <x:v>Legacy / nicht explizit versioniert</x:v>
      </x:c>
      <x:c r="V476" s="51" t="str"/>
      <x:c r="W476" s="14" t="str">
        <x:v>Migration auf NACE Rev. 2.1 erforderlich</x:v>
      </x:c>
      <x:c r="X476" s="14" t="str">
        <x:v>Organisation/Governance; konsolidierter Kreis und relevante Rechtseinheiten</x:v>
      </x:c>
      <x:c r="Y476" s="14" t="str">
        <x:v>Siehe Quelle: Definition gemäß Standard (ESRS/GRI/Taxonomie/ISO).</x:v>
      </x:c>
      <x:c r="Z476" s="14" t="str">
        <x:v>Primärdaten bevorzugt; Sekundärdaten nur transparent und versioniert; Methode und Systemgrenze dokumentieren</x:v>
      </x:c>
      <x:c r="AA476" s="14" t="str">
        <x:v>Limited Assurance; risikobasiert höhere Prüftiefe</x:v>
      </x:c>
      <x:c r="AB476" s="14" t="str">
        <x:v>Strukturell nutzbar; Schwellen fachlich zu validieren</x:v>
      </x:c>
      <x:c r="AC476" s="14" t="str">
        <x:v>Mittel</x:v>
      </x:c>
      <x:c r="AD476" s="14" t="str">
        <x:v>Vollständige fünfstufige numerische Regel.</x:v>
      </x:c>
      <x:c r="AE476" s="14" t="str">
        <x:v>v1.4</x:v>
      </x:c>
      <x:c r="AF476" s="52" t="str">
        <x:v>2026-08-16</x:v>
      </x:c>
      <x:c r="AG476" s="52"/>
    </x:row>
    <x:row r="477" ht="42" customHeight="1">
      <x:c r="A477" s="14" t="str">
        <x:v>WOK-G-198</x:v>
      </x:c>
      <x:c r="B477" s="14" t="str">
        <x:v>SDG+ – Demokratie</x:v>
      </x:c>
      <x:c r="C477" s="14" t="str">
        <x:v>—</x:v>
      </x:c>
      <x:c r="D477" s="14" t="str">
        <x:v>Unabhängigkeit Aufsicht</x:v>
      </x:c>
      <x:c r="E477" s="14" t="str">
        <x:v>Unabhängigkeit Aufsicht – Whistleblowing</x:v>
      </x:c>
      <x:c r="F477" s="14" t="str">
        <x:v>Wirksamkeits‑Score</x:v>
      </x:c>
      <x:c r="G477" s="14" t="str">
        <x:v>0–1</x:v>
      </x:c>
      <x:c r="H477" s="14" t="str">
        <x:v>higher_is_better</x:v>
      </x:c>
      <x:c r="I477" s="14" t="str">
        <x:v>R16</x:v>
      </x:c>
      <x:c r="J477" s="14" t="str">
        <x:v>≥0,9:+3; 0,75–0,89:+2; 0,6–0,74:0; 0,4–0,59:‑2; &lt;0,4:‑3</x:v>
      </x:c>
      <x:c r="K477" s="14" t="str">
        <x:v>Feste WÖk-Kalibrierung</x:v>
      </x:c>
      <x:c r="L477" s="14" t="str">
        <x:v>Arbeitskalibrierung – fachlich zu validieren</x:v>
      </x:c>
      <x:c r="M477" s="14" t="str">
        <x:v>WÖk-interne Klassenlogik</x:v>
      </x:c>
      <x:c r="N477" s="14" t="str">
        <x:v>Optional/Nein</x:v>
      </x:c>
      <x:c r="O477" s="14" t="str">
        <x:v>ESRS G1; GRI 205/207</x:v>
      </x:c>
      <x:c r="P477" s="14" t="str">
        <x:v>ESRS G1, GRI 205/207, OECD Anti‑Bribery</x:v>
      </x:c>
      <x:c r="Q477" s="14" t="str">
        <x:v>Mess-, Berichts- oder Managementrahmen; Schwellen sind grundsätzlich WÖk-Kalibrierungen</x:v>
      </x:c>
      <x:c r="R477" s="14" t="str">
        <x:v>Messgrundlage belegt; Schwellenkalibrierung offen</x:v>
      </x:c>
      <x:c r="S477" s="14" t="str">
        <x:v>EU-ESRS; GRI; OECD-AB</x:v>
      </x:c>
      <x:c r="T477" s="14" t="str">
        <x:v>G47 Handel; K Versicherungen; M72 F&amp;E</x:v>
      </x:c>
      <x:c r="U477" s="14" t="str">
        <x:v>Legacy / nicht explizit versioniert</x:v>
      </x:c>
      <x:c r="V477" s="51" t="str"/>
      <x:c r="W477" s="14" t="str">
        <x:v>Migration auf NACE Rev. 2.1 erforderlich</x:v>
      </x:c>
      <x:c r="X477" s="14" t="str">
        <x:v>Organisation/Governance; konsolidierter Kreis und relevante Rechtseinheiten</x:v>
      </x:c>
      <x:c r="Y477" s="14" t="str">
        <x:v>Siehe Quelle: Definition gemäß Standard (ESRS/GRI/Taxonomie/ISO).</x:v>
      </x:c>
      <x:c r="Z477" s="14" t="str">
        <x:v>Primärdaten bevorzugt; Sekundärdaten nur transparent und versioniert; Methode und Systemgrenze dokumentieren</x:v>
      </x:c>
      <x:c r="AA477" s="14" t="str">
        <x:v>Limited Assurance; risikobasiert höhere Prüftiefe</x:v>
      </x:c>
      <x:c r="AB477" s="14" t="str">
        <x:v>Strukturell nutzbar; Schwellen fachlich zu validieren</x:v>
      </x:c>
      <x:c r="AC477" s="14" t="str">
        <x:v>Mittel</x:v>
      </x:c>
      <x:c r="AD477" s="14" t="str">
        <x:v>Vollständige fünfstufige numerische Regel.</x:v>
      </x:c>
      <x:c r="AE477" s="14" t="str">
        <x:v>v1.4</x:v>
      </x:c>
      <x:c r="AF477" s="52" t="str">
        <x:v>2026-08-16</x:v>
      </x:c>
      <x:c r="AG477" s="52"/>
    </x:row>
    <x:row r="478" ht="42" customHeight="1">
      <x:c r="A478" s="14" t="str">
        <x:v>WOK-G-199</x:v>
      </x:c>
      <x:c r="B478" s="14" t="str">
        <x:v>SDG+ – Demokratie</x:v>
      </x:c>
      <x:c r="C478" s="14" t="str">
        <x:v>—</x:v>
      </x:c>
      <x:c r="D478" s="14" t="str">
        <x:v>Unabhängigkeit Aufsicht</x:v>
      </x:c>
      <x:c r="E478" s="14" t="str">
        <x:v>Unabhängigkeit Aufsicht – Steuertransparenz</x:v>
      </x:c>
      <x:c r="F478" s="14" t="str">
        <x:v>CbCR‑Offenlegung</x:v>
      </x:c>
      <x:c r="G478" s="14" t="str">
        <x:v>0–1</x:v>
      </x:c>
      <x:c r="H478" s="14" t="str">
        <x:v>higher_is_better</x:v>
      </x:c>
      <x:c r="I478" s="14" t="str">
        <x:v>R08</x:v>
      </x:c>
      <x:c r="J478" s="14" t="str">
        <x:v>vollständig:+3; teilweise:+2; minimal:0; schlecht:‑2</x:v>
      </x:c>
      <x:c r="K478" s="14" t="str">
        <x:v>Qualitativ</x:v>
      </x:c>
      <x:c r="L478" s="14" t="str">
        <x:v>Assurance und Kriterienkatalog erforderlich</x:v>
      </x:c>
      <x:c r="M478" s="14" t="str">
        <x:v>WÖk-interne Kategorien</x:v>
      </x:c>
      <x:c r="N478" s="14" t="str">
        <x:v>Optional/Nein</x:v>
      </x:c>
      <x:c r="O478" s="14" t="str">
        <x:v>ESRS G1; GRI 205/207</x:v>
      </x:c>
      <x:c r="P478" s="14" t="str">
        <x:v>ESRS G1, GRI 205/207, OECD Anti‑Bribery</x:v>
      </x:c>
      <x:c r="Q478" s="14" t="str">
        <x:v>Mess-, Berichts- oder Managementrahmen; Schwellen sind grundsätzlich WÖk-Kalibrierungen</x:v>
      </x:c>
      <x:c r="R478" s="14" t="str">
        <x:v>Messgrundlage belegt; Schwellenkalibrierung offen</x:v>
      </x:c>
      <x:c r="S478" s="14" t="str">
        <x:v>EU-ESRS; GRI; OECD-AB</x:v>
      </x:c>
      <x:c r="T478" s="14" t="str">
        <x:v>G47 Handel; K Versicherungen; M72 F&amp;E</x:v>
      </x:c>
      <x:c r="U478" s="14" t="str">
        <x:v>Legacy / nicht explizit versioniert</x:v>
      </x:c>
      <x:c r="V478" s="51" t="str"/>
      <x:c r="W478" s="14" t="str">
        <x:v>Migration auf NACE Rev. 2.1 erforderlich</x:v>
      </x:c>
      <x:c r="X478" s="14" t="str">
        <x:v>Organisation/Governance; konsolidierter Kreis und relevante Rechtseinheiten</x:v>
      </x:c>
      <x:c r="Y478" s="14" t="str">
        <x:v>Siehe Quelle: Definition gemäß Standard (ESRS/GRI/Taxonomie/ISO).</x:v>
      </x:c>
      <x:c r="Z478" s="14" t="str">
        <x:v>Dokumentierter Kriterienkatalog; nachvollziehbare Evidenz; DQR A/B bevorzugt</x:v>
      </x:c>
      <x:c r="AA478" s="14" t="str">
        <x:v>Unabhängige Fachprüfung/Limited Assurance; bei roten Linien Reasonable Assurance</x:v>
      </x:c>
      <x:c r="AB478" s="14" t="str">
        <x:v>Prüfung/Parametrisierung erforderlich</x:v>
      </x:c>
      <x:c r="AC478" s="14" t="str">
        <x:v>Hoch</x:v>
      </x:c>
      <x:c r="AD478" s="14" t="str">
        <x:v>Die Kategorie −3 fehlt; Vollständigkeit und Wirksamkeit sind feldspezifisch zu definieren.</x:v>
      </x:c>
      <x:c r="AE478" s="14" t="str">
        <x:v>v1.4</x:v>
      </x:c>
      <x:c r="AF478" s="52" t="str">
        <x:v>2026-08-16</x:v>
      </x:c>
      <x:c r="AG478" s="52"/>
    </x:row>
    <x:row r="479" ht="42" customHeight="1">
      <x:c r="A479" s="14" t="str">
        <x:v>WOK-SC-146</x:v>
      </x:c>
      <x:c r="B479" s="14" t="str">
        <x:v>SDG+ – Demokratie</x:v>
      </x:c>
      <x:c r="C479" s="14" t="str">
        <x:v>—</x:v>
      </x:c>
      <x:c r="D479" s="14" t="str">
        <x:v>Lieferkette in Autokratien</x:v>
      </x:c>
      <x:c r="E479" s="14" t="str">
        <x:v>Lieferkette in Autokratien – ESG‑Spend‑Coverage</x:v>
      </x:c>
      <x:c r="F479" s="14" t="str">
        <x:v>Anteil verifizierter ESG‑Daten am Spend</x:v>
      </x:c>
      <x:c r="G479" s="14" t="str">
        <x:v>%</x:v>
      </x:c>
      <x:c r="H479" s="14" t="str">
        <x:v>higher_is_better</x:v>
      </x:c>
      <x:c r="I479" s="14" t="str">
        <x:v>R26</x:v>
      </x:c>
      <x:c r="J479" s="14" t="str">
        <x:v>≥90:+3; 70–89:+2; 50–69:0; 30–49:‑2; &lt;30:‑3</x:v>
      </x:c>
      <x:c r="K479" s="14" t="str">
        <x:v>Feste WÖk-Kalibrierung</x:v>
      </x:c>
      <x:c r="L479" s="14" t="str">
        <x:v>Arbeitskalibrierung – fachlich zu validieren</x:v>
      </x:c>
      <x:c r="M479" s="14" t="str">
        <x:v>WÖk-interne Klassenlogik</x:v>
      </x:c>
      <x:c r="N479" s="14" t="str">
        <x:v>Optional/Nein</x:v>
      </x:c>
      <x:c r="O479" s="14" t="str">
        <x:v>ESRS S2; GRI 308/414/408/409</x:v>
      </x:c>
      <x:c r="P479" s="14" t="str">
        <x:v>ESRS S2, GRI 308/414, OECD Due Diligence</x:v>
      </x:c>
      <x:c r="Q479" s="14" t="str">
        <x:v>Mess-, Berichts- oder Managementrahmen; Schwellen sind grundsätzlich WÖk-Kalibrierungen</x:v>
      </x:c>
      <x:c r="R479" s="14" t="str">
        <x:v>Messgrundlage belegt; Schwellenkalibrierung offen</x:v>
      </x:c>
      <x:c r="S479" s="14" t="str">
        <x:v>EU-ESRS; GRI; OECD-DD; ILO-CORE</x:v>
      </x:c>
      <x:c r="T479" s="14" t="str">
        <x:v>C20 Chemie; C24 Stahl; C29 Fahrzeuge</x:v>
      </x:c>
      <x:c r="U479" s="14" t="str">
        <x:v>Legacy / nicht explizit versioniert</x:v>
      </x:c>
      <x:c r="V479" s="51" t="str"/>
      <x:c r="W479" s="14" t="str">
        <x:v>Migration auf NACE Rev. 2.1 erforderlich</x:v>
      </x:c>
      <x:c r="X479" s="14" t="str">
        <x:v>Vorgelagerte Lieferkette; relevante Tier-Stufen und Beschaffungsvolumen</x:v>
      </x:c>
      <x:c r="Y479" s="14" t="str">
        <x:v>Quote = Zähler / Nenner gemäß Quelle; in %.</x:v>
      </x:c>
      <x:c r="Z479" s="14" t="str">
        <x:v>Primärdaten bevorzugt; Sekundärdaten nur transparent und versioniert; Methode und Systemgrenze dokumentieren</x:v>
      </x:c>
      <x:c r="AA479" s="14" t="str">
        <x:v>Limited Assurance; risikobasiert höhere Prüftiefe</x:v>
      </x:c>
      <x:c r="AB479" s="14" t="str">
        <x:v>Strukturell nutzbar; Schwellen fachlich zu validieren</x:v>
      </x:c>
      <x:c r="AC479" s="14" t="str">
        <x:v>Mittel</x:v>
      </x:c>
      <x:c r="AD479" s="14" t="str">
        <x:v>Vollständige fünfstufige numerische Regel.</x:v>
      </x:c>
      <x:c r="AE479" s="14" t="str">
        <x:v>v1.4</x:v>
      </x:c>
      <x:c r="AF479" s="52" t="str">
        <x:v>2026-08-16</x:v>
      </x:c>
      <x:c r="AG479" s="52"/>
    </x:row>
    <x:row r="480" ht="42" customHeight="1">
      <x:c r="A480" s="14" t="str">
        <x:v>WOK-SC-147</x:v>
      </x:c>
      <x:c r="B480" s="14" t="str">
        <x:v>SDG+ – Demokratie</x:v>
      </x:c>
      <x:c r="C480" s="14" t="str">
        <x:v>—</x:v>
      </x:c>
      <x:c r="D480" s="14" t="str">
        <x:v>Lieferkette in Autokratien</x:v>
      </x:c>
      <x:c r="E480" s="14" t="str">
        <x:v>Lieferkette in Autokratien – Kinder/Zwangsarbeit</x:v>
      </x:c>
      <x:c r="F480" s="14" t="str">
        <x:v>Audits ohne Verstöße</x:v>
      </x:c>
      <x:c r="G480" s="14" t="str">
        <x:v>% Lieferanten</x:v>
      </x:c>
      <x:c r="H480" s="14" t="str">
        <x:v>higher_is_better</x:v>
      </x:c>
      <x:c r="I480" s="14" t="str">
        <x:v>R28</x:v>
      </x:c>
      <x:c r="J480" s="14" t="str">
        <x:v>≥98:+3; 90–97:+2; 75–89:0; 50–74:‑2; &lt;50:‑3</x:v>
      </x:c>
      <x:c r="K480" s="14" t="str">
        <x:v>Feste WÖk-Kalibrierung</x:v>
      </x:c>
      <x:c r="L480" s="14" t="str">
        <x:v>Arbeitskalibrierung – fachlich zu validieren</x:v>
      </x:c>
      <x:c r="M480" s="14" t="str">
        <x:v>WÖk-interne Klassenlogik</x:v>
      </x:c>
      <x:c r="N480" s="14" t="str">
        <x:v>Optional/Nein</x:v>
      </x:c>
      <x:c r="O480" s="14" t="str">
        <x:v>ESRS S2; GRI 308/414/408/409</x:v>
      </x:c>
      <x:c r="P480" s="14" t="str">
        <x:v>ESRS S2, GRI 308/414, OECD Due Diligence</x:v>
      </x:c>
      <x:c r="Q480" s="14" t="str">
        <x:v>Mess-, Berichts- oder Managementrahmen; Schwellen sind grundsätzlich WÖk-Kalibrierungen</x:v>
      </x:c>
      <x:c r="R480" s="14" t="str">
        <x:v>Messgrundlage belegt; Schwellenkalibrierung offen</x:v>
      </x:c>
      <x:c r="S480" s="14" t="str">
        <x:v>EU-ESRS; GRI; OECD-DD; ILO-CORE</x:v>
      </x:c>
      <x:c r="T480" s="14" t="str">
        <x:v>C20 Chemie; C24 Stahl; C29 Fahrzeuge</x:v>
      </x:c>
      <x:c r="U480" s="14" t="str">
        <x:v>Legacy / nicht explizit versioniert</x:v>
      </x:c>
      <x:c r="V480" s="51" t="str"/>
      <x:c r="W480" s="14" t="str">
        <x:v>Migration auf NACE Rev. 2.1 erforderlich</x:v>
      </x:c>
      <x:c r="X480" s="14" t="str">
        <x:v>Vorgelagerte Lieferkette; relevante Tier-Stufen und Beschaffungsvolumen</x:v>
      </x:c>
      <x:c r="Y480" s="14" t="str">
        <x:v>Quote = Zähler / Nenner gemäß Quelle; in %.</x:v>
      </x:c>
      <x:c r="Z480" s="14" t="str">
        <x:v>Primärdaten bevorzugt; Sekundärdaten nur transparent und versioniert; Methode und Systemgrenze dokumentieren</x:v>
      </x:c>
      <x:c r="AA480" s="14" t="str">
        <x:v>Limited Assurance; risikobasiert höhere Prüftiefe</x:v>
      </x:c>
      <x:c r="AB480" s="14" t="str">
        <x:v>Strukturell nutzbar; Schwellen fachlich zu validieren</x:v>
      </x:c>
      <x:c r="AC480" s="14" t="str">
        <x:v>Mittel</x:v>
      </x:c>
      <x:c r="AD480" s="14" t="str">
        <x:v>Vollständige fünfstufige numerische Regel.</x:v>
      </x:c>
      <x:c r="AE480" s="14" t="str">
        <x:v>v1.4</x:v>
      </x:c>
      <x:c r="AF480" s="52" t="str">
        <x:v>2026-08-16</x:v>
      </x:c>
      <x:c r="AG480" s="52"/>
    </x:row>
    <x:row r="481" ht="42" customHeight="1">
      <x:c r="A481" s="14" t="str">
        <x:v>WOK-SC-148</x:v>
      </x:c>
      <x:c r="B481" s="14" t="str">
        <x:v>SDG+ – Demokratie</x:v>
      </x:c>
      <x:c r="C481" s="14" t="str">
        <x:v>—</x:v>
      </x:c>
      <x:c r="D481" s="14" t="str">
        <x:v>Lieferkette in Autokratien</x:v>
      </x:c>
      <x:c r="E481" s="14" t="str">
        <x:v>Lieferkette in Autokratien – Scope‑3 Daten</x:v>
      </x:c>
      <x:c r="F481" s="14" t="str">
        <x:v>Primärdaten‑Abdeckung</x:v>
      </x:c>
      <x:c r="G481" s="14" t="str">
        <x:v>% Kategorien</x:v>
      </x:c>
      <x:c r="H481" s="14" t="str">
        <x:v>higher_is_better</x:v>
      </x:c>
      <x:c r="I481" s="14" t="str">
        <x:v>R23</x:v>
      </x:c>
      <x:c r="J481" s="14" t="str">
        <x:v>≥80:+3; 60–79:+2; 40–59:0; 20–39:‑2; &lt;20:‑3</x:v>
      </x:c>
      <x:c r="K481" s="14" t="str">
        <x:v>Feste WÖk-Kalibrierung</x:v>
      </x:c>
      <x:c r="L481" s="14" t="str">
        <x:v>Arbeitskalibrierung – fachlich zu validieren</x:v>
      </x:c>
      <x:c r="M481" s="14" t="str">
        <x:v>WÖk-interne Klassenlogik</x:v>
      </x:c>
      <x:c r="N481" s="14" t="str">
        <x:v>Optional/Nein</x:v>
      </x:c>
      <x:c r="O481" s="14" t="str">
        <x:v>ESRS E1; GHG Protocol</x:v>
      </x:c>
      <x:c r="P481" s="14" t="str">
        <x:v>ESRS E1, GHG Protocol (Corporate/Scope 1–3), ISO 14064/14067</x:v>
      </x:c>
      <x:c r="Q481" s="14" t="str">
        <x:v>Mess-, Berichts- oder Managementrahmen; Schwellen sind grundsätzlich WÖk-Kalibrierungen</x:v>
      </x:c>
      <x:c r="R481" s="14" t="str">
        <x:v>Messgrundlage belegt; Schwellenkalibrierung offen</x:v>
      </x:c>
      <x:c r="S481" s="14" t="str">
        <x:v>EU-ESRS; GHG-CORP; GHG-S3; GHG-PROD</x:v>
      </x:c>
      <x:c r="T481" s="14" t="str">
        <x:v>C20 Chemie; C24 Stahl; C29 Fahrzeuge</x:v>
      </x:c>
      <x:c r="U481" s="14" t="str">
        <x:v>Legacy / nicht explizit versioniert</x:v>
      </x:c>
      <x:c r="V481" s="51" t="str"/>
      <x:c r="W481" s="14" t="str">
        <x:v>Migration auf NACE Rev. 2.1 erforderlich</x:v>
      </x:c>
      <x:c r="X481" s="14" t="str">
        <x:v>Vorgelagerte Lieferkette; relevante Tier-Stufen und Beschaffungsvolumen</x:v>
      </x:c>
      <x:c r="Y481" s="14" t="str">
        <x:v>Quote = Zähler / Nenner gemäß Quelle; in %.</x:v>
      </x:c>
      <x:c r="Z481" s="14" t="str">
        <x:v>Primärdaten bevorzugt; Sekundärdaten nur transparent und versioniert; Methode und Systemgrenze dokumentieren</x:v>
      </x:c>
      <x:c r="AA481" s="14" t="str">
        <x:v>Limited Assurance; risikobasiert höhere Prüftiefe</x:v>
      </x:c>
      <x:c r="AB481" s="14" t="str">
        <x:v>Strukturell nutzbar; Schwellen fachlich zu validieren</x:v>
      </x:c>
      <x:c r="AC481" s="14" t="str">
        <x:v>Mittel</x:v>
      </x:c>
      <x:c r="AD481" s="14" t="str">
        <x:v>Vollständige fünfstufige numerische Regel.</x:v>
      </x:c>
      <x:c r="AE481" s="14" t="str">
        <x:v>v1.4</x:v>
      </x:c>
      <x:c r="AF481" s="52" t="str">
        <x:v>2026-08-16</x:v>
      </x:c>
      <x:c r="AG481" s="52"/>
    </x:row>
    <x:row r="482" ht="42" customHeight="1">
      <x:c r="A482" s="14" t="str">
        <x:v>WOK-SYS-167</x:v>
      </x:c>
      <x:c r="B482" s="14" t="str">
        <x:v>SDG+ – Medienvielfalt</x:v>
      </x:c>
      <x:c r="C482" s="14" t="str">
        <x:v>—</x:v>
      </x:c>
      <x:c r="D482" s="14" t="str">
        <x:v>Medien‑Konzentration</x:v>
      </x:c>
      <x:c r="E482" s="14" t="str">
        <x:v>Medien‑Konzentration – Index</x:v>
      </x:c>
      <x:c r="F482" s="14" t="str">
        <x:v>umsatzgewichteter Index (z. B. Demokratie/Rule of Law)</x:v>
      </x:c>
      <x:c r="G482" s="14" t="str">
        <x:v>0–1</x:v>
      </x:c>
      <x:c r="H482" s="14" t="str">
        <x:v>higher_is_better</x:v>
      </x:c>
      <x:c r="I482" s="14" t="str">
        <x:v>R15</x:v>
      </x:c>
      <x:c r="J482" s="14" t="str">
        <x:v>≥0,8:+3; 0,7–0,79:+2; 0,6–0,69:0; 0,5–0,59:‑2; &lt;0,5:‑3</x:v>
      </x:c>
      <x:c r="K482" s="14" t="str">
        <x:v>Feste WÖk-Kalibrierung</x:v>
      </x:c>
      <x:c r="L482" s="14" t="str">
        <x:v>Arbeitskalibrierung – fachlich zu validieren</x:v>
      </x:c>
      <x:c r="M482" s="14" t="str">
        <x:v>WÖk-interne Klassenlogik</x:v>
      </x:c>
      <x:c r="N482" s="14" t="str">
        <x:v>Optional/Nein</x:v>
      </x:c>
      <x:c r="O482" s="14" t="str">
        <x:v>SROI/SDG17</x:v>
      </x:c>
      <x:c r="P482" s="14" t="str">
        <x:v>SDG 16/17, WJP, V‑Dem</x:v>
      </x:c>
      <x:c r="Q482" s="14" t="str">
        <x:v>Methodischer Platzhalter; konkrete Fach- und Primärdatenquelle erforderlich</x:v>
      </x:c>
      <x:c r="R482" s="14" t="str">
        <x:v>Platzhalter – fachliche Operationalisierung offen</x:v>
      </x:c>
      <x:c r="S482" s="14" t="str">
        <x:v>INT-WOEK-TSROI; SVI-SROI; UN-SDG</x:v>
      </x:c>
      <x:c r="T482" s="14" t="str">
        <x:v>J58/J60/J63 Medien/Plattformen</x:v>
      </x:c>
      <x:c r="U482" s="14" t="str">
        <x:v>Legacy / nicht explizit versioniert</x:v>
      </x:c>
      <x:c r="V482" s="51" t="str"/>
      <x:c r="W482" s="14" t="str">
        <x:v>Migration auf NACE Rev. 2.1 erforderlich</x:v>
      </x:c>
      <x:c r="X482" s="14" t="str">
        <x:v>Programm/Portfolio/Systemraum; Empfängergruppe, Region und Zeitraum explizit definieren</x:v>
      </x:c>
      <x:c r="Y482" s="14" t="str">
        <x:v>Siehe Quelle: Definition gemäß Standard (ESRS/GRI/Taxonomie/ISO).</x:v>
      </x:c>
      <x:c r="Z482" s="14" t="str">
        <x:v>Primärdaten bevorzugt; Sekundärdaten nur transparent und versioniert; Methode und Systemgrenze dokumentieren</x:v>
      </x:c>
      <x:c r="AA482" s="14" t="str">
        <x:v>Limited Assurance; risikobasiert höhere Prüftiefe</x:v>
      </x:c>
      <x:c r="AB482" s="14" t="str">
        <x:v>Fachlogik nicht abschließend operationalisiert</x:v>
      </x:c>
      <x:c r="AC482" s="14" t="str">
        <x:v>Kritisch</x:v>
      </x:c>
      <x:c r="AD482" s="14" t="str">
        <x:v>SROI/SDG 17 ist keine hinreichend konkrete Mess- oder Schwellenquelle. Vollständige fünfstufige numerische Regel.</x:v>
      </x:c>
      <x:c r="AE482" s="14" t="str">
        <x:v>v1.4</x:v>
      </x:c>
      <x:c r="AF482" s="52" t="str">
        <x:v>2026-08-16</x:v>
      </x:c>
      <x:c r="AG482" s="52"/>
    </x:row>
    <x:row r="483" ht="42" customHeight="1">
      <x:c r="A483" s="14" t="str">
        <x:v>WOK-SYS-168</x:v>
      </x:c>
      <x:c r="B483" s="14" t="str">
        <x:v>SDG+ – Medienvielfalt</x:v>
      </x:c>
      <x:c r="C483" s="14" t="str">
        <x:v>—</x:v>
      </x:c>
      <x:c r="D483" s="14" t="str">
        <x:v>Medien‑Konzentration</x:v>
      </x:c>
      <x:c r="E483" s="14" t="str">
        <x:v>Medien‑Konzentration – Exposure</x:v>
      </x:c>
      <x:c r="F483" s="14" t="str">
        <x:v>Umsatz in Hochrisikoländern</x:v>
      </x:c>
      <x:c r="G483" s="14" t="str">
        <x:v>%</x:v>
      </x:c>
      <x:c r="H483" s="14" t="str">
        <x:v>lower_is_better</x:v>
      </x:c>
      <x:c r="I483" s="14" t="str">
        <x:v>R13</x:v>
      </x:c>
      <x:c r="J483" s="14" t="str">
        <x:v>≤5:+3; 6–10:+2; 11–20:0; 21–30:‑2; &gt;30:‑3</x:v>
      </x:c>
      <x:c r="K483" s="14" t="str">
        <x:v>Feste WÖk-Kalibrierung</x:v>
      </x:c>
      <x:c r="L483" s="14" t="str">
        <x:v>Arbeitskalibrierung – fachlich zu validieren</x:v>
      </x:c>
      <x:c r="M483" s="14" t="str">
        <x:v>WÖk-interne Klassenlogik</x:v>
      </x:c>
      <x:c r="N483" s="14" t="str">
        <x:v>Optional/Nein</x:v>
      </x:c>
      <x:c r="O483" s="14" t="str">
        <x:v>SROI/SDG17</x:v>
      </x:c>
      <x:c r="P483" s="14" t="str">
        <x:v>SROI/SDG17</x:v>
      </x:c>
      <x:c r="Q483" s="14" t="str">
        <x:v>Methodischer Platzhalter; konkrete Fach- und Primärdatenquelle erforderlich</x:v>
      </x:c>
      <x:c r="R483" s="14" t="str">
        <x:v>Platzhalter – fachliche Operationalisierung offen</x:v>
      </x:c>
      <x:c r="S483" s="14" t="str">
        <x:v>INT-WOEK-TSROI; SVI-SROI; UN-SDG</x:v>
      </x:c>
      <x:c r="T483" s="14" t="str">
        <x:v>J58/J60/J63 Medien/Plattformen</x:v>
      </x:c>
      <x:c r="U483" s="14" t="str">
        <x:v>Legacy / nicht explizit versioniert</x:v>
      </x:c>
      <x:c r="V483" s="51" t="str"/>
      <x:c r="W483" s="14" t="str">
        <x:v>Migration auf NACE Rev. 2.1 erforderlich</x:v>
      </x:c>
      <x:c r="X483" s="14" t="str">
        <x:v>Programm/Portfolio/Systemraum; Empfängergruppe, Region und Zeitraum explizit definieren</x:v>
      </x:c>
      <x:c r="Y483" s="14" t="str">
        <x:v>Siehe Quelle: Definition gemäß Standard (ESRS/GRI/Taxonomie/ISO).</x:v>
      </x:c>
      <x:c r="Z483" s="14" t="str">
        <x:v>Primärdaten bevorzugt; Sekundärdaten nur transparent und versioniert; Methode und Systemgrenze dokumentieren</x:v>
      </x:c>
      <x:c r="AA483" s="14" t="str">
        <x:v>Limited Assurance; risikobasiert höhere Prüftiefe</x:v>
      </x:c>
      <x:c r="AB483" s="14" t="str">
        <x:v>Fachlogik nicht abschließend operationalisiert</x:v>
      </x:c>
      <x:c r="AC483" s="14" t="str">
        <x:v>Kritisch</x:v>
      </x:c>
      <x:c r="AD483" s="14" t="str">
        <x:v>SROI/SDG 17 ist keine hinreichend konkrete Mess- oder Schwellenquelle. Vollständige fünfstufige numerische Regel.</x:v>
      </x:c>
      <x:c r="AE483" s="14" t="str">
        <x:v>v1.4</x:v>
      </x:c>
      <x:c r="AF483" s="52" t="str">
        <x:v>2026-08-16</x:v>
      </x:c>
      <x:c r="AG483" s="52"/>
    </x:row>
    <x:row r="484" ht="42" customHeight="1">
      <x:c r="A484" s="14" t="str">
        <x:v>WOK-SYS-169</x:v>
      </x:c>
      <x:c r="B484" s="14" t="str">
        <x:v>SDG+ – Medienvielfalt</x:v>
      </x:c>
      <x:c r="C484" s="14" t="str">
        <x:v>—</x:v>
      </x:c>
      <x:c r="D484" s="14" t="str">
        <x:v>Medien‑Konzentration</x:v>
      </x:c>
      <x:c r="E484" s="14" t="str">
        <x:v>Medien‑Konzentration – Kooperationen</x:v>
      </x:c>
      <x:c r="F484" s="14" t="str">
        <x:v>aktive, evaluierte Partnerschaften/Jahr</x:v>
      </x:c>
      <x:c r="G484" s="14" t="str">
        <x:v>#/Jahr</x:v>
      </x:c>
      <x:c r="H484" s="14" t="str">
        <x:v>higher_is_better</x:v>
      </x:c>
      <x:c r="I484" s="14" t="str">
        <x:v>R20</x:v>
      </x:c>
      <x:c r="J484" s="14" t="str">
        <x:v>≥5:+3; 3–4:+2; 1–2:0; 0:‑2</x:v>
      </x:c>
      <x:c r="K484" s="14" t="str">
        <x:v>Feste WÖk-Grobkalibrierung</x:v>
      </x:c>
      <x:c r="L484" s="14" t="str">
        <x:v>Klasse −3 nur für negative/unzulässige Werte ergänzt</x:v>
      </x:c>
      <x:c r="M484" s="14" t="str">
        <x:v>WÖk-interne Grobkalibrierung</x:v>
      </x:c>
      <x:c r="N484" s="14" t="str">
        <x:v>Optional/Nein</x:v>
      </x:c>
      <x:c r="O484" s="14" t="str">
        <x:v>SROI/SDG17</x:v>
      </x:c>
      <x:c r="P484" s="14" t="str">
        <x:v>SDG 16/17, WJP, V‑Dem</x:v>
      </x:c>
      <x:c r="Q484" s="14" t="str">
        <x:v>Methodischer Platzhalter; konkrete Fach- und Primärdatenquelle erforderlich</x:v>
      </x:c>
      <x:c r="R484" s="14" t="str">
        <x:v>Platzhalter – fachliche Operationalisierung offen</x:v>
      </x:c>
      <x:c r="S484" s="14" t="str">
        <x:v>INT-WOEK-TSROI; SVI-SROI; UN-SDG</x:v>
      </x:c>
      <x:c r="T484" s="14" t="str">
        <x:v>J58/J60/J63 Medien/Plattformen</x:v>
      </x:c>
      <x:c r="U484" s="14" t="str">
        <x:v>Legacy / nicht explizit versioniert</x:v>
      </x:c>
      <x:c r="V484" s="51" t="str"/>
      <x:c r="W484" s="14" t="str">
        <x:v>Migration auf NACE Rev. 2.1 erforderlich</x:v>
      </x:c>
      <x:c r="X484" s="14" t="str">
        <x:v>Programm/Portfolio/Systemraum; Empfängergruppe, Region und Zeitraum explizit definieren</x:v>
      </x:c>
      <x:c r="Y484" s="14" t="str">
        <x:v>Siehe Quelle: Definition gemäß Standard (ESRS/GRI/Taxonomie/ISO).</x:v>
      </x:c>
      <x:c r="Z484" s="14" t="str">
        <x:v>Primärdaten bevorzugt; Sekundärdaten nur transparent und versioniert; Methode und Systemgrenze dokumentieren</x:v>
      </x:c>
      <x:c r="AA484" s="14" t="str">
        <x:v>Limited Assurance; risikobasiert höhere Prüftiefe</x:v>
      </x:c>
      <x:c r="AB484" s="14" t="str">
        <x:v>Fachlogik nicht abschließend operationalisiert</x:v>
      </x:c>
      <x:c r="AC484" s="14" t="str">
        <x:v>Kritisch</x:v>
      </x:c>
      <x:c r="AD484" s="14" t="str">
        <x:v>SROI/SDG 17 ist keine hinreichend konkrete Mess- oder Schwellenquelle. Für sachlogisch nichtnegative Zählwerte ist 0 die schlechteste reguläre Klasse (−2).</x:v>
      </x:c>
      <x:c r="AE484" s="14" t="str">
        <x:v>v1.4</x:v>
      </x:c>
      <x:c r="AF484" s="52" t="str">
        <x:v>2026-08-16</x:v>
      </x:c>
      <x:c r="AG484" s="52"/>
    </x:row>
    <x:row r="485" ht="42" customHeight="1">
      <x:c r="A485" s="14" t="str">
        <x:v>WOK-SYS-170</x:v>
      </x:c>
      <x:c r="B485" s="14" t="str">
        <x:v>SDG+ – Medienvielfalt</x:v>
      </x:c>
      <x:c r="C485" s="14" t="str">
        <x:v>—</x:v>
      </x:c>
      <x:c r="D485" s="14" t="str">
        <x:v>Brand Safety</x:v>
      </x:c>
      <x:c r="E485" s="14" t="str">
        <x:v>Brand Safety – Index</x:v>
      </x:c>
      <x:c r="F485" s="14" t="str">
        <x:v>umsatzgewichteter Index (z. B. Demokratie/Rule of Law)</x:v>
      </x:c>
      <x:c r="G485" s="14" t="str">
        <x:v>0–1</x:v>
      </x:c>
      <x:c r="H485" s="14" t="str">
        <x:v>higher_is_better</x:v>
      </x:c>
      <x:c r="I485" s="14" t="str">
        <x:v>R15</x:v>
      </x:c>
      <x:c r="J485" s="14" t="str">
        <x:v>≥0,8:+3; 0,7–0,79:+2; 0,6–0,69:0; 0,5–0,59:‑2; &lt;0,5:‑3</x:v>
      </x:c>
      <x:c r="K485" s="14" t="str">
        <x:v>Feste WÖk-Kalibrierung</x:v>
      </x:c>
      <x:c r="L485" s="14" t="str">
        <x:v>Arbeitskalibrierung – fachlich zu validieren</x:v>
      </x:c>
      <x:c r="M485" s="14" t="str">
        <x:v>WÖk-interne Klassenlogik</x:v>
      </x:c>
      <x:c r="N485" s="14" t="str">
        <x:v>Optional/Nein</x:v>
      </x:c>
      <x:c r="O485" s="14" t="str">
        <x:v>SROI/SDG17</x:v>
      </x:c>
      <x:c r="P485" s="14" t="str">
        <x:v>SDG 16/17, WJP, V‑Dem</x:v>
      </x:c>
      <x:c r="Q485" s="14" t="str">
        <x:v>Methodischer Platzhalter; konkrete Fach- und Primärdatenquelle erforderlich</x:v>
      </x:c>
      <x:c r="R485" s="14" t="str">
        <x:v>Platzhalter – fachliche Operationalisierung offen</x:v>
      </x:c>
      <x:c r="S485" s="14" t="str">
        <x:v>INT-WOEK-TSROI; SVI-SROI; UN-SDG</x:v>
      </x:c>
      <x:c r="T485" s="14" t="str">
        <x:v>J58/J60/J63 Medien/Plattformen</x:v>
      </x:c>
      <x:c r="U485" s="14" t="str">
        <x:v>Legacy / nicht explizit versioniert</x:v>
      </x:c>
      <x:c r="V485" s="51" t="str"/>
      <x:c r="W485" s="14" t="str">
        <x:v>Migration auf NACE Rev. 2.1 erforderlich</x:v>
      </x:c>
      <x:c r="X485" s="14" t="str">
        <x:v>Programm/Portfolio/Systemraum; Empfängergruppe, Region und Zeitraum explizit definieren</x:v>
      </x:c>
      <x:c r="Y485" s="14" t="str">
        <x:v>Siehe Quelle: Definition gemäß Standard (ESRS/GRI/Taxonomie/ISO).</x:v>
      </x:c>
      <x:c r="Z485" s="14" t="str">
        <x:v>Primärdaten bevorzugt; Sekundärdaten nur transparent und versioniert; Methode und Systemgrenze dokumentieren</x:v>
      </x:c>
      <x:c r="AA485" s="14" t="str">
        <x:v>Limited Assurance; risikobasiert höhere Prüftiefe</x:v>
      </x:c>
      <x:c r="AB485" s="14" t="str">
        <x:v>Fachlogik nicht abschließend operationalisiert</x:v>
      </x:c>
      <x:c r="AC485" s="14" t="str">
        <x:v>Kritisch</x:v>
      </x:c>
      <x:c r="AD485" s="14" t="str">
        <x:v>SROI/SDG 17 ist keine hinreichend konkrete Mess- oder Schwellenquelle. Vollständige fünfstufige numerische Regel.</x:v>
      </x:c>
      <x:c r="AE485" s="14" t="str">
        <x:v>v1.4</x:v>
      </x:c>
      <x:c r="AF485" s="52" t="str">
        <x:v>2026-08-16</x:v>
      </x:c>
      <x:c r="AG485" s="52"/>
    </x:row>
    <x:row r="486" ht="42" customHeight="1">
      <x:c r="A486" s="14" t="str">
        <x:v>WOK-SYS-171</x:v>
      </x:c>
      <x:c r="B486" s="14" t="str">
        <x:v>SDG+ – Medienvielfalt</x:v>
      </x:c>
      <x:c r="C486" s="14" t="str">
        <x:v>—</x:v>
      </x:c>
      <x:c r="D486" s="14" t="str">
        <x:v>Brand Safety</x:v>
      </x:c>
      <x:c r="E486" s="14" t="str">
        <x:v>Brand Safety – Exposure</x:v>
      </x:c>
      <x:c r="F486" s="14" t="str">
        <x:v>Umsatz in Hochrisikoländern</x:v>
      </x:c>
      <x:c r="G486" s="14" t="str">
        <x:v>%</x:v>
      </x:c>
      <x:c r="H486" s="14" t="str">
        <x:v>lower_is_better</x:v>
      </x:c>
      <x:c r="I486" s="14" t="str">
        <x:v>R13</x:v>
      </x:c>
      <x:c r="J486" s="14" t="str">
        <x:v>≤5:+3; 6–10:+2; 11–20:0; 21–30:‑2; &gt;30:‑3</x:v>
      </x:c>
      <x:c r="K486" s="14" t="str">
        <x:v>Feste WÖk-Kalibrierung</x:v>
      </x:c>
      <x:c r="L486" s="14" t="str">
        <x:v>Arbeitskalibrierung – fachlich zu validieren</x:v>
      </x:c>
      <x:c r="M486" s="14" t="str">
        <x:v>WÖk-interne Klassenlogik</x:v>
      </x:c>
      <x:c r="N486" s="14" t="str">
        <x:v>Optional/Nein</x:v>
      </x:c>
      <x:c r="O486" s="14" t="str">
        <x:v>SROI/SDG17</x:v>
      </x:c>
      <x:c r="P486" s="14" t="str">
        <x:v>SROI/SDG17</x:v>
      </x:c>
      <x:c r="Q486" s="14" t="str">
        <x:v>Methodischer Platzhalter; konkrete Fach- und Primärdatenquelle erforderlich</x:v>
      </x:c>
      <x:c r="R486" s="14" t="str">
        <x:v>Platzhalter – fachliche Operationalisierung offen</x:v>
      </x:c>
      <x:c r="S486" s="14" t="str">
        <x:v>INT-WOEK-TSROI; SVI-SROI; UN-SDG</x:v>
      </x:c>
      <x:c r="T486" s="14" t="str">
        <x:v>J58/J60/J63 Medien/Plattformen</x:v>
      </x:c>
      <x:c r="U486" s="14" t="str">
        <x:v>Legacy / nicht explizit versioniert</x:v>
      </x:c>
      <x:c r="V486" s="51" t="str"/>
      <x:c r="W486" s="14" t="str">
        <x:v>Migration auf NACE Rev. 2.1 erforderlich</x:v>
      </x:c>
      <x:c r="X486" s="14" t="str">
        <x:v>Programm/Portfolio/Systemraum; Empfängergruppe, Region und Zeitraum explizit definieren</x:v>
      </x:c>
      <x:c r="Y486" s="14" t="str">
        <x:v>Siehe Quelle: Definition gemäß Standard (ESRS/GRI/Taxonomie/ISO).</x:v>
      </x:c>
      <x:c r="Z486" s="14" t="str">
        <x:v>Primärdaten bevorzugt; Sekundärdaten nur transparent und versioniert; Methode und Systemgrenze dokumentieren</x:v>
      </x:c>
      <x:c r="AA486" s="14" t="str">
        <x:v>Limited Assurance; risikobasiert höhere Prüftiefe</x:v>
      </x:c>
      <x:c r="AB486" s="14" t="str">
        <x:v>Fachlogik nicht abschließend operationalisiert</x:v>
      </x:c>
      <x:c r="AC486" s="14" t="str">
        <x:v>Kritisch</x:v>
      </x:c>
      <x:c r="AD486" s="14" t="str">
        <x:v>SROI/SDG 17 ist keine hinreichend konkrete Mess- oder Schwellenquelle. Vollständige fünfstufige numerische Regel.</x:v>
      </x:c>
      <x:c r="AE486" s="14" t="str">
        <x:v>v1.4</x:v>
      </x:c>
      <x:c r="AF486" s="52" t="str">
        <x:v>2026-08-16</x:v>
      </x:c>
      <x:c r="AG486" s="52"/>
    </x:row>
    <x:row r="487" ht="42" customHeight="1">
      <x:c r="A487" s="14" t="str">
        <x:v>WOK-SYS-172</x:v>
      </x:c>
      <x:c r="B487" s="14" t="str">
        <x:v>SDG+ – Medienvielfalt</x:v>
      </x:c>
      <x:c r="C487" s="14" t="str">
        <x:v>—</x:v>
      </x:c>
      <x:c r="D487" s="14" t="str">
        <x:v>Brand Safety</x:v>
      </x:c>
      <x:c r="E487" s="14" t="str">
        <x:v>Brand Safety – Kooperationen</x:v>
      </x:c>
      <x:c r="F487" s="14" t="str">
        <x:v>aktive, evaluierte Partnerschaften/Jahr</x:v>
      </x:c>
      <x:c r="G487" s="14" t="str">
        <x:v>#/Jahr</x:v>
      </x:c>
      <x:c r="H487" s="14" t="str">
        <x:v>higher_is_better</x:v>
      </x:c>
      <x:c r="I487" s="14" t="str">
        <x:v>R20</x:v>
      </x:c>
      <x:c r="J487" s="14" t="str">
        <x:v>≥5:+3; 3–4:+2; 1–2:0; 0:‑2</x:v>
      </x:c>
      <x:c r="K487" s="14" t="str">
        <x:v>Feste WÖk-Grobkalibrierung</x:v>
      </x:c>
      <x:c r="L487" s="14" t="str">
        <x:v>Klasse −3 nur für negative/unzulässige Werte ergänzt</x:v>
      </x:c>
      <x:c r="M487" s="14" t="str">
        <x:v>WÖk-interne Grobkalibrierung</x:v>
      </x:c>
      <x:c r="N487" s="14" t="str">
        <x:v>Optional/Nein</x:v>
      </x:c>
      <x:c r="O487" s="14" t="str">
        <x:v>SROI/SDG17</x:v>
      </x:c>
      <x:c r="P487" s="14" t="str">
        <x:v>SDG 16/17, WJP, V‑Dem</x:v>
      </x:c>
      <x:c r="Q487" s="14" t="str">
        <x:v>Methodischer Platzhalter; konkrete Fach- und Primärdatenquelle erforderlich</x:v>
      </x:c>
      <x:c r="R487" s="14" t="str">
        <x:v>Platzhalter – fachliche Operationalisierung offen</x:v>
      </x:c>
      <x:c r="S487" s="14" t="str">
        <x:v>INT-WOEK-TSROI; SVI-SROI; UN-SDG</x:v>
      </x:c>
      <x:c r="T487" s="14" t="str">
        <x:v>J58/J60/J63 Medien/Plattformen</x:v>
      </x:c>
      <x:c r="U487" s="14" t="str">
        <x:v>Legacy / nicht explizit versioniert</x:v>
      </x:c>
      <x:c r="V487" s="51" t="str"/>
      <x:c r="W487" s="14" t="str">
        <x:v>Migration auf NACE Rev. 2.1 erforderlich</x:v>
      </x:c>
      <x:c r="X487" s="14" t="str">
        <x:v>Programm/Portfolio/Systemraum; Empfängergruppe, Region und Zeitraum explizit definieren</x:v>
      </x:c>
      <x:c r="Y487" s="14" t="str">
        <x:v>Siehe Quelle: Definition gemäß Standard (ESRS/GRI/Taxonomie/ISO).</x:v>
      </x:c>
      <x:c r="Z487" s="14" t="str">
        <x:v>Primärdaten bevorzugt; Sekundärdaten nur transparent und versioniert; Methode und Systemgrenze dokumentieren</x:v>
      </x:c>
      <x:c r="AA487" s="14" t="str">
        <x:v>Limited Assurance; risikobasiert höhere Prüftiefe</x:v>
      </x:c>
      <x:c r="AB487" s="14" t="str">
        <x:v>Fachlogik nicht abschließend operationalisiert</x:v>
      </x:c>
      <x:c r="AC487" s="14" t="str">
        <x:v>Kritisch</x:v>
      </x:c>
      <x:c r="AD487" s="14" t="str">
        <x:v>SROI/SDG 17 ist keine hinreichend konkrete Mess- oder Schwellenquelle. Für sachlogisch nichtnegative Zählwerte ist 0 die schlechteste reguläre Klasse (−2).</x:v>
      </x:c>
      <x:c r="AE487" s="14" t="str">
        <x:v>v1.4</x:v>
      </x:c>
      <x:c r="AF487" s="52" t="str">
        <x:v>2026-08-16</x:v>
      </x:c>
      <x:c r="AG487" s="52"/>
    </x:row>
    <x:row r="488" ht="42" customHeight="1">
      <x:c r="A488" s="14" t="str">
        <x:v>WOK-G-200</x:v>
      </x:c>
      <x:c r="B488" s="14" t="str">
        <x:v>SDG+ – Medienvielfalt</x:v>
      </x:c>
      <x:c r="C488" s="14" t="str">
        <x:v>—</x:v>
      </x:c>
      <x:c r="D488" s="14" t="str">
        <x:v>Unabhängigkeit Redaktion/Boards</x:v>
      </x:c>
      <x:c r="E488" s="14" t="str">
        <x:v>Unabhängigkeit Redaktion/Boards – Antikorruption</x:v>
      </x:c>
      <x:c r="F488" s="14" t="str">
        <x:v>Bestätigte Fälle/1.000 FTE</x:v>
      </x:c>
      <x:c r="G488" s="14" t="str">
        <x:v>Fälle/1.000 FTE</x:v>
      </x:c>
      <x:c r="H488" s="14" t="str">
        <x:v>lower_is_better</x:v>
      </x:c>
      <x:c r="I488" s="14" t="str">
        <x:v>R01</x:v>
      </x:c>
      <x:c r="J488" s="14" t="str">
        <x:v>0:+3; ≤0,2:+2; ≤0,5:0; ≤1:‑2; &gt;1:‑3</x:v>
      </x:c>
      <x:c r="K488" s="14" t="str">
        <x:v>Feste WÖk-Kalibrierung</x:v>
      </x:c>
      <x:c r="L488" s="14" t="str">
        <x:v>Arbeitskalibrierung – fachlich zu validieren</x:v>
      </x:c>
      <x:c r="M488" s="14" t="str">
        <x:v>WÖk-interne Klassenlogik</x:v>
      </x:c>
      <x:c r="N488" s="14" t="str">
        <x:v>Optional/Nein</x:v>
      </x:c>
      <x:c r="O488" s="14" t="str">
        <x:v>ESRS G1; GRI 205/207</x:v>
      </x:c>
      <x:c r="P488" s="14" t="str">
        <x:v>ESRS G1, GRI 205/207, OECD Anti‑Bribery</x:v>
      </x:c>
      <x:c r="Q488" s="14" t="str">
        <x:v>Mess-, Berichts- oder Managementrahmen; Schwellen sind grundsätzlich WÖk-Kalibrierungen</x:v>
      </x:c>
      <x:c r="R488" s="14" t="str">
        <x:v>Messgrundlage belegt; Schwellenkalibrierung offen</x:v>
      </x:c>
      <x:c r="S488" s="14" t="str">
        <x:v>EU-ESRS; GRI; OECD-AB</x:v>
      </x:c>
      <x:c r="T488" s="14" t="str">
        <x:v>J58/J60/J63 Medien/Plattformen</x:v>
      </x:c>
      <x:c r="U488" s="14" t="str">
        <x:v>Legacy / nicht explizit versioniert</x:v>
      </x:c>
      <x:c r="V488" s="51" t="str"/>
      <x:c r="W488" s="14" t="str">
        <x:v>Migration auf NACE Rev. 2.1 erforderlich</x:v>
      </x:c>
      <x:c r="X488" s="14" t="str">
        <x:v>Organisation/Governance; konsolidierter Kreis und relevante Rechtseinheiten</x:v>
      </x:c>
      <x:c r="Y488" s="14" t="str">
        <x:v>Siehe Quelle: Definition gemäß Standard (ESRS/GRI/Taxonomie/ISO).</x:v>
      </x:c>
      <x:c r="Z488" s="14" t="str">
        <x:v>Primärdaten bevorzugt; Sekundärdaten nur transparent und versioniert; Methode und Systemgrenze dokumentieren</x:v>
      </x:c>
      <x:c r="AA488" s="14" t="str">
        <x:v>Limited Assurance; risikobasiert höhere Prüftiefe</x:v>
      </x:c>
      <x:c r="AB488" s="14" t="str">
        <x:v>Strukturell nutzbar; Schwellen fachlich zu validieren</x:v>
      </x:c>
      <x:c r="AC488" s="14" t="str">
        <x:v>Mittel</x:v>
      </x:c>
      <x:c r="AD488" s="14" t="str">
        <x:v>Vollständige fünfstufige numerische Regel.</x:v>
      </x:c>
      <x:c r="AE488" s="14" t="str">
        <x:v>v1.4</x:v>
      </x:c>
      <x:c r="AF488" s="52" t="str">
        <x:v>2026-08-16</x:v>
      </x:c>
      <x:c r="AG488" s="52"/>
    </x:row>
    <x:row r="489" ht="42" customHeight="1">
      <x:c r="A489" s="14" t="str">
        <x:v>WOK-G-201</x:v>
      </x:c>
      <x:c r="B489" s="14" t="str">
        <x:v>SDG+ – Medienvielfalt</x:v>
      </x:c>
      <x:c r="C489" s="14" t="str">
        <x:v>—</x:v>
      </x:c>
      <x:c r="D489" s="14" t="str">
        <x:v>Unabhängigkeit Redaktion/Boards</x:v>
      </x:c>
      <x:c r="E489" s="14" t="str">
        <x:v>Unabhängigkeit Redaktion/Boards – Whistleblowing</x:v>
      </x:c>
      <x:c r="F489" s="14" t="str">
        <x:v>Wirksamkeits‑Score</x:v>
      </x:c>
      <x:c r="G489" s="14" t="str">
        <x:v>0–1</x:v>
      </x:c>
      <x:c r="H489" s="14" t="str">
        <x:v>higher_is_better</x:v>
      </x:c>
      <x:c r="I489" s="14" t="str">
        <x:v>R16</x:v>
      </x:c>
      <x:c r="J489" s="14" t="str">
        <x:v>≥0,9:+3; 0,75–0,89:+2; 0,6–0,74:0; 0,4–0,59:‑2; &lt;0,4:‑3</x:v>
      </x:c>
      <x:c r="K489" s="14" t="str">
        <x:v>Feste WÖk-Kalibrierung</x:v>
      </x:c>
      <x:c r="L489" s="14" t="str">
        <x:v>Arbeitskalibrierung – fachlich zu validieren</x:v>
      </x:c>
      <x:c r="M489" s="14" t="str">
        <x:v>WÖk-interne Klassenlogik</x:v>
      </x:c>
      <x:c r="N489" s="14" t="str">
        <x:v>Optional/Nein</x:v>
      </x:c>
      <x:c r="O489" s="14" t="str">
        <x:v>ESRS G1; GRI 205/207</x:v>
      </x:c>
      <x:c r="P489" s="14" t="str">
        <x:v>ESRS G1, GRI 205/207, OECD Anti‑Bribery</x:v>
      </x:c>
      <x:c r="Q489" s="14" t="str">
        <x:v>Mess-, Berichts- oder Managementrahmen; Schwellen sind grundsätzlich WÖk-Kalibrierungen</x:v>
      </x:c>
      <x:c r="R489" s="14" t="str">
        <x:v>Messgrundlage belegt; Schwellenkalibrierung offen</x:v>
      </x:c>
      <x:c r="S489" s="14" t="str">
        <x:v>EU-ESRS; GRI; OECD-AB</x:v>
      </x:c>
      <x:c r="T489" s="14" t="str">
        <x:v>J58/J60/J63 Medien/Plattformen</x:v>
      </x:c>
      <x:c r="U489" s="14" t="str">
        <x:v>Legacy / nicht explizit versioniert</x:v>
      </x:c>
      <x:c r="V489" s="51" t="str"/>
      <x:c r="W489" s="14" t="str">
        <x:v>Migration auf NACE Rev. 2.1 erforderlich</x:v>
      </x:c>
      <x:c r="X489" s="14" t="str">
        <x:v>Organisation/Governance; konsolidierter Kreis und relevante Rechtseinheiten</x:v>
      </x:c>
      <x:c r="Y489" s="14" t="str">
        <x:v>Siehe Quelle: Definition gemäß Standard (ESRS/GRI/Taxonomie/ISO).</x:v>
      </x:c>
      <x:c r="Z489" s="14" t="str">
        <x:v>Primärdaten bevorzugt; Sekundärdaten nur transparent und versioniert; Methode und Systemgrenze dokumentieren</x:v>
      </x:c>
      <x:c r="AA489" s="14" t="str">
        <x:v>Limited Assurance; risikobasiert höhere Prüftiefe</x:v>
      </x:c>
      <x:c r="AB489" s="14" t="str">
        <x:v>Strukturell nutzbar; Schwellen fachlich zu validieren</x:v>
      </x:c>
      <x:c r="AC489" s="14" t="str">
        <x:v>Mittel</x:v>
      </x:c>
      <x:c r="AD489" s="14" t="str">
        <x:v>Vollständige fünfstufige numerische Regel.</x:v>
      </x:c>
      <x:c r="AE489" s="14" t="str">
        <x:v>v1.4</x:v>
      </x:c>
      <x:c r="AF489" s="52" t="str">
        <x:v>2026-08-16</x:v>
      </x:c>
      <x:c r="AG489" s="52"/>
    </x:row>
    <x:row r="490" ht="42" customHeight="1">
      <x:c r="A490" s="14" t="str">
        <x:v>WOK-G-202</x:v>
      </x:c>
      <x:c r="B490" s="14" t="str">
        <x:v>SDG+ – Medienvielfalt</x:v>
      </x:c>
      <x:c r="C490" s="14" t="str">
        <x:v>—</x:v>
      </x:c>
      <x:c r="D490" s="14" t="str">
        <x:v>Unabhängigkeit Redaktion/Boards</x:v>
      </x:c>
      <x:c r="E490" s="14" t="str">
        <x:v>Unabhängigkeit Redaktion/Boards – Steuertransparenz</x:v>
      </x:c>
      <x:c r="F490" s="14" t="str">
        <x:v>CbCR‑Offenlegung</x:v>
      </x:c>
      <x:c r="G490" s="14" t="str">
        <x:v>0–1</x:v>
      </x:c>
      <x:c r="H490" s="14" t="str">
        <x:v>higher_is_better</x:v>
      </x:c>
      <x:c r="I490" s="14" t="str">
        <x:v>R08</x:v>
      </x:c>
      <x:c r="J490" s="14" t="str">
        <x:v>vollständig:+3; teilweise:+2; minimal:0; schlecht:‑2</x:v>
      </x:c>
      <x:c r="K490" s="14" t="str">
        <x:v>Qualitativ</x:v>
      </x:c>
      <x:c r="L490" s="14" t="str">
        <x:v>Assurance und Kriterienkatalog erforderlich</x:v>
      </x:c>
      <x:c r="M490" s="14" t="str">
        <x:v>WÖk-interne Kategorien</x:v>
      </x:c>
      <x:c r="N490" s="14" t="str">
        <x:v>Optional/Nein</x:v>
      </x:c>
      <x:c r="O490" s="14" t="str">
        <x:v>ESRS G1; GRI 205/207</x:v>
      </x:c>
      <x:c r="P490" s="14" t="str">
        <x:v>ESRS G1, GRI 205/207, OECD Anti‑Bribery</x:v>
      </x:c>
      <x:c r="Q490" s="14" t="str">
        <x:v>Mess-, Berichts- oder Managementrahmen; Schwellen sind grundsätzlich WÖk-Kalibrierungen</x:v>
      </x:c>
      <x:c r="R490" s="14" t="str">
        <x:v>Messgrundlage belegt; Schwellenkalibrierung offen</x:v>
      </x:c>
      <x:c r="S490" s="14" t="str">
        <x:v>EU-ESRS; GRI; OECD-AB</x:v>
      </x:c>
      <x:c r="T490" s="14" t="str">
        <x:v>J58/J60/J63 Medien/Plattformen</x:v>
      </x:c>
      <x:c r="U490" s="14" t="str">
        <x:v>Legacy / nicht explizit versioniert</x:v>
      </x:c>
      <x:c r="V490" s="51" t="str"/>
      <x:c r="W490" s="14" t="str">
        <x:v>Migration auf NACE Rev. 2.1 erforderlich</x:v>
      </x:c>
      <x:c r="X490" s="14" t="str">
        <x:v>Organisation/Governance; konsolidierter Kreis und relevante Rechtseinheiten</x:v>
      </x:c>
      <x:c r="Y490" s="14" t="str">
        <x:v>Siehe Quelle: Definition gemäß Standard (ESRS/GRI/Taxonomie/ISO).</x:v>
      </x:c>
      <x:c r="Z490" s="14" t="str">
        <x:v>Dokumentierter Kriterienkatalog; nachvollziehbare Evidenz; DQR A/B bevorzugt</x:v>
      </x:c>
      <x:c r="AA490" s="14" t="str">
        <x:v>Unabhängige Fachprüfung/Limited Assurance; bei roten Linien Reasonable Assurance</x:v>
      </x:c>
      <x:c r="AB490" s="14" t="str">
        <x:v>Prüfung/Parametrisierung erforderlich</x:v>
      </x:c>
      <x:c r="AC490" s="14" t="str">
        <x:v>Hoch</x:v>
      </x:c>
      <x:c r="AD490" s="14" t="str">
        <x:v>Die Kategorie −3 fehlt; Vollständigkeit und Wirksamkeit sind feldspezifisch zu definieren.</x:v>
      </x:c>
      <x:c r="AE490" s="14" t="str">
        <x:v>v1.4</x:v>
      </x:c>
      <x:c r="AF490" s="52" t="str">
        <x:v>2026-08-16</x:v>
      </x:c>
      <x:c r="AG490" s="52"/>
    </x:row>
    <x:row r="491" ht="42" customHeight="1">
      <x:c r="A491" s="14" t="str">
        <x:v>WOK-SYS-173</x:v>
      </x:c>
      <x:c r="B491" s="14" t="str">
        <x:v>SDG+ – Medienvielfalt</x:v>
      </x:c>
      <x:c r="C491" s="14" t="str">
        <x:v>—</x:v>
      </x:c>
      <x:c r="D491" s="14" t="str">
        <x:v>Faktenchecks/Transparenz</x:v>
      </x:c>
      <x:c r="E491" s="14" t="str">
        <x:v>Faktenchecks/Transparenz – Index</x:v>
      </x:c>
      <x:c r="F491" s="14" t="str">
        <x:v>umsatzgewichteter Index (z. B. Demokratie/Rule of Law)</x:v>
      </x:c>
      <x:c r="G491" s="14" t="str">
        <x:v>0–1</x:v>
      </x:c>
      <x:c r="H491" s="14" t="str">
        <x:v>higher_is_better</x:v>
      </x:c>
      <x:c r="I491" s="14" t="str">
        <x:v>R15</x:v>
      </x:c>
      <x:c r="J491" s="14" t="str">
        <x:v>≥0,8:+3; 0,7–0,79:+2; 0,6–0,69:0; 0,5–0,59:‑2; &lt;0,5:‑3</x:v>
      </x:c>
      <x:c r="K491" s="14" t="str">
        <x:v>Feste WÖk-Kalibrierung</x:v>
      </x:c>
      <x:c r="L491" s="14" t="str">
        <x:v>Arbeitskalibrierung – fachlich zu validieren</x:v>
      </x:c>
      <x:c r="M491" s="14" t="str">
        <x:v>WÖk-interne Klassenlogik</x:v>
      </x:c>
      <x:c r="N491" s="14" t="str">
        <x:v>Optional/Nein</x:v>
      </x:c>
      <x:c r="O491" s="14" t="str">
        <x:v>SROI/SDG17</x:v>
      </x:c>
      <x:c r="P491" s="14" t="str">
        <x:v>SDG 16/17, WJP, V‑Dem</x:v>
      </x:c>
      <x:c r="Q491" s="14" t="str">
        <x:v>Methodischer Platzhalter; konkrete Fach- und Primärdatenquelle erforderlich</x:v>
      </x:c>
      <x:c r="R491" s="14" t="str">
        <x:v>Platzhalter – fachliche Operationalisierung offen</x:v>
      </x:c>
      <x:c r="S491" s="14" t="str">
        <x:v>INT-WOEK-TSROI; SVI-SROI; UN-SDG</x:v>
      </x:c>
      <x:c r="T491" s="14" t="str">
        <x:v>J58/J60/J63 Medien/Plattformen</x:v>
      </x:c>
      <x:c r="U491" s="14" t="str">
        <x:v>Legacy / nicht explizit versioniert</x:v>
      </x:c>
      <x:c r="V491" s="51" t="str"/>
      <x:c r="W491" s="14" t="str">
        <x:v>Migration auf NACE Rev. 2.1 erforderlich</x:v>
      </x:c>
      <x:c r="X491" s="14" t="str">
        <x:v>Programm/Portfolio/Systemraum; Empfängergruppe, Region und Zeitraum explizit definieren</x:v>
      </x:c>
      <x:c r="Y491" s="14" t="str">
        <x:v>Siehe Quelle: Definition gemäß Standard (ESRS/GRI/Taxonomie/ISO).</x:v>
      </x:c>
      <x:c r="Z491" s="14" t="str">
        <x:v>Primärdaten bevorzugt; Sekundärdaten nur transparent und versioniert; Methode und Systemgrenze dokumentieren</x:v>
      </x:c>
      <x:c r="AA491" s="14" t="str">
        <x:v>Limited Assurance; risikobasiert höhere Prüftiefe</x:v>
      </x:c>
      <x:c r="AB491" s="14" t="str">
        <x:v>Fachlogik nicht abschließend operationalisiert</x:v>
      </x:c>
      <x:c r="AC491" s="14" t="str">
        <x:v>Kritisch</x:v>
      </x:c>
      <x:c r="AD491" s="14" t="str">
        <x:v>SROI/SDG 17 ist keine hinreichend konkrete Mess- oder Schwellenquelle. Vollständige fünfstufige numerische Regel.</x:v>
      </x:c>
      <x:c r="AE491" s="14" t="str">
        <x:v>v1.4</x:v>
      </x:c>
      <x:c r="AF491" s="52" t="str">
        <x:v>2026-08-16</x:v>
      </x:c>
      <x:c r="AG491" s="52"/>
    </x:row>
    <x:row r="492" ht="42" customHeight="1">
      <x:c r="A492" s="14" t="str">
        <x:v>WOK-SYS-174</x:v>
      </x:c>
      <x:c r="B492" s="14" t="str">
        <x:v>SDG+ – Medienvielfalt</x:v>
      </x:c>
      <x:c r="C492" s="14" t="str">
        <x:v>—</x:v>
      </x:c>
      <x:c r="D492" s="14" t="str">
        <x:v>Faktenchecks/Transparenz</x:v>
      </x:c>
      <x:c r="E492" s="14" t="str">
        <x:v>Faktenchecks/Transparenz – Exposure</x:v>
      </x:c>
      <x:c r="F492" s="14" t="str">
        <x:v>Umsatz in Hochrisikoländern</x:v>
      </x:c>
      <x:c r="G492" s="14" t="str">
        <x:v>%</x:v>
      </x:c>
      <x:c r="H492" s="14" t="str">
        <x:v>lower_is_better</x:v>
      </x:c>
      <x:c r="I492" s="14" t="str">
        <x:v>R13</x:v>
      </x:c>
      <x:c r="J492" s="14" t="str">
        <x:v>≤5:+3; 6–10:+2; 11–20:0; 21–30:‑2; &gt;30:‑3</x:v>
      </x:c>
      <x:c r="K492" s="14" t="str">
        <x:v>Feste WÖk-Kalibrierung</x:v>
      </x:c>
      <x:c r="L492" s="14" t="str">
        <x:v>Arbeitskalibrierung – fachlich zu validieren</x:v>
      </x:c>
      <x:c r="M492" s="14" t="str">
        <x:v>WÖk-interne Klassenlogik</x:v>
      </x:c>
      <x:c r="N492" s="14" t="str">
        <x:v>Optional/Nein</x:v>
      </x:c>
      <x:c r="O492" s="14" t="str">
        <x:v>SROI/SDG17</x:v>
      </x:c>
      <x:c r="P492" s="14" t="str">
        <x:v>SDG 16/17, WJP, V‑Dem</x:v>
      </x:c>
      <x:c r="Q492" s="14" t="str">
        <x:v>Methodischer Platzhalter; konkrete Fach- und Primärdatenquelle erforderlich</x:v>
      </x:c>
      <x:c r="R492" s="14" t="str">
        <x:v>Platzhalter – fachliche Operationalisierung offen</x:v>
      </x:c>
      <x:c r="S492" s="14" t="str">
        <x:v>INT-WOEK-TSROI; SVI-SROI; UN-SDG</x:v>
      </x:c>
      <x:c r="T492" s="14" t="str">
        <x:v>J58/J60/J63 Medien/Plattformen</x:v>
      </x:c>
      <x:c r="U492" s="14" t="str">
        <x:v>Legacy / nicht explizit versioniert</x:v>
      </x:c>
      <x:c r="V492" s="51" t="str"/>
      <x:c r="W492" s="14" t="str">
        <x:v>Migration auf NACE Rev. 2.1 erforderlich</x:v>
      </x:c>
      <x:c r="X492" s="14" t="str">
        <x:v>Programm/Portfolio/Systemraum; Empfängergruppe, Region und Zeitraum explizit definieren</x:v>
      </x:c>
      <x:c r="Y492" s="14" t="str">
        <x:v>Siehe Quelle: Definition gemäß Standard (ESRS/GRI/Taxonomie/ISO).</x:v>
      </x:c>
      <x:c r="Z492" s="14" t="str">
        <x:v>Primärdaten bevorzugt; Sekundärdaten nur transparent und versioniert; Methode und Systemgrenze dokumentieren</x:v>
      </x:c>
      <x:c r="AA492" s="14" t="str">
        <x:v>Limited Assurance; risikobasiert höhere Prüftiefe</x:v>
      </x:c>
      <x:c r="AB492" s="14" t="str">
        <x:v>Fachlogik nicht abschließend operationalisiert</x:v>
      </x:c>
      <x:c r="AC492" s="14" t="str">
        <x:v>Kritisch</x:v>
      </x:c>
      <x:c r="AD492" s="14" t="str">
        <x:v>SROI/SDG 17 ist keine hinreichend konkrete Mess- oder Schwellenquelle. Vollständige fünfstufige numerische Regel.</x:v>
      </x:c>
      <x:c r="AE492" s="14" t="str">
        <x:v>v1.4</x:v>
      </x:c>
      <x:c r="AF492" s="52" t="str">
        <x:v>2026-08-16</x:v>
      </x:c>
      <x:c r="AG492" s="52"/>
    </x:row>
    <x:row r="493" ht="42" customHeight="1">
      <x:c r="A493" s="14" t="str">
        <x:v>WOK-SYS-175</x:v>
      </x:c>
      <x:c r="B493" s="14" t="str">
        <x:v>SDG+ – Medienvielfalt</x:v>
      </x:c>
      <x:c r="C493" s="14" t="str">
        <x:v>—</x:v>
      </x:c>
      <x:c r="D493" s="14" t="str">
        <x:v>Faktenchecks/Transparenz</x:v>
      </x:c>
      <x:c r="E493" s="14" t="str">
        <x:v>Faktenchecks/Transparenz – Kooperationen</x:v>
      </x:c>
      <x:c r="F493" s="14" t="str">
        <x:v>aktive, evaluierte Partnerschaften/Jahr</x:v>
      </x:c>
      <x:c r="G493" s="14" t="str">
        <x:v>#/Jahr</x:v>
      </x:c>
      <x:c r="H493" s="14" t="str">
        <x:v>higher_is_better</x:v>
      </x:c>
      <x:c r="I493" s="14" t="str">
        <x:v>R20</x:v>
      </x:c>
      <x:c r="J493" s="14" t="str">
        <x:v>≥5:+3; 3–4:+2; 1–2:0; 0:‑2</x:v>
      </x:c>
      <x:c r="K493" s="14" t="str">
        <x:v>Feste WÖk-Grobkalibrierung</x:v>
      </x:c>
      <x:c r="L493" s="14" t="str">
        <x:v>Klasse −3 nur für negative/unzulässige Werte ergänzt</x:v>
      </x:c>
      <x:c r="M493" s="14" t="str">
        <x:v>WÖk-interne Grobkalibrierung</x:v>
      </x:c>
      <x:c r="N493" s="14" t="str">
        <x:v>Optional/Nein</x:v>
      </x:c>
      <x:c r="O493" s="14" t="str">
        <x:v>SROI/SDG17</x:v>
      </x:c>
      <x:c r="P493" s="14" t="str">
        <x:v>SDG 16/17, WJP, V‑Dem</x:v>
      </x:c>
      <x:c r="Q493" s="14" t="str">
        <x:v>Methodischer Platzhalter; konkrete Fach- und Primärdatenquelle erforderlich</x:v>
      </x:c>
      <x:c r="R493" s="14" t="str">
        <x:v>Platzhalter – fachliche Operationalisierung offen</x:v>
      </x:c>
      <x:c r="S493" s="14" t="str">
        <x:v>INT-WOEK-TSROI; SVI-SROI; UN-SDG</x:v>
      </x:c>
      <x:c r="T493" s="14" t="str">
        <x:v>J58/J60/J63 Medien/Plattformen</x:v>
      </x:c>
      <x:c r="U493" s="14" t="str">
        <x:v>Legacy / nicht explizit versioniert</x:v>
      </x:c>
      <x:c r="V493" s="51" t="str"/>
      <x:c r="W493" s="14" t="str">
        <x:v>Migration auf NACE Rev. 2.1 erforderlich</x:v>
      </x:c>
      <x:c r="X493" s="14" t="str">
        <x:v>Programm/Portfolio/Systemraum; Empfängergruppe, Region und Zeitraum explizit definieren</x:v>
      </x:c>
      <x:c r="Y493" s="14" t="str">
        <x:v>Siehe Quelle: Definition gemäß Standard (ESRS/GRI/Taxonomie/ISO).</x:v>
      </x:c>
      <x:c r="Z493" s="14" t="str">
        <x:v>Primärdaten bevorzugt; Sekundärdaten nur transparent und versioniert; Methode und Systemgrenze dokumentieren</x:v>
      </x:c>
      <x:c r="AA493" s="14" t="str">
        <x:v>Limited Assurance; risikobasiert höhere Prüftiefe</x:v>
      </x:c>
      <x:c r="AB493" s="14" t="str">
        <x:v>Fachlogik nicht abschließend operationalisiert</x:v>
      </x:c>
      <x:c r="AC493" s="14" t="str">
        <x:v>Kritisch</x:v>
      </x:c>
      <x:c r="AD493" s="14" t="str">
        <x:v>SROI/SDG 17 ist keine hinreichend konkrete Mess- oder Schwellenquelle. Für sachlogisch nichtnegative Zählwerte ist 0 die schlechteste reguläre Klasse (−2).</x:v>
      </x:c>
      <x:c r="AE493" s="14" t="str">
        <x:v>v1.4</x:v>
      </x:c>
      <x:c r="AF493" s="52" t="str">
        <x:v>2026-08-16</x:v>
      </x:c>
      <x:c r="AG493" s="52"/>
    </x:row>
    <x:row r="494" ht="42" customHeight="1">
      <x:c r="A494" s="14" t="str">
        <x:v>WOK-G-203</x:v>
      </x:c>
      <x:c r="B494" s="14" t="str">
        <x:v>SDG+ – Medienvielfalt</x:v>
      </x:c>
      <x:c r="C494" s="14" t="str">
        <x:v>—</x:v>
      </x:c>
      <x:c r="D494" s="14" t="str">
        <x:v>Werberegulierung/DSA</x:v>
      </x:c>
      <x:c r="E494" s="14" t="str">
        <x:v>Werberegulierung/DSA – Antikorruption</x:v>
      </x:c>
      <x:c r="F494" s="14" t="str">
        <x:v>Bestätigte Fälle/1.000 FTE</x:v>
      </x:c>
      <x:c r="G494" s="14" t="str">
        <x:v>Fälle/1.000 FTE</x:v>
      </x:c>
      <x:c r="H494" s="14" t="str">
        <x:v>lower_is_better</x:v>
      </x:c>
      <x:c r="I494" s="14" t="str">
        <x:v>R01</x:v>
      </x:c>
      <x:c r="J494" s="14" t="str">
        <x:v>0:+3; ≤0,2:+2; ≤0,5:0; ≤1:‑2; &gt;1:‑3</x:v>
      </x:c>
      <x:c r="K494" s="14" t="str">
        <x:v>Feste WÖk-Kalibrierung</x:v>
      </x:c>
      <x:c r="L494" s="14" t="str">
        <x:v>Arbeitskalibrierung – fachlich zu validieren</x:v>
      </x:c>
      <x:c r="M494" s="14" t="str">
        <x:v>WÖk-interne Klassenlogik</x:v>
      </x:c>
      <x:c r="N494" s="14" t="str">
        <x:v>Optional/Nein</x:v>
      </x:c>
      <x:c r="O494" s="14" t="str">
        <x:v>ESRS G1; GRI 205/207</x:v>
      </x:c>
      <x:c r="P494" s="14" t="str">
        <x:v>ESRS G1, GRI 205/207, OECD Anti‑Bribery</x:v>
      </x:c>
      <x:c r="Q494" s="14" t="str">
        <x:v>Mess-, Berichts- oder Managementrahmen; Schwellen sind grundsätzlich WÖk-Kalibrierungen</x:v>
      </x:c>
      <x:c r="R494" s="14" t="str">
        <x:v>Messgrundlage belegt; Schwellenkalibrierung offen</x:v>
      </x:c>
      <x:c r="S494" s="14" t="str">
        <x:v>EU-ESRS; GRI; OECD-AB</x:v>
      </x:c>
      <x:c r="T494" s="14" t="str">
        <x:v>J58/J60/J63 Medien/Plattformen</x:v>
      </x:c>
      <x:c r="U494" s="14" t="str">
        <x:v>Legacy / nicht explizit versioniert</x:v>
      </x:c>
      <x:c r="V494" s="51" t="str"/>
      <x:c r="W494" s="14" t="str">
        <x:v>Migration auf NACE Rev. 2.1 erforderlich</x:v>
      </x:c>
      <x:c r="X494" s="14" t="str">
        <x:v>Organisation/Governance; konsolidierter Kreis und relevante Rechtseinheiten</x:v>
      </x:c>
      <x:c r="Y494" s="14" t="str">
        <x:v>Siehe Quelle: Definition gemäß Standard (ESRS/GRI/Taxonomie/ISO).</x:v>
      </x:c>
      <x:c r="Z494" s="14" t="str">
        <x:v>Primärdaten bevorzugt; Sekundärdaten nur transparent und versioniert; Methode und Systemgrenze dokumentieren</x:v>
      </x:c>
      <x:c r="AA494" s="14" t="str">
        <x:v>Limited Assurance; risikobasiert höhere Prüftiefe</x:v>
      </x:c>
      <x:c r="AB494" s="14" t="str">
        <x:v>Strukturell nutzbar; Schwellen fachlich zu validieren</x:v>
      </x:c>
      <x:c r="AC494" s="14" t="str">
        <x:v>Mittel</x:v>
      </x:c>
      <x:c r="AD494" s="14" t="str">
        <x:v>Vollständige fünfstufige numerische Regel.</x:v>
      </x:c>
      <x:c r="AE494" s="14" t="str">
        <x:v>v1.4</x:v>
      </x:c>
      <x:c r="AF494" s="52" t="str">
        <x:v>2026-08-16</x:v>
      </x:c>
      <x:c r="AG494" s="52"/>
    </x:row>
    <x:row r="495" ht="42" customHeight="1">
      <x:c r="A495" s="14" t="str">
        <x:v>WOK-G-204</x:v>
      </x:c>
      <x:c r="B495" s="14" t="str">
        <x:v>SDG+ – Medienvielfalt</x:v>
      </x:c>
      <x:c r="C495" s="14" t="str">
        <x:v>—</x:v>
      </x:c>
      <x:c r="D495" s="14" t="str">
        <x:v>Werberegulierung/DSA</x:v>
      </x:c>
      <x:c r="E495" s="14" t="str">
        <x:v>Werberegulierung/DSA – Whistleblowing</x:v>
      </x:c>
      <x:c r="F495" s="14" t="str">
        <x:v>Wirksamkeits‑Score</x:v>
      </x:c>
      <x:c r="G495" s="14" t="str">
        <x:v>0–1</x:v>
      </x:c>
      <x:c r="H495" s="14" t="str">
        <x:v>higher_is_better</x:v>
      </x:c>
      <x:c r="I495" s="14" t="str">
        <x:v>R16</x:v>
      </x:c>
      <x:c r="J495" s="14" t="str">
        <x:v>≥0,9:+3; 0,75–0,89:+2; 0,6–0,74:0; 0,4–0,59:‑2; &lt;0,4:‑3</x:v>
      </x:c>
      <x:c r="K495" s="14" t="str">
        <x:v>Feste WÖk-Kalibrierung</x:v>
      </x:c>
      <x:c r="L495" s="14" t="str">
        <x:v>Arbeitskalibrierung – fachlich zu validieren</x:v>
      </x:c>
      <x:c r="M495" s="14" t="str">
        <x:v>WÖk-interne Klassenlogik</x:v>
      </x:c>
      <x:c r="N495" s="14" t="str">
        <x:v>Optional/Nein</x:v>
      </x:c>
      <x:c r="O495" s="14" t="str">
        <x:v>ESRS G1; GRI 205/207</x:v>
      </x:c>
      <x:c r="P495" s="14" t="str">
        <x:v>ESRS G1, GRI 205/207, OECD Anti‑Bribery</x:v>
      </x:c>
      <x:c r="Q495" s="14" t="str">
        <x:v>Mess-, Berichts- oder Managementrahmen; Schwellen sind grundsätzlich WÖk-Kalibrierungen</x:v>
      </x:c>
      <x:c r="R495" s="14" t="str">
        <x:v>Messgrundlage belegt; Schwellenkalibrierung offen</x:v>
      </x:c>
      <x:c r="S495" s="14" t="str">
        <x:v>EU-ESRS; GRI; OECD-AB</x:v>
      </x:c>
      <x:c r="T495" s="14" t="str">
        <x:v>J58/J60/J63 Medien/Plattformen</x:v>
      </x:c>
      <x:c r="U495" s="14" t="str">
        <x:v>Legacy / nicht explizit versioniert</x:v>
      </x:c>
      <x:c r="V495" s="51" t="str"/>
      <x:c r="W495" s="14" t="str">
        <x:v>Migration auf NACE Rev. 2.1 erforderlich</x:v>
      </x:c>
      <x:c r="X495" s="14" t="str">
        <x:v>Organisation/Governance; konsolidierter Kreis und relevante Rechtseinheiten</x:v>
      </x:c>
      <x:c r="Y495" s="14" t="str">
        <x:v>Siehe Quelle: Definition gemäß Standard (ESRS/GRI/Taxonomie/ISO).</x:v>
      </x:c>
      <x:c r="Z495" s="14" t="str">
        <x:v>Primärdaten bevorzugt; Sekundärdaten nur transparent und versioniert; Methode und Systemgrenze dokumentieren</x:v>
      </x:c>
      <x:c r="AA495" s="14" t="str">
        <x:v>Limited Assurance; risikobasiert höhere Prüftiefe</x:v>
      </x:c>
      <x:c r="AB495" s="14" t="str">
        <x:v>Strukturell nutzbar; Schwellen fachlich zu validieren</x:v>
      </x:c>
      <x:c r="AC495" s="14" t="str">
        <x:v>Mittel</x:v>
      </x:c>
      <x:c r="AD495" s="14" t="str">
        <x:v>Vollständige fünfstufige numerische Regel.</x:v>
      </x:c>
      <x:c r="AE495" s="14" t="str">
        <x:v>v1.4</x:v>
      </x:c>
      <x:c r="AF495" s="52" t="str">
        <x:v>2026-08-16</x:v>
      </x:c>
      <x:c r="AG495" s="52"/>
    </x:row>
    <x:row r="496" ht="42" customHeight="1">
      <x:c r="A496" s="14" t="str">
        <x:v>WOK-G-205</x:v>
      </x:c>
      <x:c r="B496" s="14" t="str">
        <x:v>SDG+ – Medienvielfalt</x:v>
      </x:c>
      <x:c r="C496" s="14" t="str">
        <x:v>—</x:v>
      </x:c>
      <x:c r="D496" s="14" t="str">
        <x:v>Werberegulierung/DSA</x:v>
      </x:c>
      <x:c r="E496" s="14" t="str">
        <x:v>Werberegulierung/DSA – Steuertransparenz</x:v>
      </x:c>
      <x:c r="F496" s="14" t="str">
        <x:v>CbCR‑Offenlegung</x:v>
      </x:c>
      <x:c r="G496" s="14" t="str">
        <x:v>0–1</x:v>
      </x:c>
      <x:c r="H496" s="14" t="str">
        <x:v>higher_is_better</x:v>
      </x:c>
      <x:c r="I496" s="14" t="str">
        <x:v>R08</x:v>
      </x:c>
      <x:c r="J496" s="14" t="str">
        <x:v>vollständig:+3; teilweise:+2; minimal:0; schlecht:‑2</x:v>
      </x:c>
      <x:c r="K496" s="14" t="str">
        <x:v>Qualitativ</x:v>
      </x:c>
      <x:c r="L496" s="14" t="str">
        <x:v>Assurance und Kriterienkatalog erforderlich</x:v>
      </x:c>
      <x:c r="M496" s="14" t="str">
        <x:v>WÖk-interne Kategorien</x:v>
      </x:c>
      <x:c r="N496" s="14" t="str">
        <x:v>Optional/Nein</x:v>
      </x:c>
      <x:c r="O496" s="14" t="str">
        <x:v>ESRS G1; GRI 205/207</x:v>
      </x:c>
      <x:c r="P496" s="14" t="str">
        <x:v>ESRS G1, GRI 205/207, OECD Anti‑Bribery</x:v>
      </x:c>
      <x:c r="Q496" s="14" t="str">
        <x:v>Mess-, Berichts- oder Managementrahmen; Schwellen sind grundsätzlich WÖk-Kalibrierungen</x:v>
      </x:c>
      <x:c r="R496" s="14" t="str">
        <x:v>Messgrundlage belegt; Schwellenkalibrierung offen</x:v>
      </x:c>
      <x:c r="S496" s="14" t="str">
        <x:v>EU-ESRS; GRI; OECD-AB</x:v>
      </x:c>
      <x:c r="T496" s="14" t="str">
        <x:v>J58/J60/J63 Medien/Plattformen</x:v>
      </x:c>
      <x:c r="U496" s="14" t="str">
        <x:v>Legacy / nicht explizit versioniert</x:v>
      </x:c>
      <x:c r="V496" s="51" t="str"/>
      <x:c r="W496" s="14" t="str">
        <x:v>Migration auf NACE Rev. 2.1 erforderlich</x:v>
      </x:c>
      <x:c r="X496" s="14" t="str">
        <x:v>Organisation/Governance; konsolidierter Kreis und relevante Rechtseinheiten</x:v>
      </x:c>
      <x:c r="Y496" s="14" t="str">
        <x:v>Siehe Quelle: Definition gemäß Standard (ESRS/GRI/Taxonomie/ISO).</x:v>
      </x:c>
      <x:c r="Z496" s="14" t="str">
        <x:v>Dokumentierter Kriterienkatalog; nachvollziehbare Evidenz; DQR A/B bevorzugt</x:v>
      </x:c>
      <x:c r="AA496" s="14" t="str">
        <x:v>Unabhängige Fachprüfung/Limited Assurance; bei roten Linien Reasonable Assurance</x:v>
      </x:c>
      <x:c r="AB496" s="14" t="str">
        <x:v>Prüfung/Parametrisierung erforderlich</x:v>
      </x:c>
      <x:c r="AC496" s="14" t="str">
        <x:v>Hoch</x:v>
      </x:c>
      <x:c r="AD496" s="14" t="str">
        <x:v>Die Kategorie −3 fehlt; Vollständigkeit und Wirksamkeit sind feldspezifisch zu definieren.</x:v>
      </x:c>
      <x:c r="AE496" s="14" t="str">
        <x:v>v1.4</x:v>
      </x:c>
      <x:c r="AF496" s="52" t="str">
        <x:v>2026-08-16</x:v>
      </x:c>
      <x:c r="AG496" s="52"/>
    </x:row>
    <x:row r="497" ht="42" customHeight="1">
      <x:c r="A497" s="14" t="str">
        <x:v>WOK-SC-149</x:v>
      </x:c>
      <x:c r="B497" s="14" t="str">
        <x:v>SDG+ – Medienvielfalt</x:v>
      </x:c>
      <x:c r="C497" s="14" t="str">
        <x:v>—</x:v>
      </x:c>
      <x:c r="D497" s="14" t="str">
        <x:v>Verantwortliche Werbelieferkette</x:v>
      </x:c>
      <x:c r="E497" s="14" t="str">
        <x:v>Verantwortliche Werbelieferkette – ESG‑Spend‑Coverage</x:v>
      </x:c>
      <x:c r="F497" s="14" t="str">
        <x:v>Anteil verifizierter ESG‑Daten am Spend</x:v>
      </x:c>
      <x:c r="G497" s="14" t="str">
        <x:v>%</x:v>
      </x:c>
      <x:c r="H497" s="14" t="str">
        <x:v>higher_is_better</x:v>
      </x:c>
      <x:c r="I497" s="14" t="str">
        <x:v>R26</x:v>
      </x:c>
      <x:c r="J497" s="14" t="str">
        <x:v>≥90:+3; 70–89:+2; 50–69:0; 30–49:‑2; &lt;30:‑3</x:v>
      </x:c>
      <x:c r="K497" s="14" t="str">
        <x:v>Feste WÖk-Kalibrierung</x:v>
      </x:c>
      <x:c r="L497" s="14" t="str">
        <x:v>Arbeitskalibrierung – fachlich zu validieren</x:v>
      </x:c>
      <x:c r="M497" s="14" t="str">
        <x:v>WÖk-interne Klassenlogik</x:v>
      </x:c>
      <x:c r="N497" s="14" t="str">
        <x:v>Optional/Nein</x:v>
      </x:c>
      <x:c r="O497" s="14" t="str">
        <x:v>ESRS S2; GRI 308/414/408/409</x:v>
      </x:c>
      <x:c r="P497" s="14" t="str">
        <x:v>ESRS S2, GRI 308/414, OECD Due Diligence</x:v>
      </x:c>
      <x:c r="Q497" s="14" t="str">
        <x:v>Mess-, Berichts- oder Managementrahmen; Schwellen sind grundsätzlich WÖk-Kalibrierungen</x:v>
      </x:c>
      <x:c r="R497" s="14" t="str">
        <x:v>Messgrundlage belegt; Schwellenkalibrierung offen</x:v>
      </x:c>
      <x:c r="S497" s="14" t="str">
        <x:v>EU-ESRS; GRI; OECD-DD; ILO-CORE</x:v>
      </x:c>
      <x:c r="T497" s="14" t="str">
        <x:v>J58/J60/J63 Medien/Plattformen</x:v>
      </x:c>
      <x:c r="U497" s="14" t="str">
        <x:v>Legacy / nicht explizit versioniert</x:v>
      </x:c>
      <x:c r="V497" s="51" t="str"/>
      <x:c r="W497" s="14" t="str">
        <x:v>Migration auf NACE Rev. 2.1 erforderlich</x:v>
      </x:c>
      <x:c r="X497" s="14" t="str">
        <x:v>Vorgelagerte Lieferkette; relevante Tier-Stufen und Beschaffungsvolumen</x:v>
      </x:c>
      <x:c r="Y497" s="14" t="str">
        <x:v>Quote = Zähler / Nenner gemäß Quelle; in %.</x:v>
      </x:c>
      <x:c r="Z497" s="14" t="str">
        <x:v>Primärdaten bevorzugt; Sekundärdaten nur transparent und versioniert; Methode und Systemgrenze dokumentieren</x:v>
      </x:c>
      <x:c r="AA497" s="14" t="str">
        <x:v>Limited Assurance; risikobasiert höhere Prüftiefe</x:v>
      </x:c>
      <x:c r="AB497" s="14" t="str">
        <x:v>Strukturell nutzbar; Schwellen fachlich zu validieren</x:v>
      </x:c>
      <x:c r="AC497" s="14" t="str">
        <x:v>Mittel</x:v>
      </x:c>
      <x:c r="AD497" s="14" t="str">
        <x:v>Vollständige fünfstufige numerische Regel.</x:v>
      </x:c>
      <x:c r="AE497" s="14" t="str">
        <x:v>v1.4</x:v>
      </x:c>
      <x:c r="AF497" s="52" t="str">
        <x:v>2026-08-16</x:v>
      </x:c>
      <x:c r="AG497" s="52"/>
    </x:row>
    <x:row r="498" ht="42" customHeight="1">
      <x:c r="A498" s="14" t="str">
        <x:v>WOK-SC-150</x:v>
      </x:c>
      <x:c r="B498" s="14" t="str">
        <x:v>SDG+ – Medienvielfalt</x:v>
      </x:c>
      <x:c r="C498" s="14" t="str">
        <x:v>—</x:v>
      </x:c>
      <x:c r="D498" s="14" t="str">
        <x:v>Verantwortliche Werbelieferkette</x:v>
      </x:c>
      <x:c r="E498" s="14" t="str">
        <x:v>Verantwortliche Werbelieferkette – Kinder/Zwangsarbeit</x:v>
      </x:c>
      <x:c r="F498" s="14" t="str">
        <x:v>Audits ohne Verstöße</x:v>
      </x:c>
      <x:c r="G498" s="14" t="str">
        <x:v>% Lieferanten</x:v>
      </x:c>
      <x:c r="H498" s="14" t="str">
        <x:v>higher_is_better</x:v>
      </x:c>
      <x:c r="I498" s="14" t="str">
        <x:v>R28</x:v>
      </x:c>
      <x:c r="J498" s="14" t="str">
        <x:v>≥98:+3; 90–97:+2; 75–89:0; 50–74:‑2; &lt;50:‑3</x:v>
      </x:c>
      <x:c r="K498" s="14" t="str">
        <x:v>Feste WÖk-Kalibrierung</x:v>
      </x:c>
      <x:c r="L498" s="14" t="str">
        <x:v>Arbeitskalibrierung – fachlich zu validieren</x:v>
      </x:c>
      <x:c r="M498" s="14" t="str">
        <x:v>WÖk-interne Klassenlogik</x:v>
      </x:c>
      <x:c r="N498" s="14" t="str">
        <x:v>Optional/Nein</x:v>
      </x:c>
      <x:c r="O498" s="14" t="str">
        <x:v>ESRS S2; GRI 308/414/408/409</x:v>
      </x:c>
      <x:c r="P498" s="14" t="str">
        <x:v>ESRS S2, GRI 308/414, OECD Due Diligence</x:v>
      </x:c>
      <x:c r="Q498" s="14" t="str">
        <x:v>Mess-, Berichts- oder Managementrahmen; Schwellen sind grundsätzlich WÖk-Kalibrierungen</x:v>
      </x:c>
      <x:c r="R498" s="14" t="str">
        <x:v>Messgrundlage belegt; Schwellenkalibrierung offen</x:v>
      </x:c>
      <x:c r="S498" s="14" t="str">
        <x:v>EU-ESRS; GRI; OECD-DD; ILO-CORE</x:v>
      </x:c>
      <x:c r="T498" s="14" t="str">
        <x:v>J58/J60/J63 Medien/Plattformen</x:v>
      </x:c>
      <x:c r="U498" s="14" t="str">
        <x:v>Legacy / nicht explizit versioniert</x:v>
      </x:c>
      <x:c r="V498" s="51" t="str"/>
      <x:c r="W498" s="14" t="str">
        <x:v>Migration auf NACE Rev. 2.1 erforderlich</x:v>
      </x:c>
      <x:c r="X498" s="14" t="str">
        <x:v>Vorgelagerte Lieferkette; relevante Tier-Stufen und Beschaffungsvolumen</x:v>
      </x:c>
      <x:c r="Y498" s="14" t="str">
        <x:v>Quote = Zähler / Nenner gemäß Quelle; in %.</x:v>
      </x:c>
      <x:c r="Z498" s="14" t="str">
        <x:v>Primärdaten bevorzugt; Sekundärdaten nur transparent und versioniert; Methode und Systemgrenze dokumentieren</x:v>
      </x:c>
      <x:c r="AA498" s="14" t="str">
        <x:v>Limited Assurance; risikobasiert höhere Prüftiefe</x:v>
      </x:c>
      <x:c r="AB498" s="14" t="str">
        <x:v>Strukturell nutzbar; Schwellen fachlich zu validieren</x:v>
      </x:c>
      <x:c r="AC498" s="14" t="str">
        <x:v>Mittel</x:v>
      </x:c>
      <x:c r="AD498" s="14" t="str">
        <x:v>Vollständige fünfstufige numerische Regel.</x:v>
      </x:c>
      <x:c r="AE498" s="14" t="str">
        <x:v>v1.4</x:v>
      </x:c>
      <x:c r="AF498" s="52" t="str">
        <x:v>2026-08-16</x:v>
      </x:c>
      <x:c r="AG498" s="52"/>
    </x:row>
    <x:row r="499" ht="42" customHeight="1">
      <x:c r="A499" s="14" t="str">
        <x:v>WOK-SC-151</x:v>
      </x:c>
      <x:c r="B499" s="14" t="str">
        <x:v>SDG+ – Medienvielfalt</x:v>
      </x:c>
      <x:c r="C499" s="14" t="str">
        <x:v>—</x:v>
      </x:c>
      <x:c r="D499" s="14" t="str">
        <x:v>Verantwortliche Werbelieferkette</x:v>
      </x:c>
      <x:c r="E499" s="14" t="str">
        <x:v>Verantwortliche Werbelieferkette – Scope‑3 Daten</x:v>
      </x:c>
      <x:c r="F499" s="14" t="str">
        <x:v>Primärdaten‑Abdeckung</x:v>
      </x:c>
      <x:c r="G499" s="14" t="str">
        <x:v>% Kategorien</x:v>
      </x:c>
      <x:c r="H499" s="14" t="str">
        <x:v>higher_is_better</x:v>
      </x:c>
      <x:c r="I499" s="14" t="str">
        <x:v>R23</x:v>
      </x:c>
      <x:c r="J499" s="14" t="str">
        <x:v>≥80:+3; 60–79:+2; 40–59:0; 20–39:‑2; &lt;20:‑3</x:v>
      </x:c>
      <x:c r="K499" s="14" t="str">
        <x:v>Feste WÖk-Kalibrierung</x:v>
      </x:c>
      <x:c r="L499" s="14" t="str">
        <x:v>Arbeitskalibrierung – fachlich zu validieren</x:v>
      </x:c>
      <x:c r="M499" s="14" t="str">
        <x:v>WÖk-interne Klassenlogik</x:v>
      </x:c>
      <x:c r="N499" s="14" t="str">
        <x:v>Optional/Nein</x:v>
      </x:c>
      <x:c r="O499" s="14" t="str">
        <x:v>ESRS E1; GHG Protocol</x:v>
      </x:c>
      <x:c r="P499" s="14" t="str">
        <x:v>ESRS E1, GHG Protocol (Corporate/Scope 1–3), ISO 14064/14067</x:v>
      </x:c>
      <x:c r="Q499" s="14" t="str">
        <x:v>Mess-, Berichts- oder Managementrahmen; Schwellen sind grundsätzlich WÖk-Kalibrierungen</x:v>
      </x:c>
      <x:c r="R499" s="14" t="str">
        <x:v>Messgrundlage belegt; Schwellenkalibrierung offen</x:v>
      </x:c>
      <x:c r="S499" s="14" t="str">
        <x:v>EU-ESRS; GHG-CORP; GHG-S3; GHG-PROD</x:v>
      </x:c>
      <x:c r="T499" s="14" t="str">
        <x:v>J58/J60/J63 Medien/Plattformen</x:v>
      </x:c>
      <x:c r="U499" s="14" t="str">
        <x:v>Legacy / nicht explizit versioniert</x:v>
      </x:c>
      <x:c r="V499" s="51" t="str"/>
      <x:c r="W499" s="14" t="str">
        <x:v>Migration auf NACE Rev. 2.1 erforderlich</x:v>
      </x:c>
      <x:c r="X499" s="14" t="str">
        <x:v>Vorgelagerte Lieferkette; relevante Tier-Stufen und Beschaffungsvolumen</x:v>
      </x:c>
      <x:c r="Y499" s="14" t="str">
        <x:v>Quote = Zähler / Nenner gemäß Quelle; in %.</x:v>
      </x:c>
      <x:c r="Z499" s="14" t="str">
        <x:v>Primärdaten bevorzugt; Sekundärdaten nur transparent und versioniert; Methode und Systemgrenze dokumentieren</x:v>
      </x:c>
      <x:c r="AA499" s="14" t="str">
        <x:v>Limited Assurance; risikobasiert höhere Prüftiefe</x:v>
      </x:c>
      <x:c r="AB499" s="14" t="str">
        <x:v>Strukturell nutzbar; Schwellen fachlich zu validieren</x:v>
      </x:c>
      <x:c r="AC499" s="14" t="str">
        <x:v>Mittel</x:v>
      </x:c>
      <x:c r="AD499" s="14" t="str">
        <x:v>Vollständige fünfstufige numerische Regel.</x:v>
      </x:c>
      <x:c r="AE499" s="14" t="str">
        <x:v>v1.4</x:v>
      </x:c>
      <x:c r="AF499" s="52" t="str">
        <x:v>2026-08-16</x:v>
      </x:c>
      <x:c r="AG499" s="52"/>
    </x:row>
    <x:row r="500" ht="42" customHeight="1">
      <x:c r="A500" s="14" t="str">
        <x:v>WOK-SYS-176</x:v>
      </x:c>
      <x:c r="B500" s="14" t="str">
        <x:v>SDG+ – Rechtsstaatlichkeit</x:v>
      </x:c>
      <x:c r="C500" s="14" t="str">
        <x:v>—</x:v>
      </x:c>
      <x:c r="D500" s="14" t="str">
        <x:v>Rule‑of‑Law Index</x:v>
      </x:c>
      <x:c r="E500" s="14" t="str">
        <x:v>Rule‑of‑Law Index – Index</x:v>
      </x:c>
      <x:c r="F500" s="14" t="str">
        <x:v>umsatzgewichteter Index (z. B. Demokratie/Rule of Law)</x:v>
      </x:c>
      <x:c r="G500" s="14" t="str">
        <x:v>0–1</x:v>
      </x:c>
      <x:c r="H500" s="14" t="str">
        <x:v>higher_is_better</x:v>
      </x:c>
      <x:c r="I500" s="14" t="str">
        <x:v>R15</x:v>
      </x:c>
      <x:c r="J500" s="14" t="str">
        <x:v>≥0,8:+3; 0,7–0,79:+2; 0,6–0,69:0; 0,5–0,59:‑2; &lt;0,5:‑3</x:v>
      </x:c>
      <x:c r="K500" s="14" t="str">
        <x:v>Feste WÖk-Kalibrierung</x:v>
      </x:c>
      <x:c r="L500" s="14" t="str">
        <x:v>Arbeitskalibrierung – fachlich zu validieren</x:v>
      </x:c>
      <x:c r="M500" s="14" t="str">
        <x:v>WÖk-interne Klassenlogik</x:v>
      </x:c>
      <x:c r="N500" s="14" t="str">
        <x:v>Optional/Nein</x:v>
      </x:c>
      <x:c r="O500" s="14" t="str">
        <x:v>SROI/SDG17</x:v>
      </x:c>
      <x:c r="P500" s="14" t="str">
        <x:v>SDG 16/17, WJP, V‑Dem</x:v>
      </x:c>
      <x:c r="Q500" s="14" t="str">
        <x:v>Methodischer Platzhalter; konkrete Fach- und Primärdatenquelle erforderlich</x:v>
      </x:c>
      <x:c r="R500" s="14" t="str">
        <x:v>Platzhalter – fachliche Operationalisierung offen</x:v>
      </x:c>
      <x:c r="S500" s="14" t="str">
        <x:v>INT-WOEK-TSROI; SVI-SROI; UN-SDG</x:v>
      </x:c>
      <x:c r="T500" s="14" t="str">
        <x:v>G47 Handel; K Versicherungen; M72 F&amp;E</x:v>
      </x:c>
      <x:c r="U500" s="14" t="str">
        <x:v>Legacy / nicht explizit versioniert</x:v>
      </x:c>
      <x:c r="V500" s="51" t="str"/>
      <x:c r="W500" s="14" t="str">
        <x:v>Migration auf NACE Rev. 2.1 erforderlich</x:v>
      </x:c>
      <x:c r="X500" s="14" t="str">
        <x:v>Programm/Portfolio/Systemraum; Empfängergruppe, Region und Zeitraum explizit definieren</x:v>
      </x:c>
      <x:c r="Y500" s="14" t="str">
        <x:v>Siehe Quelle: Definition gemäß Standard (ESRS/GRI/Taxonomie/ISO).</x:v>
      </x:c>
      <x:c r="Z500" s="14" t="str">
        <x:v>Primärdaten bevorzugt; Sekundärdaten nur transparent und versioniert; Methode und Systemgrenze dokumentieren</x:v>
      </x:c>
      <x:c r="AA500" s="14" t="str">
        <x:v>Limited Assurance; risikobasiert höhere Prüftiefe</x:v>
      </x:c>
      <x:c r="AB500" s="14" t="str">
        <x:v>Fachlogik nicht abschließend operationalisiert</x:v>
      </x:c>
      <x:c r="AC500" s="14" t="str">
        <x:v>Kritisch</x:v>
      </x:c>
      <x:c r="AD500" s="14" t="str">
        <x:v>SROI/SDG 17 ist keine hinreichend konkrete Mess- oder Schwellenquelle. Vollständige fünfstufige numerische Regel.</x:v>
      </x:c>
      <x:c r="AE500" s="14" t="str">
        <x:v>v1.4</x:v>
      </x:c>
      <x:c r="AF500" s="52" t="str">
        <x:v>2026-08-16</x:v>
      </x:c>
      <x:c r="AG500" s="52"/>
    </x:row>
    <x:row r="501" ht="42" customHeight="1">
      <x:c r="A501" s="14" t="str">
        <x:v>WOK-SYS-177</x:v>
      </x:c>
      <x:c r="B501" s="14" t="str">
        <x:v>SDG+ – Rechtsstaatlichkeit</x:v>
      </x:c>
      <x:c r="C501" s="14" t="str">
        <x:v>—</x:v>
      </x:c>
      <x:c r="D501" s="14" t="str">
        <x:v>Rule‑of‑Law Index</x:v>
      </x:c>
      <x:c r="E501" s="14" t="str">
        <x:v>Rule‑of‑Law Index – Exposure</x:v>
      </x:c>
      <x:c r="F501" s="14" t="str">
        <x:v>Umsatz in Hochrisikoländern</x:v>
      </x:c>
      <x:c r="G501" s="14" t="str">
        <x:v>%</x:v>
      </x:c>
      <x:c r="H501" s="14" t="str">
        <x:v>lower_is_better</x:v>
      </x:c>
      <x:c r="I501" s="14" t="str">
        <x:v>R13</x:v>
      </x:c>
      <x:c r="J501" s="14" t="str">
        <x:v>≤5:+3; 6–10:+2; 11–20:0; 21–30:‑2; &gt;30:‑3</x:v>
      </x:c>
      <x:c r="K501" s="14" t="str">
        <x:v>Feste WÖk-Kalibrierung</x:v>
      </x:c>
      <x:c r="L501" s="14" t="str">
        <x:v>Arbeitskalibrierung – fachlich zu validieren</x:v>
      </x:c>
      <x:c r="M501" s="14" t="str">
        <x:v>WÖk-interne Klassenlogik</x:v>
      </x:c>
      <x:c r="N501" s="14" t="str">
        <x:v>Optional/Nein</x:v>
      </x:c>
      <x:c r="O501" s="14" t="str">
        <x:v>SROI/SDG17</x:v>
      </x:c>
      <x:c r="P501" s="14" t="str">
        <x:v>SROI/SDG17</x:v>
      </x:c>
      <x:c r="Q501" s="14" t="str">
        <x:v>Methodischer Platzhalter; konkrete Fach- und Primärdatenquelle erforderlich</x:v>
      </x:c>
      <x:c r="R501" s="14" t="str">
        <x:v>Platzhalter – fachliche Operationalisierung offen</x:v>
      </x:c>
      <x:c r="S501" s="14" t="str">
        <x:v>INT-WOEK-TSROI; SVI-SROI; UN-SDG</x:v>
      </x:c>
      <x:c r="T501" s="14" t="str">
        <x:v>G47 Handel; K Versicherungen; M72 F&amp;E</x:v>
      </x:c>
      <x:c r="U501" s="14" t="str">
        <x:v>Legacy / nicht explizit versioniert</x:v>
      </x:c>
      <x:c r="V501" s="51" t="str"/>
      <x:c r="W501" s="14" t="str">
        <x:v>Migration auf NACE Rev. 2.1 erforderlich</x:v>
      </x:c>
      <x:c r="X501" s="14" t="str">
        <x:v>Programm/Portfolio/Systemraum; Empfängergruppe, Region und Zeitraum explizit definieren</x:v>
      </x:c>
      <x:c r="Y501" s="14" t="str">
        <x:v>Siehe Quelle: Definition gemäß Standard (ESRS/GRI/Taxonomie/ISO).</x:v>
      </x:c>
      <x:c r="Z501" s="14" t="str">
        <x:v>Primärdaten bevorzugt; Sekundärdaten nur transparent und versioniert; Methode und Systemgrenze dokumentieren</x:v>
      </x:c>
      <x:c r="AA501" s="14" t="str">
        <x:v>Limited Assurance; risikobasiert höhere Prüftiefe</x:v>
      </x:c>
      <x:c r="AB501" s="14" t="str">
        <x:v>Fachlogik nicht abschließend operationalisiert</x:v>
      </x:c>
      <x:c r="AC501" s="14" t="str">
        <x:v>Kritisch</x:v>
      </x:c>
      <x:c r="AD501" s="14" t="str">
        <x:v>SROI/SDG 17 ist keine hinreichend konkrete Mess- oder Schwellenquelle. Vollständige fünfstufige numerische Regel.</x:v>
      </x:c>
      <x:c r="AE501" s="14" t="str">
        <x:v>v1.4</x:v>
      </x:c>
      <x:c r="AF501" s="52" t="str">
        <x:v>2026-08-16</x:v>
      </x:c>
      <x:c r="AG501" s="52"/>
    </x:row>
    <x:row r="502" ht="42" customHeight="1">
      <x:c r="A502" s="14" t="str">
        <x:v>WOK-SYS-178</x:v>
      </x:c>
      <x:c r="B502" s="14" t="str">
        <x:v>SDG+ – Rechtsstaatlichkeit</x:v>
      </x:c>
      <x:c r="C502" s="14" t="str">
        <x:v>—</x:v>
      </x:c>
      <x:c r="D502" s="14" t="str">
        <x:v>Rule‑of‑Law Index</x:v>
      </x:c>
      <x:c r="E502" s="14" t="str">
        <x:v>Rule‑of‑Law Index – Kooperationen</x:v>
      </x:c>
      <x:c r="F502" s="14" t="str">
        <x:v>aktive, evaluierte Partnerschaften/Jahr</x:v>
      </x:c>
      <x:c r="G502" s="14" t="str">
        <x:v>#/Jahr</x:v>
      </x:c>
      <x:c r="H502" s="14" t="str">
        <x:v>higher_is_better</x:v>
      </x:c>
      <x:c r="I502" s="14" t="str">
        <x:v>R20</x:v>
      </x:c>
      <x:c r="J502" s="14" t="str">
        <x:v>≥5:+3; 3–4:+2; 1–2:0; 0:‑2</x:v>
      </x:c>
      <x:c r="K502" s="14" t="str">
        <x:v>Feste WÖk-Grobkalibrierung</x:v>
      </x:c>
      <x:c r="L502" s="14" t="str">
        <x:v>Klasse −3 nur für negative/unzulässige Werte ergänzt</x:v>
      </x:c>
      <x:c r="M502" s="14" t="str">
        <x:v>WÖk-interne Grobkalibrierung</x:v>
      </x:c>
      <x:c r="N502" s="14" t="str">
        <x:v>Optional/Nein</x:v>
      </x:c>
      <x:c r="O502" s="14" t="str">
        <x:v>SROI/SDG17</x:v>
      </x:c>
      <x:c r="P502" s="14" t="str">
        <x:v>SDG 16/17, WJP, V‑Dem</x:v>
      </x:c>
      <x:c r="Q502" s="14" t="str">
        <x:v>Methodischer Platzhalter; konkrete Fach- und Primärdatenquelle erforderlich</x:v>
      </x:c>
      <x:c r="R502" s="14" t="str">
        <x:v>Platzhalter – fachliche Operationalisierung offen</x:v>
      </x:c>
      <x:c r="S502" s="14" t="str">
        <x:v>INT-WOEK-TSROI; SVI-SROI; UN-SDG</x:v>
      </x:c>
      <x:c r="T502" s="14" t="str">
        <x:v>G47 Handel; K Versicherungen; M72 F&amp;E</x:v>
      </x:c>
      <x:c r="U502" s="14" t="str">
        <x:v>Legacy / nicht explizit versioniert</x:v>
      </x:c>
      <x:c r="V502" s="51" t="str"/>
      <x:c r="W502" s="14" t="str">
        <x:v>Migration auf NACE Rev. 2.1 erforderlich</x:v>
      </x:c>
      <x:c r="X502" s="14" t="str">
        <x:v>Programm/Portfolio/Systemraum; Empfängergruppe, Region und Zeitraum explizit definieren</x:v>
      </x:c>
      <x:c r="Y502" s="14" t="str">
        <x:v>Siehe Quelle: Definition gemäß Standard (ESRS/GRI/Taxonomie/ISO).</x:v>
      </x:c>
      <x:c r="Z502" s="14" t="str">
        <x:v>Primärdaten bevorzugt; Sekundärdaten nur transparent und versioniert; Methode und Systemgrenze dokumentieren</x:v>
      </x:c>
      <x:c r="AA502" s="14" t="str">
        <x:v>Limited Assurance; risikobasiert höhere Prüftiefe</x:v>
      </x:c>
      <x:c r="AB502" s="14" t="str">
        <x:v>Fachlogik nicht abschließend operationalisiert</x:v>
      </x:c>
      <x:c r="AC502" s="14" t="str">
        <x:v>Kritisch</x:v>
      </x:c>
      <x:c r="AD502" s="14" t="str">
        <x:v>SROI/SDG 17 ist keine hinreichend konkrete Mess- oder Schwellenquelle. Für sachlogisch nichtnegative Zählwerte ist 0 die schlechteste reguläre Klasse (−2).</x:v>
      </x:c>
      <x:c r="AE502" s="14" t="str">
        <x:v>v1.4</x:v>
      </x:c>
      <x:c r="AF502" s="52" t="str">
        <x:v>2026-08-16</x:v>
      </x:c>
      <x:c r="AG502" s="52"/>
    </x:row>
    <x:row r="503" ht="42" customHeight="1">
      <x:c r="A503" s="14" t="str">
        <x:v>WOK-G-206</x:v>
      </x:c>
      <x:c r="B503" s="14" t="str">
        <x:v>SDG+ – Rechtsstaatlichkeit</x:v>
      </x:c>
      <x:c r="C503" s="14" t="str">
        <x:v>—</x:v>
      </x:c>
      <x:c r="D503" s="14" t="str">
        <x:v>Compliance‑Verstöße</x:v>
      </x:c>
      <x:c r="E503" s="14" t="str">
        <x:v>Compliance‑Verstöße – Antikorruption</x:v>
      </x:c>
      <x:c r="F503" s="14" t="str">
        <x:v>Bestätigte Fälle/1.000 FTE</x:v>
      </x:c>
      <x:c r="G503" s="14" t="str">
        <x:v>Fälle/1.000 FTE</x:v>
      </x:c>
      <x:c r="H503" s="14" t="str">
        <x:v>lower_is_better</x:v>
      </x:c>
      <x:c r="I503" s="14" t="str">
        <x:v>R01</x:v>
      </x:c>
      <x:c r="J503" s="14" t="str">
        <x:v>0:+3; ≤0,2:+2; ≤0,5:0; ≤1:‑2; &gt;1:‑3</x:v>
      </x:c>
      <x:c r="K503" s="14" t="str">
        <x:v>Feste WÖk-Kalibrierung</x:v>
      </x:c>
      <x:c r="L503" s="14" t="str">
        <x:v>Arbeitskalibrierung – fachlich zu validieren</x:v>
      </x:c>
      <x:c r="M503" s="14" t="str">
        <x:v>WÖk-interne Klassenlogik</x:v>
      </x:c>
      <x:c r="N503" s="14" t="str">
        <x:v>Optional/Nein</x:v>
      </x:c>
      <x:c r="O503" s="14" t="str">
        <x:v>ESRS G1; GRI 205/207</x:v>
      </x:c>
      <x:c r="P503" s="14" t="str">
        <x:v>ESRS G1, GRI 205/207, OECD Anti‑Bribery</x:v>
      </x:c>
      <x:c r="Q503" s="14" t="str">
        <x:v>Mess-, Berichts- oder Managementrahmen; Schwellen sind grundsätzlich WÖk-Kalibrierungen</x:v>
      </x:c>
      <x:c r="R503" s="14" t="str">
        <x:v>Messgrundlage belegt; Schwellenkalibrierung offen</x:v>
      </x:c>
      <x:c r="S503" s="14" t="str">
        <x:v>EU-ESRS; GRI; OECD-AB</x:v>
      </x:c>
      <x:c r="T503" s="14" t="str">
        <x:v>G47 Handel; K Versicherungen; M72 F&amp;E</x:v>
      </x:c>
      <x:c r="U503" s="14" t="str">
        <x:v>Legacy / nicht explizit versioniert</x:v>
      </x:c>
      <x:c r="V503" s="51" t="str"/>
      <x:c r="W503" s="14" t="str">
        <x:v>Migration auf NACE Rev. 2.1 erforderlich</x:v>
      </x:c>
      <x:c r="X503" s="14" t="str">
        <x:v>Organisation/Governance; konsolidierter Kreis und relevante Rechtseinheiten</x:v>
      </x:c>
      <x:c r="Y503" s="14" t="str">
        <x:v>Siehe Quelle: Definition gemäß Standard (ESRS/GRI/Taxonomie/ISO).</x:v>
      </x:c>
      <x:c r="Z503" s="14" t="str">
        <x:v>Primärdaten bevorzugt; Sekundärdaten nur transparent und versioniert; Methode und Systemgrenze dokumentieren</x:v>
      </x:c>
      <x:c r="AA503" s="14" t="str">
        <x:v>Limited Assurance; risikobasiert höhere Prüftiefe</x:v>
      </x:c>
      <x:c r="AB503" s="14" t="str">
        <x:v>Strukturell nutzbar; Schwellen fachlich zu validieren</x:v>
      </x:c>
      <x:c r="AC503" s="14" t="str">
        <x:v>Mittel</x:v>
      </x:c>
      <x:c r="AD503" s="14" t="str">
        <x:v>Vollständige fünfstufige numerische Regel.</x:v>
      </x:c>
      <x:c r="AE503" s="14" t="str">
        <x:v>v1.4</x:v>
      </x:c>
      <x:c r="AF503" s="52" t="str">
        <x:v>2026-08-16</x:v>
      </x:c>
      <x:c r="AG503" s="52"/>
    </x:row>
    <x:row r="504" ht="42" customHeight="1">
      <x:c r="A504" s="14" t="str">
        <x:v>WOK-G-207</x:v>
      </x:c>
      <x:c r="B504" s="14" t="str">
        <x:v>SDG+ – Rechtsstaatlichkeit</x:v>
      </x:c>
      <x:c r="C504" s="14" t="str">
        <x:v>—</x:v>
      </x:c>
      <x:c r="D504" s="14" t="str">
        <x:v>Compliance‑Verstöße</x:v>
      </x:c>
      <x:c r="E504" s="14" t="str">
        <x:v>Compliance‑Verstöße – Whistleblowing</x:v>
      </x:c>
      <x:c r="F504" s="14" t="str">
        <x:v>Wirksamkeits‑Score</x:v>
      </x:c>
      <x:c r="G504" s="14" t="str">
        <x:v>0–1</x:v>
      </x:c>
      <x:c r="H504" s="14" t="str">
        <x:v>higher_is_better</x:v>
      </x:c>
      <x:c r="I504" s="14" t="str">
        <x:v>R16</x:v>
      </x:c>
      <x:c r="J504" s="14" t="str">
        <x:v>≥0,9:+3; 0,75–0,89:+2; 0,6–0,74:0; 0,4–0,59:‑2; &lt;0,4:‑3</x:v>
      </x:c>
      <x:c r="K504" s="14" t="str">
        <x:v>Feste WÖk-Kalibrierung</x:v>
      </x:c>
      <x:c r="L504" s="14" t="str">
        <x:v>Arbeitskalibrierung – fachlich zu validieren</x:v>
      </x:c>
      <x:c r="M504" s="14" t="str">
        <x:v>WÖk-interne Klassenlogik</x:v>
      </x:c>
      <x:c r="N504" s="14" t="str">
        <x:v>Optional/Nein</x:v>
      </x:c>
      <x:c r="O504" s="14" t="str">
        <x:v>ESRS G1; GRI 205/207</x:v>
      </x:c>
      <x:c r="P504" s="14" t="str">
        <x:v>ESRS G1, GRI 205/207, OECD Anti‑Bribery</x:v>
      </x:c>
      <x:c r="Q504" s="14" t="str">
        <x:v>Mess-, Berichts- oder Managementrahmen; Schwellen sind grundsätzlich WÖk-Kalibrierungen</x:v>
      </x:c>
      <x:c r="R504" s="14" t="str">
        <x:v>Messgrundlage belegt; Schwellenkalibrierung offen</x:v>
      </x:c>
      <x:c r="S504" s="14" t="str">
        <x:v>EU-ESRS; GRI; OECD-AB</x:v>
      </x:c>
      <x:c r="T504" s="14" t="str">
        <x:v>G47 Handel; K Versicherungen; M72 F&amp;E</x:v>
      </x:c>
      <x:c r="U504" s="14" t="str">
        <x:v>Legacy / nicht explizit versioniert</x:v>
      </x:c>
      <x:c r="V504" s="51" t="str"/>
      <x:c r="W504" s="14" t="str">
        <x:v>Migration auf NACE Rev. 2.1 erforderlich</x:v>
      </x:c>
      <x:c r="X504" s="14" t="str">
        <x:v>Organisation/Governance; konsolidierter Kreis und relevante Rechtseinheiten</x:v>
      </x:c>
      <x:c r="Y504" s="14" t="str">
        <x:v>Siehe Quelle: Definition gemäß Standard (ESRS/GRI/Taxonomie/ISO).</x:v>
      </x:c>
      <x:c r="Z504" s="14" t="str">
        <x:v>Primärdaten bevorzugt; Sekundärdaten nur transparent und versioniert; Methode und Systemgrenze dokumentieren</x:v>
      </x:c>
      <x:c r="AA504" s="14" t="str">
        <x:v>Limited Assurance; risikobasiert höhere Prüftiefe</x:v>
      </x:c>
      <x:c r="AB504" s="14" t="str">
        <x:v>Strukturell nutzbar; Schwellen fachlich zu validieren</x:v>
      </x:c>
      <x:c r="AC504" s="14" t="str">
        <x:v>Mittel</x:v>
      </x:c>
      <x:c r="AD504" s="14" t="str">
        <x:v>Vollständige fünfstufige numerische Regel.</x:v>
      </x:c>
      <x:c r="AE504" s="14" t="str">
        <x:v>v1.4</x:v>
      </x:c>
      <x:c r="AF504" s="52" t="str">
        <x:v>2026-08-16</x:v>
      </x:c>
      <x:c r="AG504" s="52"/>
    </x:row>
    <x:row r="505" ht="42" customHeight="1">
      <x:c r="A505" s="14" t="str">
        <x:v>WOK-G-208</x:v>
      </x:c>
      <x:c r="B505" s="14" t="str">
        <x:v>SDG+ – Rechtsstaatlichkeit</x:v>
      </x:c>
      <x:c r="C505" s="14" t="str">
        <x:v>—</x:v>
      </x:c>
      <x:c r="D505" s="14" t="str">
        <x:v>Compliance‑Verstöße</x:v>
      </x:c>
      <x:c r="E505" s="14" t="str">
        <x:v>Compliance‑Verstöße – Steuertransparenz</x:v>
      </x:c>
      <x:c r="F505" s="14" t="str">
        <x:v>CbCR‑Offenlegung</x:v>
      </x:c>
      <x:c r="G505" s="14" t="str">
        <x:v>0–1</x:v>
      </x:c>
      <x:c r="H505" s="14" t="str">
        <x:v>higher_is_better</x:v>
      </x:c>
      <x:c r="I505" s="14" t="str">
        <x:v>R08</x:v>
      </x:c>
      <x:c r="J505" s="14" t="str">
        <x:v>vollständig:+3; teilweise:+2; minimal:0; schlecht:‑2</x:v>
      </x:c>
      <x:c r="K505" s="14" t="str">
        <x:v>Qualitativ</x:v>
      </x:c>
      <x:c r="L505" s="14" t="str">
        <x:v>Assurance und Kriterienkatalog erforderlich</x:v>
      </x:c>
      <x:c r="M505" s="14" t="str">
        <x:v>WÖk-interne Kategorien</x:v>
      </x:c>
      <x:c r="N505" s="14" t="str">
        <x:v>Optional/Nein</x:v>
      </x:c>
      <x:c r="O505" s="14" t="str">
        <x:v>ESRS G1; GRI 205/207</x:v>
      </x:c>
      <x:c r="P505" s="14" t="str">
        <x:v>ESRS G1, GRI 205/207, OECD Anti‑Bribery</x:v>
      </x:c>
      <x:c r="Q505" s="14" t="str">
        <x:v>Mess-, Berichts- oder Managementrahmen; Schwellen sind grundsätzlich WÖk-Kalibrierungen</x:v>
      </x:c>
      <x:c r="R505" s="14" t="str">
        <x:v>Messgrundlage belegt; Schwellenkalibrierung offen</x:v>
      </x:c>
      <x:c r="S505" s="14" t="str">
        <x:v>EU-ESRS; GRI; OECD-AB</x:v>
      </x:c>
      <x:c r="T505" s="14" t="str">
        <x:v>G47 Handel; K Versicherungen; M72 F&amp;E</x:v>
      </x:c>
      <x:c r="U505" s="14" t="str">
        <x:v>Legacy / nicht explizit versioniert</x:v>
      </x:c>
      <x:c r="V505" s="51" t="str"/>
      <x:c r="W505" s="14" t="str">
        <x:v>Migration auf NACE Rev. 2.1 erforderlich</x:v>
      </x:c>
      <x:c r="X505" s="14" t="str">
        <x:v>Organisation/Governance; konsolidierter Kreis und relevante Rechtseinheiten</x:v>
      </x:c>
      <x:c r="Y505" s="14" t="str">
        <x:v>Siehe Quelle: Definition gemäß Standard (ESRS/GRI/Taxonomie/ISO).</x:v>
      </x:c>
      <x:c r="Z505" s="14" t="str">
        <x:v>Dokumentierter Kriterienkatalog; nachvollziehbare Evidenz; DQR A/B bevorzugt</x:v>
      </x:c>
      <x:c r="AA505" s="14" t="str">
        <x:v>Unabhängige Fachprüfung/Limited Assurance; bei roten Linien Reasonable Assurance</x:v>
      </x:c>
      <x:c r="AB505" s="14" t="str">
        <x:v>Prüfung/Parametrisierung erforderlich</x:v>
      </x:c>
      <x:c r="AC505" s="14" t="str">
        <x:v>Hoch</x:v>
      </x:c>
      <x:c r="AD505" s="14" t="str">
        <x:v>Die Kategorie −3 fehlt; Vollständigkeit und Wirksamkeit sind feldspezifisch zu definieren.</x:v>
      </x:c>
      <x:c r="AE505" s="14" t="str">
        <x:v>v1.4</x:v>
      </x:c>
      <x:c r="AF505" s="52" t="str">
        <x:v>2026-08-16</x:v>
      </x:c>
      <x:c r="AG505" s="52"/>
    </x:row>
    <x:row r="506" ht="42" customHeight="1">
      <x:c r="A506" s="14" t="str">
        <x:v>WOK-G-209</x:v>
      </x:c>
      <x:c r="B506" s="14" t="str">
        <x:v>SDG+ – Rechtsstaatlichkeit</x:v>
      </x:c>
      <x:c r="C506" s="14" t="str">
        <x:v>—</x:v>
      </x:c>
      <x:c r="D506" s="14" t="str">
        <x:v>Beschwerdemechanismen Wirksamkeit</x:v>
      </x:c>
      <x:c r="E506" s="14" t="str">
        <x:v>Beschwerdemechanismen Wirksamkeit – Antikorruption</x:v>
      </x:c>
      <x:c r="F506" s="14" t="str">
        <x:v>Bestätigte Fälle/1.000 FTE</x:v>
      </x:c>
      <x:c r="G506" s="14" t="str">
        <x:v>Fälle/1.000 FTE</x:v>
      </x:c>
      <x:c r="H506" s="14" t="str">
        <x:v>lower_is_better</x:v>
      </x:c>
      <x:c r="I506" s="14" t="str">
        <x:v>R01</x:v>
      </x:c>
      <x:c r="J506" s="14" t="str">
        <x:v>0:+3; ≤0,2:+2; ≤0,5:0; ≤1:‑2; &gt;1:‑3</x:v>
      </x:c>
      <x:c r="K506" s="14" t="str">
        <x:v>Feste WÖk-Kalibrierung</x:v>
      </x:c>
      <x:c r="L506" s="14" t="str">
        <x:v>Arbeitskalibrierung – fachlich zu validieren</x:v>
      </x:c>
      <x:c r="M506" s="14" t="str">
        <x:v>WÖk-interne Klassenlogik</x:v>
      </x:c>
      <x:c r="N506" s="14" t="str">
        <x:v>Optional/Nein</x:v>
      </x:c>
      <x:c r="O506" s="14" t="str">
        <x:v>ESRS G1; GRI 205/207</x:v>
      </x:c>
      <x:c r="P506" s="14" t="str">
        <x:v>ESRS G1, GRI 205/207, OECD Anti‑Bribery</x:v>
      </x:c>
      <x:c r="Q506" s="14" t="str">
        <x:v>Mess-, Berichts- oder Managementrahmen; Schwellen sind grundsätzlich WÖk-Kalibrierungen</x:v>
      </x:c>
      <x:c r="R506" s="14" t="str">
        <x:v>Messgrundlage belegt; Schwellenkalibrierung offen</x:v>
      </x:c>
      <x:c r="S506" s="14" t="str">
        <x:v>EU-ESRS; GRI; OECD-AB</x:v>
      </x:c>
      <x:c r="T506" s="14" t="str">
        <x:v>G47 Handel; K Versicherungen; M72 F&amp;E</x:v>
      </x:c>
      <x:c r="U506" s="14" t="str">
        <x:v>Legacy / nicht explizit versioniert</x:v>
      </x:c>
      <x:c r="V506" s="51" t="str"/>
      <x:c r="W506" s="14" t="str">
        <x:v>Migration auf NACE Rev. 2.1 erforderlich</x:v>
      </x:c>
      <x:c r="X506" s="14" t="str">
        <x:v>Organisation/Governance; konsolidierter Kreis und relevante Rechtseinheiten</x:v>
      </x:c>
      <x:c r="Y506" s="14" t="str">
        <x:v>Siehe Quelle: Definition gemäß Standard (ESRS/GRI/Taxonomie/ISO).</x:v>
      </x:c>
      <x:c r="Z506" s="14" t="str">
        <x:v>Primärdaten bevorzugt; Sekundärdaten nur transparent und versioniert; Methode und Systemgrenze dokumentieren</x:v>
      </x:c>
      <x:c r="AA506" s="14" t="str">
        <x:v>Limited Assurance; risikobasiert höhere Prüftiefe</x:v>
      </x:c>
      <x:c r="AB506" s="14" t="str">
        <x:v>Strukturell nutzbar; Schwellen fachlich zu validieren</x:v>
      </x:c>
      <x:c r="AC506" s="14" t="str">
        <x:v>Mittel</x:v>
      </x:c>
      <x:c r="AD506" s="14" t="str">
        <x:v>Vollständige fünfstufige numerische Regel.</x:v>
      </x:c>
      <x:c r="AE506" s="14" t="str">
        <x:v>v1.4</x:v>
      </x:c>
      <x:c r="AF506" s="52" t="str">
        <x:v>2026-08-16</x:v>
      </x:c>
      <x:c r="AG506" s="52"/>
    </x:row>
    <x:row r="507" ht="42" customHeight="1">
      <x:c r="A507" s="14" t="str">
        <x:v>WOK-G-210</x:v>
      </x:c>
      <x:c r="B507" s="14" t="str">
        <x:v>SDG+ – Rechtsstaatlichkeit</x:v>
      </x:c>
      <x:c r="C507" s="14" t="str">
        <x:v>—</x:v>
      </x:c>
      <x:c r="D507" s="14" t="str">
        <x:v>Beschwerdemechanismen Wirksamkeit</x:v>
      </x:c>
      <x:c r="E507" s="14" t="str">
        <x:v>Beschwerdemechanismen Wirksamkeit – Whistleblowing</x:v>
      </x:c>
      <x:c r="F507" s="14" t="str">
        <x:v>Wirksamkeits‑Score</x:v>
      </x:c>
      <x:c r="G507" s="14" t="str">
        <x:v>0–1</x:v>
      </x:c>
      <x:c r="H507" s="14" t="str">
        <x:v>higher_is_better</x:v>
      </x:c>
      <x:c r="I507" s="14" t="str">
        <x:v>R16</x:v>
      </x:c>
      <x:c r="J507" s="14" t="str">
        <x:v>≥0,9:+3; 0,75–0,89:+2; 0,6–0,74:0; 0,4–0,59:‑2; &lt;0,4:‑3</x:v>
      </x:c>
      <x:c r="K507" s="14" t="str">
        <x:v>Feste WÖk-Kalibrierung</x:v>
      </x:c>
      <x:c r="L507" s="14" t="str">
        <x:v>Arbeitskalibrierung – fachlich zu validieren</x:v>
      </x:c>
      <x:c r="M507" s="14" t="str">
        <x:v>WÖk-interne Klassenlogik</x:v>
      </x:c>
      <x:c r="N507" s="14" t="str">
        <x:v>Optional/Nein</x:v>
      </x:c>
      <x:c r="O507" s="14" t="str">
        <x:v>ESRS G1; GRI 205/207</x:v>
      </x:c>
      <x:c r="P507" s="14" t="str">
        <x:v>ESRS G1, GRI 205/207, OECD Anti‑Bribery</x:v>
      </x:c>
      <x:c r="Q507" s="14" t="str">
        <x:v>Mess-, Berichts- oder Managementrahmen; Schwellen sind grundsätzlich WÖk-Kalibrierungen</x:v>
      </x:c>
      <x:c r="R507" s="14" t="str">
        <x:v>Messgrundlage belegt; Schwellenkalibrierung offen</x:v>
      </x:c>
      <x:c r="S507" s="14" t="str">
        <x:v>EU-ESRS; GRI; OECD-AB</x:v>
      </x:c>
      <x:c r="T507" s="14" t="str">
        <x:v>G47 Handel; K Versicherungen; M72 F&amp;E</x:v>
      </x:c>
      <x:c r="U507" s="14" t="str">
        <x:v>Legacy / nicht explizit versioniert</x:v>
      </x:c>
      <x:c r="V507" s="51" t="str"/>
      <x:c r="W507" s="14" t="str">
        <x:v>Migration auf NACE Rev. 2.1 erforderlich</x:v>
      </x:c>
      <x:c r="X507" s="14" t="str">
        <x:v>Organisation/Governance; konsolidierter Kreis und relevante Rechtseinheiten</x:v>
      </x:c>
      <x:c r="Y507" s="14" t="str">
        <x:v>Siehe Quelle: Definition gemäß Standard (ESRS/GRI/Taxonomie/ISO).</x:v>
      </x:c>
      <x:c r="Z507" s="14" t="str">
        <x:v>Primärdaten bevorzugt; Sekundärdaten nur transparent und versioniert; Methode und Systemgrenze dokumentieren</x:v>
      </x:c>
      <x:c r="AA507" s="14" t="str">
        <x:v>Limited Assurance; risikobasiert höhere Prüftiefe</x:v>
      </x:c>
      <x:c r="AB507" s="14" t="str">
        <x:v>Strukturell nutzbar; Schwellen fachlich zu validieren</x:v>
      </x:c>
      <x:c r="AC507" s="14" t="str">
        <x:v>Mittel</x:v>
      </x:c>
      <x:c r="AD507" s="14" t="str">
        <x:v>Vollständige fünfstufige numerische Regel.</x:v>
      </x:c>
      <x:c r="AE507" s="14" t="str">
        <x:v>v1.4</x:v>
      </x:c>
      <x:c r="AF507" s="52" t="str">
        <x:v>2026-08-16</x:v>
      </x:c>
      <x:c r="AG507" s="52"/>
    </x:row>
    <x:row r="508" ht="42" customHeight="1">
      <x:c r="A508" s="14" t="str">
        <x:v>WOK-G-211</x:v>
      </x:c>
      <x:c r="B508" s="14" t="str">
        <x:v>SDG+ – Rechtsstaatlichkeit</x:v>
      </x:c>
      <x:c r="C508" s="14" t="str">
        <x:v>—</x:v>
      </x:c>
      <x:c r="D508" s="14" t="str">
        <x:v>Beschwerdemechanismen Wirksamkeit</x:v>
      </x:c>
      <x:c r="E508" s="14" t="str">
        <x:v>Beschwerdemechanismen Wirksamkeit – Steuertransparenz</x:v>
      </x:c>
      <x:c r="F508" s="14" t="str">
        <x:v>CbCR‑Offenlegung</x:v>
      </x:c>
      <x:c r="G508" s="14" t="str">
        <x:v>0–1</x:v>
      </x:c>
      <x:c r="H508" s="14" t="str">
        <x:v>higher_is_better</x:v>
      </x:c>
      <x:c r="I508" s="14" t="str">
        <x:v>R08</x:v>
      </x:c>
      <x:c r="J508" s="14" t="str">
        <x:v>vollständig:+3; teilweise:+2; minimal:0; schlecht:‑2</x:v>
      </x:c>
      <x:c r="K508" s="14" t="str">
        <x:v>Qualitativ</x:v>
      </x:c>
      <x:c r="L508" s="14" t="str">
        <x:v>Assurance und Kriterienkatalog erforderlich</x:v>
      </x:c>
      <x:c r="M508" s="14" t="str">
        <x:v>WÖk-interne Kategorien</x:v>
      </x:c>
      <x:c r="N508" s="14" t="str">
        <x:v>Optional/Nein</x:v>
      </x:c>
      <x:c r="O508" s="14" t="str">
        <x:v>ESRS G1; GRI 205/207</x:v>
      </x:c>
      <x:c r="P508" s="14" t="str">
        <x:v>ESRS G1, GRI 205/207, OECD Anti‑Bribery</x:v>
      </x:c>
      <x:c r="Q508" s="14" t="str">
        <x:v>Mess-, Berichts- oder Managementrahmen; Schwellen sind grundsätzlich WÖk-Kalibrierungen</x:v>
      </x:c>
      <x:c r="R508" s="14" t="str">
        <x:v>Messgrundlage belegt; Schwellenkalibrierung offen</x:v>
      </x:c>
      <x:c r="S508" s="14" t="str">
        <x:v>EU-ESRS; GRI; OECD-AB</x:v>
      </x:c>
      <x:c r="T508" s="14" t="str">
        <x:v>G47 Handel; K Versicherungen; M72 F&amp;E</x:v>
      </x:c>
      <x:c r="U508" s="14" t="str">
        <x:v>Legacy / nicht explizit versioniert</x:v>
      </x:c>
      <x:c r="V508" s="51" t="str"/>
      <x:c r="W508" s="14" t="str">
        <x:v>Migration auf NACE Rev. 2.1 erforderlich</x:v>
      </x:c>
      <x:c r="X508" s="14" t="str">
        <x:v>Organisation/Governance; konsolidierter Kreis und relevante Rechtseinheiten</x:v>
      </x:c>
      <x:c r="Y508" s="14" t="str">
        <x:v>Siehe Quelle: Definition gemäß Standard (ESRS/GRI/Taxonomie/ISO).</x:v>
      </x:c>
      <x:c r="Z508" s="14" t="str">
        <x:v>Dokumentierter Kriterienkatalog; nachvollziehbare Evidenz; DQR A/B bevorzugt</x:v>
      </x:c>
      <x:c r="AA508" s="14" t="str">
        <x:v>Unabhängige Fachprüfung/Limited Assurance; bei roten Linien Reasonable Assurance</x:v>
      </x:c>
      <x:c r="AB508" s="14" t="str">
        <x:v>Prüfung/Parametrisierung erforderlich</x:v>
      </x:c>
      <x:c r="AC508" s="14" t="str">
        <x:v>Hoch</x:v>
      </x:c>
      <x:c r="AD508" s="14" t="str">
        <x:v>Die Kategorie −3 fehlt; Vollständigkeit und Wirksamkeit sind feldspezifisch zu definieren.</x:v>
      </x:c>
      <x:c r="AE508" s="14" t="str">
        <x:v>v1.4</x:v>
      </x:c>
      <x:c r="AF508" s="52" t="str">
        <x:v>2026-08-16</x:v>
      </x:c>
      <x:c r="AG508" s="52"/>
    </x:row>
    <x:row r="509" ht="42" customHeight="1">
      <x:c r="A509" s="14" t="str">
        <x:v>WOK-SC-152</x:v>
      </x:c>
      <x:c r="B509" s="14" t="str">
        <x:v>SDG+ – Rechtsstaatlichkeit</x:v>
      </x:c>
      <x:c r="C509" s="14" t="str">
        <x:v>—</x:v>
      </x:c>
      <x:c r="D509" s="14" t="str">
        <x:v>Sorgfaltspflichten LkSG/EUDD</x:v>
      </x:c>
      <x:c r="E509" s="14" t="str">
        <x:v>Sorgfaltspflichten LkSG/EUDD – ESG‑Spend‑Coverage</x:v>
      </x:c>
      <x:c r="F509" s="14" t="str">
        <x:v>Anteil verifizierter ESG‑Daten am Spend</x:v>
      </x:c>
      <x:c r="G509" s="14" t="str">
        <x:v>%</x:v>
      </x:c>
      <x:c r="H509" s="14" t="str">
        <x:v>higher_is_better</x:v>
      </x:c>
      <x:c r="I509" s="14" t="str">
        <x:v>R26</x:v>
      </x:c>
      <x:c r="J509" s="14" t="str">
        <x:v>≥90:+3; 70–89:+2; 50–69:0; 30–49:‑2; &lt;30:‑3</x:v>
      </x:c>
      <x:c r="K509" s="14" t="str">
        <x:v>Feste WÖk-Kalibrierung</x:v>
      </x:c>
      <x:c r="L509" s="14" t="str">
        <x:v>Arbeitskalibrierung – fachlich zu validieren</x:v>
      </x:c>
      <x:c r="M509" s="14" t="str">
        <x:v>WÖk-interne Klassenlogik</x:v>
      </x:c>
      <x:c r="N509" s="14" t="str">
        <x:v>Optional/Nein</x:v>
      </x:c>
      <x:c r="O509" s="14" t="str">
        <x:v>ESRS S2; GRI 308/414/408/409</x:v>
      </x:c>
      <x:c r="P509" s="14" t="str">
        <x:v>ESRS S2, GRI 308/414, OECD Due Diligence</x:v>
      </x:c>
      <x:c r="Q509" s="14" t="str">
        <x:v>Mess-, Berichts- oder Managementrahmen; Schwellen sind grundsätzlich WÖk-Kalibrierungen</x:v>
      </x:c>
      <x:c r="R509" s="14" t="str">
        <x:v>Messgrundlage belegt; Schwellenkalibrierung offen</x:v>
      </x:c>
      <x:c r="S509" s="14" t="str">
        <x:v>EU-ESRS; GRI; OECD-DD; ILO-CORE</x:v>
      </x:c>
      <x:c r="T509" s="14" t="str">
        <x:v>C20 Chemie; C24 Stahl; C29 Fahrzeuge</x:v>
      </x:c>
      <x:c r="U509" s="14" t="str">
        <x:v>Legacy / nicht explizit versioniert</x:v>
      </x:c>
      <x:c r="V509" s="51" t="str"/>
      <x:c r="W509" s="14" t="str">
        <x:v>Migration auf NACE Rev. 2.1 erforderlich</x:v>
      </x:c>
      <x:c r="X509" s="14" t="str">
        <x:v>Vorgelagerte Lieferkette; relevante Tier-Stufen und Beschaffungsvolumen</x:v>
      </x:c>
      <x:c r="Y509" s="14" t="str">
        <x:v>Quote = Zähler / Nenner gemäß Quelle; in %.</x:v>
      </x:c>
      <x:c r="Z509" s="14" t="str">
        <x:v>Primärdaten bevorzugt; Sekundärdaten nur transparent und versioniert; Methode und Systemgrenze dokumentieren</x:v>
      </x:c>
      <x:c r="AA509" s="14" t="str">
        <x:v>Limited Assurance; risikobasiert höhere Prüftiefe</x:v>
      </x:c>
      <x:c r="AB509" s="14" t="str">
        <x:v>Strukturell nutzbar; Schwellen fachlich zu validieren</x:v>
      </x:c>
      <x:c r="AC509" s="14" t="str">
        <x:v>Mittel</x:v>
      </x:c>
      <x:c r="AD509" s="14" t="str">
        <x:v>Vollständige fünfstufige numerische Regel.</x:v>
      </x:c>
      <x:c r="AE509" s="14" t="str">
        <x:v>v1.4</x:v>
      </x:c>
      <x:c r="AF509" s="52" t="str">
        <x:v>2026-08-16</x:v>
      </x:c>
      <x:c r="AG509" s="52"/>
    </x:row>
    <x:row r="510" ht="42" customHeight="1">
      <x:c r="A510" s="14" t="str">
        <x:v>WOK-SC-153</x:v>
      </x:c>
      <x:c r="B510" s="14" t="str">
        <x:v>SDG+ – Rechtsstaatlichkeit</x:v>
      </x:c>
      <x:c r="C510" s="14" t="str">
        <x:v>—</x:v>
      </x:c>
      <x:c r="D510" s="14" t="str">
        <x:v>Sorgfaltspflichten LkSG/EUDD</x:v>
      </x:c>
      <x:c r="E510" s="14" t="str">
        <x:v>Sorgfaltspflichten LkSG/EUDD – Kinder/Zwangsarbeit</x:v>
      </x:c>
      <x:c r="F510" s="14" t="str">
        <x:v>Audits ohne Verstöße</x:v>
      </x:c>
      <x:c r="G510" s="14" t="str">
        <x:v>% Lieferanten</x:v>
      </x:c>
      <x:c r="H510" s="14" t="str">
        <x:v>higher_is_better</x:v>
      </x:c>
      <x:c r="I510" s="14" t="str">
        <x:v>R28</x:v>
      </x:c>
      <x:c r="J510" s="14" t="str">
        <x:v>≥98:+3; 90–97:+2; 75–89:0; 50–74:‑2; &lt;50:‑3</x:v>
      </x:c>
      <x:c r="K510" s="14" t="str">
        <x:v>Feste WÖk-Kalibrierung</x:v>
      </x:c>
      <x:c r="L510" s="14" t="str">
        <x:v>Arbeitskalibrierung – fachlich zu validieren</x:v>
      </x:c>
      <x:c r="M510" s="14" t="str">
        <x:v>WÖk-interne Klassenlogik</x:v>
      </x:c>
      <x:c r="N510" s="14" t="str">
        <x:v>Optional/Nein</x:v>
      </x:c>
      <x:c r="O510" s="14" t="str">
        <x:v>ESRS S2; GRI 308/414/408/409</x:v>
      </x:c>
      <x:c r="P510" s="14" t="str">
        <x:v>ESRS S2, GRI 308/414, OECD Due Diligence</x:v>
      </x:c>
      <x:c r="Q510" s="14" t="str">
        <x:v>Mess-, Berichts- oder Managementrahmen; Schwellen sind grundsätzlich WÖk-Kalibrierungen</x:v>
      </x:c>
      <x:c r="R510" s="14" t="str">
        <x:v>Messgrundlage belegt; Schwellenkalibrierung offen</x:v>
      </x:c>
      <x:c r="S510" s="14" t="str">
        <x:v>EU-ESRS; GRI; OECD-DD; ILO-CORE</x:v>
      </x:c>
      <x:c r="T510" s="14" t="str">
        <x:v>C20 Chemie; C24 Stahl; C29 Fahrzeuge</x:v>
      </x:c>
      <x:c r="U510" s="14" t="str">
        <x:v>Legacy / nicht explizit versioniert</x:v>
      </x:c>
      <x:c r="V510" s="51" t="str"/>
      <x:c r="W510" s="14" t="str">
        <x:v>Migration auf NACE Rev. 2.1 erforderlich</x:v>
      </x:c>
      <x:c r="X510" s="14" t="str">
        <x:v>Vorgelagerte Lieferkette; relevante Tier-Stufen und Beschaffungsvolumen</x:v>
      </x:c>
      <x:c r="Y510" s="14" t="str">
        <x:v>Quote = Zähler / Nenner gemäß Quelle; in %.</x:v>
      </x:c>
      <x:c r="Z510" s="14" t="str">
        <x:v>Primärdaten bevorzugt; Sekundärdaten nur transparent und versioniert; Methode und Systemgrenze dokumentieren</x:v>
      </x:c>
      <x:c r="AA510" s="14" t="str">
        <x:v>Limited Assurance; risikobasiert höhere Prüftiefe</x:v>
      </x:c>
      <x:c r="AB510" s="14" t="str">
        <x:v>Strukturell nutzbar; Schwellen fachlich zu validieren</x:v>
      </x:c>
      <x:c r="AC510" s="14" t="str">
        <x:v>Mittel</x:v>
      </x:c>
      <x:c r="AD510" s="14" t="str">
        <x:v>Vollständige fünfstufige numerische Regel.</x:v>
      </x:c>
      <x:c r="AE510" s="14" t="str">
        <x:v>v1.4</x:v>
      </x:c>
      <x:c r="AF510" s="52" t="str">
        <x:v>2026-08-16</x:v>
      </x:c>
      <x:c r="AG510" s="52"/>
    </x:row>
    <x:row r="511" ht="42" customHeight="1">
      <x:c r="A511" s="14" t="str">
        <x:v>WOK-SC-154</x:v>
      </x:c>
      <x:c r="B511" s="14" t="str">
        <x:v>SDG+ – Rechtsstaatlichkeit</x:v>
      </x:c>
      <x:c r="C511" s="14" t="str">
        <x:v>—</x:v>
      </x:c>
      <x:c r="D511" s="14" t="str">
        <x:v>Sorgfaltspflichten LkSG/EUDD</x:v>
      </x:c>
      <x:c r="E511" s="14" t="str">
        <x:v>Sorgfaltspflichten LkSG/EUDD – Scope‑3 Daten</x:v>
      </x:c>
      <x:c r="F511" s="14" t="str">
        <x:v>Primärdaten‑Abdeckung</x:v>
      </x:c>
      <x:c r="G511" s="14" t="str">
        <x:v>% Kategorien</x:v>
      </x:c>
      <x:c r="H511" s="14" t="str">
        <x:v>higher_is_better</x:v>
      </x:c>
      <x:c r="I511" s="14" t="str">
        <x:v>R23</x:v>
      </x:c>
      <x:c r="J511" s="14" t="str">
        <x:v>≥80:+3; 60–79:+2; 40–59:0; 20–39:‑2; &lt;20:‑3</x:v>
      </x:c>
      <x:c r="K511" s="14" t="str">
        <x:v>Feste WÖk-Kalibrierung</x:v>
      </x:c>
      <x:c r="L511" s="14" t="str">
        <x:v>Arbeitskalibrierung – fachlich zu validieren</x:v>
      </x:c>
      <x:c r="M511" s="14" t="str">
        <x:v>WÖk-interne Klassenlogik</x:v>
      </x:c>
      <x:c r="N511" s="14" t="str">
        <x:v>Optional/Nein</x:v>
      </x:c>
      <x:c r="O511" s="14" t="str">
        <x:v>ESRS E1; GHG Protocol</x:v>
      </x:c>
      <x:c r="P511" s="14" t="str">
        <x:v>ESRS E1, GHG Protocol (Corporate/Scope 1–3), ISO 14064/14067</x:v>
      </x:c>
      <x:c r="Q511" s="14" t="str">
        <x:v>Mess-, Berichts- oder Managementrahmen; Schwellen sind grundsätzlich WÖk-Kalibrierungen</x:v>
      </x:c>
      <x:c r="R511" s="14" t="str">
        <x:v>Messgrundlage belegt; Schwellenkalibrierung offen</x:v>
      </x:c>
      <x:c r="S511" s="14" t="str">
        <x:v>EU-ESRS; GHG-CORP; GHG-S3; GHG-PROD</x:v>
      </x:c>
      <x:c r="T511" s="14" t="str">
        <x:v>C20 Chemie; C24 Stahl; C29 Fahrzeuge</x:v>
      </x:c>
      <x:c r="U511" s="14" t="str">
        <x:v>Legacy / nicht explizit versioniert</x:v>
      </x:c>
      <x:c r="V511" s="51" t="str"/>
      <x:c r="W511" s="14" t="str">
        <x:v>Migration auf NACE Rev. 2.1 erforderlich</x:v>
      </x:c>
      <x:c r="X511" s="14" t="str">
        <x:v>Vorgelagerte Lieferkette; relevante Tier-Stufen und Beschaffungsvolumen</x:v>
      </x:c>
      <x:c r="Y511" s="14" t="str">
        <x:v>Quote = Zähler / Nenner gemäß Quelle; in %.</x:v>
      </x:c>
      <x:c r="Z511" s="14" t="str">
        <x:v>Primärdaten bevorzugt; Sekundärdaten nur transparent und versioniert; Methode und Systemgrenze dokumentieren</x:v>
      </x:c>
      <x:c r="AA511" s="14" t="str">
        <x:v>Limited Assurance; risikobasiert höhere Prüftiefe</x:v>
      </x:c>
      <x:c r="AB511" s="14" t="str">
        <x:v>Strukturell nutzbar; Schwellen fachlich zu validieren</x:v>
      </x:c>
      <x:c r="AC511" s="14" t="str">
        <x:v>Mittel</x:v>
      </x:c>
      <x:c r="AD511" s="14" t="str">
        <x:v>Vollständige fünfstufige numerische Regel.</x:v>
      </x:c>
      <x:c r="AE511" s="14" t="str">
        <x:v>v1.4</x:v>
      </x:c>
      <x:c r="AF511" s="52" t="str">
        <x:v>2026-08-16</x:v>
      </x:c>
      <x:c r="AG511" s="52"/>
    </x:row>
    <x:row r="512" ht="42" customHeight="1">
      <x:c r="A512" s="14" t="str">
        <x:v>WOK-G-212</x:v>
      </x:c>
      <x:c r="B512" s="14" t="str">
        <x:v>SDG+ – Rechtsstaatlichkeit</x:v>
      </x:c>
      <x:c r="C512" s="14" t="str">
        <x:v>—</x:v>
      </x:c>
      <x:c r="D512" s="14" t="str">
        <x:v>Transparenz Lobbying</x:v>
      </x:c>
      <x:c r="E512" s="14" t="str">
        <x:v>Transparenz Lobbying – Antikorruption</x:v>
      </x:c>
      <x:c r="F512" s="14" t="str">
        <x:v>Bestätigte Fälle/1.000 FTE</x:v>
      </x:c>
      <x:c r="G512" s="14" t="str">
        <x:v>Fälle/1.000 FTE</x:v>
      </x:c>
      <x:c r="H512" s="14" t="str">
        <x:v>lower_is_better</x:v>
      </x:c>
      <x:c r="I512" s="14" t="str">
        <x:v>R01</x:v>
      </x:c>
      <x:c r="J512" s="14" t="str">
        <x:v>0:+3; ≤0,2:+2; ≤0,5:0; ≤1:‑2; &gt;1:‑3</x:v>
      </x:c>
      <x:c r="K512" s="14" t="str">
        <x:v>Feste WÖk-Kalibrierung</x:v>
      </x:c>
      <x:c r="L512" s="14" t="str">
        <x:v>Arbeitskalibrierung – fachlich zu validieren</x:v>
      </x:c>
      <x:c r="M512" s="14" t="str">
        <x:v>WÖk-interne Klassenlogik</x:v>
      </x:c>
      <x:c r="N512" s="14" t="str">
        <x:v>Optional/Nein</x:v>
      </x:c>
      <x:c r="O512" s="14" t="str">
        <x:v>ESRS G1; GRI 205/207</x:v>
      </x:c>
      <x:c r="P512" s="14" t="str">
        <x:v>ESRS G1, GRI 205/207, OECD Anti‑Bribery</x:v>
      </x:c>
      <x:c r="Q512" s="14" t="str">
        <x:v>Mess-, Berichts- oder Managementrahmen; Schwellen sind grundsätzlich WÖk-Kalibrierungen</x:v>
      </x:c>
      <x:c r="R512" s="14" t="str">
        <x:v>Messgrundlage belegt; Schwellenkalibrierung offen</x:v>
      </x:c>
      <x:c r="S512" s="14" t="str">
        <x:v>EU-ESRS; GRI; OECD-AB</x:v>
      </x:c>
      <x:c r="T512" s="14" t="str">
        <x:v>G47 Handel; K Versicherungen; M72 F&amp;E</x:v>
      </x:c>
      <x:c r="U512" s="14" t="str">
        <x:v>Legacy / nicht explizit versioniert</x:v>
      </x:c>
      <x:c r="V512" s="51" t="str"/>
      <x:c r="W512" s="14" t="str">
        <x:v>Migration auf NACE Rev. 2.1 erforderlich</x:v>
      </x:c>
      <x:c r="X512" s="14" t="str">
        <x:v>Organisation/Governance; konsolidierter Kreis und relevante Rechtseinheiten</x:v>
      </x:c>
      <x:c r="Y512" s="14" t="str">
        <x:v>Siehe Quelle: Definition gemäß Standard (ESRS/GRI/Taxonomie/ISO).</x:v>
      </x:c>
      <x:c r="Z512" s="14" t="str">
        <x:v>Primärdaten bevorzugt; Sekundärdaten nur transparent und versioniert; Methode und Systemgrenze dokumentieren</x:v>
      </x:c>
      <x:c r="AA512" s="14" t="str">
        <x:v>Limited Assurance; risikobasiert höhere Prüftiefe</x:v>
      </x:c>
      <x:c r="AB512" s="14" t="str">
        <x:v>Strukturell nutzbar; Schwellen fachlich zu validieren</x:v>
      </x:c>
      <x:c r="AC512" s="14" t="str">
        <x:v>Mittel</x:v>
      </x:c>
      <x:c r="AD512" s="14" t="str">
        <x:v>Vollständige fünfstufige numerische Regel.</x:v>
      </x:c>
      <x:c r="AE512" s="14" t="str">
        <x:v>v1.4</x:v>
      </x:c>
      <x:c r="AF512" s="52" t="str">
        <x:v>2026-08-16</x:v>
      </x:c>
      <x:c r="AG512" s="52"/>
    </x:row>
    <x:row r="513" ht="42" customHeight="1">
      <x:c r="A513" s="14" t="str">
        <x:v>WOK-G-213</x:v>
      </x:c>
      <x:c r="B513" s="14" t="str">
        <x:v>SDG+ – Rechtsstaatlichkeit</x:v>
      </x:c>
      <x:c r="C513" s="14" t="str">
        <x:v>—</x:v>
      </x:c>
      <x:c r="D513" s="14" t="str">
        <x:v>Transparenz Lobbying</x:v>
      </x:c>
      <x:c r="E513" s="14" t="str">
        <x:v>Transparenz Lobbying – Whistleblowing</x:v>
      </x:c>
      <x:c r="F513" s="14" t="str">
        <x:v>Wirksamkeits‑Score</x:v>
      </x:c>
      <x:c r="G513" s="14" t="str">
        <x:v>0–1</x:v>
      </x:c>
      <x:c r="H513" s="14" t="str">
        <x:v>higher_is_better</x:v>
      </x:c>
      <x:c r="I513" s="14" t="str">
        <x:v>R16</x:v>
      </x:c>
      <x:c r="J513" s="14" t="str">
        <x:v>≥0,9:+3; 0,75–0,89:+2; 0,6–0,74:0; 0,4–0,59:‑2; &lt;0,4:‑3</x:v>
      </x:c>
      <x:c r="K513" s="14" t="str">
        <x:v>Feste WÖk-Kalibrierung</x:v>
      </x:c>
      <x:c r="L513" s="14" t="str">
        <x:v>Arbeitskalibrierung – fachlich zu validieren</x:v>
      </x:c>
      <x:c r="M513" s="14" t="str">
        <x:v>WÖk-interne Klassenlogik</x:v>
      </x:c>
      <x:c r="N513" s="14" t="str">
        <x:v>Optional/Nein</x:v>
      </x:c>
      <x:c r="O513" s="14" t="str">
        <x:v>ESRS G1; GRI 205/207</x:v>
      </x:c>
      <x:c r="P513" s="14" t="str">
        <x:v>ESRS G1, GRI 205/207, OECD Anti‑Bribery</x:v>
      </x:c>
      <x:c r="Q513" s="14" t="str">
        <x:v>Mess-, Berichts- oder Managementrahmen; Schwellen sind grundsätzlich WÖk-Kalibrierungen</x:v>
      </x:c>
      <x:c r="R513" s="14" t="str">
        <x:v>Messgrundlage belegt; Schwellenkalibrierung offen</x:v>
      </x:c>
      <x:c r="S513" s="14" t="str">
        <x:v>EU-ESRS; GRI; OECD-AB</x:v>
      </x:c>
      <x:c r="T513" s="14" t="str">
        <x:v>G47 Handel; K Versicherungen; M72 F&amp;E</x:v>
      </x:c>
      <x:c r="U513" s="14" t="str">
        <x:v>Legacy / nicht explizit versioniert</x:v>
      </x:c>
      <x:c r="V513" s="51" t="str"/>
      <x:c r="W513" s="14" t="str">
        <x:v>Migration auf NACE Rev. 2.1 erforderlich</x:v>
      </x:c>
      <x:c r="X513" s="14" t="str">
        <x:v>Organisation/Governance; konsolidierter Kreis und relevante Rechtseinheiten</x:v>
      </x:c>
      <x:c r="Y513" s="14" t="str">
        <x:v>Siehe Quelle: Definition gemäß Standard (ESRS/GRI/Taxonomie/ISO).</x:v>
      </x:c>
      <x:c r="Z513" s="14" t="str">
        <x:v>Primärdaten bevorzugt; Sekundärdaten nur transparent und versioniert; Methode und Systemgrenze dokumentieren</x:v>
      </x:c>
      <x:c r="AA513" s="14" t="str">
        <x:v>Limited Assurance; risikobasiert höhere Prüftiefe</x:v>
      </x:c>
      <x:c r="AB513" s="14" t="str">
        <x:v>Strukturell nutzbar; Schwellen fachlich zu validieren</x:v>
      </x:c>
      <x:c r="AC513" s="14" t="str">
        <x:v>Mittel</x:v>
      </x:c>
      <x:c r="AD513" s="14" t="str">
        <x:v>Vollständige fünfstufige numerische Regel.</x:v>
      </x:c>
      <x:c r="AE513" s="14" t="str">
        <x:v>v1.4</x:v>
      </x:c>
      <x:c r="AF513" s="52" t="str">
        <x:v>2026-08-16</x:v>
      </x:c>
      <x:c r="AG513" s="52"/>
    </x:row>
    <x:row r="514" ht="42" customHeight="1">
      <x:c r="A514" s="14" t="str">
        <x:v>WOK-G-214</x:v>
      </x:c>
      <x:c r="B514" s="14" t="str">
        <x:v>SDG+ – Rechtsstaatlichkeit</x:v>
      </x:c>
      <x:c r="C514" s="14" t="str">
        <x:v>—</x:v>
      </x:c>
      <x:c r="D514" s="14" t="str">
        <x:v>Transparenz Lobbying</x:v>
      </x:c>
      <x:c r="E514" s="14" t="str">
        <x:v>Transparenz Lobbying – Steuertransparenz</x:v>
      </x:c>
      <x:c r="F514" s="14" t="str">
        <x:v>CbCR‑Offenlegung</x:v>
      </x:c>
      <x:c r="G514" s="14" t="str">
        <x:v>0–1</x:v>
      </x:c>
      <x:c r="H514" s="14" t="str">
        <x:v>higher_is_better</x:v>
      </x:c>
      <x:c r="I514" s="14" t="str">
        <x:v>R08</x:v>
      </x:c>
      <x:c r="J514" s="14" t="str">
        <x:v>vollständig:+3; teilweise:+2; minimal:0; schlecht:‑2</x:v>
      </x:c>
      <x:c r="K514" s="14" t="str">
        <x:v>Qualitativ</x:v>
      </x:c>
      <x:c r="L514" s="14" t="str">
        <x:v>Assurance und Kriterienkatalog erforderlich</x:v>
      </x:c>
      <x:c r="M514" s="14" t="str">
        <x:v>WÖk-interne Kategorien</x:v>
      </x:c>
      <x:c r="N514" s="14" t="str">
        <x:v>Optional/Nein</x:v>
      </x:c>
      <x:c r="O514" s="14" t="str">
        <x:v>ESRS G1; GRI 205/207</x:v>
      </x:c>
      <x:c r="P514" s="14" t="str">
        <x:v>ESRS G1, GRI 205/207, OECD Anti‑Bribery</x:v>
      </x:c>
      <x:c r="Q514" s="14" t="str">
        <x:v>Mess-, Berichts- oder Managementrahmen; Schwellen sind grundsätzlich WÖk-Kalibrierungen</x:v>
      </x:c>
      <x:c r="R514" s="14" t="str">
        <x:v>Messgrundlage belegt; Schwellenkalibrierung offen</x:v>
      </x:c>
      <x:c r="S514" s="14" t="str">
        <x:v>EU-ESRS; GRI; OECD-AB</x:v>
      </x:c>
      <x:c r="T514" s="14" t="str">
        <x:v>G47 Handel; K Versicherungen; M72 F&amp;E</x:v>
      </x:c>
      <x:c r="U514" s="14" t="str">
        <x:v>Legacy / nicht explizit versioniert</x:v>
      </x:c>
      <x:c r="V514" s="51" t="str"/>
      <x:c r="W514" s="14" t="str">
        <x:v>Migration auf NACE Rev. 2.1 erforderlich</x:v>
      </x:c>
      <x:c r="X514" s="14" t="str">
        <x:v>Organisation/Governance; konsolidierter Kreis und relevante Rechtseinheiten</x:v>
      </x:c>
      <x:c r="Y514" s="14" t="str">
        <x:v>Siehe Quelle: Definition gemäß Standard (ESRS/GRI/Taxonomie/ISO).</x:v>
      </x:c>
      <x:c r="Z514" s="14" t="str">
        <x:v>Dokumentierter Kriterienkatalog; nachvollziehbare Evidenz; DQR A/B bevorzugt</x:v>
      </x:c>
      <x:c r="AA514" s="14" t="str">
        <x:v>Unabhängige Fachprüfung/Limited Assurance; bei roten Linien Reasonable Assurance</x:v>
      </x:c>
      <x:c r="AB514" s="14" t="str">
        <x:v>Prüfung/Parametrisierung erforderlich</x:v>
      </x:c>
      <x:c r="AC514" s="14" t="str">
        <x:v>Hoch</x:v>
      </x:c>
      <x:c r="AD514" s="14" t="str">
        <x:v>Die Kategorie −3 fehlt; Vollständigkeit und Wirksamkeit sind feldspezifisch zu definieren.</x:v>
      </x:c>
      <x:c r="AE514" s="14" t="str">
        <x:v>v1.4</x:v>
      </x:c>
      <x:c r="AF514" s="52" t="str">
        <x:v>2026-08-16</x:v>
      </x:c>
      <x:c r="AG514" s="52"/>
    </x:row>
    <x:row r="515" ht="42" customHeight="1">
      <x:c r="A515" s="14" t="str">
        <x:v>WOK-SYS-179</x:v>
      </x:c>
      <x:c r="B515" s="14" t="str">
        <x:v>SDG+ – Rechtsstaatlichkeit</x:v>
      </x:c>
      <x:c r="C515" s="14" t="str">
        <x:v>—</x:v>
      </x:c>
      <x:c r="D515" s="14" t="str">
        <x:v>Strategische Klagen (SLAPP)</x:v>
      </x:c>
      <x:c r="E515" s="14" t="str">
        <x:v>Strategische Klagen (SLAPP) – Index</x:v>
      </x:c>
      <x:c r="F515" s="14" t="str">
        <x:v>umsatzgewichteter Index (z. B. Demokratie/Rule of Law)</x:v>
      </x:c>
      <x:c r="G515" s="14" t="str">
        <x:v>0–1</x:v>
      </x:c>
      <x:c r="H515" s="14" t="str">
        <x:v>higher_is_better</x:v>
      </x:c>
      <x:c r="I515" s="14" t="str">
        <x:v>R15</x:v>
      </x:c>
      <x:c r="J515" s="14" t="str">
        <x:v>≥0,8:+3; 0,7–0,79:+2; 0,6–0,69:0; 0,5–0,59:‑2; &lt;0,5:‑3</x:v>
      </x:c>
      <x:c r="K515" s="14" t="str">
        <x:v>Feste WÖk-Kalibrierung</x:v>
      </x:c>
      <x:c r="L515" s="14" t="str">
        <x:v>Arbeitskalibrierung – fachlich zu validieren</x:v>
      </x:c>
      <x:c r="M515" s="14" t="str">
        <x:v>WÖk-interne Klassenlogik</x:v>
      </x:c>
      <x:c r="N515" s="14" t="str">
        <x:v>Optional/Nein</x:v>
      </x:c>
      <x:c r="O515" s="14" t="str">
        <x:v>SROI/SDG17</x:v>
      </x:c>
      <x:c r="P515" s="14" t="str">
        <x:v>ITU L.1300/L.1310, ETSI EN 305 200</x:v>
      </x:c>
      <x:c r="Q515" s="14" t="str">
        <x:v>Methodischer Platzhalter; konkrete Fach- und Primärdatenquelle erforderlich</x:v>
      </x:c>
      <x:c r="R515" s="14" t="str">
        <x:v>Platzhalter – fachliche Operationalisierung offen</x:v>
      </x:c>
      <x:c r="S515" s="14" t="str">
        <x:v>INT-WOEK-TSROI; SVI-SROI; UN-SDG</x:v>
      </x:c>
      <x:c r="T515" s="14" t="str">
        <x:v>J58/J60/J63 Medien/Plattformen</x:v>
      </x:c>
      <x:c r="U515" s="14" t="str">
        <x:v>Legacy / nicht explizit versioniert</x:v>
      </x:c>
      <x:c r="V515" s="51" t="str"/>
      <x:c r="W515" s="14" t="str">
        <x:v>Migration auf NACE Rev. 2.1 erforderlich</x:v>
      </x:c>
      <x:c r="X515" s="14" t="str">
        <x:v>Programm/Portfolio/Systemraum; Empfängergruppe, Region und Zeitraum explizit definieren</x:v>
      </x:c>
      <x:c r="Y515" s="14" t="str">
        <x:v>Siehe Quelle: Definition gemäß Standard (ESRS/GRI/Taxonomie/ISO).</x:v>
      </x:c>
      <x:c r="Z515" s="14" t="str">
        <x:v>Primärdaten bevorzugt; Sekundärdaten nur transparent und versioniert; Methode und Systemgrenze dokumentieren</x:v>
      </x:c>
      <x:c r="AA515" s="14" t="str">
        <x:v>Limited Assurance; risikobasiert höhere Prüftiefe</x:v>
      </x:c>
      <x:c r="AB515" s="14" t="str">
        <x:v>Fachlogik nicht abschließend operationalisiert</x:v>
      </x:c>
      <x:c r="AC515" s="14" t="str">
        <x:v>Kritisch</x:v>
      </x:c>
      <x:c r="AD515" s="14" t="str">
        <x:v>SROI/SDG 17 ist keine hinreichend konkrete Mess- oder Schwellenquelle. Vollständige fünfstufige numerische Regel.</x:v>
      </x:c>
      <x:c r="AE515" s="14" t="str">
        <x:v>v1.4</x:v>
      </x:c>
      <x:c r="AF515" s="52" t="str">
        <x:v>2026-08-16</x:v>
      </x:c>
      <x:c r="AG515" s="52"/>
    </x:row>
    <x:row r="516" ht="42" customHeight="1">
      <x:c r="A516" s="14" t="str">
        <x:v>WOK-SYS-180</x:v>
      </x:c>
      <x:c r="B516" s="14" t="str">
        <x:v>SDG+ – Rechtsstaatlichkeit</x:v>
      </x:c>
      <x:c r="C516" s="14" t="str">
        <x:v>—</x:v>
      </x:c>
      <x:c r="D516" s="14" t="str">
        <x:v>Strategische Klagen (SLAPP)</x:v>
      </x:c>
      <x:c r="E516" s="14" t="str">
        <x:v>Strategische Klagen (SLAPP) – Exposure</x:v>
      </x:c>
      <x:c r="F516" s="14" t="str">
        <x:v>Umsatz in Hochrisikoländern</x:v>
      </x:c>
      <x:c r="G516" s="14" t="str">
        <x:v>%</x:v>
      </x:c>
      <x:c r="H516" s="14" t="str">
        <x:v>lower_is_better</x:v>
      </x:c>
      <x:c r="I516" s="14" t="str">
        <x:v>R13</x:v>
      </x:c>
      <x:c r="J516" s="14" t="str">
        <x:v>≤5:+3; 6–10:+2; 11–20:0; 21–30:‑2; &gt;30:‑3</x:v>
      </x:c>
      <x:c r="K516" s="14" t="str">
        <x:v>Feste WÖk-Kalibrierung</x:v>
      </x:c>
      <x:c r="L516" s="14" t="str">
        <x:v>Arbeitskalibrierung – fachlich zu validieren</x:v>
      </x:c>
      <x:c r="M516" s="14" t="str">
        <x:v>WÖk-interne Klassenlogik</x:v>
      </x:c>
      <x:c r="N516" s="14" t="str">
        <x:v>Optional/Nein</x:v>
      </x:c>
      <x:c r="O516" s="14" t="str">
        <x:v>SROI/SDG17</x:v>
      </x:c>
      <x:c r="P516" s="14" t="str">
        <x:v>ITU L.1300/L.1310, ETSI EN 305 200</x:v>
      </x:c>
      <x:c r="Q516" s="14" t="str">
        <x:v>Methodischer Platzhalter; konkrete Fach- und Primärdatenquelle erforderlich</x:v>
      </x:c>
      <x:c r="R516" s="14" t="str">
        <x:v>Platzhalter – fachliche Operationalisierung offen</x:v>
      </x:c>
      <x:c r="S516" s="14" t="str">
        <x:v>INT-WOEK-TSROI; SVI-SROI; UN-SDG</x:v>
      </x:c>
      <x:c r="T516" s="14" t="str">
        <x:v>J58/J60/J63 Medien/Plattformen</x:v>
      </x:c>
      <x:c r="U516" s="14" t="str">
        <x:v>Legacy / nicht explizit versioniert</x:v>
      </x:c>
      <x:c r="V516" s="51" t="str"/>
      <x:c r="W516" s="14" t="str">
        <x:v>Migration auf NACE Rev. 2.1 erforderlich</x:v>
      </x:c>
      <x:c r="X516" s="14" t="str">
        <x:v>Programm/Portfolio/Systemraum; Empfängergruppe, Region und Zeitraum explizit definieren</x:v>
      </x:c>
      <x:c r="Y516" s="14" t="str">
        <x:v>Siehe Quelle: Definition gemäß Standard (ESRS/GRI/Taxonomie/ISO).</x:v>
      </x:c>
      <x:c r="Z516" s="14" t="str">
        <x:v>Primärdaten bevorzugt; Sekundärdaten nur transparent und versioniert; Methode und Systemgrenze dokumentieren</x:v>
      </x:c>
      <x:c r="AA516" s="14" t="str">
        <x:v>Limited Assurance; risikobasiert höhere Prüftiefe</x:v>
      </x:c>
      <x:c r="AB516" s="14" t="str">
        <x:v>Fachlogik nicht abschließend operationalisiert</x:v>
      </x:c>
      <x:c r="AC516" s="14" t="str">
        <x:v>Kritisch</x:v>
      </x:c>
      <x:c r="AD516" s="14" t="str">
        <x:v>SROI/SDG 17 ist keine hinreichend konkrete Mess- oder Schwellenquelle. Vollständige fünfstufige numerische Regel.</x:v>
      </x:c>
      <x:c r="AE516" s="14" t="str">
        <x:v>v1.4</x:v>
      </x:c>
      <x:c r="AF516" s="52" t="str">
        <x:v>2026-08-16</x:v>
      </x:c>
      <x:c r="AG516" s="52"/>
    </x:row>
    <x:row r="517" ht="42" customHeight="1">
      <x:c r="A517" s="14" t="str">
        <x:v>WOK-SYS-181</x:v>
      </x:c>
      <x:c r="B517" s="14" t="str">
        <x:v>SDG+ – Rechtsstaatlichkeit</x:v>
      </x:c>
      <x:c r="C517" s="14" t="str">
        <x:v>—</x:v>
      </x:c>
      <x:c r="D517" s="14" t="str">
        <x:v>Strategische Klagen (SLAPP)</x:v>
      </x:c>
      <x:c r="E517" s="14" t="str">
        <x:v>Strategische Klagen (SLAPP) – Kooperationen</x:v>
      </x:c>
      <x:c r="F517" s="14" t="str">
        <x:v>aktive, evaluierte Partnerschaften/Jahr</x:v>
      </x:c>
      <x:c r="G517" s="14" t="str">
        <x:v>#/Jahr</x:v>
      </x:c>
      <x:c r="H517" s="14" t="str">
        <x:v>higher_is_better</x:v>
      </x:c>
      <x:c r="I517" s="14" t="str">
        <x:v>R20</x:v>
      </x:c>
      <x:c r="J517" s="14" t="str">
        <x:v>≥5:+3; 3–4:+2; 1–2:0; 0:‑2</x:v>
      </x:c>
      <x:c r="K517" s="14" t="str">
        <x:v>Feste WÖk-Grobkalibrierung</x:v>
      </x:c>
      <x:c r="L517" s="14" t="str">
        <x:v>Klasse −3 nur für negative/unzulässige Werte ergänzt</x:v>
      </x:c>
      <x:c r="M517" s="14" t="str">
        <x:v>WÖk-interne Grobkalibrierung</x:v>
      </x:c>
      <x:c r="N517" s="14" t="str">
        <x:v>Optional/Nein</x:v>
      </x:c>
      <x:c r="O517" s="14" t="str">
        <x:v>SROI/SDG17</x:v>
      </x:c>
      <x:c r="P517" s="14" t="str">
        <x:v>ITU L.1300/L.1310, ETSI EN 305 200</x:v>
      </x:c>
      <x:c r="Q517" s="14" t="str">
        <x:v>Methodischer Platzhalter; konkrete Fach- und Primärdatenquelle erforderlich</x:v>
      </x:c>
      <x:c r="R517" s="14" t="str">
        <x:v>Platzhalter – fachliche Operationalisierung offen</x:v>
      </x:c>
      <x:c r="S517" s="14" t="str">
        <x:v>INT-WOEK-TSROI; SVI-SROI; UN-SDG</x:v>
      </x:c>
      <x:c r="T517" s="14" t="str">
        <x:v>J58/J60/J63 Medien/Plattformen</x:v>
      </x:c>
      <x:c r="U517" s="14" t="str">
        <x:v>Legacy / nicht explizit versioniert</x:v>
      </x:c>
      <x:c r="V517" s="51" t="str"/>
      <x:c r="W517" s="14" t="str">
        <x:v>Migration auf NACE Rev. 2.1 erforderlich</x:v>
      </x:c>
      <x:c r="X517" s="14" t="str">
        <x:v>Programm/Portfolio/Systemraum; Empfängergruppe, Region und Zeitraum explizit definieren</x:v>
      </x:c>
      <x:c r="Y517" s="14" t="str">
        <x:v>Siehe Quelle: Definition gemäß Standard (ESRS/GRI/Taxonomie/ISO).</x:v>
      </x:c>
      <x:c r="Z517" s="14" t="str">
        <x:v>Primärdaten bevorzugt; Sekundärdaten nur transparent und versioniert; Methode und Systemgrenze dokumentieren</x:v>
      </x:c>
      <x:c r="AA517" s="14" t="str">
        <x:v>Limited Assurance; risikobasiert höhere Prüftiefe</x:v>
      </x:c>
      <x:c r="AB517" s="14" t="str">
        <x:v>Fachlogik nicht abschließend operationalisiert</x:v>
      </x:c>
      <x:c r="AC517" s="14" t="str">
        <x:v>Kritisch</x:v>
      </x:c>
      <x:c r="AD517" s="14" t="str">
        <x:v>SROI/SDG 17 ist keine hinreichend konkrete Mess- oder Schwellenquelle. Für sachlogisch nichtnegative Zählwerte ist 0 die schlechteste reguläre Klasse (−2).</x:v>
      </x:c>
      <x:c r="AE517" s="14" t="str">
        <x:v>v1.4</x:v>
      </x:c>
      <x:c r="AF517" s="52" t="str">
        <x:v>2026-08-16</x:v>
      </x:c>
      <x:c r="AG517" s="52"/>
    </x:row>
    <x:row r="518" ht="42" customHeight="1">
      <x:c r="A518" s="14" t="str">
        <x:v>WOK-SYS-182</x:v>
      </x:c>
      <x:c r="B518" s="14" t="str">
        <x:v>SDG+ – Diskurskultur</x:v>
      </x:c>
      <x:c r="C518" s="14" t="str">
        <x:v>—</x:v>
      </x:c>
      <x:c r="D518" s="14" t="str">
        <x:v>Hate‑Speech Inzidenz</x:v>
      </x:c>
      <x:c r="E518" s="14" t="str">
        <x:v>Hate‑Speech Inzidenz – Index</x:v>
      </x:c>
      <x:c r="F518" s="14" t="str">
        <x:v>umsatzgewichteter Index (z. B. Demokratie/Rule of Law)</x:v>
      </x:c>
      <x:c r="G518" s="14" t="str">
        <x:v>0–1</x:v>
      </x:c>
      <x:c r="H518" s="14" t="str">
        <x:v>higher_is_better</x:v>
      </x:c>
      <x:c r="I518" s="14" t="str">
        <x:v>R15</x:v>
      </x:c>
      <x:c r="J518" s="14" t="str">
        <x:v>≥0,8:+3; 0,7–0,79:+2; 0,6–0,69:0; 0,5–0,59:‑2; &lt;0,5:‑3</x:v>
      </x:c>
      <x:c r="K518" s="14" t="str">
        <x:v>Feste WÖk-Kalibrierung</x:v>
      </x:c>
      <x:c r="L518" s="14" t="str">
        <x:v>Arbeitskalibrierung – fachlich zu validieren</x:v>
      </x:c>
      <x:c r="M518" s="14" t="str">
        <x:v>WÖk-interne Klassenlogik</x:v>
      </x:c>
      <x:c r="N518" s="14" t="str">
        <x:v>Optional/Nein</x:v>
      </x:c>
      <x:c r="O518" s="14" t="str">
        <x:v>SROI/SDG17</x:v>
      </x:c>
      <x:c r="P518" s="14" t="str">
        <x:v>SDG 16/17, WJP, V‑Dem</x:v>
      </x:c>
      <x:c r="Q518" s="14" t="str">
        <x:v>Methodischer Platzhalter; konkrete Fach- und Primärdatenquelle erforderlich</x:v>
      </x:c>
      <x:c r="R518" s="14" t="str">
        <x:v>Platzhalter – fachliche Operationalisierung offen</x:v>
      </x:c>
      <x:c r="S518" s="14" t="str">
        <x:v>INT-WOEK-TSROI; SVI-SROI; UN-SDG</x:v>
      </x:c>
      <x:c r="T518" s="14" t="str">
        <x:v>J58/J60/J63 Medien/Plattformen</x:v>
      </x:c>
      <x:c r="U518" s="14" t="str">
        <x:v>Legacy / nicht explizit versioniert</x:v>
      </x:c>
      <x:c r="V518" s="51" t="str"/>
      <x:c r="W518" s="14" t="str">
        <x:v>Migration auf NACE Rev. 2.1 erforderlich</x:v>
      </x:c>
      <x:c r="X518" s="14" t="str">
        <x:v>Programm/Portfolio/Systemraum; Empfängergruppe, Region und Zeitraum explizit definieren</x:v>
      </x:c>
      <x:c r="Y518" s="14" t="str">
        <x:v>Siehe Quelle: Definition gemäß Standard (ESRS/GRI/Taxonomie/ISO).</x:v>
      </x:c>
      <x:c r="Z518" s="14" t="str">
        <x:v>Primärdaten bevorzugt; Sekundärdaten nur transparent und versioniert; Methode und Systemgrenze dokumentieren</x:v>
      </x:c>
      <x:c r="AA518" s="14" t="str">
        <x:v>Limited Assurance; risikobasiert höhere Prüftiefe</x:v>
      </x:c>
      <x:c r="AB518" s="14" t="str">
        <x:v>Fachlogik nicht abschließend operationalisiert</x:v>
      </x:c>
      <x:c r="AC518" s="14" t="str">
        <x:v>Kritisch</x:v>
      </x:c>
      <x:c r="AD518" s="14" t="str">
        <x:v>SROI/SDG 17 ist keine hinreichend konkrete Mess- oder Schwellenquelle. Vollständige fünfstufige numerische Regel.</x:v>
      </x:c>
      <x:c r="AE518" s="14" t="str">
        <x:v>v1.4</x:v>
      </x:c>
      <x:c r="AF518" s="52" t="str">
        <x:v>2026-08-16</x:v>
      </x:c>
      <x:c r="AG518" s="52"/>
    </x:row>
    <x:row r="519" ht="42" customHeight="1">
      <x:c r="A519" s="14" t="str">
        <x:v>WOK-SYS-183</x:v>
      </x:c>
      <x:c r="B519" s="14" t="str">
        <x:v>SDG+ – Diskurskultur</x:v>
      </x:c>
      <x:c r="C519" s="14" t="str">
        <x:v>—</x:v>
      </x:c>
      <x:c r="D519" s="14" t="str">
        <x:v>Hate‑Speech Inzidenz</x:v>
      </x:c>
      <x:c r="E519" s="14" t="str">
        <x:v>Hate‑Speech Inzidenz – Exposure</x:v>
      </x:c>
      <x:c r="F519" s="14" t="str">
        <x:v>Umsatz in Hochrisikoländern</x:v>
      </x:c>
      <x:c r="G519" s="14" t="str">
        <x:v>%</x:v>
      </x:c>
      <x:c r="H519" s="14" t="str">
        <x:v>lower_is_better</x:v>
      </x:c>
      <x:c r="I519" s="14" t="str">
        <x:v>R13</x:v>
      </x:c>
      <x:c r="J519" s="14" t="str">
        <x:v>≤5:+3; 6–10:+2; 11–20:0; 21–30:‑2; &gt;30:‑3</x:v>
      </x:c>
      <x:c r="K519" s="14" t="str">
        <x:v>Feste WÖk-Kalibrierung</x:v>
      </x:c>
      <x:c r="L519" s="14" t="str">
        <x:v>Arbeitskalibrierung – fachlich zu validieren</x:v>
      </x:c>
      <x:c r="M519" s="14" t="str">
        <x:v>WÖk-interne Klassenlogik</x:v>
      </x:c>
      <x:c r="N519" s="14" t="str">
        <x:v>Optional/Nein</x:v>
      </x:c>
      <x:c r="O519" s="14" t="str">
        <x:v>SROI/SDG17</x:v>
      </x:c>
      <x:c r="P519" s="14" t="str">
        <x:v>SROI/SDG17</x:v>
      </x:c>
      <x:c r="Q519" s="14" t="str">
        <x:v>Methodischer Platzhalter; konkrete Fach- und Primärdatenquelle erforderlich</x:v>
      </x:c>
      <x:c r="R519" s="14" t="str">
        <x:v>Platzhalter – fachliche Operationalisierung offen</x:v>
      </x:c>
      <x:c r="S519" s="14" t="str">
        <x:v>INT-WOEK-TSROI; SVI-SROI; UN-SDG</x:v>
      </x:c>
      <x:c r="T519" s="14" t="str">
        <x:v>J58/J60/J63 Medien/Plattformen</x:v>
      </x:c>
      <x:c r="U519" s="14" t="str">
        <x:v>Legacy / nicht explizit versioniert</x:v>
      </x:c>
      <x:c r="V519" s="51" t="str"/>
      <x:c r="W519" s="14" t="str">
        <x:v>Migration auf NACE Rev. 2.1 erforderlich</x:v>
      </x:c>
      <x:c r="X519" s="14" t="str">
        <x:v>Programm/Portfolio/Systemraum; Empfängergruppe, Region und Zeitraum explizit definieren</x:v>
      </x:c>
      <x:c r="Y519" s="14" t="str">
        <x:v>Siehe Quelle: Definition gemäß Standard (ESRS/GRI/Taxonomie/ISO).</x:v>
      </x:c>
      <x:c r="Z519" s="14" t="str">
        <x:v>Primärdaten bevorzugt; Sekundärdaten nur transparent und versioniert; Methode und Systemgrenze dokumentieren</x:v>
      </x:c>
      <x:c r="AA519" s="14" t="str">
        <x:v>Limited Assurance; risikobasiert höhere Prüftiefe</x:v>
      </x:c>
      <x:c r="AB519" s="14" t="str">
        <x:v>Fachlogik nicht abschließend operationalisiert</x:v>
      </x:c>
      <x:c r="AC519" s="14" t="str">
        <x:v>Kritisch</x:v>
      </x:c>
      <x:c r="AD519" s="14" t="str">
        <x:v>SROI/SDG 17 ist keine hinreichend konkrete Mess- oder Schwellenquelle. Vollständige fünfstufige numerische Regel.</x:v>
      </x:c>
      <x:c r="AE519" s="14" t="str">
        <x:v>v1.4</x:v>
      </x:c>
      <x:c r="AF519" s="52" t="str">
        <x:v>2026-08-16</x:v>
      </x:c>
      <x:c r="AG519" s="52"/>
    </x:row>
    <x:row r="520" ht="42" customHeight="1">
      <x:c r="A520" s="14" t="str">
        <x:v>WOK-SYS-184</x:v>
      </x:c>
      <x:c r="B520" s="14" t="str">
        <x:v>SDG+ – Diskurskultur</x:v>
      </x:c>
      <x:c r="C520" s="14" t="str">
        <x:v>—</x:v>
      </x:c>
      <x:c r="D520" s="14" t="str">
        <x:v>Hate‑Speech Inzidenz</x:v>
      </x:c>
      <x:c r="E520" s="14" t="str">
        <x:v>Hate‑Speech Inzidenz – Kooperationen</x:v>
      </x:c>
      <x:c r="F520" s="14" t="str">
        <x:v>aktive, evaluierte Partnerschaften/Jahr</x:v>
      </x:c>
      <x:c r="G520" s="14" t="str">
        <x:v>#/Jahr</x:v>
      </x:c>
      <x:c r="H520" s="14" t="str">
        <x:v>higher_is_better</x:v>
      </x:c>
      <x:c r="I520" s="14" t="str">
        <x:v>R20</x:v>
      </x:c>
      <x:c r="J520" s="14" t="str">
        <x:v>≥5:+3; 3–4:+2; 1–2:0; 0:‑2</x:v>
      </x:c>
      <x:c r="K520" s="14" t="str">
        <x:v>Feste WÖk-Grobkalibrierung</x:v>
      </x:c>
      <x:c r="L520" s="14" t="str">
        <x:v>Klasse −3 nur für negative/unzulässige Werte ergänzt</x:v>
      </x:c>
      <x:c r="M520" s="14" t="str">
        <x:v>WÖk-interne Grobkalibrierung</x:v>
      </x:c>
      <x:c r="N520" s="14" t="str">
        <x:v>Optional/Nein</x:v>
      </x:c>
      <x:c r="O520" s="14" t="str">
        <x:v>SROI/SDG17</x:v>
      </x:c>
      <x:c r="P520" s="14" t="str">
        <x:v>SDG 16/17, WJP, V‑Dem</x:v>
      </x:c>
      <x:c r="Q520" s="14" t="str">
        <x:v>Methodischer Platzhalter; konkrete Fach- und Primärdatenquelle erforderlich</x:v>
      </x:c>
      <x:c r="R520" s="14" t="str">
        <x:v>Platzhalter – fachliche Operationalisierung offen</x:v>
      </x:c>
      <x:c r="S520" s="14" t="str">
        <x:v>INT-WOEK-TSROI; SVI-SROI; UN-SDG</x:v>
      </x:c>
      <x:c r="T520" s="14" t="str">
        <x:v>J58/J60/J63 Medien/Plattformen</x:v>
      </x:c>
      <x:c r="U520" s="14" t="str">
        <x:v>Legacy / nicht explizit versioniert</x:v>
      </x:c>
      <x:c r="V520" s="51" t="str"/>
      <x:c r="W520" s="14" t="str">
        <x:v>Migration auf NACE Rev. 2.1 erforderlich</x:v>
      </x:c>
      <x:c r="X520" s="14" t="str">
        <x:v>Programm/Portfolio/Systemraum; Empfängergruppe, Region und Zeitraum explizit definieren</x:v>
      </x:c>
      <x:c r="Y520" s="14" t="str">
        <x:v>Siehe Quelle: Definition gemäß Standard (ESRS/GRI/Taxonomie/ISO).</x:v>
      </x:c>
      <x:c r="Z520" s="14" t="str">
        <x:v>Primärdaten bevorzugt; Sekundärdaten nur transparent und versioniert; Methode und Systemgrenze dokumentieren</x:v>
      </x:c>
      <x:c r="AA520" s="14" t="str">
        <x:v>Limited Assurance; risikobasiert höhere Prüftiefe</x:v>
      </x:c>
      <x:c r="AB520" s="14" t="str">
        <x:v>Fachlogik nicht abschließend operationalisiert</x:v>
      </x:c>
      <x:c r="AC520" s="14" t="str">
        <x:v>Kritisch</x:v>
      </x:c>
      <x:c r="AD520" s="14" t="str">
        <x:v>SROI/SDG 17 ist keine hinreichend konkrete Mess- oder Schwellenquelle. Für sachlogisch nichtnegative Zählwerte ist 0 die schlechteste reguläre Klasse (−2).</x:v>
      </x:c>
      <x:c r="AE520" s="14" t="str">
        <x:v>v1.4</x:v>
      </x:c>
      <x:c r="AF520" s="52" t="str">
        <x:v>2026-08-16</x:v>
      </x:c>
      <x:c r="AG520" s="52"/>
    </x:row>
    <x:row r="521" ht="42" customHeight="1">
      <x:c r="A521" s="14" t="str">
        <x:v>WOK-SYS-185</x:v>
      </x:c>
      <x:c r="B521" s="14" t="str">
        <x:v>SDG+ – Diskurskultur</x:v>
      </x:c>
      <x:c r="C521" s="14" t="str">
        <x:v>—</x:v>
      </x:c>
      <x:c r="D521" s="14" t="str">
        <x:v>Moderations‑Transparenz</x:v>
      </x:c>
      <x:c r="E521" s="14" t="str">
        <x:v>Moderations‑Transparenz – Index</x:v>
      </x:c>
      <x:c r="F521" s="14" t="str">
        <x:v>umsatzgewichteter Index (z. B. Demokratie/Rule of Law)</x:v>
      </x:c>
      <x:c r="G521" s="14" t="str">
        <x:v>0–1</x:v>
      </x:c>
      <x:c r="H521" s="14" t="str">
        <x:v>higher_is_better</x:v>
      </x:c>
      <x:c r="I521" s="14" t="str">
        <x:v>R15</x:v>
      </x:c>
      <x:c r="J521" s="14" t="str">
        <x:v>≥0,8:+3; 0,7–0,79:+2; 0,6–0,69:0; 0,5–0,59:‑2; &lt;0,5:‑3</x:v>
      </x:c>
      <x:c r="K521" s="14" t="str">
        <x:v>Feste WÖk-Kalibrierung</x:v>
      </x:c>
      <x:c r="L521" s="14" t="str">
        <x:v>Arbeitskalibrierung – fachlich zu validieren</x:v>
      </x:c>
      <x:c r="M521" s="14" t="str">
        <x:v>WÖk-interne Klassenlogik</x:v>
      </x:c>
      <x:c r="N521" s="14" t="str">
        <x:v>Optional/Nein</x:v>
      </x:c>
      <x:c r="O521" s="14" t="str">
        <x:v>SROI/SDG17</x:v>
      </x:c>
      <x:c r="P521" s="14" t="str">
        <x:v>SDG 16/17, WJP, V‑Dem</x:v>
      </x:c>
      <x:c r="Q521" s="14" t="str">
        <x:v>Methodischer Platzhalter; konkrete Fach- und Primärdatenquelle erforderlich</x:v>
      </x:c>
      <x:c r="R521" s="14" t="str">
        <x:v>Platzhalter – fachliche Operationalisierung offen</x:v>
      </x:c>
      <x:c r="S521" s="14" t="str">
        <x:v>INT-WOEK-TSROI; SVI-SROI; UN-SDG</x:v>
      </x:c>
      <x:c r="T521" s="14" t="str">
        <x:v>J58/J60/J63 Medien/Plattformen</x:v>
      </x:c>
      <x:c r="U521" s="14" t="str">
        <x:v>Legacy / nicht explizit versioniert</x:v>
      </x:c>
      <x:c r="V521" s="51" t="str"/>
      <x:c r="W521" s="14" t="str">
        <x:v>Migration auf NACE Rev. 2.1 erforderlich</x:v>
      </x:c>
      <x:c r="X521" s="14" t="str">
        <x:v>Programm/Portfolio/Systemraum; Empfängergruppe, Region und Zeitraum explizit definieren</x:v>
      </x:c>
      <x:c r="Y521" s="14" t="str">
        <x:v>Siehe Quelle: Definition gemäß Standard (ESRS/GRI/Taxonomie/ISO).</x:v>
      </x:c>
      <x:c r="Z521" s="14" t="str">
        <x:v>Primärdaten bevorzugt; Sekundärdaten nur transparent und versioniert; Methode und Systemgrenze dokumentieren</x:v>
      </x:c>
      <x:c r="AA521" s="14" t="str">
        <x:v>Limited Assurance; risikobasiert höhere Prüftiefe</x:v>
      </x:c>
      <x:c r="AB521" s="14" t="str">
        <x:v>Fachlogik nicht abschließend operationalisiert</x:v>
      </x:c>
      <x:c r="AC521" s="14" t="str">
        <x:v>Kritisch</x:v>
      </x:c>
      <x:c r="AD521" s="14" t="str">
        <x:v>SROI/SDG 17 ist keine hinreichend konkrete Mess- oder Schwellenquelle. Vollständige fünfstufige numerische Regel.</x:v>
      </x:c>
      <x:c r="AE521" s="14" t="str">
        <x:v>v1.4</x:v>
      </x:c>
      <x:c r="AF521" s="52" t="str">
        <x:v>2026-08-16</x:v>
      </x:c>
      <x:c r="AG521" s="52"/>
    </x:row>
    <x:row r="522" ht="42" customHeight="1">
      <x:c r="A522" s="14" t="str">
        <x:v>WOK-SYS-186</x:v>
      </x:c>
      <x:c r="B522" s="14" t="str">
        <x:v>SDG+ – Diskurskultur</x:v>
      </x:c>
      <x:c r="C522" s="14" t="str">
        <x:v>—</x:v>
      </x:c>
      <x:c r="D522" s="14" t="str">
        <x:v>Moderations‑Transparenz</x:v>
      </x:c>
      <x:c r="E522" s="14" t="str">
        <x:v>Moderations‑Transparenz – Exposure</x:v>
      </x:c>
      <x:c r="F522" s="14" t="str">
        <x:v>Umsatz in Hochrisikoländern</x:v>
      </x:c>
      <x:c r="G522" s="14" t="str">
        <x:v>%</x:v>
      </x:c>
      <x:c r="H522" s="14" t="str">
        <x:v>lower_is_better</x:v>
      </x:c>
      <x:c r="I522" s="14" t="str">
        <x:v>R13</x:v>
      </x:c>
      <x:c r="J522" s="14" t="str">
        <x:v>≤5:+3; 6–10:+2; 11–20:0; 21–30:‑2; &gt;30:‑3</x:v>
      </x:c>
      <x:c r="K522" s="14" t="str">
        <x:v>Feste WÖk-Kalibrierung</x:v>
      </x:c>
      <x:c r="L522" s="14" t="str">
        <x:v>Arbeitskalibrierung – fachlich zu validieren</x:v>
      </x:c>
      <x:c r="M522" s="14" t="str">
        <x:v>WÖk-interne Klassenlogik</x:v>
      </x:c>
      <x:c r="N522" s="14" t="str">
        <x:v>Optional/Nein</x:v>
      </x:c>
      <x:c r="O522" s="14" t="str">
        <x:v>SROI/SDG17</x:v>
      </x:c>
      <x:c r="P522" s="14" t="str">
        <x:v>SDG 16/17, WJP, V‑Dem</x:v>
      </x:c>
      <x:c r="Q522" s="14" t="str">
        <x:v>Methodischer Platzhalter; konkrete Fach- und Primärdatenquelle erforderlich</x:v>
      </x:c>
      <x:c r="R522" s="14" t="str">
        <x:v>Platzhalter – fachliche Operationalisierung offen</x:v>
      </x:c>
      <x:c r="S522" s="14" t="str">
        <x:v>INT-WOEK-TSROI; SVI-SROI; UN-SDG</x:v>
      </x:c>
      <x:c r="T522" s="14" t="str">
        <x:v>J58/J60/J63 Medien/Plattformen</x:v>
      </x:c>
      <x:c r="U522" s="14" t="str">
        <x:v>Legacy / nicht explizit versioniert</x:v>
      </x:c>
      <x:c r="V522" s="51" t="str"/>
      <x:c r="W522" s="14" t="str">
        <x:v>Migration auf NACE Rev. 2.1 erforderlich</x:v>
      </x:c>
      <x:c r="X522" s="14" t="str">
        <x:v>Programm/Portfolio/Systemraum; Empfängergruppe, Region und Zeitraum explizit definieren</x:v>
      </x:c>
      <x:c r="Y522" s="14" t="str">
        <x:v>Siehe Quelle: Definition gemäß Standard (ESRS/GRI/Taxonomie/ISO).</x:v>
      </x:c>
      <x:c r="Z522" s="14" t="str">
        <x:v>Primärdaten bevorzugt; Sekundärdaten nur transparent und versioniert; Methode und Systemgrenze dokumentieren</x:v>
      </x:c>
      <x:c r="AA522" s="14" t="str">
        <x:v>Limited Assurance; risikobasiert höhere Prüftiefe</x:v>
      </x:c>
      <x:c r="AB522" s="14" t="str">
        <x:v>Fachlogik nicht abschließend operationalisiert</x:v>
      </x:c>
      <x:c r="AC522" s="14" t="str">
        <x:v>Kritisch</x:v>
      </x:c>
      <x:c r="AD522" s="14" t="str">
        <x:v>SROI/SDG 17 ist keine hinreichend konkrete Mess- oder Schwellenquelle. Vollständige fünfstufige numerische Regel.</x:v>
      </x:c>
      <x:c r="AE522" s="14" t="str">
        <x:v>v1.4</x:v>
      </x:c>
      <x:c r="AF522" s="52" t="str">
        <x:v>2026-08-16</x:v>
      </x:c>
      <x:c r="AG522" s="52"/>
    </x:row>
    <x:row r="523" ht="42" customHeight="1">
      <x:c r="A523" s="14" t="str">
        <x:v>WOK-SYS-187</x:v>
      </x:c>
      <x:c r="B523" s="14" t="str">
        <x:v>SDG+ – Diskurskultur</x:v>
      </x:c>
      <x:c r="C523" s="14" t="str">
        <x:v>—</x:v>
      </x:c>
      <x:c r="D523" s="14" t="str">
        <x:v>Moderations‑Transparenz</x:v>
      </x:c>
      <x:c r="E523" s="14" t="str">
        <x:v>Moderations‑Transparenz – Kooperationen</x:v>
      </x:c>
      <x:c r="F523" s="14" t="str">
        <x:v>aktive, evaluierte Partnerschaften/Jahr</x:v>
      </x:c>
      <x:c r="G523" s="14" t="str">
        <x:v>#/Jahr</x:v>
      </x:c>
      <x:c r="H523" s="14" t="str">
        <x:v>higher_is_better</x:v>
      </x:c>
      <x:c r="I523" s="14" t="str">
        <x:v>R20</x:v>
      </x:c>
      <x:c r="J523" s="14" t="str">
        <x:v>≥5:+3; 3–4:+2; 1–2:0; 0:‑2</x:v>
      </x:c>
      <x:c r="K523" s="14" t="str">
        <x:v>Feste WÖk-Grobkalibrierung</x:v>
      </x:c>
      <x:c r="L523" s="14" t="str">
        <x:v>Klasse −3 nur für negative/unzulässige Werte ergänzt</x:v>
      </x:c>
      <x:c r="M523" s="14" t="str">
        <x:v>WÖk-interne Grobkalibrierung</x:v>
      </x:c>
      <x:c r="N523" s="14" t="str">
        <x:v>Optional/Nein</x:v>
      </x:c>
      <x:c r="O523" s="14" t="str">
        <x:v>SROI/SDG17</x:v>
      </x:c>
      <x:c r="P523" s="14" t="str">
        <x:v>SDG 16/17, WJP, V‑Dem</x:v>
      </x:c>
      <x:c r="Q523" s="14" t="str">
        <x:v>Methodischer Platzhalter; konkrete Fach- und Primärdatenquelle erforderlich</x:v>
      </x:c>
      <x:c r="R523" s="14" t="str">
        <x:v>Platzhalter – fachliche Operationalisierung offen</x:v>
      </x:c>
      <x:c r="S523" s="14" t="str">
        <x:v>INT-WOEK-TSROI; SVI-SROI; UN-SDG</x:v>
      </x:c>
      <x:c r="T523" s="14" t="str">
        <x:v>J58/J60/J63 Medien/Plattformen</x:v>
      </x:c>
      <x:c r="U523" s="14" t="str">
        <x:v>Legacy / nicht explizit versioniert</x:v>
      </x:c>
      <x:c r="V523" s="51" t="str"/>
      <x:c r="W523" s="14" t="str">
        <x:v>Migration auf NACE Rev. 2.1 erforderlich</x:v>
      </x:c>
      <x:c r="X523" s="14" t="str">
        <x:v>Programm/Portfolio/Systemraum; Empfängergruppe, Region und Zeitraum explizit definieren</x:v>
      </x:c>
      <x:c r="Y523" s="14" t="str">
        <x:v>Siehe Quelle: Definition gemäß Standard (ESRS/GRI/Taxonomie/ISO).</x:v>
      </x:c>
      <x:c r="Z523" s="14" t="str">
        <x:v>Primärdaten bevorzugt; Sekundärdaten nur transparent und versioniert; Methode und Systemgrenze dokumentieren</x:v>
      </x:c>
      <x:c r="AA523" s="14" t="str">
        <x:v>Limited Assurance; risikobasiert höhere Prüftiefe</x:v>
      </x:c>
      <x:c r="AB523" s="14" t="str">
        <x:v>Fachlogik nicht abschließend operationalisiert</x:v>
      </x:c>
      <x:c r="AC523" s="14" t="str">
        <x:v>Kritisch</x:v>
      </x:c>
      <x:c r="AD523" s="14" t="str">
        <x:v>SROI/SDG 17 ist keine hinreichend konkrete Mess- oder Schwellenquelle. Für sachlogisch nichtnegative Zählwerte ist 0 die schlechteste reguläre Klasse (−2).</x:v>
      </x:c>
      <x:c r="AE523" s="14" t="str">
        <x:v>v1.4</x:v>
      </x:c>
      <x:c r="AF523" s="52" t="str">
        <x:v>2026-08-16</x:v>
      </x:c>
      <x:c r="AG523" s="52"/>
    </x:row>
    <x:row r="524" ht="42" customHeight="1">
      <x:c r="A524" s="14" t="str">
        <x:v>WOK-G-215</x:v>
      </x:c>
      <x:c r="B524" s="14" t="str">
        <x:v>SDG+ – Diskurskultur</x:v>
      </x:c>
      <x:c r="C524" s="14" t="str">
        <x:v>—</x:v>
      </x:c>
      <x:c r="D524" s="14" t="str">
        <x:v>Algorithmen‑Audit</x:v>
      </x:c>
      <x:c r="E524" s="14" t="str">
        <x:v>Algorithmen‑Audit – Antikorruption</x:v>
      </x:c>
      <x:c r="F524" s="14" t="str">
        <x:v>Bestätigte Fälle/1.000 FTE</x:v>
      </x:c>
      <x:c r="G524" s="14" t="str">
        <x:v>Fälle/1.000 FTE</x:v>
      </x:c>
      <x:c r="H524" s="14" t="str">
        <x:v>lower_is_better</x:v>
      </x:c>
      <x:c r="I524" s="14" t="str">
        <x:v>R01</x:v>
      </x:c>
      <x:c r="J524" s="14" t="str">
        <x:v>0:+3; ≤0,2:+2; ≤0,5:0; ≤1:‑2; &gt;1:‑3</x:v>
      </x:c>
      <x:c r="K524" s="14" t="str">
        <x:v>Feste WÖk-Kalibrierung</x:v>
      </x:c>
      <x:c r="L524" s="14" t="str">
        <x:v>Arbeitskalibrierung – fachlich zu validieren</x:v>
      </x:c>
      <x:c r="M524" s="14" t="str">
        <x:v>WÖk-interne Klassenlogik</x:v>
      </x:c>
      <x:c r="N524" s="14" t="str">
        <x:v>Optional/Nein</x:v>
      </x:c>
      <x:c r="O524" s="14" t="str">
        <x:v>ESRS G1; GRI 205/207</x:v>
      </x:c>
      <x:c r="P524" s="14" t="str">
        <x:v>ESRS S2, GRI 308/414, OECD Due Diligence</x:v>
      </x:c>
      <x:c r="Q524" s="14" t="str">
        <x:v>Mess-, Berichts- oder Managementrahmen; Schwellen sind grundsätzlich WÖk-Kalibrierungen</x:v>
      </x:c>
      <x:c r="R524" s="14" t="str">
        <x:v>Messgrundlage belegt; Schwellenkalibrierung offen</x:v>
      </x:c>
      <x:c r="S524" s="14" t="str">
        <x:v>EU-ESRS; GRI; OECD-AB</x:v>
      </x:c>
      <x:c r="T524" s="14" t="str">
        <x:v>J58/J60/J63 Medien/Plattformen</x:v>
      </x:c>
      <x:c r="U524" s="14" t="str">
        <x:v>Legacy / nicht explizit versioniert</x:v>
      </x:c>
      <x:c r="V524" s="51" t="str"/>
      <x:c r="W524" s="14" t="str">
        <x:v>Migration auf NACE Rev. 2.1 erforderlich</x:v>
      </x:c>
      <x:c r="X524" s="14" t="str">
        <x:v>Organisation/Governance; konsolidierter Kreis und relevante Rechtseinheiten</x:v>
      </x:c>
      <x:c r="Y524" s="14" t="str">
        <x:v>Siehe Quelle: Definition gemäß Standard (ESRS/GRI/Taxonomie/ISO).</x:v>
      </x:c>
      <x:c r="Z524" s="14" t="str">
        <x:v>Primärdaten bevorzugt; Sekundärdaten nur transparent und versioniert; Methode und Systemgrenze dokumentieren</x:v>
      </x:c>
      <x:c r="AA524" s="14" t="str">
        <x:v>Limited Assurance; risikobasiert höhere Prüftiefe</x:v>
      </x:c>
      <x:c r="AB524" s="14" t="str">
        <x:v>Strukturell nutzbar; Schwellen fachlich zu validieren</x:v>
      </x:c>
      <x:c r="AC524" s="14" t="str">
        <x:v>Mittel</x:v>
      </x:c>
      <x:c r="AD524" s="14" t="str">
        <x:v>Vollständige fünfstufige numerische Regel.</x:v>
      </x:c>
      <x:c r="AE524" s="14" t="str">
        <x:v>v1.4</x:v>
      </x:c>
      <x:c r="AF524" s="52" t="str">
        <x:v>2026-08-16</x:v>
      </x:c>
      <x:c r="AG524" s="52"/>
    </x:row>
    <x:row r="525" ht="42" customHeight="1">
      <x:c r="A525" s="14" t="str">
        <x:v>WOK-G-216</x:v>
      </x:c>
      <x:c r="B525" s="14" t="str">
        <x:v>SDG+ – Diskurskultur</x:v>
      </x:c>
      <x:c r="C525" s="14" t="str">
        <x:v>—</x:v>
      </x:c>
      <x:c r="D525" s="14" t="str">
        <x:v>Algorithmen‑Audit</x:v>
      </x:c>
      <x:c r="E525" s="14" t="str">
        <x:v>Algorithmen‑Audit – Whistleblowing</x:v>
      </x:c>
      <x:c r="F525" s="14" t="str">
        <x:v>Wirksamkeits‑Score</x:v>
      </x:c>
      <x:c r="G525" s="14" t="str">
        <x:v>0–1</x:v>
      </x:c>
      <x:c r="H525" s="14" t="str">
        <x:v>higher_is_better</x:v>
      </x:c>
      <x:c r="I525" s="14" t="str">
        <x:v>R16</x:v>
      </x:c>
      <x:c r="J525" s="14" t="str">
        <x:v>≥0,9:+3; 0,75–0,89:+2; 0,6–0,74:0; 0,4–0,59:‑2; &lt;0,4:‑3</x:v>
      </x:c>
      <x:c r="K525" s="14" t="str">
        <x:v>Feste WÖk-Kalibrierung</x:v>
      </x:c>
      <x:c r="L525" s="14" t="str">
        <x:v>Arbeitskalibrierung – fachlich zu validieren</x:v>
      </x:c>
      <x:c r="M525" s="14" t="str">
        <x:v>WÖk-interne Klassenlogik</x:v>
      </x:c>
      <x:c r="N525" s="14" t="str">
        <x:v>Optional/Nein</x:v>
      </x:c>
      <x:c r="O525" s="14" t="str">
        <x:v>ESRS G1; GRI 205/207</x:v>
      </x:c>
      <x:c r="P525" s="14" t="str">
        <x:v>ESRS S2, GRI 308/414, OECD Due Diligence</x:v>
      </x:c>
      <x:c r="Q525" s="14" t="str">
        <x:v>Mess-, Berichts- oder Managementrahmen; Schwellen sind grundsätzlich WÖk-Kalibrierungen</x:v>
      </x:c>
      <x:c r="R525" s="14" t="str">
        <x:v>Messgrundlage belegt; Schwellenkalibrierung offen</x:v>
      </x:c>
      <x:c r="S525" s="14" t="str">
        <x:v>EU-ESRS; GRI; OECD-AB</x:v>
      </x:c>
      <x:c r="T525" s="14" t="str">
        <x:v>J58/J60/J63 Medien/Plattformen</x:v>
      </x:c>
      <x:c r="U525" s="14" t="str">
        <x:v>Legacy / nicht explizit versioniert</x:v>
      </x:c>
      <x:c r="V525" s="51" t="str"/>
      <x:c r="W525" s="14" t="str">
        <x:v>Migration auf NACE Rev. 2.1 erforderlich</x:v>
      </x:c>
      <x:c r="X525" s="14" t="str">
        <x:v>Organisation/Governance; konsolidierter Kreis und relevante Rechtseinheiten</x:v>
      </x:c>
      <x:c r="Y525" s="14" t="str">
        <x:v>Siehe Quelle: Definition gemäß Standard (ESRS/GRI/Taxonomie/ISO).</x:v>
      </x:c>
      <x:c r="Z525" s="14" t="str">
        <x:v>Primärdaten bevorzugt; Sekundärdaten nur transparent und versioniert; Methode und Systemgrenze dokumentieren</x:v>
      </x:c>
      <x:c r="AA525" s="14" t="str">
        <x:v>Limited Assurance; risikobasiert höhere Prüftiefe</x:v>
      </x:c>
      <x:c r="AB525" s="14" t="str">
        <x:v>Strukturell nutzbar; Schwellen fachlich zu validieren</x:v>
      </x:c>
      <x:c r="AC525" s="14" t="str">
        <x:v>Mittel</x:v>
      </x:c>
      <x:c r="AD525" s="14" t="str">
        <x:v>Vollständige fünfstufige numerische Regel.</x:v>
      </x:c>
      <x:c r="AE525" s="14" t="str">
        <x:v>v1.4</x:v>
      </x:c>
      <x:c r="AF525" s="52" t="str">
        <x:v>2026-08-16</x:v>
      </x:c>
      <x:c r="AG525" s="52"/>
    </x:row>
    <x:row r="526" ht="42" customHeight="1">
      <x:c r="A526" s="14" t="str">
        <x:v>WOK-G-217</x:v>
      </x:c>
      <x:c r="B526" s="14" t="str">
        <x:v>SDG+ – Diskurskultur</x:v>
      </x:c>
      <x:c r="C526" s="14" t="str">
        <x:v>—</x:v>
      </x:c>
      <x:c r="D526" s="14" t="str">
        <x:v>Algorithmen‑Audit</x:v>
      </x:c>
      <x:c r="E526" s="14" t="str">
        <x:v>Algorithmen‑Audit – Steuertransparenz</x:v>
      </x:c>
      <x:c r="F526" s="14" t="str">
        <x:v>CbCR‑Offenlegung</x:v>
      </x:c>
      <x:c r="G526" s="14" t="str">
        <x:v>0–1</x:v>
      </x:c>
      <x:c r="H526" s="14" t="str">
        <x:v>higher_is_better</x:v>
      </x:c>
      <x:c r="I526" s="14" t="str">
        <x:v>R08</x:v>
      </x:c>
      <x:c r="J526" s="14" t="str">
        <x:v>vollständig:+3; teilweise:+2; minimal:0; schlecht:‑2</x:v>
      </x:c>
      <x:c r="K526" s="14" t="str">
        <x:v>Qualitativ</x:v>
      </x:c>
      <x:c r="L526" s="14" t="str">
        <x:v>Assurance und Kriterienkatalog erforderlich</x:v>
      </x:c>
      <x:c r="M526" s="14" t="str">
        <x:v>WÖk-interne Kategorien</x:v>
      </x:c>
      <x:c r="N526" s="14" t="str">
        <x:v>Optional/Nein</x:v>
      </x:c>
      <x:c r="O526" s="14" t="str">
        <x:v>ESRS G1; GRI 205/207</x:v>
      </x:c>
      <x:c r="P526" s="14" t="str">
        <x:v>ESRS S2, GRI 308/414, OECD Due Diligence</x:v>
      </x:c>
      <x:c r="Q526" s="14" t="str">
        <x:v>Mess-, Berichts- oder Managementrahmen; Schwellen sind grundsätzlich WÖk-Kalibrierungen</x:v>
      </x:c>
      <x:c r="R526" s="14" t="str">
        <x:v>Messgrundlage belegt; Schwellenkalibrierung offen</x:v>
      </x:c>
      <x:c r="S526" s="14" t="str">
        <x:v>EU-ESRS; GRI; OECD-AB</x:v>
      </x:c>
      <x:c r="T526" s="14" t="str">
        <x:v>J58/J60/J63 Medien/Plattformen</x:v>
      </x:c>
      <x:c r="U526" s="14" t="str">
        <x:v>Legacy / nicht explizit versioniert</x:v>
      </x:c>
      <x:c r="V526" s="51" t="str"/>
      <x:c r="W526" s="14" t="str">
        <x:v>Migration auf NACE Rev. 2.1 erforderlich</x:v>
      </x:c>
      <x:c r="X526" s="14" t="str">
        <x:v>Organisation/Governance; konsolidierter Kreis und relevante Rechtseinheiten</x:v>
      </x:c>
      <x:c r="Y526" s="14" t="str">
        <x:v>Siehe Quelle: Definition gemäß Standard (ESRS/GRI/Taxonomie/ISO).</x:v>
      </x:c>
      <x:c r="Z526" s="14" t="str">
        <x:v>Dokumentierter Kriterienkatalog; nachvollziehbare Evidenz; DQR A/B bevorzugt</x:v>
      </x:c>
      <x:c r="AA526" s="14" t="str">
        <x:v>Unabhängige Fachprüfung/Limited Assurance; bei roten Linien Reasonable Assurance</x:v>
      </x:c>
      <x:c r="AB526" s="14" t="str">
        <x:v>Prüfung/Parametrisierung erforderlich</x:v>
      </x:c>
      <x:c r="AC526" s="14" t="str">
        <x:v>Hoch</x:v>
      </x:c>
      <x:c r="AD526" s="14" t="str">
        <x:v>Die Kategorie −3 fehlt; Vollständigkeit und Wirksamkeit sind feldspezifisch zu definieren.</x:v>
      </x:c>
      <x:c r="AE526" s="14" t="str">
        <x:v>v1.4</x:v>
      </x:c>
      <x:c r="AF526" s="52" t="str">
        <x:v>2026-08-16</x:v>
      </x:c>
      <x:c r="AG526" s="52"/>
    </x:row>
    <x:row r="527" ht="42" customHeight="1">
      <x:c r="A527" s="14" t="str">
        <x:v>WOK-SYS-188</x:v>
      </x:c>
      <x:c r="B527" s="14" t="str">
        <x:v>SDG+ – Diskurskultur</x:v>
      </x:c>
      <x:c r="C527" s="14" t="str">
        <x:v>—</x:v>
      </x:c>
      <x:c r="D527" s="14" t="str">
        <x:v>Zugang marginalisierte Gruppen</x:v>
      </x:c>
      <x:c r="E527" s="14" t="str">
        <x:v>Zugang marginalisierte Gruppen – Index</x:v>
      </x:c>
      <x:c r="F527" s="14" t="str">
        <x:v>umsatzgewichteter Index (z. B. Demokratie/Rule of Law)</x:v>
      </x:c>
      <x:c r="G527" s="14" t="str">
        <x:v>0–1</x:v>
      </x:c>
      <x:c r="H527" s="14" t="str">
        <x:v>higher_is_better</x:v>
      </x:c>
      <x:c r="I527" s="14" t="str">
        <x:v>R15</x:v>
      </x:c>
      <x:c r="J527" s="14" t="str">
        <x:v>≥0,8:+3; 0,7–0,79:+2; 0,6–0,69:0; 0,5–0,59:‑2; &lt;0,5:‑3</x:v>
      </x:c>
      <x:c r="K527" s="14" t="str">
        <x:v>Feste WÖk-Kalibrierung</x:v>
      </x:c>
      <x:c r="L527" s="14" t="str">
        <x:v>Arbeitskalibrierung – fachlich zu validieren</x:v>
      </x:c>
      <x:c r="M527" s="14" t="str">
        <x:v>WÖk-interne Klassenlogik</x:v>
      </x:c>
      <x:c r="N527" s="14" t="str">
        <x:v>Optional/Nein</x:v>
      </x:c>
      <x:c r="O527" s="14" t="str">
        <x:v>SROI/SDG17</x:v>
      </x:c>
      <x:c r="P527" s="14" t="str">
        <x:v>SDG 16/17, WJP, V‑Dem</x:v>
      </x:c>
      <x:c r="Q527" s="14" t="str">
        <x:v>Methodischer Platzhalter; konkrete Fach- und Primärdatenquelle erforderlich</x:v>
      </x:c>
      <x:c r="R527" s="14" t="str">
        <x:v>Platzhalter – fachliche Operationalisierung offen</x:v>
      </x:c>
      <x:c r="S527" s="14" t="str">
        <x:v>INT-WOEK-TSROI; SVI-SROI; UN-SDG</x:v>
      </x:c>
      <x:c r="T527" s="14" t="str">
        <x:v>G47 Handel; K Versicherungen; M72 F&amp;E</x:v>
      </x:c>
      <x:c r="U527" s="14" t="str">
        <x:v>Legacy / nicht explizit versioniert</x:v>
      </x:c>
      <x:c r="V527" s="51" t="str"/>
      <x:c r="W527" s="14" t="str">
        <x:v>Migration auf NACE Rev. 2.1 erforderlich</x:v>
      </x:c>
      <x:c r="X527" s="14" t="str">
        <x:v>Programm/Portfolio/Systemraum; Empfängergruppe, Region und Zeitraum explizit definieren</x:v>
      </x:c>
      <x:c r="Y527" s="14" t="str">
        <x:v>Siehe Quelle: Definition gemäß Standard (ESRS/GRI/Taxonomie/ISO).</x:v>
      </x:c>
      <x:c r="Z527" s="14" t="str">
        <x:v>Primärdaten bevorzugt; Sekundärdaten nur transparent und versioniert; Methode und Systemgrenze dokumentieren</x:v>
      </x:c>
      <x:c r="AA527" s="14" t="str">
        <x:v>Limited Assurance; risikobasiert höhere Prüftiefe</x:v>
      </x:c>
      <x:c r="AB527" s="14" t="str">
        <x:v>Fachlogik nicht abschließend operationalisiert</x:v>
      </x:c>
      <x:c r="AC527" s="14" t="str">
        <x:v>Kritisch</x:v>
      </x:c>
      <x:c r="AD527" s="14" t="str">
        <x:v>SROI/SDG 17 ist keine hinreichend konkrete Mess- oder Schwellenquelle. Vollständige fünfstufige numerische Regel.</x:v>
      </x:c>
      <x:c r="AE527" s="14" t="str">
        <x:v>v1.4</x:v>
      </x:c>
      <x:c r="AF527" s="52" t="str">
        <x:v>2026-08-16</x:v>
      </x:c>
      <x:c r="AG527" s="52"/>
    </x:row>
    <x:row r="528" ht="42" customHeight="1">
      <x:c r="A528" s="14" t="str">
        <x:v>WOK-SYS-189</x:v>
      </x:c>
      <x:c r="B528" s="14" t="str">
        <x:v>SDG+ – Diskurskultur</x:v>
      </x:c>
      <x:c r="C528" s="14" t="str">
        <x:v>—</x:v>
      </x:c>
      <x:c r="D528" s="14" t="str">
        <x:v>Zugang marginalisierte Gruppen</x:v>
      </x:c>
      <x:c r="E528" s="14" t="str">
        <x:v>Zugang marginalisierte Gruppen – Exposure</x:v>
      </x:c>
      <x:c r="F528" s="14" t="str">
        <x:v>Umsatz in Hochrisikoländern</x:v>
      </x:c>
      <x:c r="G528" s="14" t="str">
        <x:v>%</x:v>
      </x:c>
      <x:c r="H528" s="14" t="str">
        <x:v>lower_is_better</x:v>
      </x:c>
      <x:c r="I528" s="14" t="str">
        <x:v>R13</x:v>
      </x:c>
      <x:c r="J528" s="14" t="str">
        <x:v>≤5:+3; 6–10:+2; 11–20:0; 21–30:‑2; &gt;30:‑3</x:v>
      </x:c>
      <x:c r="K528" s="14" t="str">
        <x:v>Feste WÖk-Kalibrierung</x:v>
      </x:c>
      <x:c r="L528" s="14" t="str">
        <x:v>Arbeitskalibrierung – fachlich zu validieren</x:v>
      </x:c>
      <x:c r="M528" s="14" t="str">
        <x:v>WÖk-interne Klassenlogik</x:v>
      </x:c>
      <x:c r="N528" s="14" t="str">
        <x:v>Optional/Nein</x:v>
      </x:c>
      <x:c r="O528" s="14" t="str">
        <x:v>SROI/SDG17</x:v>
      </x:c>
      <x:c r="P528" s="14" t="str">
        <x:v>SROI/SDG17</x:v>
      </x:c>
      <x:c r="Q528" s="14" t="str">
        <x:v>Methodischer Platzhalter; konkrete Fach- und Primärdatenquelle erforderlich</x:v>
      </x:c>
      <x:c r="R528" s="14" t="str">
        <x:v>Platzhalter – fachliche Operationalisierung offen</x:v>
      </x:c>
      <x:c r="S528" s="14" t="str">
        <x:v>INT-WOEK-TSROI; SVI-SROI; UN-SDG</x:v>
      </x:c>
      <x:c r="T528" s="14" t="str">
        <x:v>G47 Handel; K Versicherungen; M72 F&amp;E</x:v>
      </x:c>
      <x:c r="U528" s="14" t="str">
        <x:v>Legacy / nicht explizit versioniert</x:v>
      </x:c>
      <x:c r="V528" s="51" t="str"/>
      <x:c r="W528" s="14" t="str">
        <x:v>Migration auf NACE Rev. 2.1 erforderlich</x:v>
      </x:c>
      <x:c r="X528" s="14" t="str">
        <x:v>Programm/Portfolio/Systemraum; Empfängergruppe, Region und Zeitraum explizit definieren</x:v>
      </x:c>
      <x:c r="Y528" s="14" t="str">
        <x:v>Siehe Quelle: Definition gemäß Standard (ESRS/GRI/Taxonomie/ISO).</x:v>
      </x:c>
      <x:c r="Z528" s="14" t="str">
        <x:v>Primärdaten bevorzugt; Sekundärdaten nur transparent und versioniert; Methode und Systemgrenze dokumentieren</x:v>
      </x:c>
      <x:c r="AA528" s="14" t="str">
        <x:v>Limited Assurance; risikobasiert höhere Prüftiefe</x:v>
      </x:c>
      <x:c r="AB528" s="14" t="str">
        <x:v>Fachlogik nicht abschließend operationalisiert</x:v>
      </x:c>
      <x:c r="AC528" s="14" t="str">
        <x:v>Kritisch</x:v>
      </x:c>
      <x:c r="AD528" s="14" t="str">
        <x:v>SROI/SDG 17 ist keine hinreichend konkrete Mess- oder Schwellenquelle. Vollständige fünfstufige numerische Regel.</x:v>
      </x:c>
      <x:c r="AE528" s="14" t="str">
        <x:v>v1.4</x:v>
      </x:c>
      <x:c r="AF528" s="52" t="str">
        <x:v>2026-08-16</x:v>
      </x:c>
      <x:c r="AG528" s="52"/>
    </x:row>
    <x:row r="529" ht="42" customHeight="1">
      <x:c r="A529" s="14" t="str">
        <x:v>WOK-SYS-190</x:v>
      </x:c>
      <x:c r="B529" s="14" t="str">
        <x:v>SDG+ – Diskurskultur</x:v>
      </x:c>
      <x:c r="C529" s="14" t="str">
        <x:v>—</x:v>
      </x:c>
      <x:c r="D529" s="14" t="str">
        <x:v>Zugang marginalisierte Gruppen</x:v>
      </x:c>
      <x:c r="E529" s="14" t="str">
        <x:v>Zugang marginalisierte Gruppen – Kooperationen</x:v>
      </x:c>
      <x:c r="F529" s="14" t="str">
        <x:v>aktive, evaluierte Partnerschaften/Jahr</x:v>
      </x:c>
      <x:c r="G529" s="14" t="str">
        <x:v>#/Jahr</x:v>
      </x:c>
      <x:c r="H529" s="14" t="str">
        <x:v>higher_is_better</x:v>
      </x:c>
      <x:c r="I529" s="14" t="str">
        <x:v>R20</x:v>
      </x:c>
      <x:c r="J529" s="14" t="str">
        <x:v>≥5:+3; 3–4:+2; 1–2:0; 0:‑2</x:v>
      </x:c>
      <x:c r="K529" s="14" t="str">
        <x:v>Feste WÖk-Grobkalibrierung</x:v>
      </x:c>
      <x:c r="L529" s="14" t="str">
        <x:v>Klasse −3 nur für negative/unzulässige Werte ergänzt</x:v>
      </x:c>
      <x:c r="M529" s="14" t="str">
        <x:v>WÖk-interne Grobkalibrierung</x:v>
      </x:c>
      <x:c r="N529" s="14" t="str">
        <x:v>Optional/Nein</x:v>
      </x:c>
      <x:c r="O529" s="14" t="str">
        <x:v>SROI/SDG17</x:v>
      </x:c>
      <x:c r="P529" s="14" t="str">
        <x:v>SDG 16/17, WJP, V‑Dem</x:v>
      </x:c>
      <x:c r="Q529" s="14" t="str">
        <x:v>Methodischer Platzhalter; konkrete Fach- und Primärdatenquelle erforderlich</x:v>
      </x:c>
      <x:c r="R529" s="14" t="str">
        <x:v>Platzhalter – fachliche Operationalisierung offen</x:v>
      </x:c>
      <x:c r="S529" s="14" t="str">
        <x:v>INT-WOEK-TSROI; SVI-SROI; UN-SDG</x:v>
      </x:c>
      <x:c r="T529" s="14" t="str">
        <x:v>G47 Handel; K Versicherungen; M72 F&amp;E</x:v>
      </x:c>
      <x:c r="U529" s="14" t="str">
        <x:v>Legacy / nicht explizit versioniert</x:v>
      </x:c>
      <x:c r="V529" s="51" t="str"/>
      <x:c r="W529" s="14" t="str">
        <x:v>Migration auf NACE Rev. 2.1 erforderlich</x:v>
      </x:c>
      <x:c r="X529" s="14" t="str">
        <x:v>Programm/Portfolio/Systemraum; Empfängergruppe, Region und Zeitraum explizit definieren</x:v>
      </x:c>
      <x:c r="Y529" s="14" t="str">
        <x:v>Siehe Quelle: Definition gemäß Standard (ESRS/GRI/Taxonomie/ISO).</x:v>
      </x:c>
      <x:c r="Z529" s="14" t="str">
        <x:v>Primärdaten bevorzugt; Sekundärdaten nur transparent und versioniert; Methode und Systemgrenze dokumentieren</x:v>
      </x:c>
      <x:c r="AA529" s="14" t="str">
        <x:v>Limited Assurance; risikobasiert höhere Prüftiefe</x:v>
      </x:c>
      <x:c r="AB529" s="14" t="str">
        <x:v>Fachlogik nicht abschließend operationalisiert</x:v>
      </x:c>
      <x:c r="AC529" s="14" t="str">
        <x:v>Kritisch</x:v>
      </x:c>
      <x:c r="AD529" s="14" t="str">
        <x:v>SROI/SDG 17 ist keine hinreichend konkrete Mess- oder Schwellenquelle. Für sachlogisch nichtnegative Zählwerte ist 0 die schlechteste reguläre Klasse (−2).</x:v>
      </x:c>
      <x:c r="AE529" s="14" t="str">
        <x:v>v1.4</x:v>
      </x:c>
      <x:c r="AF529" s="52" t="str">
        <x:v>2026-08-16</x:v>
      </x:c>
      <x:c r="AG529" s="52"/>
    </x:row>
    <x:row r="530" ht="42" customHeight="1">
      <x:c r="A530" s="14" t="str">
        <x:v>WOK-G-218</x:v>
      </x:c>
      <x:c r="B530" s="14" t="str">
        <x:v>SDG+ – Diskurskultur</x:v>
      </x:c>
      <x:c r="C530" s="14" t="str">
        <x:v>—</x:v>
      </x:c>
      <x:c r="D530" s="14" t="str">
        <x:v>Werbe‑Ethik/Targeting</x:v>
      </x:c>
      <x:c r="E530" s="14" t="str">
        <x:v>Werbe‑Ethik/Targeting – Antikorruption</x:v>
      </x:c>
      <x:c r="F530" s="14" t="str">
        <x:v>Bestätigte Fälle/1.000 FTE</x:v>
      </x:c>
      <x:c r="G530" s="14" t="str">
        <x:v>Fälle/1.000 FTE</x:v>
      </x:c>
      <x:c r="H530" s="14" t="str">
        <x:v>lower_is_better</x:v>
      </x:c>
      <x:c r="I530" s="14" t="str">
        <x:v>R01</x:v>
      </x:c>
      <x:c r="J530" s="14" t="str">
        <x:v>0:+3; ≤0,2:+2; ≤0,5:0; ≤1:‑2; &gt;1:‑3</x:v>
      </x:c>
      <x:c r="K530" s="14" t="str">
        <x:v>Feste WÖk-Kalibrierung</x:v>
      </x:c>
      <x:c r="L530" s="14" t="str">
        <x:v>Arbeitskalibrierung – fachlich zu validieren</x:v>
      </x:c>
      <x:c r="M530" s="14" t="str">
        <x:v>WÖk-interne Klassenlogik</x:v>
      </x:c>
      <x:c r="N530" s="14" t="str">
        <x:v>Optional/Nein</x:v>
      </x:c>
      <x:c r="O530" s="14" t="str">
        <x:v>ESRS G1; GRI 205/207</x:v>
      </x:c>
      <x:c r="P530" s="14" t="str">
        <x:v>ESRS G1, GRI 205/207, OECD Anti‑Bribery</x:v>
      </x:c>
      <x:c r="Q530" s="14" t="str">
        <x:v>Mess-, Berichts- oder Managementrahmen; Schwellen sind grundsätzlich WÖk-Kalibrierungen</x:v>
      </x:c>
      <x:c r="R530" s="14" t="str">
        <x:v>Messgrundlage belegt; Schwellenkalibrierung offen</x:v>
      </x:c>
      <x:c r="S530" s="14" t="str">
        <x:v>EU-ESRS; GRI; OECD-AB</x:v>
      </x:c>
      <x:c r="T530" s="14" t="str">
        <x:v>J58/J60/J63 Medien/Plattformen</x:v>
      </x:c>
      <x:c r="U530" s="14" t="str">
        <x:v>Legacy / nicht explizit versioniert</x:v>
      </x:c>
      <x:c r="V530" s="51" t="str"/>
      <x:c r="W530" s="14" t="str">
        <x:v>Migration auf NACE Rev. 2.1 erforderlich</x:v>
      </x:c>
      <x:c r="X530" s="14" t="str">
        <x:v>Organisation/Governance; konsolidierter Kreis und relevante Rechtseinheiten</x:v>
      </x:c>
      <x:c r="Y530" s="14" t="str">
        <x:v>Siehe Quelle: Definition gemäß Standard (ESRS/GRI/Taxonomie/ISO).</x:v>
      </x:c>
      <x:c r="Z530" s="14" t="str">
        <x:v>Primärdaten bevorzugt; Sekundärdaten nur transparent und versioniert; Methode und Systemgrenze dokumentieren</x:v>
      </x:c>
      <x:c r="AA530" s="14" t="str">
        <x:v>Limited Assurance; risikobasiert höhere Prüftiefe</x:v>
      </x:c>
      <x:c r="AB530" s="14" t="str">
        <x:v>Strukturell nutzbar; Schwellen fachlich zu validieren</x:v>
      </x:c>
      <x:c r="AC530" s="14" t="str">
        <x:v>Mittel</x:v>
      </x:c>
      <x:c r="AD530" s="14" t="str">
        <x:v>Vollständige fünfstufige numerische Regel.</x:v>
      </x:c>
      <x:c r="AE530" s="14" t="str">
        <x:v>v1.4</x:v>
      </x:c>
      <x:c r="AF530" s="52" t="str">
        <x:v>2026-08-16</x:v>
      </x:c>
      <x:c r="AG530" s="52"/>
    </x:row>
    <x:row r="531" ht="42" customHeight="1">
      <x:c r="A531" s="14" t="str">
        <x:v>WOK-G-219</x:v>
      </x:c>
      <x:c r="B531" s="14" t="str">
        <x:v>SDG+ – Diskurskultur</x:v>
      </x:c>
      <x:c r="C531" s="14" t="str">
        <x:v>—</x:v>
      </x:c>
      <x:c r="D531" s="14" t="str">
        <x:v>Werbe‑Ethik/Targeting</x:v>
      </x:c>
      <x:c r="E531" s="14" t="str">
        <x:v>Werbe‑Ethik/Targeting – Whistleblowing</x:v>
      </x:c>
      <x:c r="F531" s="14" t="str">
        <x:v>Wirksamkeits‑Score</x:v>
      </x:c>
      <x:c r="G531" s="14" t="str">
        <x:v>0–1</x:v>
      </x:c>
      <x:c r="H531" s="14" t="str">
        <x:v>higher_is_better</x:v>
      </x:c>
      <x:c r="I531" s="14" t="str">
        <x:v>R16</x:v>
      </x:c>
      <x:c r="J531" s="14" t="str">
        <x:v>≥0,9:+3; 0,75–0,89:+2; 0,6–0,74:0; 0,4–0,59:‑2; &lt;0,4:‑3</x:v>
      </x:c>
      <x:c r="K531" s="14" t="str">
        <x:v>Feste WÖk-Kalibrierung</x:v>
      </x:c>
      <x:c r="L531" s="14" t="str">
        <x:v>Arbeitskalibrierung – fachlich zu validieren</x:v>
      </x:c>
      <x:c r="M531" s="14" t="str">
        <x:v>WÖk-interne Klassenlogik</x:v>
      </x:c>
      <x:c r="N531" s="14" t="str">
        <x:v>Optional/Nein</x:v>
      </x:c>
      <x:c r="O531" s="14" t="str">
        <x:v>ESRS G1; GRI 205/207</x:v>
      </x:c>
      <x:c r="P531" s="14" t="str">
        <x:v>ESRS G1, GRI 205/207, OECD Anti‑Bribery</x:v>
      </x:c>
      <x:c r="Q531" s="14" t="str">
        <x:v>Mess-, Berichts- oder Managementrahmen; Schwellen sind grundsätzlich WÖk-Kalibrierungen</x:v>
      </x:c>
      <x:c r="R531" s="14" t="str">
        <x:v>Messgrundlage belegt; Schwellenkalibrierung offen</x:v>
      </x:c>
      <x:c r="S531" s="14" t="str">
        <x:v>EU-ESRS; GRI; OECD-AB</x:v>
      </x:c>
      <x:c r="T531" s="14" t="str">
        <x:v>J58/J60/J63 Medien/Plattformen</x:v>
      </x:c>
      <x:c r="U531" s="14" t="str">
        <x:v>Legacy / nicht explizit versioniert</x:v>
      </x:c>
      <x:c r="V531" s="51" t="str"/>
      <x:c r="W531" s="14" t="str">
        <x:v>Migration auf NACE Rev. 2.1 erforderlich</x:v>
      </x:c>
      <x:c r="X531" s="14" t="str">
        <x:v>Organisation/Governance; konsolidierter Kreis und relevante Rechtseinheiten</x:v>
      </x:c>
      <x:c r="Y531" s="14" t="str">
        <x:v>Siehe Quelle: Definition gemäß Standard (ESRS/GRI/Taxonomie/ISO).</x:v>
      </x:c>
      <x:c r="Z531" s="14" t="str">
        <x:v>Primärdaten bevorzugt; Sekundärdaten nur transparent und versioniert; Methode und Systemgrenze dokumentieren</x:v>
      </x:c>
      <x:c r="AA531" s="14" t="str">
        <x:v>Limited Assurance; risikobasiert höhere Prüftiefe</x:v>
      </x:c>
      <x:c r="AB531" s="14" t="str">
        <x:v>Strukturell nutzbar; Schwellen fachlich zu validieren</x:v>
      </x:c>
      <x:c r="AC531" s="14" t="str">
        <x:v>Mittel</x:v>
      </x:c>
      <x:c r="AD531" s="14" t="str">
        <x:v>Vollständige fünfstufige numerische Regel.</x:v>
      </x:c>
      <x:c r="AE531" s="14" t="str">
        <x:v>v1.4</x:v>
      </x:c>
      <x:c r="AF531" s="52" t="str">
        <x:v>2026-08-16</x:v>
      </x:c>
      <x:c r="AG531" s="52"/>
    </x:row>
    <x:row r="532" ht="42" customHeight="1">
      <x:c r="A532" s="14" t="str">
        <x:v>WOK-G-220</x:v>
      </x:c>
      <x:c r="B532" s="14" t="str">
        <x:v>SDG+ – Diskurskultur</x:v>
      </x:c>
      <x:c r="C532" s="14" t="str">
        <x:v>—</x:v>
      </x:c>
      <x:c r="D532" s="14" t="str">
        <x:v>Werbe‑Ethik/Targeting</x:v>
      </x:c>
      <x:c r="E532" s="14" t="str">
        <x:v>Werbe‑Ethik/Targeting – Steuertransparenz</x:v>
      </x:c>
      <x:c r="F532" s="14" t="str">
        <x:v>CbCR‑Offenlegung</x:v>
      </x:c>
      <x:c r="G532" s="14" t="str">
        <x:v>0–1</x:v>
      </x:c>
      <x:c r="H532" s="14" t="str">
        <x:v>higher_is_better</x:v>
      </x:c>
      <x:c r="I532" s="14" t="str">
        <x:v>R08</x:v>
      </x:c>
      <x:c r="J532" s="14" t="str">
        <x:v>vollständig:+3; teilweise:+2; minimal:0; schlecht:‑2</x:v>
      </x:c>
      <x:c r="K532" s="14" t="str">
        <x:v>Qualitativ</x:v>
      </x:c>
      <x:c r="L532" s="14" t="str">
        <x:v>Assurance und Kriterienkatalog erforderlich</x:v>
      </x:c>
      <x:c r="M532" s="14" t="str">
        <x:v>WÖk-interne Kategorien</x:v>
      </x:c>
      <x:c r="N532" s="14" t="str">
        <x:v>Optional/Nein</x:v>
      </x:c>
      <x:c r="O532" s="14" t="str">
        <x:v>ESRS G1; GRI 205/207</x:v>
      </x:c>
      <x:c r="P532" s="14" t="str">
        <x:v>ESRS G1, GRI 205/207, OECD Anti‑Bribery</x:v>
      </x:c>
      <x:c r="Q532" s="14" t="str">
        <x:v>Mess-, Berichts- oder Managementrahmen; Schwellen sind grundsätzlich WÖk-Kalibrierungen</x:v>
      </x:c>
      <x:c r="R532" s="14" t="str">
        <x:v>Messgrundlage belegt; Schwellenkalibrierung offen</x:v>
      </x:c>
      <x:c r="S532" s="14" t="str">
        <x:v>EU-ESRS; GRI; OECD-AB</x:v>
      </x:c>
      <x:c r="T532" s="14" t="str">
        <x:v>J58/J60/J63 Medien/Plattformen</x:v>
      </x:c>
      <x:c r="U532" s="14" t="str">
        <x:v>Legacy / nicht explizit versioniert</x:v>
      </x:c>
      <x:c r="V532" s="51" t="str"/>
      <x:c r="W532" s="14" t="str">
        <x:v>Migration auf NACE Rev. 2.1 erforderlich</x:v>
      </x:c>
      <x:c r="X532" s="14" t="str">
        <x:v>Organisation/Governance; konsolidierter Kreis und relevante Rechtseinheiten</x:v>
      </x:c>
      <x:c r="Y532" s="14" t="str">
        <x:v>Siehe Quelle: Definition gemäß Standard (ESRS/GRI/Taxonomie/ISO).</x:v>
      </x:c>
      <x:c r="Z532" s="14" t="str">
        <x:v>Dokumentierter Kriterienkatalog; nachvollziehbare Evidenz; DQR A/B bevorzugt</x:v>
      </x:c>
      <x:c r="AA532" s="14" t="str">
        <x:v>Unabhängige Fachprüfung/Limited Assurance; bei roten Linien Reasonable Assurance</x:v>
      </x:c>
      <x:c r="AB532" s="14" t="str">
        <x:v>Prüfung/Parametrisierung erforderlich</x:v>
      </x:c>
      <x:c r="AC532" s="14" t="str">
        <x:v>Hoch</x:v>
      </x:c>
      <x:c r="AD532" s="14" t="str">
        <x:v>Die Kategorie −3 fehlt; Vollständigkeit und Wirksamkeit sind feldspezifisch zu definieren.</x:v>
      </x:c>
      <x:c r="AE532" s="14" t="str">
        <x:v>v1.4</x:v>
      </x:c>
      <x:c r="AF532" s="52" t="str">
        <x:v>2026-08-16</x:v>
      </x:c>
      <x:c r="AG532" s="52"/>
    </x:row>
    <x:row r="533" ht="42" customHeight="1">
      <x:c r="A533" s="14" t="str">
        <x:v>WOK-SC-155</x:v>
      </x:c>
      <x:c r="B533" s="14" t="str">
        <x:v>SDG+ – Diskurskultur</x:v>
      </x:c>
      <x:c r="C533" s="14" t="str">
        <x:v>—</x:v>
      </x:c>
      <x:c r="D533" s="14" t="str">
        <x:v>Creator‑Fairness in Ketten</x:v>
      </x:c>
      <x:c r="E533" s="14" t="str">
        <x:v>Creator‑Fairness in Ketten – ESG‑Spend‑Coverage</x:v>
      </x:c>
      <x:c r="F533" s="14" t="str">
        <x:v>Anteil verifizierter ESG‑Daten am Spend</x:v>
      </x:c>
      <x:c r="G533" s="14" t="str">
        <x:v>%</x:v>
      </x:c>
      <x:c r="H533" s="14" t="str">
        <x:v>higher_is_better</x:v>
      </x:c>
      <x:c r="I533" s="14" t="str">
        <x:v>R26</x:v>
      </x:c>
      <x:c r="J533" s="14" t="str">
        <x:v>≥90:+3; 70–89:+2; 50–69:0; 30–49:‑2; &lt;30:‑3</x:v>
      </x:c>
      <x:c r="K533" s="14" t="str">
        <x:v>Feste WÖk-Kalibrierung</x:v>
      </x:c>
      <x:c r="L533" s="14" t="str">
        <x:v>Arbeitskalibrierung – fachlich zu validieren</x:v>
      </x:c>
      <x:c r="M533" s="14" t="str">
        <x:v>WÖk-interne Klassenlogik</x:v>
      </x:c>
      <x:c r="N533" s="14" t="str">
        <x:v>Optional/Nein</x:v>
      </x:c>
      <x:c r="O533" s="14" t="str">
        <x:v>ESRS S2; GRI 308/414/408/409</x:v>
      </x:c>
      <x:c r="P533" s="14" t="str">
        <x:v>ESRS S2; GRI 308/414/408/409</x:v>
      </x:c>
      <x:c r="Q533" s="14" t="str">
        <x:v>Mess-, Berichts- oder Managementrahmen; Schwellen sind grundsätzlich WÖk-Kalibrierungen</x:v>
      </x:c>
      <x:c r="R533" s="14" t="str">
        <x:v>Messgrundlage belegt; Schwellenkalibrierung offen</x:v>
      </x:c>
      <x:c r="S533" s="14" t="str">
        <x:v>EU-ESRS; GRI; OECD-DD; ILO-CORE</x:v>
      </x:c>
      <x:c r="T533" s="14" t="str">
        <x:v>J58/J60/J63 Medien/Plattformen</x:v>
      </x:c>
      <x:c r="U533" s="14" t="str">
        <x:v>Legacy / nicht explizit versioniert</x:v>
      </x:c>
      <x:c r="V533" s="51" t="str"/>
      <x:c r="W533" s="14" t="str">
        <x:v>Migration auf NACE Rev. 2.1 erforderlich</x:v>
      </x:c>
      <x:c r="X533" s="14" t="str">
        <x:v>Vorgelagerte Lieferkette; relevante Tier-Stufen und Beschaffungsvolumen</x:v>
      </x:c>
      <x:c r="Y533" s="14" t="str">
        <x:v>Quote = Zähler / Nenner gemäß Quelle; in %.</x:v>
      </x:c>
      <x:c r="Z533" s="14" t="str">
        <x:v>Primärdaten bevorzugt; Sekundärdaten nur transparent und versioniert; Methode und Systemgrenze dokumentieren</x:v>
      </x:c>
      <x:c r="AA533" s="14" t="str">
        <x:v>Limited Assurance; risikobasiert höhere Prüftiefe</x:v>
      </x:c>
      <x:c r="AB533" s="14" t="str">
        <x:v>Strukturell nutzbar; Schwellen fachlich zu validieren</x:v>
      </x:c>
      <x:c r="AC533" s="14" t="str">
        <x:v>Mittel</x:v>
      </x:c>
      <x:c r="AD533" s="14" t="str">
        <x:v>Vollständige fünfstufige numerische Regel.</x:v>
      </x:c>
      <x:c r="AE533" s="14" t="str">
        <x:v>v1.4</x:v>
      </x:c>
      <x:c r="AF533" s="52" t="str">
        <x:v>2026-08-16</x:v>
      </x:c>
      <x:c r="AG533" s="52"/>
    </x:row>
    <x:row r="534" ht="42" customHeight="1">
      <x:c r="A534" s="14" t="str">
        <x:v>WOK-SC-156</x:v>
      </x:c>
      <x:c r="B534" s="14" t="str">
        <x:v>SDG+ – Diskurskultur</x:v>
      </x:c>
      <x:c r="C534" s="14" t="str">
        <x:v>—</x:v>
      </x:c>
      <x:c r="D534" s="14" t="str">
        <x:v>Creator‑Fairness in Ketten</x:v>
      </x:c>
      <x:c r="E534" s="14" t="str">
        <x:v>Creator‑Fairness in Ketten – Kinder/Zwangsarbeit</x:v>
      </x:c>
      <x:c r="F534" s="14" t="str">
        <x:v>Audits ohne Verstöße</x:v>
      </x:c>
      <x:c r="G534" s="14" t="str">
        <x:v>% Lieferanten</x:v>
      </x:c>
      <x:c r="H534" s="14" t="str">
        <x:v>higher_is_better</x:v>
      </x:c>
      <x:c r="I534" s="14" t="str">
        <x:v>R28</x:v>
      </x:c>
      <x:c r="J534" s="14" t="str">
        <x:v>≥98:+3; 90–97:+2; 75–89:0; 50–74:‑2; &lt;50:‑3</x:v>
      </x:c>
      <x:c r="K534" s="14" t="str">
        <x:v>Feste WÖk-Kalibrierung</x:v>
      </x:c>
      <x:c r="L534" s="14" t="str">
        <x:v>Arbeitskalibrierung – fachlich zu validieren</x:v>
      </x:c>
      <x:c r="M534" s="14" t="str">
        <x:v>WÖk-interne Klassenlogik</x:v>
      </x:c>
      <x:c r="N534" s="14" t="str">
        <x:v>Optional/Nein</x:v>
      </x:c>
      <x:c r="O534" s="14" t="str">
        <x:v>ESRS S2; GRI 308/414/408/409</x:v>
      </x:c>
      <x:c r="P534" s="14" t="str">
        <x:v>ESRS S2, GRI 308/414, OECD Due Diligence</x:v>
      </x:c>
      <x:c r="Q534" s="14" t="str">
        <x:v>Mess-, Berichts- oder Managementrahmen; Schwellen sind grundsätzlich WÖk-Kalibrierungen</x:v>
      </x:c>
      <x:c r="R534" s="14" t="str">
        <x:v>Messgrundlage belegt; Schwellenkalibrierung offen</x:v>
      </x:c>
      <x:c r="S534" s="14" t="str">
        <x:v>EU-ESRS; GRI; OECD-DD; ILO-CORE</x:v>
      </x:c>
      <x:c r="T534" s="14" t="str">
        <x:v>J58/J60/J63 Medien/Plattformen</x:v>
      </x:c>
      <x:c r="U534" s="14" t="str">
        <x:v>Legacy / nicht explizit versioniert</x:v>
      </x:c>
      <x:c r="V534" s="51" t="str"/>
      <x:c r="W534" s="14" t="str">
        <x:v>Migration auf NACE Rev. 2.1 erforderlich</x:v>
      </x:c>
      <x:c r="X534" s="14" t="str">
        <x:v>Vorgelagerte Lieferkette; relevante Tier-Stufen und Beschaffungsvolumen</x:v>
      </x:c>
      <x:c r="Y534" s="14" t="str">
        <x:v>Quote = Zähler / Nenner gemäß Quelle; in %.</x:v>
      </x:c>
      <x:c r="Z534" s="14" t="str">
        <x:v>Primärdaten bevorzugt; Sekundärdaten nur transparent und versioniert; Methode und Systemgrenze dokumentieren</x:v>
      </x:c>
      <x:c r="AA534" s="14" t="str">
        <x:v>Limited Assurance; risikobasiert höhere Prüftiefe</x:v>
      </x:c>
      <x:c r="AB534" s="14" t="str">
        <x:v>Strukturell nutzbar; Schwellen fachlich zu validieren</x:v>
      </x:c>
      <x:c r="AC534" s="14" t="str">
        <x:v>Mittel</x:v>
      </x:c>
      <x:c r="AD534" s="14" t="str">
        <x:v>Vollständige fünfstufige numerische Regel.</x:v>
      </x:c>
      <x:c r="AE534" s="14" t="str">
        <x:v>v1.4</x:v>
      </x:c>
      <x:c r="AF534" s="52" t="str">
        <x:v>2026-08-16</x:v>
      </x:c>
      <x:c r="AG534" s="52"/>
    </x:row>
    <x:row r="535" ht="42" customHeight="1">
      <x:c r="A535" s="14" t="str">
        <x:v>WOK-SC-157</x:v>
      </x:c>
      <x:c r="B535" s="14" t="str">
        <x:v>SDG+ – Diskurskultur</x:v>
      </x:c>
      <x:c r="C535" s="14" t="str">
        <x:v>—</x:v>
      </x:c>
      <x:c r="D535" s="14" t="str">
        <x:v>Creator‑Fairness in Ketten</x:v>
      </x:c>
      <x:c r="E535" s="14" t="str">
        <x:v>Creator‑Fairness in Ketten – Scope‑3 Daten</x:v>
      </x:c>
      <x:c r="F535" s="14" t="str">
        <x:v>Primärdaten‑Abdeckung</x:v>
      </x:c>
      <x:c r="G535" s="14" t="str">
        <x:v>% Kategorien</x:v>
      </x:c>
      <x:c r="H535" s="14" t="str">
        <x:v>higher_is_better</x:v>
      </x:c>
      <x:c r="I535" s="14" t="str">
        <x:v>R23</x:v>
      </x:c>
      <x:c r="J535" s="14" t="str">
        <x:v>≥80:+3; 60–79:+2; 40–59:0; 20–39:‑2; &lt;20:‑3</x:v>
      </x:c>
      <x:c r="K535" s="14" t="str">
        <x:v>Feste WÖk-Kalibrierung</x:v>
      </x:c>
      <x:c r="L535" s="14" t="str">
        <x:v>Arbeitskalibrierung – fachlich zu validieren</x:v>
      </x:c>
      <x:c r="M535" s="14" t="str">
        <x:v>WÖk-interne Klassenlogik</x:v>
      </x:c>
      <x:c r="N535" s="14" t="str">
        <x:v>Optional/Nein</x:v>
      </x:c>
      <x:c r="O535" s="14" t="str">
        <x:v>ESRS E1; GHG Protocol</x:v>
      </x:c>
      <x:c r="P535" s="14" t="str">
        <x:v>ESRS E1, GHG Protocol (Corporate/Scope 1–3), ISO 14064/14067</x:v>
      </x:c>
      <x:c r="Q535" s="14" t="str">
        <x:v>Mess-, Berichts- oder Managementrahmen; Schwellen sind grundsätzlich WÖk-Kalibrierungen</x:v>
      </x:c>
      <x:c r="R535" s="14" t="str">
        <x:v>Messgrundlage belegt; Schwellenkalibrierung offen</x:v>
      </x:c>
      <x:c r="S535" s="14" t="str">
        <x:v>EU-ESRS; GHG-CORP; GHG-S3; GHG-PROD</x:v>
      </x:c>
      <x:c r="T535" s="14" t="str">
        <x:v>J58/J60/J63 Medien/Plattformen</x:v>
      </x:c>
      <x:c r="U535" s="14" t="str">
        <x:v>Legacy / nicht explizit versioniert</x:v>
      </x:c>
      <x:c r="V535" s="51" t="str"/>
      <x:c r="W535" s="14" t="str">
        <x:v>Migration auf NACE Rev. 2.1 erforderlich</x:v>
      </x:c>
      <x:c r="X535" s="14" t="str">
        <x:v>Vorgelagerte Lieferkette; relevante Tier-Stufen und Beschaffungsvolumen</x:v>
      </x:c>
      <x:c r="Y535" s="14" t="str">
        <x:v>Quote = Zähler / Nenner gemäß Quelle; in %.</x:v>
      </x:c>
      <x:c r="Z535" s="14" t="str">
        <x:v>Primärdaten bevorzugt; Sekundärdaten nur transparent und versioniert; Methode und Systemgrenze dokumentieren</x:v>
      </x:c>
      <x:c r="AA535" s="14" t="str">
        <x:v>Limited Assurance; risikobasiert höhere Prüftiefe</x:v>
      </x:c>
      <x:c r="AB535" s="14" t="str">
        <x:v>Strukturell nutzbar; Schwellen fachlich zu validieren</x:v>
      </x:c>
      <x:c r="AC535" s="14" t="str">
        <x:v>Mittel</x:v>
      </x:c>
      <x:c r="AD535" s="14" t="str">
        <x:v>Vollständige fünfstufige numerische Regel.</x:v>
      </x:c>
      <x:c r="AE535" s="14" t="str">
        <x:v>v1.4</x:v>
      </x:c>
      <x:c r="AF535" s="52" t="str">
        <x:v>2026-08-16</x:v>
      </x:c>
      <x:c r="AG535" s="52"/>
    </x:row>
    <x:row r="536" ht="42" customHeight="1">
      <x:c r="A536" s="14" t="str">
        <x:v>WOK-G-221</x:v>
      </x:c>
      <x:c r="B536" s="14" t="str">
        <x:v>SDG+ – Resilienz</x:v>
      </x:c>
      <x:c r="C536" s="14" t="str">
        <x:v>—</x:v>
      </x:c>
      <x:c r="D536" s="14" t="str">
        <x:v>Business Continuity</x:v>
      </x:c>
      <x:c r="E536" s="14" t="str">
        <x:v>Business Continuity – Antikorruption</x:v>
      </x:c>
      <x:c r="F536" s="14" t="str">
        <x:v>Bestätigte Fälle/1.000 FTE</x:v>
      </x:c>
      <x:c r="G536" s="14" t="str">
        <x:v>Fälle/1.000 FTE</x:v>
      </x:c>
      <x:c r="H536" s="14" t="str">
        <x:v>lower_is_better</x:v>
      </x:c>
      <x:c r="I536" s="14" t="str">
        <x:v>R01</x:v>
      </x:c>
      <x:c r="J536" s="14" t="str">
        <x:v>0:+3; ≤0,2:+2; ≤0,5:0; ≤1:‑2; &gt;1:‑3</x:v>
      </x:c>
      <x:c r="K536" s="14" t="str">
        <x:v>Feste WÖk-Kalibrierung</x:v>
      </x:c>
      <x:c r="L536" s="14" t="str">
        <x:v>Arbeitskalibrierung – fachlich zu validieren</x:v>
      </x:c>
      <x:c r="M536" s="14" t="str">
        <x:v>WÖk-interne Klassenlogik</x:v>
      </x:c>
      <x:c r="N536" s="14" t="str">
        <x:v>Optional/Nein</x:v>
      </x:c>
      <x:c r="O536" s="14" t="str">
        <x:v>ESRS G1; GRI 205/207</x:v>
      </x:c>
      <x:c r="P536" s="14" t="str">
        <x:v>ESRS G1, GRI 205/207, OECD Anti‑Bribery</x:v>
      </x:c>
      <x:c r="Q536" s="14" t="str">
        <x:v>Mess-, Berichts- oder Managementrahmen; Schwellen sind grundsätzlich WÖk-Kalibrierungen</x:v>
      </x:c>
      <x:c r="R536" s="14" t="str">
        <x:v>Messgrundlage belegt; Schwellenkalibrierung offen</x:v>
      </x:c>
      <x:c r="S536" s="14" t="str">
        <x:v>EU-ESRS; GRI; OECD-AB</x:v>
      </x:c>
      <x:c r="T536" s="14" t="str">
        <x:v>G47 Handel; K Versicherungen; M72 F&amp;E</x:v>
      </x:c>
      <x:c r="U536" s="14" t="str">
        <x:v>Legacy / nicht explizit versioniert</x:v>
      </x:c>
      <x:c r="V536" s="51" t="str"/>
      <x:c r="W536" s="14" t="str">
        <x:v>Migration auf NACE Rev. 2.1 erforderlich</x:v>
      </x:c>
      <x:c r="X536" s="14" t="str">
        <x:v>Organisation/Governance; konsolidierter Kreis und relevante Rechtseinheiten</x:v>
      </x:c>
      <x:c r="Y536" s="14" t="str">
        <x:v>Siehe Quelle: Definition gemäß Standard (ESRS/GRI/Taxonomie/ISO).</x:v>
      </x:c>
      <x:c r="Z536" s="14" t="str">
        <x:v>Primärdaten bevorzugt; Sekundärdaten nur transparent und versioniert; Methode und Systemgrenze dokumentieren</x:v>
      </x:c>
      <x:c r="AA536" s="14" t="str">
        <x:v>Limited Assurance; risikobasiert höhere Prüftiefe</x:v>
      </x:c>
      <x:c r="AB536" s="14" t="str">
        <x:v>Strukturell nutzbar; Schwellen fachlich zu validieren</x:v>
      </x:c>
      <x:c r="AC536" s="14" t="str">
        <x:v>Mittel</x:v>
      </x:c>
      <x:c r="AD536" s="14" t="str">
        <x:v>Vollständige fünfstufige numerische Regel.</x:v>
      </x:c>
      <x:c r="AE536" s="14" t="str">
        <x:v>v1.4</x:v>
      </x:c>
      <x:c r="AF536" s="52" t="str">
        <x:v>2026-08-16</x:v>
      </x:c>
      <x:c r="AG536" s="52"/>
    </x:row>
    <x:row r="537" ht="42" customHeight="1">
      <x:c r="A537" s="14" t="str">
        <x:v>WOK-G-222</x:v>
      </x:c>
      <x:c r="B537" s="14" t="str">
        <x:v>SDG+ – Resilienz</x:v>
      </x:c>
      <x:c r="C537" s="14" t="str">
        <x:v>—</x:v>
      </x:c>
      <x:c r="D537" s="14" t="str">
        <x:v>Business Continuity</x:v>
      </x:c>
      <x:c r="E537" s="14" t="str">
        <x:v>Business Continuity – Whistleblowing</x:v>
      </x:c>
      <x:c r="F537" s="14" t="str">
        <x:v>Wirksamkeits‑Score</x:v>
      </x:c>
      <x:c r="G537" s="14" t="str">
        <x:v>0–1</x:v>
      </x:c>
      <x:c r="H537" s="14" t="str">
        <x:v>higher_is_better</x:v>
      </x:c>
      <x:c r="I537" s="14" t="str">
        <x:v>R16</x:v>
      </x:c>
      <x:c r="J537" s="14" t="str">
        <x:v>≥0,9:+3; 0,75–0,89:+2; 0,6–0,74:0; 0,4–0,59:‑2; &lt;0,4:‑3</x:v>
      </x:c>
      <x:c r="K537" s="14" t="str">
        <x:v>Feste WÖk-Kalibrierung</x:v>
      </x:c>
      <x:c r="L537" s="14" t="str">
        <x:v>Arbeitskalibrierung – fachlich zu validieren</x:v>
      </x:c>
      <x:c r="M537" s="14" t="str">
        <x:v>WÖk-interne Klassenlogik</x:v>
      </x:c>
      <x:c r="N537" s="14" t="str">
        <x:v>Optional/Nein</x:v>
      </x:c>
      <x:c r="O537" s="14" t="str">
        <x:v>ESRS G1; GRI 205/207</x:v>
      </x:c>
      <x:c r="P537" s="14" t="str">
        <x:v>ESRS G1, GRI 205/207, OECD Anti‑Bribery</x:v>
      </x:c>
      <x:c r="Q537" s="14" t="str">
        <x:v>Mess-, Berichts- oder Managementrahmen; Schwellen sind grundsätzlich WÖk-Kalibrierungen</x:v>
      </x:c>
      <x:c r="R537" s="14" t="str">
        <x:v>Messgrundlage belegt; Schwellenkalibrierung offen</x:v>
      </x:c>
      <x:c r="S537" s="14" t="str">
        <x:v>EU-ESRS; GRI; OECD-AB</x:v>
      </x:c>
      <x:c r="T537" s="14" t="str">
        <x:v>G47 Handel; K Versicherungen; M72 F&amp;E</x:v>
      </x:c>
      <x:c r="U537" s="14" t="str">
        <x:v>Legacy / nicht explizit versioniert</x:v>
      </x:c>
      <x:c r="V537" s="51" t="str"/>
      <x:c r="W537" s="14" t="str">
        <x:v>Migration auf NACE Rev. 2.1 erforderlich</x:v>
      </x:c>
      <x:c r="X537" s="14" t="str">
        <x:v>Organisation/Governance; konsolidierter Kreis und relevante Rechtseinheiten</x:v>
      </x:c>
      <x:c r="Y537" s="14" t="str">
        <x:v>Siehe Quelle: Definition gemäß Standard (ESRS/GRI/Taxonomie/ISO).</x:v>
      </x:c>
      <x:c r="Z537" s="14" t="str">
        <x:v>Primärdaten bevorzugt; Sekundärdaten nur transparent und versioniert; Methode und Systemgrenze dokumentieren</x:v>
      </x:c>
      <x:c r="AA537" s="14" t="str">
        <x:v>Limited Assurance; risikobasiert höhere Prüftiefe</x:v>
      </x:c>
      <x:c r="AB537" s="14" t="str">
        <x:v>Strukturell nutzbar; Schwellen fachlich zu validieren</x:v>
      </x:c>
      <x:c r="AC537" s="14" t="str">
        <x:v>Mittel</x:v>
      </x:c>
      <x:c r="AD537" s="14" t="str">
        <x:v>Vollständige fünfstufige numerische Regel.</x:v>
      </x:c>
      <x:c r="AE537" s="14" t="str">
        <x:v>v1.4</x:v>
      </x:c>
      <x:c r="AF537" s="52" t="str">
        <x:v>2026-08-16</x:v>
      </x:c>
      <x:c r="AG537" s="52"/>
    </x:row>
    <x:row r="538" ht="42" customHeight="1">
      <x:c r="A538" s="14" t="str">
        <x:v>WOK-G-223</x:v>
      </x:c>
      <x:c r="B538" s="14" t="str">
        <x:v>SDG+ – Resilienz</x:v>
      </x:c>
      <x:c r="C538" s="14" t="str">
        <x:v>—</x:v>
      </x:c>
      <x:c r="D538" s="14" t="str">
        <x:v>Business Continuity</x:v>
      </x:c>
      <x:c r="E538" s="14" t="str">
        <x:v>Business Continuity – Steuertransparenz</x:v>
      </x:c>
      <x:c r="F538" s="14" t="str">
        <x:v>CbCR‑Offenlegung</x:v>
      </x:c>
      <x:c r="G538" s="14" t="str">
        <x:v>0–1</x:v>
      </x:c>
      <x:c r="H538" s="14" t="str">
        <x:v>higher_is_better</x:v>
      </x:c>
      <x:c r="I538" s="14" t="str">
        <x:v>R08</x:v>
      </x:c>
      <x:c r="J538" s="14" t="str">
        <x:v>vollständig:+3; teilweise:+2; minimal:0; schlecht:‑2</x:v>
      </x:c>
      <x:c r="K538" s="14" t="str">
        <x:v>Qualitativ</x:v>
      </x:c>
      <x:c r="L538" s="14" t="str">
        <x:v>Assurance und Kriterienkatalog erforderlich</x:v>
      </x:c>
      <x:c r="M538" s="14" t="str">
        <x:v>WÖk-interne Kategorien</x:v>
      </x:c>
      <x:c r="N538" s="14" t="str">
        <x:v>Optional/Nein</x:v>
      </x:c>
      <x:c r="O538" s="14" t="str">
        <x:v>ESRS G1; GRI 205/207</x:v>
      </x:c>
      <x:c r="P538" s="14" t="str">
        <x:v>ESRS G1, GRI 205/207, OECD Anti‑Bribery</x:v>
      </x:c>
      <x:c r="Q538" s="14" t="str">
        <x:v>Mess-, Berichts- oder Managementrahmen; Schwellen sind grundsätzlich WÖk-Kalibrierungen</x:v>
      </x:c>
      <x:c r="R538" s="14" t="str">
        <x:v>Messgrundlage belegt; Schwellenkalibrierung offen</x:v>
      </x:c>
      <x:c r="S538" s="14" t="str">
        <x:v>EU-ESRS; GRI; OECD-AB</x:v>
      </x:c>
      <x:c r="T538" s="14" t="str">
        <x:v>G47 Handel; K Versicherungen; M72 F&amp;E</x:v>
      </x:c>
      <x:c r="U538" s="14" t="str">
        <x:v>Legacy / nicht explizit versioniert</x:v>
      </x:c>
      <x:c r="V538" s="51" t="str"/>
      <x:c r="W538" s="14" t="str">
        <x:v>Migration auf NACE Rev. 2.1 erforderlich</x:v>
      </x:c>
      <x:c r="X538" s="14" t="str">
        <x:v>Organisation/Governance; konsolidierter Kreis und relevante Rechtseinheiten</x:v>
      </x:c>
      <x:c r="Y538" s="14" t="str">
        <x:v>Siehe Quelle: Definition gemäß Standard (ESRS/GRI/Taxonomie/ISO).</x:v>
      </x:c>
      <x:c r="Z538" s="14" t="str">
        <x:v>Dokumentierter Kriterienkatalog; nachvollziehbare Evidenz; DQR A/B bevorzugt</x:v>
      </x:c>
      <x:c r="AA538" s="14" t="str">
        <x:v>Unabhängige Fachprüfung/Limited Assurance; bei roten Linien Reasonable Assurance</x:v>
      </x:c>
      <x:c r="AB538" s="14" t="str">
        <x:v>Prüfung/Parametrisierung erforderlich</x:v>
      </x:c>
      <x:c r="AC538" s="14" t="str">
        <x:v>Hoch</x:v>
      </x:c>
      <x:c r="AD538" s="14" t="str">
        <x:v>Die Kategorie −3 fehlt; Vollständigkeit und Wirksamkeit sind feldspezifisch zu definieren.</x:v>
      </x:c>
      <x:c r="AE538" s="14" t="str">
        <x:v>v1.4</x:v>
      </x:c>
      <x:c r="AF538" s="52" t="str">
        <x:v>2026-08-16</x:v>
      </x:c>
      <x:c r="AG538" s="52"/>
    </x:row>
    <x:row r="539" ht="42" customHeight="1">
      <x:c r="A539" s="14" t="str">
        <x:v>WOK-E-224</x:v>
      </x:c>
      <x:c r="B539" s="14" t="str">
        <x:v>SDG+ – Resilienz</x:v>
      </x:c>
      <x:c r="C539" s="14" t="str">
        <x:v>—</x:v>
      </x:c>
      <x:c r="D539" s="14" t="str">
        <x:v>Physisches Klimarisiko</x:v>
      </x:c>
      <x:c r="E539" s="14" t="str">
        <x:v>Physisches Klimarisiko – Green R&amp;D</x:v>
      </x:c>
      <x:c r="F539" s="14" t="str">
        <x:v>Anteil F&amp;E für grüne Technologien</x:v>
      </x:c>
      <x:c r="G539" s="14" t="str">
        <x:v>% Umsatz</x:v>
      </x:c>
      <x:c r="H539" s="14" t="str">
        <x:v>higher_is_better</x:v>
      </x:c>
      <x:c r="I539" s="14" t="str">
        <x:v>R19</x:v>
      </x:c>
      <x:c r="J539" s="14" t="str">
        <x:v>≥5:+3; 3–4,9:+2; 1–2,9:0; 0,5–0,9:‑2; &lt;0,5:‑3</x:v>
      </x:c>
      <x:c r="K539" s="14" t="str">
        <x:v>Feste WÖk-Kalibrierung</x:v>
      </x:c>
      <x:c r="L539" s="14" t="str">
        <x:v>Arbeitskalibrierung – fachlich zu validieren</x:v>
      </x:c>
      <x:c r="M539" s="14" t="str">
        <x:v>WÖk-interne Klassenlogik</x:v>
      </x:c>
      <x:c r="N539" s="14" t="str">
        <x:v>Optional/Nein</x:v>
      </x:c>
      <x:c r="O539" s="14" t="str">
        <x:v>ESRS E1; GHG Protocol</x:v>
      </x:c>
      <x:c r="P539" s="14" t="str">
        <x:v>OECD Frascati, PATSTAT</x:v>
      </x:c>
      <x:c r="Q539" s="14" t="str">
        <x:v>Mess-, Berichts- oder Managementrahmen; Schwellen sind grundsätzlich WÖk-Kalibrierungen</x:v>
      </x:c>
      <x:c r="R539" s="14" t="str">
        <x:v>Messgrundlage belegt; Schwellenkalibrierung offen</x:v>
      </x:c>
      <x:c r="S539" s="14" t="str">
        <x:v>EU-ESRS; GHG-CORP; GHG-S3; GHG-PROD</x:v>
      </x:c>
      <x:c r="T539" s="14" t="str">
        <x:v>G47 Handel; K Versicherungen; M72 F&amp;E</x:v>
      </x:c>
      <x:c r="U539" s="14" t="str">
        <x:v>Legacy / nicht explizit versioniert</x:v>
      </x:c>
      <x:c r="V539" s="51" t="str"/>
      <x:c r="W539" s="14" t="str">
        <x:v>Migration auf NACE Rev. 2.1 erforderlich</x:v>
      </x:c>
      <x:c r="X539" s="14" t="str">
        <x:v>Standort/Prozess/Aktivität; Bezugsgröße und relevante Umweltmedien</x:v>
      </x:c>
      <x:c r="Y539" s="14" t="str">
        <x:v>Quote = Zähler / Nenner gemäß Quelle; in %.</x:v>
      </x:c>
      <x:c r="Z539" s="14" t="str">
        <x:v>Primärdaten bevorzugt; Sekundärdaten nur transparent und versioniert; Methode und Systemgrenze dokumentieren</x:v>
      </x:c>
      <x:c r="AA539" s="14" t="str">
        <x:v>Limited Assurance; risikobasiert höhere Prüftiefe</x:v>
      </x:c>
      <x:c r="AB539" s="14" t="str">
        <x:v>Strukturell nutzbar; Schwellen fachlich zu validieren</x:v>
      </x:c>
      <x:c r="AC539" s="14" t="str">
        <x:v>Mittel</x:v>
      </x:c>
      <x:c r="AD539" s="14" t="str">
        <x:v>Vollständige fünfstufige numerische Regel.</x:v>
      </x:c>
      <x:c r="AE539" s="14" t="str">
        <x:v>v1.4</x:v>
      </x:c>
      <x:c r="AF539" s="52" t="str">
        <x:v>2026-08-16</x:v>
      </x:c>
      <x:c r="AG539" s="52"/>
    </x:row>
    <x:row r="540" ht="42" customHeight="1">
      <x:c r="A540" s="14" t="str">
        <x:v>WOK-E-225</x:v>
      </x:c>
      <x:c r="B540" s="14" t="str">
        <x:v>SDG+ – Resilienz</x:v>
      </x:c>
      <x:c r="C540" s="14" t="str">
        <x:v>—</x:v>
      </x:c>
      <x:c r="D540" s="14" t="str">
        <x:v>Physisches Klimarisiko</x:v>
      </x:c>
      <x:c r="E540" s="14" t="str">
        <x:v>Physisches Klimarisiko – SDG‑Patente</x:v>
      </x:c>
      <x:c r="F540" s="14" t="str">
        <x:v>Anteil SDG‑relevanter Patente</x:v>
      </x:c>
      <x:c r="G540" s="14" t="str">
        <x:v>%</x:v>
      </x:c>
      <x:c r="H540" s="14" t="str">
        <x:v>higher_is_better</x:v>
      </x:c>
      <x:c r="I540" s="14" t="str">
        <x:v>R17</x:v>
      </x:c>
      <x:c r="J540" s="14" t="str">
        <x:v>≥40:+3; 25–39:+2; 10–24:0; 5–9:‑2; &lt;5:‑3</x:v>
      </x:c>
      <x:c r="K540" s="14" t="str">
        <x:v>Feste WÖk-Kalibrierung</x:v>
      </x:c>
      <x:c r="L540" s="14" t="str">
        <x:v>Arbeitskalibrierung – fachlich zu validieren</x:v>
      </x:c>
      <x:c r="M540" s="14" t="str">
        <x:v>WÖk-interne Klassenlogik</x:v>
      </x:c>
      <x:c r="N540" s="14" t="str">
        <x:v>Optional/Nein</x:v>
      </x:c>
      <x:c r="O540" s="14" t="str">
        <x:v>Patentstatistik</x:v>
      </x:c>
      <x:c r="P540" s="14" t="str">
        <x:v>OECD Frascati, PATSTAT</x:v>
      </x:c>
      <x:c r="Q540" s="14" t="str">
        <x:v>Input-/Innovationsdaten; Patentzahl allein ist kein Wirkungsnachweis</x:v>
      </x:c>
      <x:c r="R540" s="14" t="str">
        <x:v>Teilbelegt – Wirkungslogik ergänzen</x:v>
      </x:c>
      <x:c r="S540" s="14" t="str">
        <x:v>EPO-PATSTAT; OECD-FRASCATI</x:v>
      </x:c>
      <x:c r="T540" s="14" t="str">
        <x:v>G47 Handel; K Versicherungen; M72 F&amp;E</x:v>
      </x:c>
      <x:c r="U540" s="14" t="str">
        <x:v>Legacy / nicht explizit versioniert</x:v>
      </x:c>
      <x:c r="V540" s="51" t="str"/>
      <x:c r="W540" s="14" t="str">
        <x:v>Migration auf NACE Rev. 2.1 erforderlich</x:v>
      </x:c>
      <x:c r="X540" s="14" t="str">
        <x:v>Standort/Prozess/Aktivität; Bezugsgröße und relevante Umweltmedien</x:v>
      </x:c>
      <x:c r="Y540" s="14" t="str">
        <x:v>Quote = Zähler / Nenner gemäß Quelle; in %.</x:v>
      </x:c>
      <x:c r="Z540" s="14" t="str">
        <x:v>Primärdaten oder qualitätsgesicherte Sekundärdaten; Methode, Zeitraum und Systemgrenze dokumentieren</x:v>
      </x:c>
      <x:c r="AA540" s="14" t="str">
        <x:v>Limited Assurance; bei materieller Steuerwirkung risikobasiert vertiefen</x:v>
      </x:c>
      <x:c r="AB540" s="14" t="str">
        <x:v>Produktspezifische bzw. lokale Prüfung erforderlich</x:v>
      </x:c>
      <x:c r="AC540" s="14" t="str">
        <x:v>Hoch</x:v>
      </x:c>
      <x:c r="AD540" s="14" t="str">
        <x:v>Patentmenge nicht mit Wirkung gleichsetzen; Qualität und Nutzung ergänzen. Vollständige fünfstufige numerische Regel.</x:v>
      </x:c>
      <x:c r="AE540" s="14" t="str">
        <x:v>v1.4</x:v>
      </x:c>
      <x:c r="AF540" s="52" t="str">
        <x:v>2026-08-16</x:v>
      </x:c>
      <x:c r="AG540" s="52"/>
    </x:row>
    <x:row r="541" ht="42" customHeight="1">
      <x:c r="A541" s="14" t="str">
        <x:v>WOK-E-226</x:v>
      </x:c>
      <x:c r="B541" s="14" t="str">
        <x:v>SDG+ – Resilienz</x:v>
      </x:c>
      <x:c r="C541" s="14" t="str">
        <x:v>—</x:v>
      </x:c>
      <x:c r="D541" s="14" t="str">
        <x:v>Physisches Klimarisiko</x:v>
      </x:c>
      <x:c r="E541" s="14" t="str">
        <x:v>Physisches Klimarisiko – Prozess‑Effizienz</x:v>
      </x:c>
      <x:c r="F541" s="14" t="str">
        <x:v>Energie/Emission je Einheit</x:v>
      </x:c>
      <x:c r="G541" s="14" t="str">
        <x:v>kWh/t bzw. t CO₂e/t</x:v>
      </x:c>
      <x:c r="H541" s="14" t="str">
        <x:v>lower_is_better</x:v>
      </x:c>
      <x:c r="I541" s="14" t="str">
        <x:v>R06</x:v>
      </x:c>
      <x:c r="J541" s="14" t="str">
        <x:v>Top‑10%:+3; Mittel:0; &gt;150%:‑2; &gt;250%:‑3</x:v>
      </x:c>
      <x:c r="K541" s="14" t="str">
        <x:v>Benchmarkabhängig</x:v>
      </x:c>
      <x:c r="L541" s="14" t="str">
        <x:v>Validierter Benchmark fehlt</x:v>
      </x:c>
      <x:c r="M541" s="14" t="str">
        <x:v>Branche/Region/Technologie</x:v>
      </x:c>
      <x:c r="N541" s="14" t="str">
        <x:v>Ja</x:v>
      </x:c>
      <x:c r="O541" s="14" t="str">
        <x:v>ESRS E1; GHG Protocol</x:v>
      </x:c>
      <x:c r="P541" s="14" t="str">
        <x:v>ESRS E1, GHG Protocol (Corporate/Scope 1–3), ISO 14064/14067</x:v>
      </x:c>
      <x:c r="Q541" s="14" t="str">
        <x:v>Mess-/Methodenrahmen; aktiver Branchen-/Regional-/Technologiebenchmark separat erforderlich</x:v>
      </x:c>
      <x:c r="R541" s="14" t="str">
        <x:v>Teilbelegt – Benchmarkquelle fehlt</x:v>
      </x:c>
      <x:c r="S541" s="14" t="str">
        <x:v>EU-ESRS; GHG-CORP; GHG-S3; GHG-PROD</x:v>
      </x:c>
      <x:c r="T541" s="14" t="str">
        <x:v>G47 Handel; K Versicherungen; M72 F&amp;E</x:v>
      </x:c>
      <x:c r="U541" s="14" t="str">
        <x:v>Legacy / nicht explizit versioniert</x:v>
      </x:c>
      <x:c r="V541" s="51" t="str"/>
      <x:c r="W541" s="14" t="str">
        <x:v>Migration auf NACE Rev. 2.1 erforderlich</x:v>
      </x:c>
      <x:c r="X541" s="14" t="str">
        <x:v>Standort/Prozess/Aktivität; Bezugsgröße und relevante Umweltmedien</x:v>
      </x:c>
      <x:c r="Y541" s="14" t="str">
        <x:v>Siehe Quelle: Definition gemäß Standard (ESRS/GRI/Taxonomie/ISO).</x:v>
      </x:c>
      <x:c r="Z541" s="14" t="str">
        <x:v>Primärdaten plus repräsentativer, versionierter Benchmarkdatensatz; Stichprobe und Population offenlegen</x:v>
      </x:c>
      <x:c r="AA541" s="14" t="str">
        <x:v>Messwert-Assurance und unabhängige Benchmark-Governance</x:v>
      </x:c>
      <x:c r="AB541" s="14" t="str">
        <x:v>Prüfung/Parametrisierung erforderlich</x:v>
      </x:c>
      <x:c r="AC541" s="14" t="str">
        <x:v>Hoch</x:v>
      </x:c>
      <x:c r="AD541" s="14" t="str">
        <x:v>Top-10-Prozent, Mittelwert, 150 % und 250 % müssen aus einer dokumentierten Grundgesamtheit stammen.</x:v>
      </x:c>
      <x:c r="AE541" s="14" t="str">
        <x:v>v1.4</x:v>
      </x:c>
      <x:c r="AF541" s="52" t="str">
        <x:v>2026-08-16</x:v>
      </x:c>
      <x:c r="AG541" s="52"/>
    </x:row>
    <x:row r="542" ht="42" customHeight="1">
      <x:c r="A542" s="14" t="str">
        <x:v>WOK-G-224</x:v>
      </x:c>
      <x:c r="B542" s="14" t="str">
        <x:v>SDG+ – Resilienz</x:v>
      </x:c>
      <x:c r="C542" s="14" t="str">
        <x:v>—</x:v>
      </x:c>
      <x:c r="D542" s="14" t="str">
        <x:v>Cyber‑Resilienz</x:v>
      </x:c>
      <x:c r="E542" s="14" t="str">
        <x:v>Cyber‑Resilienz – Datenschutzvorfälle</x:v>
      </x:c>
      <x:c r="F542" s="14" t="str">
        <x:v>Fälle pro 1 Mio Kunden</x:v>
      </x:c>
      <x:c r="G542" s="14" t="str">
        <x:v>Fälle/Mio</x:v>
      </x:c>
      <x:c r="H542" s="14" t="str">
        <x:v>lower_is_better</x:v>
      </x:c>
      <x:c r="I542" s="14" t="str">
        <x:v>R02</x:v>
      </x:c>
      <x:c r="J542" s="14" t="str">
        <x:v>0:+3; ≤1:+2; ≤3:0; ≤5:‑2; &gt;5:‑3</x:v>
      </x:c>
      <x:c r="K542" s="14" t="str">
        <x:v>Feste WÖk-Kalibrierung</x:v>
      </x:c>
      <x:c r="L542" s="14" t="str">
        <x:v>Arbeitskalibrierung – fachlich zu validieren</x:v>
      </x:c>
      <x:c r="M542" s="14" t="str">
        <x:v>WÖk-interne Klassenlogik</x:v>
      </x:c>
      <x:c r="N542" s="14" t="str">
        <x:v>Optional/Nein</x:v>
      </x:c>
      <x:c r="O542" s="14" t="str">
        <x:v>ISO 14067/50001/45001/22301/27701/23894</x:v>
      </x:c>
      <x:c r="P542" s="14" t="str">
        <x:v>ISO/IEC 27001 &amp; 27701, NIS2</x:v>
      </x:c>
      <x:c r="Q542" s="14" t="str">
        <x:v>Mess-, Berichts- oder Managementrahmen; Schwellen sind grundsätzlich WÖk-Kalibrierungen</x:v>
      </x:c>
      <x:c r="R542" s="14" t="str">
        <x:v>Messgrundlage belegt; Schwellenkalibrierung offen</x:v>
      </x:c>
      <x:c r="S542" s="14" t="str">
        <x:v>ISO-14067; ISO-50001; ISO-45001; ISO-22301; ISO-27701; ISO-23894</x:v>
      </x:c>
      <x:c r="T542" s="14" t="str">
        <x:v>G47 Handel; K Versicherungen; M72 F&amp;E</x:v>
      </x:c>
      <x:c r="U542" s="14" t="str">
        <x:v>Legacy / nicht explizit versioniert</x:v>
      </x:c>
      <x:c r="V542" s="51" t="str"/>
      <x:c r="W542" s="14" t="str">
        <x:v>Migration auf NACE Rev. 2.1 erforderlich</x:v>
      </x:c>
      <x:c r="X542" s="14" t="str">
        <x:v>Organisation/Governance; konsolidierter Kreis und relevante Rechtseinheiten</x:v>
      </x:c>
      <x:c r="Y542" s="14" t="str">
        <x:v>Vorfälle pro 1 Mio. Kunden (DSGVO/NIS2).</x:v>
      </x:c>
      <x:c r="Z542" s="14" t="str">
        <x:v>Primärdaten bevorzugt; Sekundärdaten nur transparent und versioniert; Methode und Systemgrenze dokumentieren</x:v>
      </x:c>
      <x:c r="AA542" s="14" t="str">
        <x:v>Limited Assurance; risikobasiert höhere Prüftiefe</x:v>
      </x:c>
      <x:c r="AB542" s="14" t="str">
        <x:v>Strukturell nutzbar; Schwellen fachlich zu validieren</x:v>
      </x:c>
      <x:c r="AC542" s="14" t="str">
        <x:v>Mittel</x:v>
      </x:c>
      <x:c r="AD542" s="14" t="str">
        <x:v>Vollständige fünfstufige numerische Regel.</x:v>
      </x:c>
      <x:c r="AE542" s="14" t="str">
        <x:v>v1.4</x:v>
      </x:c>
      <x:c r="AF542" s="52" t="str">
        <x:v>2026-08-16</x:v>
      </x:c>
      <x:c r="AG542" s="52"/>
    </x:row>
    <x:row r="543" ht="42" customHeight="1">
      <x:c r="A543" s="14" t="str">
        <x:v>WOK-G-225</x:v>
      </x:c>
      <x:c r="B543" s="14" t="str">
        <x:v>SDG+ – Resilienz</x:v>
      </x:c>
      <x:c r="C543" s="14" t="str">
        <x:v>—</x:v>
      </x:c>
      <x:c r="D543" s="14" t="str">
        <x:v>Cyber‑Resilienz</x:v>
      </x:c>
      <x:c r="E543" s="14" t="str">
        <x:v>Cyber‑Resilienz – Privacy by Design</x:v>
      </x:c>
      <x:c r="F543" s="14" t="str">
        <x:v>Abdeckung relevanter Features/Produkte</x:v>
      </x:c>
      <x:c r="G543" s="14" t="str">
        <x:v>%</x:v>
      </x:c>
      <x:c r="H543" s="14" t="str">
        <x:v>higher_is_better</x:v>
      </x:c>
      <x:c r="I543" s="14" t="str">
        <x:v>R25</x:v>
      </x:c>
      <x:c r="J543" s="14" t="str">
        <x:v>≥90%:+3; 70–89%:+2; 50–69%:0; 30–49%:‑2; &lt;30%:‑3</x:v>
      </x:c>
      <x:c r="K543" s="14" t="str">
        <x:v>Feste WÖk-Kalibrierung</x:v>
      </x:c>
      <x:c r="L543" s="14" t="str">
        <x:v>Arbeitskalibrierung – fachlich zu validieren</x:v>
      </x:c>
      <x:c r="M543" s="14" t="str">
        <x:v>WÖk-interne Klassenlogik</x:v>
      </x:c>
      <x:c r="N543" s="14" t="str">
        <x:v>Optional/Nein</x:v>
      </x:c>
      <x:c r="O543" s="14" t="str">
        <x:v>ISO 14067/50001/45001/22301/27701/23894</x:v>
      </x:c>
      <x:c r="P543" s="14" t="str">
        <x:v>ISO/IEC 27001 &amp; 27701, NIS2</x:v>
      </x:c>
      <x:c r="Q543" s="14" t="str">
        <x:v>Mess-, Berichts- oder Managementrahmen; Schwellen sind grundsätzlich WÖk-Kalibrierungen</x:v>
      </x:c>
      <x:c r="R543" s="14" t="str">
        <x:v>Messgrundlage belegt; Schwellenkalibrierung offen</x:v>
      </x:c>
      <x:c r="S543" s="14" t="str">
        <x:v>ISO-14067; ISO-50001; ISO-45001; ISO-22301; ISO-27701; ISO-23894</x:v>
      </x:c>
      <x:c r="T543" s="14" t="str">
        <x:v>G47 Handel; K Versicherungen; M72 F&amp;E</x:v>
      </x:c>
      <x:c r="U543" s="14" t="str">
        <x:v>Legacy / nicht explizit versioniert</x:v>
      </x:c>
      <x:c r="V543" s="51" t="str"/>
      <x:c r="W543" s="14" t="str">
        <x:v>Migration auf NACE Rev. 2.1 erforderlich</x:v>
      </x:c>
      <x:c r="X543" s="14" t="str">
        <x:v>Organisation/Governance; konsolidierter Kreis und relevante Rechtseinheiten</x:v>
      </x:c>
      <x:c r="Y543" s="14" t="str">
        <x:v>Vorfälle pro 1 Mio. Kunden (DSGVO/NIS2).</x:v>
      </x:c>
      <x:c r="Z543" s="14" t="str">
        <x:v>Primärdaten bevorzugt; Sekundärdaten nur transparent und versioniert; Methode und Systemgrenze dokumentieren</x:v>
      </x:c>
      <x:c r="AA543" s="14" t="str">
        <x:v>Limited Assurance; risikobasiert höhere Prüftiefe</x:v>
      </x:c>
      <x:c r="AB543" s="14" t="str">
        <x:v>Strukturell nutzbar; Schwellen fachlich zu validieren</x:v>
      </x:c>
      <x:c r="AC543" s="14" t="str">
        <x:v>Mittel</x:v>
      </x:c>
      <x:c r="AD543" s="14" t="str">
        <x:v>Vollständige fünfstufige Prozentregel.</x:v>
      </x:c>
      <x:c r="AE543" s="14" t="str">
        <x:v>v1.4</x:v>
      </x:c>
      <x:c r="AF543" s="52" t="str">
        <x:v>2026-08-16</x:v>
      </x:c>
      <x:c r="AG543" s="52"/>
    </x:row>
    <x:row r="544" ht="42" customHeight="1">
      <x:c r="A544" s="14" t="str">
        <x:v>WOK-G-226</x:v>
      </x:c>
      <x:c r="B544" s="14" t="str">
        <x:v>SDG+ – Resilienz</x:v>
      </x:c>
      <x:c r="C544" s="14" t="str">
        <x:v>—</x:v>
      </x:c>
      <x:c r="D544" s="14" t="str">
        <x:v>Cyber‑Resilienz</x:v>
      </x:c>
      <x:c r="E544" s="14" t="str">
        <x:v>Cyber‑Resilienz – Security Reifegrad</x:v>
      </x:c>
      <x:c r="F544" s="14" t="str">
        <x:v>ISO/27001 Reifegrad</x:v>
      </x:c>
      <x:c r="G544" s="14" t="str">
        <x:v>0–1</x:v>
      </x:c>
      <x:c r="H544" s="14" t="str">
        <x:v>higher_is_better</x:v>
      </x:c>
      <x:c r="I544" s="14" t="str">
        <x:v>R16</x:v>
      </x:c>
      <x:c r="J544" s="14" t="str">
        <x:v>≥0,9:+3; 0,75–0,89:+2; 0,6–0,74:0; 0,4–0,59:‑2; &lt;0,4:‑3</x:v>
      </x:c>
      <x:c r="K544" s="14" t="str">
        <x:v>Feste WÖk-Kalibrierung</x:v>
      </x:c>
      <x:c r="L544" s="14" t="str">
        <x:v>Arbeitskalibrierung – fachlich zu validieren</x:v>
      </x:c>
      <x:c r="M544" s="14" t="str">
        <x:v>WÖk-interne Klassenlogik</x:v>
      </x:c>
      <x:c r="N544" s="14" t="str">
        <x:v>Optional/Nein</x:v>
      </x:c>
      <x:c r="O544" s="14" t="str">
        <x:v>ISO 14067/50001/45001/22301/27701/23894</x:v>
      </x:c>
      <x:c r="P544" s="14" t="str">
        <x:v>ISO/IEC 27001 &amp; 27701, NIS2</x:v>
      </x:c>
      <x:c r="Q544" s="14" t="str">
        <x:v>Mess-, Berichts- oder Managementrahmen; Schwellen sind grundsätzlich WÖk-Kalibrierungen</x:v>
      </x:c>
      <x:c r="R544" s="14" t="str">
        <x:v>Messgrundlage belegt; Schwellenkalibrierung offen</x:v>
      </x:c>
      <x:c r="S544" s="14" t="str">
        <x:v>ISO-14067; ISO-50001; ISO-45001; ISO-22301; ISO-27701; ISO-23894</x:v>
      </x:c>
      <x:c r="T544" s="14" t="str">
        <x:v>G47 Handel; K Versicherungen; M72 F&amp;E</x:v>
      </x:c>
      <x:c r="U544" s="14" t="str">
        <x:v>Legacy / nicht explizit versioniert</x:v>
      </x:c>
      <x:c r="V544" s="51" t="str"/>
      <x:c r="W544" s="14" t="str">
        <x:v>Migration auf NACE Rev. 2.1 erforderlich</x:v>
      </x:c>
      <x:c r="X544" s="14" t="str">
        <x:v>Organisation/Governance; konsolidierter Kreis und relevante Rechtseinheiten</x:v>
      </x:c>
      <x:c r="Y544" s="14" t="str">
        <x:v>Siehe Quelle: Definition gemäß Standard (ESRS/GRI/Taxonomie/ISO).</x:v>
      </x:c>
      <x:c r="Z544" s="14" t="str">
        <x:v>Primärdaten bevorzugt; Sekundärdaten nur transparent und versioniert; Methode und Systemgrenze dokumentieren</x:v>
      </x:c>
      <x:c r="AA544" s="14" t="str">
        <x:v>Limited Assurance; risikobasiert höhere Prüftiefe</x:v>
      </x:c>
      <x:c r="AB544" s="14" t="str">
        <x:v>Strukturell nutzbar; Schwellen fachlich zu validieren</x:v>
      </x:c>
      <x:c r="AC544" s="14" t="str">
        <x:v>Mittel</x:v>
      </x:c>
      <x:c r="AD544" s="14" t="str">
        <x:v>Vollständige fünfstufige numerische Regel.</x:v>
      </x:c>
      <x:c r="AE544" s="14" t="str">
        <x:v>v1.4</x:v>
      </x:c>
      <x:c r="AF544" s="52" t="str">
        <x:v>2026-08-16</x:v>
      </x:c>
      <x:c r="AG544" s="52"/>
    </x:row>
    <x:row r="545" ht="42" customHeight="1">
      <x:c r="A545" s="14" t="str">
        <x:v>WOK-SC-158</x:v>
      </x:c>
      <x:c r="B545" s="14" t="str">
        <x:v>SDG+ – Resilienz</x:v>
      </x:c>
      <x:c r="C545" s="14" t="str">
        <x:v>—</x:v>
      </x:c>
      <x:c r="D545" s="14" t="str">
        <x:v>Lieferketten‑Resilienz</x:v>
      </x:c>
      <x:c r="E545" s="14" t="str">
        <x:v>Lieferketten‑Resilienz – ESG‑Spend‑Coverage</x:v>
      </x:c>
      <x:c r="F545" s="14" t="str">
        <x:v>Anteil verifizierter ESG‑Daten am Spend</x:v>
      </x:c>
      <x:c r="G545" s="14" t="str">
        <x:v>%</x:v>
      </x:c>
      <x:c r="H545" s="14" t="str">
        <x:v>higher_is_better</x:v>
      </x:c>
      <x:c r="I545" s="14" t="str">
        <x:v>R26</x:v>
      </x:c>
      <x:c r="J545" s="14" t="str">
        <x:v>≥90:+3; 70–89:+2; 50–69:0; 30–49:‑2; &lt;30:‑3</x:v>
      </x:c>
      <x:c r="K545" s="14" t="str">
        <x:v>Feste WÖk-Kalibrierung</x:v>
      </x:c>
      <x:c r="L545" s="14" t="str">
        <x:v>Arbeitskalibrierung – fachlich zu validieren</x:v>
      </x:c>
      <x:c r="M545" s="14" t="str">
        <x:v>WÖk-interne Klassenlogik</x:v>
      </x:c>
      <x:c r="N545" s="14" t="str">
        <x:v>Optional/Nein</x:v>
      </x:c>
      <x:c r="O545" s="14" t="str">
        <x:v>ESRS S2; GRI 308/414/408/409</x:v>
      </x:c>
      <x:c r="P545" s="14" t="str">
        <x:v>ESRS S2, GRI 308/414, OECD Due Diligence</x:v>
      </x:c>
      <x:c r="Q545" s="14" t="str">
        <x:v>Mess-, Berichts- oder Managementrahmen; Schwellen sind grundsätzlich WÖk-Kalibrierungen</x:v>
      </x:c>
      <x:c r="R545" s="14" t="str">
        <x:v>Messgrundlage belegt; Schwellenkalibrierung offen</x:v>
      </x:c>
      <x:c r="S545" s="14" t="str">
        <x:v>EU-ESRS; GRI; OECD-DD; ILO-CORE</x:v>
      </x:c>
      <x:c r="T545" s="14" t="str">
        <x:v>C20 Chemie; C24 Stahl; C29 Fahrzeuge</x:v>
      </x:c>
      <x:c r="U545" s="14" t="str">
        <x:v>Legacy / nicht explizit versioniert</x:v>
      </x:c>
      <x:c r="V545" s="51" t="str"/>
      <x:c r="W545" s="14" t="str">
        <x:v>Migration auf NACE Rev. 2.1 erforderlich</x:v>
      </x:c>
      <x:c r="X545" s="14" t="str">
        <x:v>Vorgelagerte Lieferkette; relevante Tier-Stufen und Beschaffungsvolumen</x:v>
      </x:c>
      <x:c r="Y545" s="14" t="str">
        <x:v>Quote = Zähler / Nenner gemäß Quelle; in %.</x:v>
      </x:c>
      <x:c r="Z545" s="14" t="str">
        <x:v>Primärdaten bevorzugt; Sekundärdaten nur transparent und versioniert; Methode und Systemgrenze dokumentieren</x:v>
      </x:c>
      <x:c r="AA545" s="14" t="str">
        <x:v>Limited Assurance; risikobasiert höhere Prüftiefe</x:v>
      </x:c>
      <x:c r="AB545" s="14" t="str">
        <x:v>Strukturell nutzbar; Schwellen fachlich zu validieren</x:v>
      </x:c>
      <x:c r="AC545" s="14" t="str">
        <x:v>Mittel</x:v>
      </x:c>
      <x:c r="AD545" s="14" t="str">
        <x:v>Vollständige fünfstufige numerische Regel.</x:v>
      </x:c>
      <x:c r="AE545" s="14" t="str">
        <x:v>v1.4</x:v>
      </x:c>
      <x:c r="AF545" s="52" t="str">
        <x:v>2026-08-16</x:v>
      </x:c>
      <x:c r="AG545" s="52"/>
    </x:row>
    <x:row r="546" ht="42" customHeight="1">
      <x:c r="A546" s="14" t="str">
        <x:v>WOK-SC-159</x:v>
      </x:c>
      <x:c r="B546" s="14" t="str">
        <x:v>SDG+ – Resilienz</x:v>
      </x:c>
      <x:c r="C546" s="14" t="str">
        <x:v>—</x:v>
      </x:c>
      <x:c r="D546" s="14" t="str">
        <x:v>Lieferketten‑Resilienz</x:v>
      </x:c>
      <x:c r="E546" s="14" t="str">
        <x:v>Lieferketten‑Resilienz – Kinder/Zwangsarbeit</x:v>
      </x:c>
      <x:c r="F546" s="14" t="str">
        <x:v>Audits ohne Verstöße</x:v>
      </x:c>
      <x:c r="G546" s="14" t="str">
        <x:v>% Lieferanten</x:v>
      </x:c>
      <x:c r="H546" s="14" t="str">
        <x:v>higher_is_better</x:v>
      </x:c>
      <x:c r="I546" s="14" t="str">
        <x:v>R28</x:v>
      </x:c>
      <x:c r="J546" s="14" t="str">
        <x:v>≥98:+3; 90–97:+2; 75–89:0; 50–74:‑2; &lt;50:‑3</x:v>
      </x:c>
      <x:c r="K546" s="14" t="str">
        <x:v>Feste WÖk-Kalibrierung</x:v>
      </x:c>
      <x:c r="L546" s="14" t="str">
        <x:v>Arbeitskalibrierung – fachlich zu validieren</x:v>
      </x:c>
      <x:c r="M546" s="14" t="str">
        <x:v>WÖk-interne Klassenlogik</x:v>
      </x:c>
      <x:c r="N546" s="14" t="str">
        <x:v>Optional/Nein</x:v>
      </x:c>
      <x:c r="O546" s="14" t="str">
        <x:v>ESRS S2; GRI 308/414/408/409</x:v>
      </x:c>
      <x:c r="P546" s="14" t="str">
        <x:v>ESRS S2, GRI 308/414, OECD Due Diligence</x:v>
      </x:c>
      <x:c r="Q546" s="14" t="str">
        <x:v>Mess-, Berichts- oder Managementrahmen; Schwellen sind grundsätzlich WÖk-Kalibrierungen</x:v>
      </x:c>
      <x:c r="R546" s="14" t="str">
        <x:v>Messgrundlage belegt; Schwellenkalibrierung offen</x:v>
      </x:c>
      <x:c r="S546" s="14" t="str">
        <x:v>EU-ESRS; GRI; OECD-DD; ILO-CORE</x:v>
      </x:c>
      <x:c r="T546" s="14" t="str">
        <x:v>C20 Chemie; C24 Stahl; C29 Fahrzeuge</x:v>
      </x:c>
      <x:c r="U546" s="14" t="str">
        <x:v>Legacy / nicht explizit versioniert</x:v>
      </x:c>
      <x:c r="V546" s="51" t="str"/>
      <x:c r="W546" s="14" t="str">
        <x:v>Migration auf NACE Rev. 2.1 erforderlich</x:v>
      </x:c>
      <x:c r="X546" s="14" t="str">
        <x:v>Vorgelagerte Lieferkette; relevante Tier-Stufen und Beschaffungsvolumen</x:v>
      </x:c>
      <x:c r="Y546" s="14" t="str">
        <x:v>Quote = Zähler / Nenner gemäß Quelle; in %.</x:v>
      </x:c>
      <x:c r="Z546" s="14" t="str">
        <x:v>Primärdaten bevorzugt; Sekundärdaten nur transparent und versioniert; Methode und Systemgrenze dokumentieren</x:v>
      </x:c>
      <x:c r="AA546" s="14" t="str">
        <x:v>Limited Assurance; risikobasiert höhere Prüftiefe</x:v>
      </x:c>
      <x:c r="AB546" s="14" t="str">
        <x:v>Strukturell nutzbar; Schwellen fachlich zu validieren</x:v>
      </x:c>
      <x:c r="AC546" s="14" t="str">
        <x:v>Mittel</x:v>
      </x:c>
      <x:c r="AD546" s="14" t="str">
        <x:v>Vollständige fünfstufige numerische Regel.</x:v>
      </x:c>
      <x:c r="AE546" s="14" t="str">
        <x:v>v1.4</x:v>
      </x:c>
      <x:c r="AF546" s="52" t="str">
        <x:v>2026-08-16</x:v>
      </x:c>
      <x:c r="AG546" s="52"/>
    </x:row>
    <x:row r="547" ht="42" customHeight="1">
      <x:c r="A547" s="14" t="str">
        <x:v>WOK-SC-160</x:v>
      </x:c>
      <x:c r="B547" s="14" t="str">
        <x:v>SDG+ – Resilienz</x:v>
      </x:c>
      <x:c r="C547" s="14" t="str">
        <x:v>—</x:v>
      </x:c>
      <x:c r="D547" s="14" t="str">
        <x:v>Lieferketten‑Resilienz</x:v>
      </x:c>
      <x:c r="E547" s="14" t="str">
        <x:v>Lieferketten‑Resilienz – Scope‑3 Daten</x:v>
      </x:c>
      <x:c r="F547" s="14" t="str">
        <x:v>Primärdaten‑Abdeckung</x:v>
      </x:c>
      <x:c r="G547" s="14" t="str">
        <x:v>% Kategorien</x:v>
      </x:c>
      <x:c r="H547" s="14" t="str">
        <x:v>higher_is_better</x:v>
      </x:c>
      <x:c r="I547" s="14" t="str">
        <x:v>R23</x:v>
      </x:c>
      <x:c r="J547" s="14" t="str">
        <x:v>≥80:+3; 60–79:+2; 40–59:0; 20–39:‑2; &lt;20:‑3</x:v>
      </x:c>
      <x:c r="K547" s="14" t="str">
        <x:v>Feste WÖk-Kalibrierung</x:v>
      </x:c>
      <x:c r="L547" s="14" t="str">
        <x:v>Arbeitskalibrierung – fachlich zu validieren</x:v>
      </x:c>
      <x:c r="M547" s="14" t="str">
        <x:v>WÖk-interne Klassenlogik</x:v>
      </x:c>
      <x:c r="N547" s="14" t="str">
        <x:v>Optional/Nein</x:v>
      </x:c>
      <x:c r="O547" s="14" t="str">
        <x:v>ESRS E1; GHG Protocol</x:v>
      </x:c>
      <x:c r="P547" s="14" t="str">
        <x:v>ESRS E1, GHG Protocol (Corporate/Scope 1–3), ISO 14064/14067</x:v>
      </x:c>
      <x:c r="Q547" s="14" t="str">
        <x:v>Mess-, Berichts- oder Managementrahmen; Schwellen sind grundsätzlich WÖk-Kalibrierungen</x:v>
      </x:c>
      <x:c r="R547" s="14" t="str">
        <x:v>Messgrundlage belegt; Schwellenkalibrierung offen</x:v>
      </x:c>
      <x:c r="S547" s="14" t="str">
        <x:v>EU-ESRS; GHG-CORP; GHG-S3; GHG-PROD</x:v>
      </x:c>
      <x:c r="T547" s="14" t="str">
        <x:v>C20 Chemie; C24 Stahl; C29 Fahrzeuge</x:v>
      </x:c>
      <x:c r="U547" s="14" t="str">
        <x:v>Legacy / nicht explizit versioniert</x:v>
      </x:c>
      <x:c r="V547" s="51" t="str"/>
      <x:c r="W547" s="14" t="str">
        <x:v>Migration auf NACE Rev. 2.1 erforderlich</x:v>
      </x:c>
      <x:c r="X547" s="14" t="str">
        <x:v>Vorgelagerte Lieferkette; relevante Tier-Stufen und Beschaffungsvolumen</x:v>
      </x:c>
      <x:c r="Y547" s="14" t="str">
        <x:v>Quote = Zähler / Nenner gemäß Quelle; in %.</x:v>
      </x:c>
      <x:c r="Z547" s="14" t="str">
        <x:v>Primärdaten bevorzugt; Sekundärdaten nur transparent und versioniert; Methode und Systemgrenze dokumentieren</x:v>
      </x:c>
      <x:c r="AA547" s="14" t="str">
        <x:v>Limited Assurance; risikobasiert höhere Prüftiefe</x:v>
      </x:c>
      <x:c r="AB547" s="14" t="str">
        <x:v>Strukturell nutzbar; Schwellen fachlich zu validieren</x:v>
      </x:c>
      <x:c r="AC547" s="14" t="str">
        <x:v>Mittel</x:v>
      </x:c>
      <x:c r="AD547" s="14" t="str">
        <x:v>Vollständige fünfstufige numerische Regel.</x:v>
      </x:c>
      <x:c r="AE547" s="14" t="str">
        <x:v>v1.4</x:v>
      </x:c>
      <x:c r="AF547" s="52" t="str">
        <x:v>2026-08-16</x:v>
      </x:c>
      <x:c r="AG547" s="52"/>
    </x:row>
    <x:row r="548" ht="42" customHeight="1">
      <x:c r="A548" s="14" t="str">
        <x:v>WOK-SYS-191</x:v>
      </x:c>
      <x:c r="B548" s="14" t="str">
        <x:v>SDG+ – Resilienz</x:v>
      </x:c>
      <x:c r="C548" s="14" t="str">
        <x:v>—</x:v>
      </x:c>
      <x:c r="D548" s="14" t="str">
        <x:v>Gemeinwesen‑Resilienz</x:v>
      </x:c>
      <x:c r="E548" s="14" t="str">
        <x:v>Gemeinwesen‑Resilienz – Index</x:v>
      </x:c>
      <x:c r="F548" s="14" t="str">
        <x:v>umsatzgewichteter Index (z. B. Demokratie/Rule of Law)</x:v>
      </x:c>
      <x:c r="G548" s="14" t="str">
        <x:v>0–1</x:v>
      </x:c>
      <x:c r="H548" s="14" t="str">
        <x:v>higher_is_better</x:v>
      </x:c>
      <x:c r="I548" s="14" t="str">
        <x:v>R15</x:v>
      </x:c>
      <x:c r="J548" s="14" t="str">
        <x:v>≥0,8:+3; 0,7–0,79:+2; 0,6–0,69:0; 0,5–0,59:‑2; &lt;0,5:‑3</x:v>
      </x:c>
      <x:c r="K548" s="14" t="str">
        <x:v>Feste WÖk-Kalibrierung</x:v>
      </x:c>
      <x:c r="L548" s="14" t="str">
        <x:v>Arbeitskalibrierung – fachlich zu validieren</x:v>
      </x:c>
      <x:c r="M548" s="14" t="str">
        <x:v>WÖk-interne Klassenlogik</x:v>
      </x:c>
      <x:c r="N548" s="14" t="str">
        <x:v>Optional/Nein</x:v>
      </x:c>
      <x:c r="O548" s="14" t="str">
        <x:v>SROI/SDG17</x:v>
      </x:c>
      <x:c r="P548" s="14" t="str">
        <x:v>SDG 16/17, WJP, V‑Dem</x:v>
      </x:c>
      <x:c r="Q548" s="14" t="str">
        <x:v>Methodischer Platzhalter; konkrete Fach- und Primärdatenquelle erforderlich</x:v>
      </x:c>
      <x:c r="R548" s="14" t="str">
        <x:v>Platzhalter – fachliche Operationalisierung offen</x:v>
      </x:c>
      <x:c r="S548" s="14" t="str">
        <x:v>INT-WOEK-TSROI; SVI-SROI; UN-SDG</x:v>
      </x:c>
      <x:c r="T548" s="14" t="str">
        <x:v>G47 Handel; K Versicherungen; M72 F&amp;E</x:v>
      </x:c>
      <x:c r="U548" s="14" t="str">
        <x:v>Legacy / nicht explizit versioniert</x:v>
      </x:c>
      <x:c r="V548" s="51" t="str"/>
      <x:c r="W548" s="14" t="str">
        <x:v>Migration auf NACE Rev. 2.1 erforderlich</x:v>
      </x:c>
      <x:c r="X548" s="14" t="str">
        <x:v>Programm/Portfolio/Systemraum; Empfängergruppe, Region und Zeitraum explizit definieren</x:v>
      </x:c>
      <x:c r="Y548" s="14" t="str">
        <x:v>Siehe Quelle: Definition gemäß Standard (ESRS/GRI/Taxonomie/ISO).</x:v>
      </x:c>
      <x:c r="Z548" s="14" t="str">
        <x:v>Primärdaten bevorzugt; Sekundärdaten nur transparent und versioniert; Methode und Systemgrenze dokumentieren</x:v>
      </x:c>
      <x:c r="AA548" s="14" t="str">
        <x:v>Limited Assurance; risikobasiert höhere Prüftiefe</x:v>
      </x:c>
      <x:c r="AB548" s="14" t="str">
        <x:v>Fachlogik nicht abschließend operationalisiert</x:v>
      </x:c>
      <x:c r="AC548" s="14" t="str">
        <x:v>Kritisch</x:v>
      </x:c>
      <x:c r="AD548" s="14" t="str">
        <x:v>SROI/SDG 17 ist keine hinreichend konkrete Mess- oder Schwellenquelle. Vollständige fünfstufige numerische Regel.</x:v>
      </x:c>
      <x:c r="AE548" s="14" t="str">
        <x:v>v1.4</x:v>
      </x:c>
      <x:c r="AF548" s="52" t="str">
        <x:v>2026-08-16</x:v>
      </x:c>
      <x:c r="AG548" s="52"/>
    </x:row>
    <x:row r="549" ht="42" customHeight="1">
      <x:c r="A549" s="14" t="str">
        <x:v>WOK-SYS-192</x:v>
      </x:c>
      <x:c r="B549" s="14" t="str">
        <x:v>SDG+ – Resilienz</x:v>
      </x:c>
      <x:c r="C549" s="14" t="str">
        <x:v>—</x:v>
      </x:c>
      <x:c r="D549" s="14" t="str">
        <x:v>Gemeinwesen‑Resilienz</x:v>
      </x:c>
      <x:c r="E549" s="14" t="str">
        <x:v>Gemeinwesen‑Resilienz – Exposure</x:v>
      </x:c>
      <x:c r="F549" s="14" t="str">
        <x:v>Umsatz in Hochrisikoländern</x:v>
      </x:c>
      <x:c r="G549" s="14" t="str">
        <x:v>%</x:v>
      </x:c>
      <x:c r="H549" s="14" t="str">
        <x:v>lower_is_better</x:v>
      </x:c>
      <x:c r="I549" s="14" t="str">
        <x:v>R13</x:v>
      </x:c>
      <x:c r="J549" s="14" t="str">
        <x:v>≤5:+3; 6–10:+2; 11–20:0; 21–30:‑2; &gt;30:‑3</x:v>
      </x:c>
      <x:c r="K549" s="14" t="str">
        <x:v>Feste WÖk-Kalibrierung</x:v>
      </x:c>
      <x:c r="L549" s="14" t="str">
        <x:v>Arbeitskalibrierung – fachlich zu validieren</x:v>
      </x:c>
      <x:c r="M549" s="14" t="str">
        <x:v>WÖk-interne Klassenlogik</x:v>
      </x:c>
      <x:c r="N549" s="14" t="str">
        <x:v>Optional/Nein</x:v>
      </x:c>
      <x:c r="O549" s="14" t="str">
        <x:v>SROI/SDG17</x:v>
      </x:c>
      <x:c r="P549" s="14" t="str">
        <x:v>SROI/SDG17</x:v>
      </x:c>
      <x:c r="Q549" s="14" t="str">
        <x:v>Methodischer Platzhalter; konkrete Fach- und Primärdatenquelle erforderlich</x:v>
      </x:c>
      <x:c r="R549" s="14" t="str">
        <x:v>Platzhalter – fachliche Operationalisierung offen</x:v>
      </x:c>
      <x:c r="S549" s="14" t="str">
        <x:v>INT-WOEK-TSROI; SVI-SROI; UN-SDG</x:v>
      </x:c>
      <x:c r="T549" s="14" t="str">
        <x:v>G47 Handel; K Versicherungen; M72 F&amp;E</x:v>
      </x:c>
      <x:c r="U549" s="14" t="str">
        <x:v>Legacy / nicht explizit versioniert</x:v>
      </x:c>
      <x:c r="V549" s="51" t="str"/>
      <x:c r="W549" s="14" t="str">
        <x:v>Migration auf NACE Rev. 2.1 erforderlich</x:v>
      </x:c>
      <x:c r="X549" s="14" t="str">
        <x:v>Programm/Portfolio/Systemraum; Empfängergruppe, Region und Zeitraum explizit definieren</x:v>
      </x:c>
      <x:c r="Y549" s="14" t="str">
        <x:v>Siehe Quelle: Definition gemäß Standard (ESRS/GRI/Taxonomie/ISO).</x:v>
      </x:c>
      <x:c r="Z549" s="14" t="str">
        <x:v>Primärdaten bevorzugt; Sekundärdaten nur transparent und versioniert; Methode und Systemgrenze dokumentieren</x:v>
      </x:c>
      <x:c r="AA549" s="14" t="str">
        <x:v>Limited Assurance; risikobasiert höhere Prüftiefe</x:v>
      </x:c>
      <x:c r="AB549" s="14" t="str">
        <x:v>Fachlogik nicht abschließend operationalisiert</x:v>
      </x:c>
      <x:c r="AC549" s="14" t="str">
        <x:v>Kritisch</x:v>
      </x:c>
      <x:c r="AD549" s="14" t="str">
        <x:v>SROI/SDG 17 ist keine hinreichend konkrete Mess- oder Schwellenquelle. Vollständige fünfstufige numerische Regel.</x:v>
      </x:c>
      <x:c r="AE549" s="14" t="str">
        <x:v>v1.4</x:v>
      </x:c>
      <x:c r="AF549" s="52" t="str">
        <x:v>2026-08-16</x:v>
      </x:c>
      <x:c r="AG549" s="52"/>
    </x:row>
    <x:row r="550" ht="42" customHeight="1">
      <x:c r="A550" s="14" t="str">
        <x:v>WOK-SYS-193</x:v>
      </x:c>
      <x:c r="B550" s="14" t="str">
        <x:v>SDG+ – Resilienz</x:v>
      </x:c>
      <x:c r="C550" s="14" t="str">
        <x:v>—</x:v>
      </x:c>
      <x:c r="D550" s="14" t="str">
        <x:v>Gemeinwesen‑Resilienz</x:v>
      </x:c>
      <x:c r="E550" s="14" t="str">
        <x:v>Gemeinwesen‑Resilienz – Kooperationen</x:v>
      </x:c>
      <x:c r="F550" s="14" t="str">
        <x:v>aktive, evaluierte Partnerschaften/Jahr</x:v>
      </x:c>
      <x:c r="G550" s="14" t="str">
        <x:v>#/Jahr</x:v>
      </x:c>
      <x:c r="H550" s="14" t="str">
        <x:v>higher_is_better</x:v>
      </x:c>
      <x:c r="I550" s="14" t="str">
        <x:v>R20</x:v>
      </x:c>
      <x:c r="J550" s="14" t="str">
        <x:v>≥5:+3; 3–4:+2; 1–2:0; 0:‑2</x:v>
      </x:c>
      <x:c r="K550" s="14" t="str">
        <x:v>Feste WÖk-Grobkalibrierung</x:v>
      </x:c>
      <x:c r="L550" s="14" t="str">
        <x:v>Klasse −3 nur für negative/unzulässige Werte ergänzt</x:v>
      </x:c>
      <x:c r="M550" s="14" t="str">
        <x:v>WÖk-interne Grobkalibrierung</x:v>
      </x:c>
      <x:c r="N550" s="14" t="str">
        <x:v>Optional/Nein</x:v>
      </x:c>
      <x:c r="O550" s="14" t="str">
        <x:v>SROI/SDG17</x:v>
      </x:c>
      <x:c r="P550" s="14" t="str">
        <x:v>SDG 16/17, WJP, V‑Dem</x:v>
      </x:c>
      <x:c r="Q550" s="14" t="str">
        <x:v>Methodischer Platzhalter; konkrete Fach- und Primärdatenquelle erforderlich</x:v>
      </x:c>
      <x:c r="R550" s="14" t="str">
        <x:v>Platzhalter – fachliche Operationalisierung offen</x:v>
      </x:c>
      <x:c r="S550" s="14" t="str">
        <x:v>INT-WOEK-TSROI; SVI-SROI; UN-SDG</x:v>
      </x:c>
      <x:c r="T550" s="14" t="str">
        <x:v>G47 Handel; K Versicherungen; M72 F&amp;E</x:v>
      </x:c>
      <x:c r="U550" s="14" t="str">
        <x:v>Legacy / nicht explizit versioniert</x:v>
      </x:c>
      <x:c r="V550" s="51" t="str"/>
      <x:c r="W550" s="14" t="str">
        <x:v>Migration auf NACE Rev. 2.1 erforderlich</x:v>
      </x:c>
      <x:c r="X550" s="14" t="str">
        <x:v>Programm/Portfolio/Systemraum; Empfängergruppe, Region und Zeitraum explizit definieren</x:v>
      </x:c>
      <x:c r="Y550" s="14" t="str">
        <x:v>Siehe Quelle: Definition gemäß Standard (ESRS/GRI/Taxonomie/ISO).</x:v>
      </x:c>
      <x:c r="Z550" s="14" t="str">
        <x:v>Primärdaten bevorzugt; Sekundärdaten nur transparent und versioniert; Methode und Systemgrenze dokumentieren</x:v>
      </x:c>
      <x:c r="AA550" s="14" t="str">
        <x:v>Limited Assurance; risikobasiert höhere Prüftiefe</x:v>
      </x:c>
      <x:c r="AB550" s="14" t="str">
        <x:v>Fachlogik nicht abschließend operationalisiert</x:v>
      </x:c>
      <x:c r="AC550" s="14" t="str">
        <x:v>Kritisch</x:v>
      </x:c>
      <x:c r="AD550" s="14" t="str">
        <x:v>SROI/SDG 17 ist keine hinreichend konkrete Mess- oder Schwellenquelle. Für sachlogisch nichtnegative Zählwerte ist 0 die schlechteste reguläre Klasse (−2).</x:v>
      </x:c>
      <x:c r="AE550" s="14" t="str">
        <x:v>v1.4</x:v>
      </x:c>
      <x:c r="AF550" s="52" t="str">
        <x:v>2026-08-16</x:v>
      </x:c>
      <x:c r="AG550" s="52"/>
    </x:row>
    <x:row r="551" ht="42" customHeight="1">
      <x:c r="A551" s="14" t="str">
        <x:v>WOK-RE-122</x:v>
      </x:c>
      <x:c r="B551" s="14" t="str">
        <x:v>SDG+ – Resilienz</x:v>
      </x:c>
      <x:c r="C551" s="14" t="str">
        <x:v>—</x:v>
      </x:c>
      <x:c r="D551" s="14" t="str">
        <x:v>Kritische Infrastruktur Robustheit</x:v>
      </x:c>
      <x:c r="E551" s="14" t="str">
        <x:v>Kritische Infrastruktur Robustheit – Betriebsenergie</x:v>
      </x:c>
      <x:c r="F551" s="14" t="str">
        <x:v>Endenergiebedarf</x:v>
      </x:c>
      <x:c r="G551" s="14" t="str">
        <x:v>kWh/m²a</x:v>
      </x:c>
      <x:c r="H551" s="14" t="str">
        <x:v>lower_is_better</x:v>
      </x:c>
      <x:c r="I551" s="14" t="str">
        <x:v>R05</x:v>
      </x:c>
      <x:c r="J551" s="14" t="str">
        <x:v>Top 15%:+3; +15–30%:+2; +31–60%:0; &gt;+60%:‑2/‑3</x:v>
      </x:c>
      <x:c r="K551" s="14" t="str">
        <x:v>Benchmarkabhängig</x:v>
      </x:c>
      <x:c r="L551" s="14" t="str">
        <x:v>Validierter Benchmark fehlt</x:v>
      </x:c>
      <x:c r="M551" s="14" t="str">
        <x:v>Branche/Region/Technologie</x:v>
      </x:c>
      <x:c r="N551" s="14" t="str">
        <x:v>Ja</x:v>
      </x:c>
      <x:c r="O551" s="14" t="str">
        <x:v>EPBD; EN 15978</x:v>
      </x:c>
      <x:c r="P551" s="14" t="str">
        <x:v>ESRS E1, ISO 50001 (EnMS), ISO/IEC 30134‑2 (PUE), EU EPBD</x:v>
      </x:c>
      <x:c r="Q551" s="14" t="str">
        <x:v>Mess-/Methodenrahmen; aktiver Branchen-/Regional-/Technologiebenchmark separat erforderlich</x:v>
      </x:c>
      <x:c r="R551" s="14" t="str">
        <x:v>Teilbelegt – Benchmarkquelle fehlt</x:v>
      </x:c>
      <x:c r="S551" s="14" t="str">
        <x:v>EU-EPBD; CEN-15978</x:v>
      </x:c>
      <x:c r="T551" s="14" t="str">
        <x:v>H49 Verkehr</x:v>
      </x:c>
      <x:c r="U551" s="14" t="str">
        <x:v>Legacy / nicht explizit versioniert</x:v>
      </x:c>
      <x:c r="V551" s="51" t="str"/>
      <x:c r="W551" s="14" t="str">
        <x:v>Migration auf NACE Rev. 2.1 erforderlich</x:v>
      </x:c>
      <x:c r="X551" s="14" t="str">
        <x:v>Gebäude/Standort; Betrieb plus relevante Lebenszyklusmodule</x:v>
      </x:c>
      <x:c r="Y551" s="14" t="str">
        <x:v>Siehe Quelle: Definition gemäß Standard (ESRS/GRI/Taxonomie/ISO).</x:v>
      </x:c>
      <x:c r="Z551" s="14" t="str">
        <x:v>Primärdaten plus repräsentativer, versionierter Benchmarkdatensatz; Stichprobe und Population offenlegen</x:v>
      </x:c>
      <x:c r="AA551" s="14" t="str">
        <x:v>Messwert-Assurance und unabhängige Benchmark-Governance</x:v>
      </x:c>
      <x:c r="AB551" s="14" t="str">
        <x:v>Prüfung/Parametrisierung erforderlich</x:v>
      </x:c>
      <x:c r="AC551" s="14" t="str">
        <x:v>Hoch</x:v>
      </x:c>
      <x:c r="AD551" s="14" t="str">
        <x:v>Die Grenze &gt;+60 % ist derzeit nicht eindeutig in −2/−3 aufgelöst.</x:v>
      </x:c>
      <x:c r="AE551" s="14" t="str">
        <x:v>v1.4</x:v>
      </x:c>
      <x:c r="AF551" s="52" t="str">
        <x:v>2026-08-16</x:v>
      </x:c>
      <x:c r="AG551" s="52"/>
    </x:row>
    <x:row r="552" ht="42" customHeight="1">
      <x:c r="A552" s="14" t="str">
        <x:v>WOK-RE-123</x:v>
      </x:c>
      <x:c r="B552" s="14" t="str">
        <x:v>SDG+ – Resilienz</x:v>
      </x:c>
      <x:c r="C552" s="14" t="str">
        <x:v>—</x:v>
      </x:c>
      <x:c r="D552" s="14" t="str">
        <x:v>Kritische Infrastruktur Robustheit</x:v>
      </x:c>
      <x:c r="E552" s="14" t="str">
        <x:v>Kritische Infrastruktur Robustheit – Graue Emissionen</x:v>
      </x:c>
      <x:c r="F552" s="14" t="str">
        <x:v>Embodied Carbon (A1–A3)</x:v>
      </x:c>
      <x:c r="G552" s="14" t="str">
        <x:v>kg CO₂e/m²</x:v>
      </x:c>
      <x:c r="H552" s="14" t="str">
        <x:v>lower_is_better</x:v>
      </x:c>
      <x:c r="I552" s="14" t="str">
        <x:v>R06</x:v>
      </x:c>
      <x:c r="J552" s="14" t="str">
        <x:v>Top‑10%:+3; Mittel:0; &gt;150%:‑2; &gt;250%:‑3</x:v>
      </x:c>
      <x:c r="K552" s="14" t="str">
        <x:v>Benchmarkabhängig</x:v>
      </x:c>
      <x:c r="L552" s="14" t="str">
        <x:v>Validierter Benchmark fehlt</x:v>
      </x:c>
      <x:c r="M552" s="14" t="str">
        <x:v>Branche/Region/Technologie</x:v>
      </x:c>
      <x:c r="N552" s="14" t="str">
        <x:v>Ja</x:v>
      </x:c>
      <x:c r="O552" s="14" t="str">
        <x:v>EN 15978/ISO 14067</x:v>
      </x:c>
      <x:c r="P552" s="14" t="str">
        <x:v>ESRS E1, GHG Protocol (Corporate/Scope 1–3), ISO 14064/14067</x:v>
      </x:c>
      <x:c r="Q552" s="14" t="str">
        <x:v>Mess-/Methodenrahmen; aktiver Branchen-/Regional-/Technologiebenchmark separat erforderlich</x:v>
      </x:c>
      <x:c r="R552" s="14" t="str">
        <x:v>Teilbelegt – Benchmarkquelle fehlt</x:v>
      </x:c>
      <x:c r="S552" s="14" t="str">
        <x:v>CEN-15978; ISO-14067</x:v>
      </x:c>
      <x:c r="T552" s="14" t="str">
        <x:v>H49 Verkehr</x:v>
      </x:c>
      <x:c r="U552" s="14" t="str">
        <x:v>Legacy / nicht explizit versioniert</x:v>
      </x:c>
      <x:c r="V552" s="51" t="str"/>
      <x:c r="W552" s="14" t="str">
        <x:v>Migration auf NACE Rev. 2.1 erforderlich</x:v>
      </x:c>
      <x:c r="X552" s="14" t="str">
        <x:v>Gebäude/Standort; Betrieb plus relevante Lebenszyklusmodule</x:v>
      </x:c>
      <x:c r="Y552" s="14" t="str">
        <x:v>Embodied Carbon gem. EN 15978 (A1–A3 ggf. A4–A5); kg CO₂e/m².</x:v>
      </x:c>
      <x:c r="Z552" s="14" t="str">
        <x:v>Primärdaten plus repräsentativer, versionierter Benchmarkdatensatz; Stichprobe und Population offenlegen</x:v>
      </x:c>
      <x:c r="AA552" s="14" t="str">
        <x:v>Messwert-Assurance und unabhängige Benchmark-Governance</x:v>
      </x:c>
      <x:c r="AB552" s="14" t="str">
        <x:v>Prüfung/Parametrisierung erforderlich</x:v>
      </x:c>
      <x:c r="AC552" s="14" t="str">
        <x:v>Hoch</x:v>
      </x:c>
      <x:c r="AD552" s="14" t="str">
        <x:v>Top-10-Prozent, Mittelwert, 150 % und 250 % müssen aus einer dokumentierten Grundgesamtheit stammen.</x:v>
      </x:c>
      <x:c r="AE552" s="14" t="str">
        <x:v>v1.4</x:v>
      </x:c>
      <x:c r="AF552" s="52" t="str">
        <x:v>2026-08-16</x:v>
      </x:c>
      <x:c r="AG552" s="52"/>
    </x:row>
    <x:row r="553" ht="42" customHeight="1">
      <x:c r="A553" s="14" t="str">
        <x:v>WOK-RE-124</x:v>
      </x:c>
      <x:c r="B553" s="14" t="str">
        <x:v>SDG+ – Resilienz</x:v>
      </x:c>
      <x:c r="C553" s="14" t="str">
        <x:v>—</x:v>
      </x:c>
      <x:c r="D553" s="14" t="str">
        <x:v>Kritische Infrastruktur Robustheit</x:v>
      </x:c>
      <x:c r="E553" s="14" t="str">
        <x:v>Kritische Infrastruktur Robustheit – ÖPNV‑Erreichbarkeit</x:v>
      </x:c>
      <x:c r="F553" s="14" t="str">
        <x:v>Transit‑Score</x:v>
      </x:c>
      <x:c r="G553" s="14" t="str">
        <x:v>0–1</x:v>
      </x:c>
      <x:c r="H553" s="14" t="str">
        <x:v>higher_is_better</x:v>
      </x:c>
      <x:c r="I553" s="14" t="str">
        <x:v>R14</x:v>
      </x:c>
      <x:c r="J553" s="14" t="str">
        <x:v>≥0,8:+3; 0,6–0,79:+2; 0,4–0,59:0; 0,2–0,39:‑2; &lt;0,2:‑3</x:v>
      </x:c>
      <x:c r="K553" s="14" t="str">
        <x:v>Feste WÖk-Kalibrierung</x:v>
      </x:c>
      <x:c r="L553" s="14" t="str">
        <x:v>Arbeitskalibrierung – fachlich zu validieren</x:v>
      </x:c>
      <x:c r="M553" s="14" t="str">
        <x:v>WÖk-interne Klassenlogik</x:v>
      </x:c>
      <x:c r="N553" s="14" t="str">
        <x:v>Optional/Nein</x:v>
      </x:c>
      <x:c r="O553" s="14" t="str">
        <x:v>Stadt/GIS</x:v>
      </x:c>
      <x:c r="P553" s="14" t="str">
        <x:v>Stadt/GIS</x:v>
      </x:c>
      <x:c r="Q553" s="14" t="str">
        <x:v>Lokale Primärdaten; Datenhalter, Layer, Zeitraum und Methodik je Fall ergänzen</x:v>
      </x:c>
      <x:c r="R553" s="14" t="str">
        <x:v>Platzhalter – konkrete Datenquelle fehlt</x:v>
      </x:c>
      <x:c r="S553" s="14" t="str">
        <x:v>DATA-GIS</x:v>
      </x:c>
      <x:c r="T553" s="14" t="str">
        <x:v>H49 Verkehr</x:v>
      </x:c>
      <x:c r="U553" s="14" t="str">
        <x:v>Legacy / nicht explizit versioniert</x:v>
      </x:c>
      <x:c r="V553" s="51" t="str"/>
      <x:c r="W553" s="14" t="str">
        <x:v>Migration auf NACE Rev. 2.1 erforderlich</x:v>
      </x:c>
      <x:c r="X553" s="14" t="str">
        <x:v>Gebäude/Standort; Betrieb plus relevante Lebenszyklusmodule</x:v>
      </x:c>
      <x:c r="Y553" s="14" t="str">
        <x:v>Siehe Quelle: Definition gemäß Standard (ESRS/GRI/Taxonomie/ISO).</x:v>
      </x:c>
      <x:c r="Z553" s="14" t="str">
        <x:v>Primärdaten oder qualitätsgesicherte Sekundärdaten; Methode, Zeitraum und Systemgrenze dokumentieren</x:v>
      </x:c>
      <x:c r="AA553" s="14" t="str">
        <x:v>Limited Assurance; bei materieller Steuerwirkung risikobasiert vertiefen</x:v>
      </x:c>
      <x:c r="AB553" s="14" t="str">
        <x:v>Produktspezifische bzw. lokale Prüfung erforderlich</x:v>
      </x:c>
      <x:c r="AC553" s="14" t="str">
        <x:v>Hoch</x:v>
      </x:c>
      <x:c r="AD553" s="14" t="str">
        <x:v>Konkreten Datenhalter, GIS-Layer, Stichtag und Methodik ergänzen. Vollständige fünfstufige numerische Regel.</x:v>
      </x:c>
      <x:c r="AE553" s="14" t="str">
        <x:v>v1.4</x:v>
      </x:c>
      <x:c r="AF553" s="52" t="str">
        <x:v>2026-08-16</x:v>
      </x:c>
      <x:c r="AG553" s="52"/>
    </x:row>
    <x:row r="554" ht="42" customHeight="1">
      <x:c r="A554" s="14" t="str">
        <x:v>WOK-G-227</x:v>
      </x:c>
      <x:c r="B554" s="14" t="str">
        <x:v>SDG+ – Technologie-Verantwortung</x:v>
      </x:c>
      <x:c r="C554" s="14" t="str">
        <x:v>—</x:v>
      </x:c>
      <x:c r="D554" s="14" t="str">
        <x:v>KI‑Risiko‑Assessments</x:v>
      </x:c>
      <x:c r="E554" s="14" t="str">
        <x:v>KI‑Risiko‑Assessments – Antikorruption</x:v>
      </x:c>
      <x:c r="F554" s="14" t="str">
        <x:v>Bestätigte Fälle/1.000 FTE</x:v>
      </x:c>
      <x:c r="G554" s="14" t="str">
        <x:v>Fälle/1.000 FTE</x:v>
      </x:c>
      <x:c r="H554" s="14" t="str">
        <x:v>lower_is_better</x:v>
      </x:c>
      <x:c r="I554" s="14" t="str">
        <x:v>R01</x:v>
      </x:c>
      <x:c r="J554" s="14" t="str">
        <x:v>0:+3; ≤0,2:+2; ≤0,5:0; ≤1:‑2; &gt;1:‑3</x:v>
      </x:c>
      <x:c r="K554" s="14" t="str">
        <x:v>Feste WÖk-Kalibrierung</x:v>
      </x:c>
      <x:c r="L554" s="14" t="str">
        <x:v>Arbeitskalibrierung – fachlich zu validieren</x:v>
      </x:c>
      <x:c r="M554" s="14" t="str">
        <x:v>WÖk-interne Klassenlogik</x:v>
      </x:c>
      <x:c r="N554" s="14" t="str">
        <x:v>Optional/Nein</x:v>
      </x:c>
      <x:c r="O554" s="14" t="str">
        <x:v>ESRS G1; GRI 205/207</x:v>
      </x:c>
      <x:c r="P554" s="14" t="str">
        <x:v>ESRS G1, GRI 205/207, OECD Anti‑Bribery</x:v>
      </x:c>
      <x:c r="Q554" s="14" t="str">
        <x:v>Mess-, Berichts- oder Managementrahmen; Schwellen sind grundsätzlich WÖk-Kalibrierungen</x:v>
      </x:c>
      <x:c r="R554" s="14" t="str">
        <x:v>Messgrundlage belegt; Schwellenkalibrierung offen</x:v>
      </x:c>
      <x:c r="S554" s="14" t="str">
        <x:v>EU-ESRS; GRI; OECD-AB</x:v>
      </x:c>
      <x:c r="T554" s="14" t="str">
        <x:v>J61 Telekom; J62 IT; RZ</x:v>
      </x:c>
      <x:c r="U554" s="14" t="str">
        <x:v>Legacy / nicht explizit versioniert</x:v>
      </x:c>
      <x:c r="V554" s="51" t="str"/>
      <x:c r="W554" s="14" t="str">
        <x:v>Migration auf NACE Rev. 2.1 erforderlich</x:v>
      </x:c>
      <x:c r="X554" s="14" t="str">
        <x:v>Organisation/Governance; konsolidierter Kreis und relevante Rechtseinheiten</x:v>
      </x:c>
      <x:c r="Y554" s="14" t="str">
        <x:v>Siehe Quelle: Definition gemäß Standard (ESRS/GRI/Taxonomie/ISO).</x:v>
      </x:c>
      <x:c r="Z554" s="14" t="str">
        <x:v>Primärdaten bevorzugt; Sekundärdaten nur transparent und versioniert; Methode und Systemgrenze dokumentieren</x:v>
      </x:c>
      <x:c r="AA554" s="14" t="str">
        <x:v>Limited Assurance; risikobasiert höhere Prüftiefe</x:v>
      </x:c>
      <x:c r="AB554" s="14" t="str">
        <x:v>Strukturell nutzbar; Schwellen fachlich zu validieren</x:v>
      </x:c>
      <x:c r="AC554" s="14" t="str">
        <x:v>Mittel</x:v>
      </x:c>
      <x:c r="AD554" s="14" t="str">
        <x:v>Vollständige fünfstufige numerische Regel.</x:v>
      </x:c>
      <x:c r="AE554" s="14" t="str">
        <x:v>v1.4</x:v>
      </x:c>
      <x:c r="AF554" s="52" t="str">
        <x:v>2026-08-16</x:v>
      </x:c>
      <x:c r="AG554" s="52"/>
    </x:row>
    <x:row r="555" ht="42" customHeight="1">
      <x:c r="A555" s="14" t="str">
        <x:v>WOK-G-228</x:v>
      </x:c>
      <x:c r="B555" s="14" t="str">
        <x:v>SDG+ – Technologie-Verantwortung</x:v>
      </x:c>
      <x:c r="C555" s="14" t="str">
        <x:v>—</x:v>
      </x:c>
      <x:c r="D555" s="14" t="str">
        <x:v>KI‑Risiko‑Assessments</x:v>
      </x:c>
      <x:c r="E555" s="14" t="str">
        <x:v>KI‑Risiko‑Assessments – Whistleblowing</x:v>
      </x:c>
      <x:c r="F555" s="14" t="str">
        <x:v>Wirksamkeits‑Score</x:v>
      </x:c>
      <x:c r="G555" s="14" t="str">
        <x:v>0–1</x:v>
      </x:c>
      <x:c r="H555" s="14" t="str">
        <x:v>higher_is_better</x:v>
      </x:c>
      <x:c r="I555" s="14" t="str">
        <x:v>R16</x:v>
      </x:c>
      <x:c r="J555" s="14" t="str">
        <x:v>≥0,9:+3; 0,75–0,89:+2; 0,6–0,74:0; 0,4–0,59:‑2; &lt;0,4:‑3</x:v>
      </x:c>
      <x:c r="K555" s="14" t="str">
        <x:v>Feste WÖk-Kalibrierung</x:v>
      </x:c>
      <x:c r="L555" s="14" t="str">
        <x:v>Arbeitskalibrierung – fachlich zu validieren</x:v>
      </x:c>
      <x:c r="M555" s="14" t="str">
        <x:v>WÖk-interne Klassenlogik</x:v>
      </x:c>
      <x:c r="N555" s="14" t="str">
        <x:v>Optional/Nein</x:v>
      </x:c>
      <x:c r="O555" s="14" t="str">
        <x:v>ESRS G1; GRI 205/207</x:v>
      </x:c>
      <x:c r="P555" s="14" t="str">
        <x:v>ESRS G1, GRI 205/207, OECD Anti‑Bribery</x:v>
      </x:c>
      <x:c r="Q555" s="14" t="str">
        <x:v>Mess-, Berichts- oder Managementrahmen; Schwellen sind grundsätzlich WÖk-Kalibrierungen</x:v>
      </x:c>
      <x:c r="R555" s="14" t="str">
        <x:v>Messgrundlage belegt; Schwellenkalibrierung offen</x:v>
      </x:c>
      <x:c r="S555" s="14" t="str">
        <x:v>EU-ESRS; GRI; OECD-AB</x:v>
      </x:c>
      <x:c r="T555" s="14" t="str">
        <x:v>J61 Telekom; J62 IT; RZ</x:v>
      </x:c>
      <x:c r="U555" s="14" t="str">
        <x:v>Legacy / nicht explizit versioniert</x:v>
      </x:c>
      <x:c r="V555" s="51" t="str"/>
      <x:c r="W555" s="14" t="str">
        <x:v>Migration auf NACE Rev. 2.1 erforderlich</x:v>
      </x:c>
      <x:c r="X555" s="14" t="str">
        <x:v>Organisation/Governance; konsolidierter Kreis und relevante Rechtseinheiten</x:v>
      </x:c>
      <x:c r="Y555" s="14" t="str">
        <x:v>Siehe Quelle: Definition gemäß Standard (ESRS/GRI/Taxonomie/ISO).</x:v>
      </x:c>
      <x:c r="Z555" s="14" t="str">
        <x:v>Primärdaten bevorzugt; Sekundärdaten nur transparent und versioniert; Methode und Systemgrenze dokumentieren</x:v>
      </x:c>
      <x:c r="AA555" s="14" t="str">
        <x:v>Limited Assurance; risikobasiert höhere Prüftiefe</x:v>
      </x:c>
      <x:c r="AB555" s="14" t="str">
        <x:v>Strukturell nutzbar; Schwellen fachlich zu validieren</x:v>
      </x:c>
      <x:c r="AC555" s="14" t="str">
        <x:v>Mittel</x:v>
      </x:c>
      <x:c r="AD555" s="14" t="str">
        <x:v>Vollständige fünfstufige numerische Regel.</x:v>
      </x:c>
      <x:c r="AE555" s="14" t="str">
        <x:v>v1.4</x:v>
      </x:c>
      <x:c r="AF555" s="52" t="str">
        <x:v>2026-08-16</x:v>
      </x:c>
      <x:c r="AG555" s="52"/>
    </x:row>
    <x:row r="556" ht="42" customHeight="1">
      <x:c r="A556" s="14" t="str">
        <x:v>WOK-G-229</x:v>
      </x:c>
      <x:c r="B556" s="14" t="str">
        <x:v>SDG+ – Technologie-Verantwortung</x:v>
      </x:c>
      <x:c r="C556" s="14" t="str">
        <x:v>—</x:v>
      </x:c>
      <x:c r="D556" s="14" t="str">
        <x:v>KI‑Risiko‑Assessments</x:v>
      </x:c>
      <x:c r="E556" s="14" t="str">
        <x:v>KI‑Risiko‑Assessments – Steuertransparenz</x:v>
      </x:c>
      <x:c r="F556" s="14" t="str">
        <x:v>CbCR‑Offenlegung</x:v>
      </x:c>
      <x:c r="G556" s="14" t="str">
        <x:v>0–1</x:v>
      </x:c>
      <x:c r="H556" s="14" t="str">
        <x:v>higher_is_better</x:v>
      </x:c>
      <x:c r="I556" s="14" t="str">
        <x:v>R08</x:v>
      </x:c>
      <x:c r="J556" s="14" t="str">
        <x:v>vollständig:+3; teilweise:+2; minimal:0; schlecht:‑2</x:v>
      </x:c>
      <x:c r="K556" s="14" t="str">
        <x:v>Qualitativ</x:v>
      </x:c>
      <x:c r="L556" s="14" t="str">
        <x:v>Assurance und Kriterienkatalog erforderlich</x:v>
      </x:c>
      <x:c r="M556" s="14" t="str">
        <x:v>WÖk-interne Kategorien</x:v>
      </x:c>
      <x:c r="N556" s="14" t="str">
        <x:v>Optional/Nein</x:v>
      </x:c>
      <x:c r="O556" s="14" t="str">
        <x:v>ESRS G1; GRI 205/207</x:v>
      </x:c>
      <x:c r="P556" s="14" t="str">
        <x:v>ESRS G1, GRI 205/207, OECD Anti‑Bribery</x:v>
      </x:c>
      <x:c r="Q556" s="14" t="str">
        <x:v>Mess-, Berichts- oder Managementrahmen; Schwellen sind grundsätzlich WÖk-Kalibrierungen</x:v>
      </x:c>
      <x:c r="R556" s="14" t="str">
        <x:v>Messgrundlage belegt; Schwellenkalibrierung offen</x:v>
      </x:c>
      <x:c r="S556" s="14" t="str">
        <x:v>EU-ESRS; GRI; OECD-AB</x:v>
      </x:c>
      <x:c r="T556" s="14" t="str">
        <x:v>J61 Telekom; J62 IT; RZ</x:v>
      </x:c>
      <x:c r="U556" s="14" t="str">
        <x:v>Legacy / nicht explizit versioniert</x:v>
      </x:c>
      <x:c r="V556" s="51" t="str"/>
      <x:c r="W556" s="14" t="str">
        <x:v>Migration auf NACE Rev. 2.1 erforderlich</x:v>
      </x:c>
      <x:c r="X556" s="14" t="str">
        <x:v>Organisation/Governance; konsolidierter Kreis und relevante Rechtseinheiten</x:v>
      </x:c>
      <x:c r="Y556" s="14" t="str">
        <x:v>Siehe Quelle: Definition gemäß Standard (ESRS/GRI/Taxonomie/ISO).</x:v>
      </x:c>
      <x:c r="Z556" s="14" t="str">
        <x:v>Dokumentierter Kriterienkatalog; nachvollziehbare Evidenz; DQR A/B bevorzugt</x:v>
      </x:c>
      <x:c r="AA556" s="14" t="str">
        <x:v>Unabhängige Fachprüfung/Limited Assurance; bei roten Linien Reasonable Assurance</x:v>
      </x:c>
      <x:c r="AB556" s="14" t="str">
        <x:v>Prüfung/Parametrisierung erforderlich</x:v>
      </x:c>
      <x:c r="AC556" s="14" t="str">
        <x:v>Hoch</x:v>
      </x:c>
      <x:c r="AD556" s="14" t="str">
        <x:v>Die Kategorie −3 fehlt; Vollständigkeit und Wirksamkeit sind feldspezifisch zu definieren.</x:v>
      </x:c>
      <x:c r="AE556" s="14" t="str">
        <x:v>v1.4</x:v>
      </x:c>
      <x:c r="AF556" s="52" t="str">
        <x:v>2026-08-16</x:v>
      </x:c>
      <x:c r="AG556" s="52"/>
    </x:row>
    <x:row r="557" ht="42" customHeight="1">
      <x:c r="A557" s="14" t="str">
        <x:v>WOK-G-230</x:v>
      </x:c>
      <x:c r="B557" s="14" t="str">
        <x:v>SDG+ – Technologie-Verantwortung</x:v>
      </x:c>
      <x:c r="C557" s="14" t="str">
        <x:v>—</x:v>
      </x:c>
      <x:c r="D557" s="14" t="str">
        <x:v>Privacy by Design</x:v>
      </x:c>
      <x:c r="E557" s="14" t="str">
        <x:v>Privacy by Design – Datenschutzvorfälle</x:v>
      </x:c>
      <x:c r="F557" s="14" t="str">
        <x:v>Fälle pro 1 Mio Kunden</x:v>
      </x:c>
      <x:c r="G557" s="14" t="str">
        <x:v>Fälle/Mio</x:v>
      </x:c>
      <x:c r="H557" s="14" t="str">
        <x:v>lower_is_better</x:v>
      </x:c>
      <x:c r="I557" s="14" t="str">
        <x:v>R02</x:v>
      </x:c>
      <x:c r="J557" s="14" t="str">
        <x:v>0:+3; ≤1:+2; ≤3:0; ≤5:‑2; &gt;5:‑3</x:v>
      </x:c>
      <x:c r="K557" s="14" t="str">
        <x:v>Feste WÖk-Kalibrierung</x:v>
      </x:c>
      <x:c r="L557" s="14" t="str">
        <x:v>Arbeitskalibrierung – fachlich zu validieren</x:v>
      </x:c>
      <x:c r="M557" s="14" t="str">
        <x:v>WÖk-interne Klassenlogik</x:v>
      </x:c>
      <x:c r="N557" s="14" t="str">
        <x:v>Optional/Nein</x:v>
      </x:c>
      <x:c r="O557" s="14" t="str">
        <x:v>ISO 14067/50001/45001/22301/27701/23894</x:v>
      </x:c>
      <x:c r="P557" s="14" t="str">
        <x:v>ISO/IEC 27001 &amp; 27701, NIS2</x:v>
      </x:c>
      <x:c r="Q557" s="14" t="str">
        <x:v>Mess-, Berichts- oder Managementrahmen; Schwellen sind grundsätzlich WÖk-Kalibrierungen</x:v>
      </x:c>
      <x:c r="R557" s="14" t="str">
        <x:v>Messgrundlage belegt; Schwellenkalibrierung offen</x:v>
      </x:c>
      <x:c r="S557" s="14" t="str">
        <x:v>ISO-14067; ISO-50001; ISO-45001; ISO-22301; ISO-27701; ISO-23894</x:v>
      </x:c>
      <x:c r="T557" s="14" t="str">
        <x:v>G47 Handel; K Versicherungen; M72 F&amp;E</x:v>
      </x:c>
      <x:c r="U557" s="14" t="str">
        <x:v>Legacy / nicht explizit versioniert</x:v>
      </x:c>
      <x:c r="V557" s="51" t="str"/>
      <x:c r="W557" s="14" t="str">
        <x:v>Migration auf NACE Rev. 2.1 erforderlich</x:v>
      </x:c>
      <x:c r="X557" s="14" t="str">
        <x:v>Organisation/Governance; konsolidierter Kreis und relevante Rechtseinheiten</x:v>
      </x:c>
      <x:c r="Y557" s="14" t="str">
        <x:v>Vorfälle pro 1 Mio. Kunden (DSGVO/NIS2).</x:v>
      </x:c>
      <x:c r="Z557" s="14" t="str">
        <x:v>Primärdaten bevorzugt; Sekundärdaten nur transparent und versioniert; Methode und Systemgrenze dokumentieren</x:v>
      </x:c>
      <x:c r="AA557" s="14" t="str">
        <x:v>Limited Assurance; risikobasiert höhere Prüftiefe</x:v>
      </x:c>
      <x:c r="AB557" s="14" t="str">
        <x:v>Strukturell nutzbar; Schwellen fachlich zu validieren</x:v>
      </x:c>
      <x:c r="AC557" s="14" t="str">
        <x:v>Mittel</x:v>
      </x:c>
      <x:c r="AD557" s="14" t="str">
        <x:v>Vollständige fünfstufige numerische Regel.</x:v>
      </x:c>
      <x:c r="AE557" s="14" t="str">
        <x:v>v1.4</x:v>
      </x:c>
      <x:c r="AF557" s="52" t="str">
        <x:v>2026-08-16</x:v>
      </x:c>
      <x:c r="AG557" s="52"/>
    </x:row>
    <x:row r="558" ht="42" customHeight="1">
      <x:c r="A558" s="14" t="str">
        <x:v>WOK-G-231</x:v>
      </x:c>
      <x:c r="B558" s="14" t="str">
        <x:v>SDG+ – Technologie-Verantwortung</x:v>
      </x:c>
      <x:c r="C558" s="14" t="str">
        <x:v>—</x:v>
      </x:c>
      <x:c r="D558" s="14" t="str">
        <x:v>Privacy by Design</x:v>
      </x:c>
      <x:c r="E558" s="14" t="str">
        <x:v>Privacy by Design – Privacy by Design</x:v>
      </x:c>
      <x:c r="F558" s="14" t="str">
        <x:v>Abdeckung relevanter Features/Produkte</x:v>
      </x:c>
      <x:c r="G558" s="14" t="str">
        <x:v>%</x:v>
      </x:c>
      <x:c r="H558" s="14" t="str">
        <x:v>higher_is_better</x:v>
      </x:c>
      <x:c r="I558" s="14" t="str">
        <x:v>R25</x:v>
      </x:c>
      <x:c r="J558" s="14" t="str">
        <x:v>≥90%:+3; 70–89%:+2; 50–69%:0; 30–49%:‑2; &lt;30%:‑3</x:v>
      </x:c>
      <x:c r="K558" s="14" t="str">
        <x:v>Feste WÖk-Kalibrierung</x:v>
      </x:c>
      <x:c r="L558" s="14" t="str">
        <x:v>Arbeitskalibrierung – fachlich zu validieren</x:v>
      </x:c>
      <x:c r="M558" s="14" t="str">
        <x:v>WÖk-interne Klassenlogik</x:v>
      </x:c>
      <x:c r="N558" s="14" t="str">
        <x:v>Optional/Nein</x:v>
      </x:c>
      <x:c r="O558" s="14" t="str">
        <x:v>ISO 14067/50001/45001/22301/27701/23894</x:v>
      </x:c>
      <x:c r="P558" s="14" t="str">
        <x:v>ISO/IEC 27001 &amp; 27701, NIS2</x:v>
      </x:c>
      <x:c r="Q558" s="14" t="str">
        <x:v>Mess-, Berichts- oder Managementrahmen; Schwellen sind grundsätzlich WÖk-Kalibrierungen</x:v>
      </x:c>
      <x:c r="R558" s="14" t="str">
        <x:v>Messgrundlage belegt; Schwellenkalibrierung offen</x:v>
      </x:c>
      <x:c r="S558" s="14" t="str">
        <x:v>ISO-14067; ISO-50001; ISO-45001; ISO-22301; ISO-27701; ISO-23894</x:v>
      </x:c>
      <x:c r="T558" s="14" t="str">
        <x:v>G47 Handel; K Versicherungen; M72 F&amp;E</x:v>
      </x:c>
      <x:c r="U558" s="14" t="str">
        <x:v>Legacy / nicht explizit versioniert</x:v>
      </x:c>
      <x:c r="V558" s="51" t="str"/>
      <x:c r="W558" s="14" t="str">
        <x:v>Migration auf NACE Rev. 2.1 erforderlich</x:v>
      </x:c>
      <x:c r="X558" s="14" t="str">
        <x:v>Organisation/Governance; konsolidierter Kreis und relevante Rechtseinheiten</x:v>
      </x:c>
      <x:c r="Y558" s="14" t="str">
        <x:v>Vorfälle pro 1 Mio. Kunden (DSGVO/NIS2).</x:v>
      </x:c>
      <x:c r="Z558" s="14" t="str">
        <x:v>Primärdaten bevorzugt; Sekundärdaten nur transparent und versioniert; Methode und Systemgrenze dokumentieren</x:v>
      </x:c>
      <x:c r="AA558" s="14" t="str">
        <x:v>Limited Assurance; risikobasiert höhere Prüftiefe</x:v>
      </x:c>
      <x:c r="AB558" s="14" t="str">
        <x:v>Strukturell nutzbar; Schwellen fachlich zu validieren</x:v>
      </x:c>
      <x:c r="AC558" s="14" t="str">
        <x:v>Mittel</x:v>
      </x:c>
      <x:c r="AD558" s="14" t="str">
        <x:v>Vollständige fünfstufige Prozentregel.</x:v>
      </x:c>
      <x:c r="AE558" s="14" t="str">
        <x:v>v1.4</x:v>
      </x:c>
      <x:c r="AF558" s="52" t="str">
        <x:v>2026-08-16</x:v>
      </x:c>
      <x:c r="AG558" s="52"/>
    </x:row>
    <x:row r="559" ht="42" customHeight="1">
      <x:c r="A559" s="14" t="str">
        <x:v>WOK-G-232</x:v>
      </x:c>
      <x:c r="B559" s="14" t="str">
        <x:v>SDG+ – Technologie-Verantwortung</x:v>
      </x:c>
      <x:c r="C559" s="14" t="str">
        <x:v>—</x:v>
      </x:c>
      <x:c r="D559" s="14" t="str">
        <x:v>Privacy by Design</x:v>
      </x:c>
      <x:c r="E559" s="14" t="str">
        <x:v>Privacy by Design – Security Reifegrad</x:v>
      </x:c>
      <x:c r="F559" s="14" t="str">
        <x:v>ISO/27001 Reifegrad</x:v>
      </x:c>
      <x:c r="G559" s="14" t="str">
        <x:v>0–1</x:v>
      </x:c>
      <x:c r="H559" s="14" t="str">
        <x:v>higher_is_better</x:v>
      </x:c>
      <x:c r="I559" s="14" t="str">
        <x:v>R16</x:v>
      </x:c>
      <x:c r="J559" s="14" t="str">
        <x:v>≥0,9:+3; 0,75–0,89:+2; 0,6–0,74:0; 0,4–0,59:‑2; &lt;0,4:‑3</x:v>
      </x:c>
      <x:c r="K559" s="14" t="str">
        <x:v>Feste WÖk-Kalibrierung</x:v>
      </x:c>
      <x:c r="L559" s="14" t="str">
        <x:v>Arbeitskalibrierung – fachlich zu validieren</x:v>
      </x:c>
      <x:c r="M559" s="14" t="str">
        <x:v>WÖk-interne Klassenlogik</x:v>
      </x:c>
      <x:c r="N559" s="14" t="str">
        <x:v>Optional/Nein</x:v>
      </x:c>
      <x:c r="O559" s="14" t="str">
        <x:v>ISO 14067/50001/45001/22301/27701/23894</x:v>
      </x:c>
      <x:c r="P559" s="14" t="str">
        <x:v>ISO/IEC 27001 &amp; 27701, NIS2</x:v>
      </x:c>
      <x:c r="Q559" s="14" t="str">
        <x:v>Mess-, Berichts- oder Managementrahmen; Schwellen sind grundsätzlich WÖk-Kalibrierungen</x:v>
      </x:c>
      <x:c r="R559" s="14" t="str">
        <x:v>Messgrundlage belegt; Schwellenkalibrierung offen</x:v>
      </x:c>
      <x:c r="S559" s="14" t="str">
        <x:v>ISO-14067; ISO-50001; ISO-45001; ISO-22301; ISO-27701; ISO-23894</x:v>
      </x:c>
      <x:c r="T559" s="14" t="str">
        <x:v>G47 Handel; K Versicherungen; M72 F&amp;E</x:v>
      </x:c>
      <x:c r="U559" s="14" t="str">
        <x:v>Legacy / nicht explizit versioniert</x:v>
      </x:c>
      <x:c r="V559" s="51" t="str"/>
      <x:c r="W559" s="14" t="str">
        <x:v>Migration auf NACE Rev. 2.1 erforderlich</x:v>
      </x:c>
      <x:c r="X559" s="14" t="str">
        <x:v>Organisation/Governance; konsolidierter Kreis und relevante Rechtseinheiten</x:v>
      </x:c>
      <x:c r="Y559" s="14" t="str">
        <x:v>Vorfälle pro 1 Mio. Kunden (DSGVO/NIS2).</x:v>
      </x:c>
      <x:c r="Z559" s="14" t="str">
        <x:v>Primärdaten bevorzugt; Sekundärdaten nur transparent und versioniert; Methode und Systemgrenze dokumentieren</x:v>
      </x:c>
      <x:c r="AA559" s="14" t="str">
        <x:v>Limited Assurance; risikobasiert höhere Prüftiefe</x:v>
      </x:c>
      <x:c r="AB559" s="14" t="str">
        <x:v>Strukturell nutzbar; Schwellen fachlich zu validieren</x:v>
      </x:c>
      <x:c r="AC559" s="14" t="str">
        <x:v>Mittel</x:v>
      </x:c>
      <x:c r="AD559" s="14" t="str">
        <x:v>Vollständige fünfstufige numerische Regel.</x:v>
      </x:c>
      <x:c r="AE559" s="14" t="str">
        <x:v>v1.4</x:v>
      </x:c>
      <x:c r="AF559" s="52" t="str">
        <x:v>2026-08-16</x:v>
      </x:c>
      <x:c r="AG559" s="52"/>
    </x:row>
    <x:row r="560" ht="42" customHeight="1">
      <x:c r="A560" s="14" t="str">
        <x:v>WOK-G-233</x:v>
      </x:c>
      <x:c r="B560" s="14" t="str">
        <x:v>SDG+ – Technologie-Verantwortung</x:v>
      </x:c>
      <x:c r="C560" s="14" t="str">
        <x:v>—</x:v>
      </x:c>
      <x:c r="D560" s="14" t="str">
        <x:v>Model Governance/Transparency</x:v>
      </x:c>
      <x:c r="E560" s="14" t="str">
        <x:v>Model Governance/Transparency – Antikorruption</x:v>
      </x:c>
      <x:c r="F560" s="14" t="str">
        <x:v>Bestätigte Fälle/1.000 FTE</x:v>
      </x:c>
      <x:c r="G560" s="14" t="str">
        <x:v>Fälle/1.000 FTE</x:v>
      </x:c>
      <x:c r="H560" s="14" t="str">
        <x:v>lower_is_better</x:v>
      </x:c>
      <x:c r="I560" s="14" t="str">
        <x:v>R01</x:v>
      </x:c>
      <x:c r="J560" s="14" t="str">
        <x:v>0:+3; ≤0,2:+2; ≤0,5:0; ≤1:‑2; &gt;1:‑3</x:v>
      </x:c>
      <x:c r="K560" s="14" t="str">
        <x:v>Feste WÖk-Kalibrierung</x:v>
      </x:c>
      <x:c r="L560" s="14" t="str">
        <x:v>Arbeitskalibrierung – fachlich zu validieren</x:v>
      </x:c>
      <x:c r="M560" s="14" t="str">
        <x:v>WÖk-interne Klassenlogik</x:v>
      </x:c>
      <x:c r="N560" s="14" t="str">
        <x:v>Optional/Nein</x:v>
      </x:c>
      <x:c r="O560" s="14" t="str">
        <x:v>ESRS G1; GRI 205/207</x:v>
      </x:c>
      <x:c r="P560" s="14" t="str">
        <x:v>ESRS G1, GRI 205/207, OECD Anti‑Bribery</x:v>
      </x:c>
      <x:c r="Q560" s="14" t="str">
        <x:v>Mess-, Berichts- oder Managementrahmen; Schwellen sind grundsätzlich WÖk-Kalibrierungen</x:v>
      </x:c>
      <x:c r="R560" s="14" t="str">
        <x:v>Messgrundlage belegt; Schwellenkalibrierung offen</x:v>
      </x:c>
      <x:c r="S560" s="14" t="str">
        <x:v>EU-ESRS; GRI; OECD-AB</x:v>
      </x:c>
      <x:c r="T560" s="14" t="str">
        <x:v>J61 Telekom; J62 IT; RZ</x:v>
      </x:c>
      <x:c r="U560" s="14" t="str">
        <x:v>Legacy / nicht explizit versioniert</x:v>
      </x:c>
      <x:c r="V560" s="51" t="str"/>
      <x:c r="W560" s="14" t="str">
        <x:v>Migration auf NACE Rev. 2.1 erforderlich</x:v>
      </x:c>
      <x:c r="X560" s="14" t="str">
        <x:v>Organisation/Governance; konsolidierter Kreis und relevante Rechtseinheiten</x:v>
      </x:c>
      <x:c r="Y560" s="14" t="str">
        <x:v>Siehe Quelle: Definition gemäß Standard (ESRS/GRI/Taxonomie/ISO).</x:v>
      </x:c>
      <x:c r="Z560" s="14" t="str">
        <x:v>Primärdaten bevorzugt; Sekundärdaten nur transparent und versioniert; Methode und Systemgrenze dokumentieren</x:v>
      </x:c>
      <x:c r="AA560" s="14" t="str">
        <x:v>Limited Assurance; risikobasiert höhere Prüftiefe</x:v>
      </x:c>
      <x:c r="AB560" s="14" t="str">
        <x:v>Strukturell nutzbar; Schwellen fachlich zu validieren</x:v>
      </x:c>
      <x:c r="AC560" s="14" t="str">
        <x:v>Mittel</x:v>
      </x:c>
      <x:c r="AD560" s="14" t="str">
        <x:v>Vollständige fünfstufige numerische Regel.</x:v>
      </x:c>
      <x:c r="AE560" s="14" t="str">
        <x:v>v1.4</x:v>
      </x:c>
      <x:c r="AF560" s="52" t="str">
        <x:v>2026-08-16</x:v>
      </x:c>
      <x:c r="AG560" s="52"/>
    </x:row>
    <x:row r="561" ht="42" customHeight="1">
      <x:c r="A561" s="14" t="str">
        <x:v>WOK-G-234</x:v>
      </x:c>
      <x:c r="B561" s="14" t="str">
        <x:v>SDG+ – Technologie-Verantwortung</x:v>
      </x:c>
      <x:c r="C561" s="14" t="str">
        <x:v>—</x:v>
      </x:c>
      <x:c r="D561" s="14" t="str">
        <x:v>Model Governance/Transparency</x:v>
      </x:c>
      <x:c r="E561" s="14" t="str">
        <x:v>Model Governance/Transparency – Whistleblowing</x:v>
      </x:c>
      <x:c r="F561" s="14" t="str">
        <x:v>Wirksamkeits‑Score</x:v>
      </x:c>
      <x:c r="G561" s="14" t="str">
        <x:v>0–1</x:v>
      </x:c>
      <x:c r="H561" s="14" t="str">
        <x:v>higher_is_better</x:v>
      </x:c>
      <x:c r="I561" s="14" t="str">
        <x:v>R16</x:v>
      </x:c>
      <x:c r="J561" s="14" t="str">
        <x:v>≥0,9:+3; 0,75–0,89:+2; 0,6–0,74:0; 0,4–0,59:‑2; &lt;0,4:‑3</x:v>
      </x:c>
      <x:c r="K561" s="14" t="str">
        <x:v>Feste WÖk-Kalibrierung</x:v>
      </x:c>
      <x:c r="L561" s="14" t="str">
        <x:v>Arbeitskalibrierung – fachlich zu validieren</x:v>
      </x:c>
      <x:c r="M561" s="14" t="str">
        <x:v>WÖk-interne Klassenlogik</x:v>
      </x:c>
      <x:c r="N561" s="14" t="str">
        <x:v>Optional/Nein</x:v>
      </x:c>
      <x:c r="O561" s="14" t="str">
        <x:v>ESRS G1; GRI 205/207</x:v>
      </x:c>
      <x:c r="P561" s="14" t="str">
        <x:v>ESRS G1, GRI 205/207, OECD Anti‑Bribery</x:v>
      </x:c>
      <x:c r="Q561" s="14" t="str">
        <x:v>Mess-, Berichts- oder Managementrahmen; Schwellen sind grundsätzlich WÖk-Kalibrierungen</x:v>
      </x:c>
      <x:c r="R561" s="14" t="str">
        <x:v>Messgrundlage belegt; Schwellenkalibrierung offen</x:v>
      </x:c>
      <x:c r="S561" s="14" t="str">
        <x:v>EU-ESRS; GRI; OECD-AB</x:v>
      </x:c>
      <x:c r="T561" s="14" t="str">
        <x:v>J61 Telekom; J62 IT; RZ</x:v>
      </x:c>
      <x:c r="U561" s="14" t="str">
        <x:v>Legacy / nicht explizit versioniert</x:v>
      </x:c>
      <x:c r="V561" s="51" t="str"/>
      <x:c r="W561" s="14" t="str">
        <x:v>Migration auf NACE Rev. 2.1 erforderlich</x:v>
      </x:c>
      <x:c r="X561" s="14" t="str">
        <x:v>Organisation/Governance; konsolidierter Kreis und relevante Rechtseinheiten</x:v>
      </x:c>
      <x:c r="Y561" s="14" t="str">
        <x:v>Siehe Quelle: Definition gemäß Standard (ESRS/GRI/Taxonomie/ISO).</x:v>
      </x:c>
      <x:c r="Z561" s="14" t="str">
        <x:v>Primärdaten bevorzugt; Sekundärdaten nur transparent und versioniert; Methode und Systemgrenze dokumentieren</x:v>
      </x:c>
      <x:c r="AA561" s="14" t="str">
        <x:v>Limited Assurance; risikobasiert höhere Prüftiefe</x:v>
      </x:c>
      <x:c r="AB561" s="14" t="str">
        <x:v>Strukturell nutzbar; Schwellen fachlich zu validieren</x:v>
      </x:c>
      <x:c r="AC561" s="14" t="str">
        <x:v>Mittel</x:v>
      </x:c>
      <x:c r="AD561" s="14" t="str">
        <x:v>Vollständige fünfstufige numerische Regel.</x:v>
      </x:c>
      <x:c r="AE561" s="14" t="str">
        <x:v>v1.4</x:v>
      </x:c>
      <x:c r="AF561" s="52" t="str">
        <x:v>2026-08-16</x:v>
      </x:c>
      <x:c r="AG561" s="52"/>
    </x:row>
    <x:row r="562" ht="42" customHeight="1">
      <x:c r="A562" s="14" t="str">
        <x:v>WOK-G-235</x:v>
      </x:c>
      <x:c r="B562" s="14" t="str">
        <x:v>SDG+ – Technologie-Verantwortung</x:v>
      </x:c>
      <x:c r="C562" s="14" t="str">
        <x:v>—</x:v>
      </x:c>
      <x:c r="D562" s="14" t="str">
        <x:v>Model Governance/Transparency</x:v>
      </x:c>
      <x:c r="E562" s="14" t="str">
        <x:v>Model Governance/Transparency – Steuertransparenz</x:v>
      </x:c>
      <x:c r="F562" s="14" t="str">
        <x:v>CbCR‑Offenlegung</x:v>
      </x:c>
      <x:c r="G562" s="14" t="str">
        <x:v>0–1</x:v>
      </x:c>
      <x:c r="H562" s="14" t="str">
        <x:v>higher_is_better</x:v>
      </x:c>
      <x:c r="I562" s="14" t="str">
        <x:v>R08</x:v>
      </x:c>
      <x:c r="J562" s="14" t="str">
        <x:v>vollständig:+3; teilweise:+2; minimal:0; schlecht:‑2</x:v>
      </x:c>
      <x:c r="K562" s="14" t="str">
        <x:v>Qualitativ</x:v>
      </x:c>
      <x:c r="L562" s="14" t="str">
        <x:v>Assurance und Kriterienkatalog erforderlich</x:v>
      </x:c>
      <x:c r="M562" s="14" t="str">
        <x:v>WÖk-interne Kategorien</x:v>
      </x:c>
      <x:c r="N562" s="14" t="str">
        <x:v>Optional/Nein</x:v>
      </x:c>
      <x:c r="O562" s="14" t="str">
        <x:v>ESRS G1; GRI 205/207</x:v>
      </x:c>
      <x:c r="P562" s="14" t="str">
        <x:v>ESRS G1, GRI 205/207, OECD Anti‑Bribery</x:v>
      </x:c>
      <x:c r="Q562" s="14" t="str">
        <x:v>Mess-, Berichts- oder Managementrahmen; Schwellen sind grundsätzlich WÖk-Kalibrierungen</x:v>
      </x:c>
      <x:c r="R562" s="14" t="str">
        <x:v>Messgrundlage belegt; Schwellenkalibrierung offen</x:v>
      </x:c>
      <x:c r="S562" s="14" t="str">
        <x:v>EU-ESRS; GRI; OECD-AB</x:v>
      </x:c>
      <x:c r="T562" s="14" t="str">
        <x:v>J61 Telekom; J62 IT; RZ</x:v>
      </x:c>
      <x:c r="U562" s="14" t="str">
        <x:v>Legacy / nicht explizit versioniert</x:v>
      </x:c>
      <x:c r="V562" s="51" t="str"/>
      <x:c r="W562" s="14" t="str">
        <x:v>Migration auf NACE Rev. 2.1 erforderlich</x:v>
      </x:c>
      <x:c r="X562" s="14" t="str">
        <x:v>Organisation/Governance; konsolidierter Kreis und relevante Rechtseinheiten</x:v>
      </x:c>
      <x:c r="Y562" s="14" t="str">
        <x:v>Siehe Quelle: Definition gemäß Standard (ESRS/GRI/Taxonomie/ISO).</x:v>
      </x:c>
      <x:c r="Z562" s="14" t="str">
        <x:v>Dokumentierter Kriterienkatalog; nachvollziehbare Evidenz; DQR A/B bevorzugt</x:v>
      </x:c>
      <x:c r="AA562" s="14" t="str">
        <x:v>Unabhängige Fachprüfung/Limited Assurance; bei roten Linien Reasonable Assurance</x:v>
      </x:c>
      <x:c r="AB562" s="14" t="str">
        <x:v>Prüfung/Parametrisierung erforderlich</x:v>
      </x:c>
      <x:c r="AC562" s="14" t="str">
        <x:v>Hoch</x:v>
      </x:c>
      <x:c r="AD562" s="14" t="str">
        <x:v>Die Kategorie −3 fehlt; Vollständigkeit und Wirksamkeit sind feldspezifisch zu definieren.</x:v>
      </x:c>
      <x:c r="AE562" s="14" t="str">
        <x:v>v1.4</x:v>
      </x:c>
      <x:c r="AF562" s="52" t="str">
        <x:v>2026-08-16</x:v>
      </x:c>
      <x:c r="AG562" s="52"/>
    </x:row>
    <x:row r="563" ht="42" customHeight="1">
      <x:c r="A563" s="14" t="str">
        <x:v>WOK-SYS-194</x:v>
      </x:c>
      <x:c r="B563" s="14" t="str">
        <x:v>SDG+ – Technologie-Verantwortung</x:v>
      </x:c>
      <x:c r="C563" s="14" t="str">
        <x:v>—</x:v>
      </x:c>
      <x:c r="D563" s="14" t="str">
        <x:v>Open Source/Standards</x:v>
      </x:c>
      <x:c r="E563" s="14" t="str">
        <x:v>Open Source/Standards – Index</x:v>
      </x:c>
      <x:c r="F563" s="14" t="str">
        <x:v>umsatzgewichteter Index (z. B. Demokratie/Rule of Law)</x:v>
      </x:c>
      <x:c r="G563" s="14" t="str">
        <x:v>0–1</x:v>
      </x:c>
      <x:c r="H563" s="14" t="str">
        <x:v>higher_is_better</x:v>
      </x:c>
      <x:c r="I563" s="14" t="str">
        <x:v>R15</x:v>
      </x:c>
      <x:c r="J563" s="14" t="str">
        <x:v>≥0,8:+3; 0,7–0,79:+2; 0,6–0,69:0; 0,5–0,59:‑2; &lt;0,5:‑3</x:v>
      </x:c>
      <x:c r="K563" s="14" t="str">
        <x:v>Feste WÖk-Kalibrierung</x:v>
      </x:c>
      <x:c r="L563" s="14" t="str">
        <x:v>Arbeitskalibrierung – fachlich zu validieren</x:v>
      </x:c>
      <x:c r="M563" s="14" t="str">
        <x:v>WÖk-interne Klassenlogik</x:v>
      </x:c>
      <x:c r="N563" s="14" t="str">
        <x:v>Optional/Nein</x:v>
      </x:c>
      <x:c r="O563" s="14" t="str">
        <x:v>SROI/SDG17</x:v>
      </x:c>
      <x:c r="P563" s="14" t="str">
        <x:v>SDG 16/17, WJP, V‑Dem</x:v>
      </x:c>
      <x:c r="Q563" s="14" t="str">
        <x:v>Methodischer Platzhalter; konkrete Fach- und Primärdatenquelle erforderlich</x:v>
      </x:c>
      <x:c r="R563" s="14" t="str">
        <x:v>Platzhalter – fachliche Operationalisierung offen</x:v>
      </x:c>
      <x:c r="S563" s="14" t="str">
        <x:v>INT-WOEK-TSROI; SVI-SROI; UN-SDG</x:v>
      </x:c>
      <x:c r="T563" s="14" t="str">
        <x:v>J61 Telekom; J62 IT; RZ</x:v>
      </x:c>
      <x:c r="U563" s="14" t="str">
        <x:v>Legacy / nicht explizit versioniert</x:v>
      </x:c>
      <x:c r="V563" s="51" t="str"/>
      <x:c r="W563" s="14" t="str">
        <x:v>Migration auf NACE Rev. 2.1 erforderlich</x:v>
      </x:c>
      <x:c r="X563" s="14" t="str">
        <x:v>Programm/Portfolio/Systemraum; Empfängergruppe, Region und Zeitraum explizit definieren</x:v>
      </x:c>
      <x:c r="Y563" s="14" t="str">
        <x:v>Siehe Quelle: Definition gemäß Standard (ESRS/GRI/Taxonomie/ISO).</x:v>
      </x:c>
      <x:c r="Z563" s="14" t="str">
        <x:v>Primärdaten bevorzugt; Sekundärdaten nur transparent und versioniert; Methode und Systemgrenze dokumentieren</x:v>
      </x:c>
      <x:c r="AA563" s="14" t="str">
        <x:v>Limited Assurance; risikobasiert höhere Prüftiefe</x:v>
      </x:c>
      <x:c r="AB563" s="14" t="str">
        <x:v>Fachlogik nicht abschließend operationalisiert</x:v>
      </x:c>
      <x:c r="AC563" s="14" t="str">
        <x:v>Kritisch</x:v>
      </x:c>
      <x:c r="AD563" s="14" t="str">
        <x:v>SROI/SDG 17 ist keine hinreichend konkrete Mess- oder Schwellenquelle. Vollständige fünfstufige numerische Regel.</x:v>
      </x:c>
      <x:c r="AE563" s="14" t="str">
        <x:v>v1.4</x:v>
      </x:c>
      <x:c r="AF563" s="52" t="str">
        <x:v>2026-08-16</x:v>
      </x:c>
      <x:c r="AG563" s="52"/>
    </x:row>
    <x:row r="564" ht="42" customHeight="1">
      <x:c r="A564" s="14" t="str">
        <x:v>WOK-SYS-195</x:v>
      </x:c>
      <x:c r="B564" s="14" t="str">
        <x:v>SDG+ – Technologie-Verantwortung</x:v>
      </x:c>
      <x:c r="C564" s="14" t="str">
        <x:v>—</x:v>
      </x:c>
      <x:c r="D564" s="14" t="str">
        <x:v>Open Source/Standards</x:v>
      </x:c>
      <x:c r="E564" s="14" t="str">
        <x:v>Open Source/Standards – Exposure</x:v>
      </x:c>
      <x:c r="F564" s="14" t="str">
        <x:v>Umsatz in Hochrisikoländern</x:v>
      </x:c>
      <x:c r="G564" s="14" t="str">
        <x:v>%</x:v>
      </x:c>
      <x:c r="H564" s="14" t="str">
        <x:v>lower_is_better</x:v>
      </x:c>
      <x:c r="I564" s="14" t="str">
        <x:v>R13</x:v>
      </x:c>
      <x:c r="J564" s="14" t="str">
        <x:v>≤5:+3; 6–10:+2; 11–20:0; 21–30:‑2; &gt;30:‑3</x:v>
      </x:c>
      <x:c r="K564" s="14" t="str">
        <x:v>Feste WÖk-Kalibrierung</x:v>
      </x:c>
      <x:c r="L564" s="14" t="str">
        <x:v>Arbeitskalibrierung – fachlich zu validieren</x:v>
      </x:c>
      <x:c r="M564" s="14" t="str">
        <x:v>WÖk-interne Klassenlogik</x:v>
      </x:c>
      <x:c r="N564" s="14" t="str">
        <x:v>Optional/Nein</x:v>
      </x:c>
      <x:c r="O564" s="14" t="str">
        <x:v>SROI/SDG17</x:v>
      </x:c>
      <x:c r="P564" s="14" t="str">
        <x:v>SROI/SDG17</x:v>
      </x:c>
      <x:c r="Q564" s="14" t="str">
        <x:v>Methodischer Platzhalter; konkrete Fach- und Primärdatenquelle erforderlich</x:v>
      </x:c>
      <x:c r="R564" s="14" t="str">
        <x:v>Platzhalter – fachliche Operationalisierung offen</x:v>
      </x:c>
      <x:c r="S564" s="14" t="str">
        <x:v>INT-WOEK-TSROI; SVI-SROI; UN-SDG</x:v>
      </x:c>
      <x:c r="T564" s="14" t="str">
        <x:v>J61 Telekom; J62 IT; RZ</x:v>
      </x:c>
      <x:c r="U564" s="14" t="str">
        <x:v>Legacy / nicht explizit versioniert</x:v>
      </x:c>
      <x:c r="V564" s="51" t="str"/>
      <x:c r="W564" s="14" t="str">
        <x:v>Migration auf NACE Rev. 2.1 erforderlich</x:v>
      </x:c>
      <x:c r="X564" s="14" t="str">
        <x:v>Programm/Portfolio/Systemraum; Empfängergruppe, Region und Zeitraum explizit definieren</x:v>
      </x:c>
      <x:c r="Y564" s="14" t="str">
        <x:v>Siehe Quelle: Definition gemäß Standard (ESRS/GRI/Taxonomie/ISO).</x:v>
      </x:c>
      <x:c r="Z564" s="14" t="str">
        <x:v>Primärdaten bevorzugt; Sekundärdaten nur transparent und versioniert; Methode und Systemgrenze dokumentieren</x:v>
      </x:c>
      <x:c r="AA564" s="14" t="str">
        <x:v>Limited Assurance; risikobasiert höhere Prüftiefe</x:v>
      </x:c>
      <x:c r="AB564" s="14" t="str">
        <x:v>Fachlogik nicht abschließend operationalisiert</x:v>
      </x:c>
      <x:c r="AC564" s="14" t="str">
        <x:v>Kritisch</x:v>
      </x:c>
      <x:c r="AD564" s="14" t="str">
        <x:v>SROI/SDG 17 ist keine hinreichend konkrete Mess- oder Schwellenquelle. Vollständige fünfstufige numerische Regel.</x:v>
      </x:c>
      <x:c r="AE564" s="14" t="str">
        <x:v>v1.4</x:v>
      </x:c>
      <x:c r="AF564" s="52" t="str">
        <x:v>2026-08-16</x:v>
      </x:c>
      <x:c r="AG564" s="52"/>
    </x:row>
    <x:row r="565" ht="42" customHeight="1">
      <x:c r="A565" s="14" t="str">
        <x:v>WOK-SYS-196</x:v>
      </x:c>
      <x:c r="B565" s="14" t="str">
        <x:v>SDG+ – Technologie-Verantwortung</x:v>
      </x:c>
      <x:c r="C565" s="14" t="str">
        <x:v>—</x:v>
      </x:c>
      <x:c r="D565" s="14" t="str">
        <x:v>Open Source/Standards</x:v>
      </x:c>
      <x:c r="E565" s="14" t="str">
        <x:v>Open Source/Standards – Kooperationen</x:v>
      </x:c>
      <x:c r="F565" s="14" t="str">
        <x:v>aktive, evaluierte Partnerschaften/Jahr</x:v>
      </x:c>
      <x:c r="G565" s="14" t="str">
        <x:v>#/Jahr</x:v>
      </x:c>
      <x:c r="H565" s="14" t="str">
        <x:v>higher_is_better</x:v>
      </x:c>
      <x:c r="I565" s="14" t="str">
        <x:v>R20</x:v>
      </x:c>
      <x:c r="J565" s="14" t="str">
        <x:v>≥5:+3; 3–4:+2; 1–2:0; 0:‑2</x:v>
      </x:c>
      <x:c r="K565" s="14" t="str">
        <x:v>Feste WÖk-Grobkalibrierung</x:v>
      </x:c>
      <x:c r="L565" s="14" t="str">
        <x:v>Klasse −3 nur für negative/unzulässige Werte ergänzt</x:v>
      </x:c>
      <x:c r="M565" s="14" t="str">
        <x:v>WÖk-interne Grobkalibrierung</x:v>
      </x:c>
      <x:c r="N565" s="14" t="str">
        <x:v>Optional/Nein</x:v>
      </x:c>
      <x:c r="O565" s="14" t="str">
        <x:v>SROI/SDG17</x:v>
      </x:c>
      <x:c r="P565" s="14" t="str">
        <x:v>SDG 16/17, WJP, V‑Dem</x:v>
      </x:c>
      <x:c r="Q565" s="14" t="str">
        <x:v>Methodischer Platzhalter; konkrete Fach- und Primärdatenquelle erforderlich</x:v>
      </x:c>
      <x:c r="R565" s="14" t="str">
        <x:v>Platzhalter – fachliche Operationalisierung offen</x:v>
      </x:c>
      <x:c r="S565" s="14" t="str">
        <x:v>INT-WOEK-TSROI; SVI-SROI; UN-SDG</x:v>
      </x:c>
      <x:c r="T565" s="14" t="str">
        <x:v>J61 Telekom; J62 IT; RZ</x:v>
      </x:c>
      <x:c r="U565" s="14" t="str">
        <x:v>Legacy / nicht explizit versioniert</x:v>
      </x:c>
      <x:c r="V565" s="51" t="str"/>
      <x:c r="W565" s="14" t="str">
        <x:v>Migration auf NACE Rev. 2.1 erforderlich</x:v>
      </x:c>
      <x:c r="X565" s="14" t="str">
        <x:v>Programm/Portfolio/Systemraum; Empfängergruppe, Region und Zeitraum explizit definieren</x:v>
      </x:c>
      <x:c r="Y565" s="14" t="str">
        <x:v>Siehe Quelle: Definition gemäß Standard (ESRS/GRI/Taxonomie/ISO).</x:v>
      </x:c>
      <x:c r="Z565" s="14" t="str">
        <x:v>Primärdaten bevorzugt; Sekundärdaten nur transparent und versioniert; Methode und Systemgrenze dokumentieren</x:v>
      </x:c>
      <x:c r="AA565" s="14" t="str">
        <x:v>Limited Assurance; risikobasiert höhere Prüftiefe</x:v>
      </x:c>
      <x:c r="AB565" s="14" t="str">
        <x:v>Fachlogik nicht abschließend operationalisiert</x:v>
      </x:c>
      <x:c r="AC565" s="14" t="str">
        <x:v>Kritisch</x:v>
      </x:c>
      <x:c r="AD565" s="14" t="str">
        <x:v>SROI/SDG 17 ist keine hinreichend konkrete Mess- oder Schwellenquelle. Für sachlogisch nichtnegative Zählwerte ist 0 die schlechteste reguläre Klasse (−2).</x:v>
      </x:c>
      <x:c r="AE565" s="14" t="str">
        <x:v>v1.4</x:v>
      </x:c>
      <x:c r="AF565" s="52" t="str">
        <x:v>2026-08-16</x:v>
      </x:c>
      <x:c r="AG565" s="52"/>
    </x:row>
    <x:row r="566" ht="42" customHeight="1">
      <x:c r="A566" s="14" t="str">
        <x:v>WOK-SC-161</x:v>
      </x:c>
      <x:c r="B566" s="14" t="str">
        <x:v>SDG+ – Technologie-Verantwortung</x:v>
      </x:c>
      <x:c r="C566" s="14" t="str">
        <x:v>—</x:v>
      </x:c>
      <x:c r="D566" s="14" t="str">
        <x:v>Responsible Sourcing (Minerals)</x:v>
      </x:c>
      <x:c r="E566" s="14" t="str">
        <x:v>Responsible Sourcing (Minerals) – ESG‑Spend‑Coverage</x:v>
      </x:c>
      <x:c r="F566" s="14" t="str">
        <x:v>Anteil verifizierter ESG‑Daten am Spend</x:v>
      </x:c>
      <x:c r="G566" s="14" t="str">
        <x:v>%</x:v>
      </x:c>
      <x:c r="H566" s="14" t="str">
        <x:v>higher_is_better</x:v>
      </x:c>
      <x:c r="I566" s="14" t="str">
        <x:v>R26</x:v>
      </x:c>
      <x:c r="J566" s="14" t="str">
        <x:v>≥90:+3; 70–89:+2; 50–69:0; 30–49:‑2; &lt;30:‑3</x:v>
      </x:c>
      <x:c r="K566" s="14" t="str">
        <x:v>Feste WÖk-Kalibrierung</x:v>
      </x:c>
      <x:c r="L566" s="14" t="str">
        <x:v>Arbeitskalibrierung – fachlich zu validieren</x:v>
      </x:c>
      <x:c r="M566" s="14" t="str">
        <x:v>WÖk-interne Klassenlogik</x:v>
      </x:c>
      <x:c r="N566" s="14" t="str">
        <x:v>Optional/Nein</x:v>
      </x:c>
      <x:c r="O566" s="14" t="str">
        <x:v>ESRS S2; GRI 308/414/408/409</x:v>
      </x:c>
      <x:c r="P566" s="14" t="str">
        <x:v>ESRS S2; GRI 308/414/408/409</x:v>
      </x:c>
      <x:c r="Q566" s="14" t="str">
        <x:v>Mess-, Berichts- oder Managementrahmen; Schwellen sind grundsätzlich WÖk-Kalibrierungen</x:v>
      </x:c>
      <x:c r="R566" s="14" t="str">
        <x:v>Messgrundlage belegt; Schwellenkalibrierung offen</x:v>
      </x:c>
      <x:c r="S566" s="14" t="str">
        <x:v>EU-ESRS; GRI; OECD-DD; ILO-CORE</x:v>
      </x:c>
      <x:c r="T566" s="14" t="str">
        <x:v>C20 Chemie; C24 Stahl; C29 Fahrzeuge</x:v>
      </x:c>
      <x:c r="U566" s="14" t="str">
        <x:v>Legacy / nicht explizit versioniert</x:v>
      </x:c>
      <x:c r="V566" s="51" t="str"/>
      <x:c r="W566" s="14" t="str">
        <x:v>Migration auf NACE Rev. 2.1 erforderlich</x:v>
      </x:c>
      <x:c r="X566" s="14" t="str">
        <x:v>Vorgelagerte Lieferkette; relevante Tier-Stufen und Beschaffungsvolumen</x:v>
      </x:c>
      <x:c r="Y566" s="14" t="str">
        <x:v>Quote = Zähler / Nenner gemäß Quelle; in %.</x:v>
      </x:c>
      <x:c r="Z566" s="14" t="str">
        <x:v>Primärdaten bevorzugt; Sekundärdaten nur transparent und versioniert; Methode und Systemgrenze dokumentieren</x:v>
      </x:c>
      <x:c r="AA566" s="14" t="str">
        <x:v>Limited Assurance; risikobasiert höhere Prüftiefe</x:v>
      </x:c>
      <x:c r="AB566" s="14" t="str">
        <x:v>Strukturell nutzbar; Schwellen fachlich zu validieren</x:v>
      </x:c>
      <x:c r="AC566" s="14" t="str">
        <x:v>Mittel</x:v>
      </x:c>
      <x:c r="AD566" s="14" t="str">
        <x:v>Vollständige fünfstufige numerische Regel.</x:v>
      </x:c>
      <x:c r="AE566" s="14" t="str">
        <x:v>v1.4</x:v>
      </x:c>
      <x:c r="AF566" s="52" t="str">
        <x:v>2026-08-16</x:v>
      </x:c>
      <x:c r="AG566" s="52"/>
    </x:row>
    <x:row r="567" ht="42" customHeight="1">
      <x:c r="A567" s="14" t="str">
        <x:v>WOK-SC-162</x:v>
      </x:c>
      <x:c r="B567" s="14" t="str">
        <x:v>SDG+ – Technologie-Verantwortung</x:v>
      </x:c>
      <x:c r="C567" s="14" t="str">
        <x:v>—</x:v>
      </x:c>
      <x:c r="D567" s="14" t="str">
        <x:v>Responsible Sourcing (Minerals)</x:v>
      </x:c>
      <x:c r="E567" s="14" t="str">
        <x:v>Responsible Sourcing (Minerals) – Kinder/Zwangsarbeit</x:v>
      </x:c>
      <x:c r="F567" s="14" t="str">
        <x:v>Audits ohne Verstöße</x:v>
      </x:c>
      <x:c r="G567" s="14" t="str">
        <x:v>% Lieferanten</x:v>
      </x:c>
      <x:c r="H567" s="14" t="str">
        <x:v>higher_is_better</x:v>
      </x:c>
      <x:c r="I567" s="14" t="str">
        <x:v>R28</x:v>
      </x:c>
      <x:c r="J567" s="14" t="str">
        <x:v>≥98:+3; 90–97:+2; 75–89:0; 50–74:‑2; &lt;50:‑3</x:v>
      </x:c>
      <x:c r="K567" s="14" t="str">
        <x:v>Feste WÖk-Kalibrierung</x:v>
      </x:c>
      <x:c r="L567" s="14" t="str">
        <x:v>Arbeitskalibrierung – fachlich zu validieren</x:v>
      </x:c>
      <x:c r="M567" s="14" t="str">
        <x:v>WÖk-interne Klassenlogik</x:v>
      </x:c>
      <x:c r="N567" s="14" t="str">
        <x:v>Optional/Nein</x:v>
      </x:c>
      <x:c r="O567" s="14" t="str">
        <x:v>ESRS S2; GRI 308/414/408/409</x:v>
      </x:c>
      <x:c r="P567" s="14" t="str">
        <x:v>ESRS S2, GRI 308/414, OECD Due Diligence</x:v>
      </x:c>
      <x:c r="Q567" s="14" t="str">
        <x:v>Mess-, Berichts- oder Managementrahmen; Schwellen sind grundsätzlich WÖk-Kalibrierungen</x:v>
      </x:c>
      <x:c r="R567" s="14" t="str">
        <x:v>Messgrundlage belegt; Schwellenkalibrierung offen</x:v>
      </x:c>
      <x:c r="S567" s="14" t="str">
        <x:v>EU-ESRS; GRI; OECD-DD; ILO-CORE</x:v>
      </x:c>
      <x:c r="T567" s="14" t="str">
        <x:v>C20 Chemie; C24 Stahl; C29 Fahrzeuge</x:v>
      </x:c>
      <x:c r="U567" s="14" t="str">
        <x:v>Legacy / nicht explizit versioniert</x:v>
      </x:c>
      <x:c r="V567" s="51" t="str"/>
      <x:c r="W567" s="14" t="str">
        <x:v>Migration auf NACE Rev. 2.1 erforderlich</x:v>
      </x:c>
      <x:c r="X567" s="14" t="str">
        <x:v>Vorgelagerte Lieferkette; relevante Tier-Stufen und Beschaffungsvolumen</x:v>
      </x:c>
      <x:c r="Y567" s="14" t="str">
        <x:v>Quote = Zähler / Nenner gemäß Quelle; in %.</x:v>
      </x:c>
      <x:c r="Z567" s="14" t="str">
        <x:v>Primärdaten bevorzugt; Sekundärdaten nur transparent und versioniert; Methode und Systemgrenze dokumentieren</x:v>
      </x:c>
      <x:c r="AA567" s="14" t="str">
        <x:v>Limited Assurance; risikobasiert höhere Prüftiefe</x:v>
      </x:c>
      <x:c r="AB567" s="14" t="str">
        <x:v>Strukturell nutzbar; Schwellen fachlich zu validieren</x:v>
      </x:c>
      <x:c r="AC567" s="14" t="str">
        <x:v>Mittel</x:v>
      </x:c>
      <x:c r="AD567" s="14" t="str">
        <x:v>Vollständige fünfstufige numerische Regel.</x:v>
      </x:c>
      <x:c r="AE567" s="14" t="str">
        <x:v>v1.4</x:v>
      </x:c>
      <x:c r="AF567" s="52" t="str">
        <x:v>2026-08-16</x:v>
      </x:c>
      <x:c r="AG567" s="52"/>
    </x:row>
    <x:row r="568" ht="42" customHeight="1">
      <x:c r="A568" s="14" t="str">
        <x:v>WOK-SC-163</x:v>
      </x:c>
      <x:c r="B568" s="14" t="str">
        <x:v>SDG+ – Technologie-Verantwortung</x:v>
      </x:c>
      <x:c r="C568" s="14" t="str">
        <x:v>—</x:v>
      </x:c>
      <x:c r="D568" s="14" t="str">
        <x:v>Responsible Sourcing (Minerals)</x:v>
      </x:c>
      <x:c r="E568" s="14" t="str">
        <x:v>Responsible Sourcing (Minerals) – Scope‑3 Daten</x:v>
      </x:c>
      <x:c r="F568" s="14" t="str">
        <x:v>Primärdaten‑Abdeckung</x:v>
      </x:c>
      <x:c r="G568" s="14" t="str">
        <x:v>% Kategorien</x:v>
      </x:c>
      <x:c r="H568" s="14" t="str">
        <x:v>higher_is_better</x:v>
      </x:c>
      <x:c r="I568" s="14" t="str">
        <x:v>R23</x:v>
      </x:c>
      <x:c r="J568" s="14" t="str">
        <x:v>≥80:+3; 60–79:+2; 40–59:0; 20–39:‑2; &lt;20:‑3</x:v>
      </x:c>
      <x:c r="K568" s="14" t="str">
        <x:v>Feste WÖk-Kalibrierung</x:v>
      </x:c>
      <x:c r="L568" s="14" t="str">
        <x:v>Arbeitskalibrierung – fachlich zu validieren</x:v>
      </x:c>
      <x:c r="M568" s="14" t="str">
        <x:v>WÖk-interne Klassenlogik</x:v>
      </x:c>
      <x:c r="N568" s="14" t="str">
        <x:v>Optional/Nein</x:v>
      </x:c>
      <x:c r="O568" s="14" t="str">
        <x:v>ESRS E1; GHG Protocol</x:v>
      </x:c>
      <x:c r="P568" s="14" t="str">
        <x:v>ESRS E1, GHG Protocol (Corporate/Scope 1–3), ISO 14064/14067</x:v>
      </x:c>
      <x:c r="Q568" s="14" t="str">
        <x:v>Mess-, Berichts- oder Managementrahmen; Schwellen sind grundsätzlich WÖk-Kalibrierungen</x:v>
      </x:c>
      <x:c r="R568" s="14" t="str">
        <x:v>Messgrundlage belegt; Schwellenkalibrierung offen</x:v>
      </x:c>
      <x:c r="S568" s="14" t="str">
        <x:v>EU-ESRS; GHG-CORP; GHG-S3; GHG-PROD</x:v>
      </x:c>
      <x:c r="T568" s="14" t="str">
        <x:v>C20 Chemie; C24 Stahl; C29 Fahrzeuge</x:v>
      </x:c>
      <x:c r="U568" s="14" t="str">
        <x:v>Legacy / nicht explizit versioniert</x:v>
      </x:c>
      <x:c r="V568" s="51" t="str"/>
      <x:c r="W568" s="14" t="str">
        <x:v>Migration auf NACE Rev. 2.1 erforderlich</x:v>
      </x:c>
      <x:c r="X568" s="14" t="str">
        <x:v>Vorgelagerte Lieferkette; relevante Tier-Stufen und Beschaffungsvolumen</x:v>
      </x:c>
      <x:c r="Y568" s="14" t="str">
        <x:v>Quote = Zähler / Nenner gemäß Quelle; in %.</x:v>
      </x:c>
      <x:c r="Z568" s="14" t="str">
        <x:v>Primärdaten bevorzugt; Sekundärdaten nur transparent und versioniert; Methode und Systemgrenze dokumentieren</x:v>
      </x:c>
      <x:c r="AA568" s="14" t="str">
        <x:v>Limited Assurance; risikobasiert höhere Prüftiefe</x:v>
      </x:c>
      <x:c r="AB568" s="14" t="str">
        <x:v>Strukturell nutzbar; Schwellen fachlich zu validieren</x:v>
      </x:c>
      <x:c r="AC568" s="14" t="str">
        <x:v>Mittel</x:v>
      </x:c>
      <x:c r="AD568" s="14" t="str">
        <x:v>Vollständige fünfstufige numerische Regel.</x:v>
      </x:c>
      <x:c r="AE568" s="14" t="str">
        <x:v>v1.4</x:v>
      </x:c>
      <x:c r="AF568" s="52" t="str">
        <x:v>2026-08-16</x:v>
      </x:c>
      <x:c r="AG568" s="52"/>
    </x:row>
    <x:row r="569" ht="42" customHeight="1">
      <x:c r="A569" s="14" t="str">
        <x:v>WOK-P-131</x:v>
      </x:c>
      <x:c r="B569" s="14" t="str">
        <x:v>SDG+ – Technologie-Verantwortung</x:v>
      </x:c>
      <x:c r="C569" s="14" t="str">
        <x:v>—</x:v>
      </x:c>
      <x:c r="D569" s="14" t="str">
        <x:v>Sichere/zugängliche Produkte</x:v>
      </x:c>
      <x:c r="E569" s="14" t="str">
        <x:v>Sichere/zugängliche Produkte – PCF</x:v>
      </x:c>
      <x:c r="F569" s="14" t="str">
        <x:v>CO₂‑Fußabdruck pro Einheit</x:v>
      </x:c>
      <x:c r="G569" s="14" t="str">
        <x:v>kg CO₂e/Einheit</x:v>
      </x:c>
      <x:c r="H569" s="14" t="str">
        <x:v>lower_is_better</x:v>
      </x:c>
      <x:c r="I569" s="14" t="str">
        <x:v>R07</x:v>
      </x:c>
      <x:c r="J569" s="14" t="str">
        <x:v>Top‑10%:+3; ±Benchmark:0; &gt;150%:‑2; &gt;250%:‑3</x:v>
      </x:c>
      <x:c r="K569" s="14" t="str">
        <x:v>Benchmarkabhängig</x:v>
      </x:c>
      <x:c r="L569" s="14" t="str">
        <x:v>Validierter Benchmark fehlt</x:v>
      </x:c>
      <x:c r="M569" s="14" t="str">
        <x:v>Produktgruppe/Region/Technologie</x:v>
      </x:c>
      <x:c r="N569" s="14" t="str">
        <x:v>Ja</x:v>
      </x:c>
      <x:c r="O569" s="14" t="str">
        <x:v>ISO 14067; ESRS E5; GRI 306/301; WEEE/VerpackG</x:v>
      </x:c>
      <x:c r="P569" s="14" t="str">
        <x:v>ISO 14067/14040/44 (LCA/PCF), PEF/EF 3.1, EU Reparierbarkeitsindex</x:v>
      </x:c>
      <x:c r="Q569" s="14" t="str">
        <x:v>Mess-/Methodenrahmen; aktiver Branchen-/Regional-/Technologiebenchmark separat erforderlich</x:v>
      </x:c>
      <x:c r="R569" s="14" t="str">
        <x:v>Teilbelegt – Benchmarkquelle fehlt</x:v>
      </x:c>
      <x:c r="S569" s="14" t="str">
        <x:v>ISO-14067; EU-ESRS; GRI; EU-WEEE; DE-VERPACKG; EU-PPWR</x:v>
      </x:c>
      <x:c r="T569" s="14" t="str">
        <x:v>J61 Telekom; J62 IT; RZ</x:v>
      </x:c>
      <x:c r="U569" s="14" t="str">
        <x:v>Legacy / nicht explizit versioniert</x:v>
      </x:c>
      <x:c r="V569" s="51" t="str"/>
      <x:c r="W569" s="14" t="str">
        <x:v>Migration auf NACE Rev. 2.1 erforderlich</x:v>
      </x:c>
      <x:c r="X569" s="14" t="str">
        <x:v>Produkt/Funktionseinheit; Lebenszyklusgrenze mindestens cradle-to-gate, bei Nutzungs-/End-of-Life-Relevanz cradle-to-grave</x:v>
      </x:c>
      <x:c r="Y569" s="14" t="str">
        <x:v>PCF gemäß ISO 14067/PEF; Well‑to‑Gate + Nutzung falls zutreffend.</x:v>
      </x:c>
      <x:c r="Z569" s="14" t="str">
        <x:v>Primärdaten plus repräsentativer, versionierter Benchmarkdatensatz; Stichprobe und Population offenlegen</x:v>
      </x:c>
      <x:c r="AA569" s="14" t="str">
        <x:v>Messwert-Assurance und unabhängige Benchmark-Governance</x:v>
      </x:c>
      <x:c r="AB569" s="14" t="str">
        <x:v>Prüfung/Parametrisierung erforderlich</x:v>
      </x:c>
      <x:c r="AC569" s="14" t="str">
        <x:v>Hoch</x:v>
      </x:c>
      <x:c r="AD569" s="14" t="str">
        <x:v>Produktspezifische Referenzpopulation erforderlich.</x:v>
      </x:c>
      <x:c r="AE569" s="14" t="str">
        <x:v>v1.4</x:v>
      </x:c>
      <x:c r="AF569" s="52" t="str">
        <x:v>2026-08-16</x:v>
      </x:c>
      <x:c r="AG569" s="52"/>
    </x:row>
    <x:row r="570" ht="42" customHeight="1">
      <x:c r="A570" s="14" t="str">
        <x:v>WOK-P-132</x:v>
      </x:c>
      <x:c r="B570" s="14" t="str">
        <x:v>SDG+ – Technologie-Verantwortung</x:v>
      </x:c>
      <x:c r="C570" s="14" t="str">
        <x:v>—</x:v>
      </x:c>
      <x:c r="D570" s="14" t="str">
        <x:v>Sichere/zugängliche Produkte</x:v>
      </x:c>
      <x:c r="E570" s="14" t="str">
        <x:v>Sichere/zugängliche Produkte – Reparierbarkeit</x:v>
      </x:c>
      <x:c r="F570" s="14" t="str">
        <x:v>Reparierbarkeitsindex</x:v>
      </x:c>
      <x:c r="G570" s="14" t="str">
        <x:v>Score 0–10</x:v>
      </x:c>
      <x:c r="H570" s="14" t="str">
        <x:v>higher_is_better</x:v>
      </x:c>
      <x:c r="I570" s="14" t="str">
        <x:v>R24</x:v>
      </x:c>
      <x:c r="J570" s="14" t="str">
        <x:v>≥8:+3; 6–7,9:+2; 4–5,9:0; 2–3,9:‑2; &lt;2:‑3</x:v>
      </x:c>
      <x:c r="K570" s="14" t="str">
        <x:v>Produktspezifische Indexkalibrierung</x:v>
      </x:c>
      <x:c r="L570" s="14" t="str">
        <x:v>Indexsystem und Produktgruppe müssen ausgewiesen werden</x:v>
      </x:c>
      <x:c r="M570" s="14" t="str">
        <x:v>FR-/EU-Reparierbarkeitssystem je Produktgruppe</x:v>
      </x:c>
      <x:c r="N570" s="14" t="str">
        <x:v>Optional/Nein</x:v>
      </x:c>
      <x:c r="O570" s="14" t="str">
        <x:v>EU/FR Index</x:v>
      </x:c>
      <x:c r="P570" s="14" t="str">
        <x:v>ISO 14067/14040/44 (LCA/PCF), PEF/EF 3.1, EU Reparierbarkeitsindex</x:v>
      </x:c>
      <x:c r="Q570" s="14" t="str">
        <x:v>Produktspezifischer Rechts-/Indexrahmen; System und Produktgruppe explizit auswählen</x:v>
      </x:c>
      <x:c r="R570" s="14" t="str">
        <x:v>Teilbelegt – produktspezifisch zu validieren</x:v>
      </x:c>
      <x:c r="S570" s="14" t="str">
        <x:v>FR-REPAIR; EU-REPAIR; EU-ESPR</x:v>
      </x:c>
      <x:c r="T570" s="14" t="str">
        <x:v>J61 Telekom; J62 IT; RZ</x:v>
      </x:c>
      <x:c r="U570" s="14" t="str">
        <x:v>Legacy / nicht explizit versioniert</x:v>
      </x:c>
      <x:c r="V570" s="51" t="str"/>
      <x:c r="W570" s="14" t="str">
        <x:v>Migration auf NACE Rev. 2.1 erforderlich</x:v>
      </x:c>
      <x:c r="X570" s="14" t="str">
        <x:v>Produkt/Funktionseinheit; Lebenszyklusgrenze mindestens cradle-to-gate, bei Nutzungs-/End-of-Life-Relevanz cradle-to-grave</x:v>
      </x:c>
      <x:c r="Y570" s="14" t="str">
        <x:v>EU/FR‑Reparierbarkeitsindex: Zerlegbarkeit, Ersatzteile, Doku.</x:v>
      </x:c>
      <x:c r="Z570" s="14" t="str">
        <x:v>Primärdaten oder qualitätsgesicherte Sekundärdaten; Methode, Zeitraum und Systemgrenze dokumentieren</x:v>
      </x:c>
      <x:c r="AA570" s="14" t="str">
        <x:v>Limited Assurance; bei materieller Steuerwirkung risikobasiert vertiefen</x:v>
      </x:c>
      <x:c r="AB570" s="14" t="str">
        <x:v>Produktspezifische bzw. lokale Prüfung erforderlich</x:v>
      </x:c>
      <x:c r="AC570" s="14" t="str">
        <x:v>Hoch</x:v>
      </x:c>
      <x:c r="AD570" s="14" t="str">
        <x:v>Indexsystem, Produktgruppe und Rechtsstand festlegen. Französischer Index und EU-Score sind nicht pauschal austauschbar.</x:v>
      </x:c>
      <x:c r="AE570" s="14" t="str">
        <x:v>v1.4</x:v>
      </x:c>
      <x:c r="AF570" s="52" t="str">
        <x:v>2026-08-16</x:v>
      </x:c>
      <x:c r="AG570" s="52"/>
    </x:row>
    <x:row r="571" ht="42" customHeight="1">
      <x:c r="A571" s="14" t="str">
        <x:v>WOK-P-133</x:v>
      </x:c>
      <x:c r="B571" s="14" t="str">
        <x:v>SDG+ – Technologie-Verantwortung</x:v>
      </x:c>
      <x:c r="C571" s="14" t="str">
        <x:v>—</x:v>
      </x:c>
      <x:c r="D571" s="14" t="str">
        <x:v>Sichere/zugängliche Produkte</x:v>
      </x:c>
      <x:c r="E571" s="14" t="str">
        <x:v>Sichere/zugängliche Produkte – Rücknahme/Recycling</x:v>
      </x:c>
      <x:c r="F571" s="14" t="str">
        <x:v>Rücknahme‑/Recyclingquote</x:v>
      </x:c>
      <x:c r="G571" s="14" t="str">
        <x:v>%</x:v>
      </x:c>
      <x:c r="H571" s="14" t="str">
        <x:v>higher_is_better</x:v>
      </x:c>
      <x:c r="I571" s="14" t="str">
        <x:v>R22</x:v>
      </x:c>
      <x:c r="J571" s="14" t="str">
        <x:v>≥70:+3; 50–69:+2; 30–49:0; 15–29:‑2; &lt;15:‑3</x:v>
      </x:c>
      <x:c r="K571" s="14" t="str">
        <x:v>Feste WÖk-Kalibrierung</x:v>
      </x:c>
      <x:c r="L571" s="14" t="str">
        <x:v>Arbeitskalibrierung – fachlich zu validieren</x:v>
      </x:c>
      <x:c r="M571" s="14" t="str">
        <x:v>WÖk-interne Klassenlogik</x:v>
      </x:c>
      <x:c r="N571" s="14" t="str">
        <x:v>Optional/Nein</x:v>
      </x:c>
      <x:c r="O571" s="14" t="str">
        <x:v>ESRS E5; GRI 306/301; WEEE/VerpackG</x:v>
      </x:c>
      <x:c r="P571" s="14" t="str">
        <x:v>ESRS E5, GRI 306, WEEE/VerpackG</x:v>
      </x:c>
      <x:c r="Q571" s="14" t="str">
        <x:v>Mess-, Berichts- oder Managementrahmen; Schwellen sind grundsätzlich WÖk-Kalibrierungen</x:v>
      </x:c>
      <x:c r="R571" s="14" t="str">
        <x:v>Messgrundlage belegt; Schwellenkalibrierung offen</x:v>
      </x:c>
      <x:c r="S571" s="14" t="str">
        <x:v>EU-ESRS; GRI; EU-WEEE; DE-VERPACKG; EU-PPWR</x:v>
      </x:c>
      <x:c r="T571" s="14" t="str">
        <x:v>J61 Telekom; J62 IT; RZ</x:v>
      </x:c>
      <x:c r="U571" s="14" t="str">
        <x:v>Legacy / nicht explizit versioniert</x:v>
      </x:c>
      <x:c r="V571" s="51" t="str"/>
      <x:c r="W571" s="14" t="str">
        <x:v>Migration auf NACE Rev. 2.1 erforderlich</x:v>
      </x:c>
      <x:c r="X571" s="14" t="str">
        <x:v>Produkt/Funktionseinheit; Lebenszyklusgrenze mindestens cradle-to-gate, bei Nutzungs-/End-of-Life-Relevanz cradle-to-grave</x:v>
      </x:c>
      <x:c r="Y571" s="14" t="str">
        <x:v>Siehe Quelle: Definition gemäß Standard (ESRS/GRI/Taxonomie/ISO).</x:v>
      </x:c>
      <x:c r="Z571" s="14" t="str">
        <x:v>Primärdaten bevorzugt; Sekundärdaten nur transparent und versioniert; Methode und Systemgrenze dokumentieren</x:v>
      </x:c>
      <x:c r="AA571" s="14" t="str">
        <x:v>Limited Assurance; risikobasiert höhere Prüftiefe</x:v>
      </x:c>
      <x:c r="AB571" s="14" t="str">
        <x:v>Strukturell nutzbar; Schwellen fachlich zu validieren</x:v>
      </x:c>
      <x:c r="AC571" s="14" t="str">
        <x:v>Mittel</x:v>
      </x:c>
      <x:c r="AD571" s="14" t="str">
        <x:v>Vollständige fünfstufige numerische Regel.</x:v>
      </x:c>
      <x:c r="AE571" s="14" t="str">
        <x:v>v1.4</x:v>
      </x:c>
      <x:c r="AF571" s="52" t="str">
        <x:v>2026-08-16</x:v>
      </x:c>
      <x:c r="AG571" s="52"/>
    </x:row>
    <x:row r="572" ht="42" customHeight="1">
      <x:c r="A572" s="14" t="str">
        <x:v>WOK-SYS-197</x:v>
      </x:c>
      <x:c r="B572" s="14" t="str">
        <x:v>SDG+ – Kooperationen/Systemwandel</x:v>
      </x:c>
      <x:c r="C572" s="14" t="str">
        <x:v>—</x:v>
      </x:c>
      <x:c r="D572" s="14" t="str">
        <x:v>SDG‑Partnerschaften</x:v>
      </x:c>
      <x:c r="E572" s="14" t="str">
        <x:v>SDG‑Partnerschaften – Index</x:v>
      </x:c>
      <x:c r="F572" s="14" t="str">
        <x:v>umsatzgewichteter Index (z. B. Demokratie/Rule of Law)</x:v>
      </x:c>
      <x:c r="G572" s="14" t="str">
        <x:v>0–1</x:v>
      </x:c>
      <x:c r="H572" s="14" t="str">
        <x:v>higher_is_better</x:v>
      </x:c>
      <x:c r="I572" s="14" t="str">
        <x:v>R15</x:v>
      </x:c>
      <x:c r="J572" s="14" t="str">
        <x:v>≥0,8:+3; 0,7–0,79:+2; 0,6–0,69:0; 0,5–0,59:‑2; &lt;0,5:‑3</x:v>
      </x:c>
      <x:c r="K572" s="14" t="str">
        <x:v>Feste WÖk-Kalibrierung</x:v>
      </x:c>
      <x:c r="L572" s="14" t="str">
        <x:v>Arbeitskalibrierung – fachlich zu validieren</x:v>
      </x:c>
      <x:c r="M572" s="14" t="str">
        <x:v>WÖk-interne Klassenlogik</x:v>
      </x:c>
      <x:c r="N572" s="14" t="str">
        <x:v>Optional/Nein</x:v>
      </x:c>
      <x:c r="O572" s="14" t="str">
        <x:v>SROI/SDG17</x:v>
      </x:c>
      <x:c r="P572" s="14" t="str">
        <x:v>SDG 16/17, WJP, V‑Dem</x:v>
      </x:c>
      <x:c r="Q572" s="14" t="str">
        <x:v>Methodischer Platzhalter; konkrete Fach- und Primärdatenquelle erforderlich</x:v>
      </x:c>
      <x:c r="R572" s="14" t="str">
        <x:v>Platzhalter – fachliche Operationalisierung offen</x:v>
      </x:c>
      <x:c r="S572" s="14" t="str">
        <x:v>INT-WOEK-TSROI; SVI-SROI; UN-SDG</x:v>
      </x:c>
      <x:c r="T572" s="14" t="str">
        <x:v>G47 Handel; K Versicherungen; M72 F&amp;E</x:v>
      </x:c>
      <x:c r="U572" s="14" t="str">
        <x:v>Legacy / nicht explizit versioniert</x:v>
      </x:c>
      <x:c r="V572" s="51" t="str"/>
      <x:c r="W572" s="14" t="str">
        <x:v>Migration auf NACE Rev. 2.1 erforderlich</x:v>
      </x:c>
      <x:c r="X572" s="14" t="str">
        <x:v>Programm/Portfolio/Systemraum; Empfängergruppe, Region und Zeitraum explizit definieren</x:v>
      </x:c>
      <x:c r="Y572" s="14" t="str">
        <x:v>Siehe Quelle: Definition gemäß Standard (ESRS/GRI/Taxonomie/ISO).</x:v>
      </x:c>
      <x:c r="Z572" s="14" t="str">
        <x:v>Primärdaten bevorzugt; Sekundärdaten nur transparent und versioniert; Methode und Systemgrenze dokumentieren</x:v>
      </x:c>
      <x:c r="AA572" s="14" t="str">
        <x:v>Limited Assurance; risikobasiert höhere Prüftiefe</x:v>
      </x:c>
      <x:c r="AB572" s="14" t="str">
        <x:v>Fachlogik nicht abschließend operationalisiert</x:v>
      </x:c>
      <x:c r="AC572" s="14" t="str">
        <x:v>Kritisch</x:v>
      </x:c>
      <x:c r="AD572" s="14" t="str">
        <x:v>SROI/SDG 17 ist keine hinreichend konkrete Mess- oder Schwellenquelle. Vollständige fünfstufige numerische Regel.</x:v>
      </x:c>
      <x:c r="AE572" s="14" t="str">
        <x:v>v1.4</x:v>
      </x:c>
      <x:c r="AF572" s="52" t="str">
        <x:v>2026-08-16</x:v>
      </x:c>
      <x:c r="AG572" s="52"/>
    </x:row>
    <x:row r="573" ht="42" customHeight="1">
      <x:c r="A573" s="14" t="str">
        <x:v>WOK-SYS-198</x:v>
      </x:c>
      <x:c r="B573" s="14" t="str">
        <x:v>SDG+ – Kooperationen/Systemwandel</x:v>
      </x:c>
      <x:c r="C573" s="14" t="str">
        <x:v>—</x:v>
      </x:c>
      <x:c r="D573" s="14" t="str">
        <x:v>SDG‑Partnerschaften</x:v>
      </x:c>
      <x:c r="E573" s="14" t="str">
        <x:v>SDG‑Partnerschaften – Exposure</x:v>
      </x:c>
      <x:c r="F573" s="14" t="str">
        <x:v>Umsatz in Hochrisikoländern</x:v>
      </x:c>
      <x:c r="G573" s="14" t="str">
        <x:v>%</x:v>
      </x:c>
      <x:c r="H573" s="14" t="str">
        <x:v>lower_is_better</x:v>
      </x:c>
      <x:c r="I573" s="14" t="str">
        <x:v>R13</x:v>
      </x:c>
      <x:c r="J573" s="14" t="str">
        <x:v>≤5:+3; 6–10:+2; 11–20:0; 21–30:‑2; &gt;30:‑3</x:v>
      </x:c>
      <x:c r="K573" s="14" t="str">
        <x:v>Feste WÖk-Kalibrierung</x:v>
      </x:c>
      <x:c r="L573" s="14" t="str">
        <x:v>Arbeitskalibrierung – fachlich zu validieren</x:v>
      </x:c>
      <x:c r="M573" s="14" t="str">
        <x:v>WÖk-interne Klassenlogik</x:v>
      </x:c>
      <x:c r="N573" s="14" t="str">
        <x:v>Optional/Nein</x:v>
      </x:c>
      <x:c r="O573" s="14" t="str">
        <x:v>SROI/SDG17</x:v>
      </x:c>
      <x:c r="P573" s="14" t="str">
        <x:v>SDG 16/17, WJP, V‑Dem</x:v>
      </x:c>
      <x:c r="Q573" s="14" t="str">
        <x:v>Methodischer Platzhalter; konkrete Fach- und Primärdatenquelle erforderlich</x:v>
      </x:c>
      <x:c r="R573" s="14" t="str">
        <x:v>Platzhalter – fachliche Operationalisierung offen</x:v>
      </x:c>
      <x:c r="S573" s="14" t="str">
        <x:v>INT-WOEK-TSROI; SVI-SROI; UN-SDG</x:v>
      </x:c>
      <x:c r="T573" s="14" t="str">
        <x:v>G47 Handel; K Versicherungen; M72 F&amp;E</x:v>
      </x:c>
      <x:c r="U573" s="14" t="str">
        <x:v>Legacy / nicht explizit versioniert</x:v>
      </x:c>
      <x:c r="V573" s="51" t="str"/>
      <x:c r="W573" s="14" t="str">
        <x:v>Migration auf NACE Rev. 2.1 erforderlich</x:v>
      </x:c>
      <x:c r="X573" s="14" t="str">
        <x:v>Programm/Portfolio/Systemraum; Empfängergruppe, Region und Zeitraum explizit definieren</x:v>
      </x:c>
      <x:c r="Y573" s="14" t="str">
        <x:v>Siehe Quelle: Definition gemäß Standard (ESRS/GRI/Taxonomie/ISO).</x:v>
      </x:c>
      <x:c r="Z573" s="14" t="str">
        <x:v>Primärdaten bevorzugt; Sekundärdaten nur transparent und versioniert; Methode und Systemgrenze dokumentieren</x:v>
      </x:c>
      <x:c r="AA573" s="14" t="str">
        <x:v>Limited Assurance; risikobasiert höhere Prüftiefe</x:v>
      </x:c>
      <x:c r="AB573" s="14" t="str">
        <x:v>Fachlogik nicht abschließend operationalisiert</x:v>
      </x:c>
      <x:c r="AC573" s="14" t="str">
        <x:v>Kritisch</x:v>
      </x:c>
      <x:c r="AD573" s="14" t="str">
        <x:v>SROI/SDG 17 ist keine hinreichend konkrete Mess- oder Schwellenquelle. Vollständige fünfstufige numerische Regel.</x:v>
      </x:c>
      <x:c r="AE573" s="14" t="str">
        <x:v>v1.4</x:v>
      </x:c>
      <x:c r="AF573" s="52" t="str">
        <x:v>2026-08-16</x:v>
      </x:c>
      <x:c r="AG573" s="52"/>
    </x:row>
    <x:row r="574" ht="42" customHeight="1">
      <x:c r="A574" s="14" t="str">
        <x:v>WOK-SYS-199</x:v>
      </x:c>
      <x:c r="B574" s="14" t="str">
        <x:v>SDG+ – Kooperationen/Systemwandel</x:v>
      </x:c>
      <x:c r="C574" s="14" t="str">
        <x:v>—</x:v>
      </x:c>
      <x:c r="D574" s="14" t="str">
        <x:v>SDG‑Partnerschaften</x:v>
      </x:c>
      <x:c r="E574" s="14" t="str">
        <x:v>SDG‑Partnerschaften – Kooperationen</x:v>
      </x:c>
      <x:c r="F574" s="14" t="str">
        <x:v>aktive, evaluierte Partnerschaften/Jahr</x:v>
      </x:c>
      <x:c r="G574" s="14" t="str">
        <x:v>#/Jahr</x:v>
      </x:c>
      <x:c r="H574" s="14" t="str">
        <x:v>higher_is_better</x:v>
      </x:c>
      <x:c r="I574" s="14" t="str">
        <x:v>R20</x:v>
      </x:c>
      <x:c r="J574" s="14" t="str">
        <x:v>≥5:+3; 3–4:+2; 1–2:0; 0:‑2</x:v>
      </x:c>
      <x:c r="K574" s="14" t="str">
        <x:v>Feste WÖk-Grobkalibrierung</x:v>
      </x:c>
      <x:c r="L574" s="14" t="str">
        <x:v>Klasse −3 nur für negative/unzulässige Werte ergänzt</x:v>
      </x:c>
      <x:c r="M574" s="14" t="str">
        <x:v>WÖk-interne Grobkalibrierung</x:v>
      </x:c>
      <x:c r="N574" s="14" t="str">
        <x:v>Optional/Nein</x:v>
      </x:c>
      <x:c r="O574" s="14" t="str">
        <x:v>SROI/SDG17</x:v>
      </x:c>
      <x:c r="P574" s="14" t="str">
        <x:v>SDG 16/17, WJP, V‑Dem</x:v>
      </x:c>
      <x:c r="Q574" s="14" t="str">
        <x:v>Methodischer Platzhalter; konkrete Fach- und Primärdatenquelle erforderlich</x:v>
      </x:c>
      <x:c r="R574" s="14" t="str">
        <x:v>Platzhalter – fachliche Operationalisierung offen</x:v>
      </x:c>
      <x:c r="S574" s="14" t="str">
        <x:v>INT-WOEK-TSROI; SVI-SROI; UN-SDG</x:v>
      </x:c>
      <x:c r="T574" s="14" t="str">
        <x:v>G47 Handel; K Versicherungen; M72 F&amp;E</x:v>
      </x:c>
      <x:c r="U574" s="14" t="str">
        <x:v>Legacy / nicht explizit versioniert</x:v>
      </x:c>
      <x:c r="V574" s="51" t="str"/>
      <x:c r="W574" s="14" t="str">
        <x:v>Migration auf NACE Rev. 2.1 erforderlich</x:v>
      </x:c>
      <x:c r="X574" s="14" t="str">
        <x:v>Programm/Portfolio/Systemraum; Empfängergruppe, Region und Zeitraum explizit definieren</x:v>
      </x:c>
      <x:c r="Y574" s="14" t="str">
        <x:v>Siehe Quelle: Definition gemäß Standard (ESRS/GRI/Taxonomie/ISO).</x:v>
      </x:c>
      <x:c r="Z574" s="14" t="str">
        <x:v>Primärdaten bevorzugt; Sekundärdaten nur transparent und versioniert; Methode und Systemgrenze dokumentieren</x:v>
      </x:c>
      <x:c r="AA574" s="14" t="str">
        <x:v>Limited Assurance; risikobasiert höhere Prüftiefe</x:v>
      </x:c>
      <x:c r="AB574" s="14" t="str">
        <x:v>Fachlogik nicht abschließend operationalisiert</x:v>
      </x:c>
      <x:c r="AC574" s="14" t="str">
        <x:v>Kritisch</x:v>
      </x:c>
      <x:c r="AD574" s="14" t="str">
        <x:v>SROI/SDG 17 ist keine hinreichend konkrete Mess- oder Schwellenquelle. Für sachlogisch nichtnegative Zählwerte ist 0 die schlechteste reguläre Klasse (−2).</x:v>
      </x:c>
      <x:c r="AE574" s="14" t="str">
        <x:v>v1.4</x:v>
      </x:c>
      <x:c r="AF574" s="52" t="str">
        <x:v>2026-08-16</x:v>
      </x:c>
      <x:c r="AG574" s="52"/>
    </x:row>
    <x:row r="575" ht="42" customHeight="1">
      <x:c r="A575" s="14" t="str">
        <x:v>WOK-SYS-200</x:v>
      </x:c>
      <x:c r="B575" s="14" t="str">
        <x:v>SDG+ – Kooperationen/Systemwandel</x:v>
      </x:c>
      <x:c r="C575" s="14" t="str">
        <x:v>—</x:v>
      </x:c>
      <x:c r="D575" s="14" t="str">
        <x:v>Open Data/XBRL</x:v>
      </x:c>
      <x:c r="E575" s="14" t="str">
        <x:v>Open Data/XBRL – Index</x:v>
      </x:c>
      <x:c r="F575" s="14" t="str">
        <x:v>umsatzgewichteter Index (z. B. Demokratie/Rule of Law)</x:v>
      </x:c>
      <x:c r="G575" s="14" t="str">
        <x:v>0–1</x:v>
      </x:c>
      <x:c r="H575" s="14" t="str">
        <x:v>higher_is_better</x:v>
      </x:c>
      <x:c r="I575" s="14" t="str">
        <x:v>R15</x:v>
      </x:c>
      <x:c r="J575" s="14" t="str">
        <x:v>≥0,8:+3; 0,7–0,79:+2; 0,6–0,69:0; 0,5–0,59:‑2; &lt;0,5:‑3</x:v>
      </x:c>
      <x:c r="K575" s="14" t="str">
        <x:v>Feste WÖk-Kalibrierung</x:v>
      </x:c>
      <x:c r="L575" s="14" t="str">
        <x:v>Arbeitskalibrierung – fachlich zu validieren</x:v>
      </x:c>
      <x:c r="M575" s="14" t="str">
        <x:v>WÖk-interne Klassenlogik</x:v>
      </x:c>
      <x:c r="N575" s="14" t="str">
        <x:v>Optional/Nein</x:v>
      </x:c>
      <x:c r="O575" s="14" t="str">
        <x:v>SROI/SDG17</x:v>
      </x:c>
      <x:c r="P575" s="14" t="str">
        <x:v>SDG 16/17, WJP, V‑Dem</x:v>
      </x:c>
      <x:c r="Q575" s="14" t="str">
        <x:v>Methodischer Platzhalter; konkrete Fach- und Primärdatenquelle erforderlich</x:v>
      </x:c>
      <x:c r="R575" s="14" t="str">
        <x:v>Platzhalter – fachliche Operationalisierung offen</x:v>
      </x:c>
      <x:c r="S575" s="14" t="str">
        <x:v>INT-WOEK-TSROI; SVI-SROI; UN-SDG</x:v>
      </x:c>
      <x:c r="T575" s="14" t="str">
        <x:v>G47 Handel; K Versicherungen; M72 F&amp;E</x:v>
      </x:c>
      <x:c r="U575" s="14" t="str">
        <x:v>Legacy / nicht explizit versioniert</x:v>
      </x:c>
      <x:c r="V575" s="51" t="str"/>
      <x:c r="W575" s="14" t="str">
        <x:v>Migration auf NACE Rev. 2.1 erforderlich</x:v>
      </x:c>
      <x:c r="X575" s="14" t="str">
        <x:v>Programm/Portfolio/Systemraum; Empfängergruppe, Region und Zeitraum explizit definieren</x:v>
      </x:c>
      <x:c r="Y575" s="14" t="str">
        <x:v>Siehe Quelle: Definition gemäß Standard (ESRS/GRI/Taxonomie/ISO).</x:v>
      </x:c>
      <x:c r="Z575" s="14" t="str">
        <x:v>Primärdaten bevorzugt; Sekundärdaten nur transparent und versioniert; Methode und Systemgrenze dokumentieren</x:v>
      </x:c>
      <x:c r="AA575" s="14" t="str">
        <x:v>Limited Assurance; risikobasiert höhere Prüftiefe</x:v>
      </x:c>
      <x:c r="AB575" s="14" t="str">
        <x:v>Fachlogik nicht abschließend operationalisiert</x:v>
      </x:c>
      <x:c r="AC575" s="14" t="str">
        <x:v>Kritisch</x:v>
      </x:c>
      <x:c r="AD575" s="14" t="str">
        <x:v>SROI/SDG 17 ist keine hinreichend konkrete Mess- oder Schwellenquelle. Vollständige fünfstufige numerische Regel.</x:v>
      </x:c>
      <x:c r="AE575" s="14" t="str">
        <x:v>v1.4</x:v>
      </x:c>
      <x:c r="AF575" s="52" t="str">
        <x:v>2026-08-16</x:v>
      </x:c>
      <x:c r="AG575" s="52"/>
    </x:row>
    <x:row r="576" ht="42" customHeight="1">
      <x:c r="A576" s="14" t="str">
        <x:v>WOK-SYS-201</x:v>
      </x:c>
      <x:c r="B576" s="14" t="str">
        <x:v>SDG+ – Kooperationen/Systemwandel</x:v>
      </x:c>
      <x:c r="C576" s="14" t="str">
        <x:v>—</x:v>
      </x:c>
      <x:c r="D576" s="14" t="str">
        <x:v>Open Data/XBRL</x:v>
      </x:c>
      <x:c r="E576" s="14" t="str">
        <x:v>Open Data/XBRL – Exposure</x:v>
      </x:c>
      <x:c r="F576" s="14" t="str">
        <x:v>Umsatz in Hochrisikoländern</x:v>
      </x:c>
      <x:c r="G576" s="14" t="str">
        <x:v>%</x:v>
      </x:c>
      <x:c r="H576" s="14" t="str">
        <x:v>lower_is_better</x:v>
      </x:c>
      <x:c r="I576" s="14" t="str">
        <x:v>R13</x:v>
      </x:c>
      <x:c r="J576" s="14" t="str">
        <x:v>≤5:+3; 6–10:+2; 11–20:0; 21–30:‑2; &gt;30:‑3</x:v>
      </x:c>
      <x:c r="K576" s="14" t="str">
        <x:v>Feste WÖk-Kalibrierung</x:v>
      </x:c>
      <x:c r="L576" s="14" t="str">
        <x:v>Arbeitskalibrierung – fachlich zu validieren</x:v>
      </x:c>
      <x:c r="M576" s="14" t="str">
        <x:v>WÖk-interne Klassenlogik</x:v>
      </x:c>
      <x:c r="N576" s="14" t="str">
        <x:v>Optional/Nein</x:v>
      </x:c>
      <x:c r="O576" s="14" t="str">
        <x:v>SROI/SDG17</x:v>
      </x:c>
      <x:c r="P576" s="14" t="str">
        <x:v>SDG 16/17, WJP, V‑Dem</x:v>
      </x:c>
      <x:c r="Q576" s="14" t="str">
        <x:v>Methodischer Platzhalter; konkrete Fach- und Primärdatenquelle erforderlich</x:v>
      </x:c>
      <x:c r="R576" s="14" t="str">
        <x:v>Platzhalter – fachliche Operationalisierung offen</x:v>
      </x:c>
      <x:c r="S576" s="14" t="str">
        <x:v>INT-WOEK-TSROI; SVI-SROI; UN-SDG</x:v>
      </x:c>
      <x:c r="T576" s="14" t="str">
        <x:v>G47 Handel; K Versicherungen; M72 F&amp;E</x:v>
      </x:c>
      <x:c r="U576" s="14" t="str">
        <x:v>Legacy / nicht explizit versioniert</x:v>
      </x:c>
      <x:c r="V576" s="51" t="str"/>
      <x:c r="W576" s="14" t="str">
        <x:v>Migration auf NACE Rev. 2.1 erforderlich</x:v>
      </x:c>
      <x:c r="X576" s="14" t="str">
        <x:v>Programm/Portfolio/Systemraum; Empfängergruppe, Region und Zeitraum explizit definieren</x:v>
      </x:c>
      <x:c r="Y576" s="14" t="str">
        <x:v>Siehe Quelle: Definition gemäß Standard (ESRS/GRI/Taxonomie/ISO).</x:v>
      </x:c>
      <x:c r="Z576" s="14" t="str">
        <x:v>Primärdaten bevorzugt; Sekundärdaten nur transparent und versioniert; Methode und Systemgrenze dokumentieren</x:v>
      </x:c>
      <x:c r="AA576" s="14" t="str">
        <x:v>Limited Assurance; risikobasiert höhere Prüftiefe</x:v>
      </x:c>
      <x:c r="AB576" s="14" t="str">
        <x:v>Fachlogik nicht abschließend operationalisiert</x:v>
      </x:c>
      <x:c r="AC576" s="14" t="str">
        <x:v>Kritisch</x:v>
      </x:c>
      <x:c r="AD576" s="14" t="str">
        <x:v>SROI/SDG 17 ist keine hinreichend konkrete Mess- oder Schwellenquelle. Vollständige fünfstufige numerische Regel.</x:v>
      </x:c>
      <x:c r="AE576" s="14" t="str">
        <x:v>v1.4</x:v>
      </x:c>
      <x:c r="AF576" s="52" t="str">
        <x:v>2026-08-16</x:v>
      </x:c>
      <x:c r="AG576" s="52"/>
    </x:row>
    <x:row r="577" ht="42" customHeight="1">
      <x:c r="A577" s="14" t="str">
        <x:v>WOK-SYS-202</x:v>
      </x:c>
      <x:c r="B577" s="14" t="str">
        <x:v>SDG+ – Kooperationen/Systemwandel</x:v>
      </x:c>
      <x:c r="C577" s="14" t="str">
        <x:v>—</x:v>
      </x:c>
      <x:c r="D577" s="14" t="str">
        <x:v>Open Data/XBRL</x:v>
      </x:c>
      <x:c r="E577" s="14" t="str">
        <x:v>Open Data/XBRL – Kooperationen</x:v>
      </x:c>
      <x:c r="F577" s="14" t="str">
        <x:v>aktive, evaluierte Partnerschaften/Jahr</x:v>
      </x:c>
      <x:c r="G577" s="14" t="str">
        <x:v>#/Jahr</x:v>
      </x:c>
      <x:c r="H577" s="14" t="str">
        <x:v>higher_is_better</x:v>
      </x:c>
      <x:c r="I577" s="14" t="str">
        <x:v>R20</x:v>
      </x:c>
      <x:c r="J577" s="14" t="str">
        <x:v>≥5:+3; 3–4:+2; 1–2:0; 0:‑2</x:v>
      </x:c>
      <x:c r="K577" s="14" t="str">
        <x:v>Feste WÖk-Grobkalibrierung</x:v>
      </x:c>
      <x:c r="L577" s="14" t="str">
        <x:v>Klasse −3 nur für negative/unzulässige Werte ergänzt</x:v>
      </x:c>
      <x:c r="M577" s="14" t="str">
        <x:v>WÖk-interne Grobkalibrierung</x:v>
      </x:c>
      <x:c r="N577" s="14" t="str">
        <x:v>Optional/Nein</x:v>
      </x:c>
      <x:c r="O577" s="14" t="str">
        <x:v>SROI/SDG17</x:v>
      </x:c>
      <x:c r="P577" s="14" t="str">
        <x:v>SDG 16/17, WJP, V‑Dem</x:v>
      </x:c>
      <x:c r="Q577" s="14" t="str">
        <x:v>Methodischer Platzhalter; konkrete Fach- und Primärdatenquelle erforderlich</x:v>
      </x:c>
      <x:c r="R577" s="14" t="str">
        <x:v>Platzhalter – fachliche Operationalisierung offen</x:v>
      </x:c>
      <x:c r="S577" s="14" t="str">
        <x:v>INT-WOEK-TSROI; SVI-SROI; UN-SDG</x:v>
      </x:c>
      <x:c r="T577" s="14" t="str">
        <x:v>G47 Handel; K Versicherungen; M72 F&amp;E</x:v>
      </x:c>
      <x:c r="U577" s="14" t="str">
        <x:v>Legacy / nicht explizit versioniert</x:v>
      </x:c>
      <x:c r="V577" s="51" t="str"/>
      <x:c r="W577" s="14" t="str">
        <x:v>Migration auf NACE Rev. 2.1 erforderlich</x:v>
      </x:c>
      <x:c r="X577" s="14" t="str">
        <x:v>Programm/Portfolio/Systemraum; Empfängergruppe, Region und Zeitraum explizit definieren</x:v>
      </x:c>
      <x:c r="Y577" s="14" t="str">
        <x:v>Siehe Quelle: Definition gemäß Standard (ESRS/GRI/Taxonomie/ISO).</x:v>
      </x:c>
      <x:c r="Z577" s="14" t="str">
        <x:v>Primärdaten bevorzugt; Sekundärdaten nur transparent und versioniert; Methode und Systemgrenze dokumentieren</x:v>
      </x:c>
      <x:c r="AA577" s="14" t="str">
        <x:v>Limited Assurance; risikobasiert höhere Prüftiefe</x:v>
      </x:c>
      <x:c r="AB577" s="14" t="str">
        <x:v>Fachlogik nicht abschließend operationalisiert</x:v>
      </x:c>
      <x:c r="AC577" s="14" t="str">
        <x:v>Kritisch</x:v>
      </x:c>
      <x:c r="AD577" s="14" t="str">
        <x:v>SROI/SDG 17 ist keine hinreichend konkrete Mess- oder Schwellenquelle. Für sachlogisch nichtnegative Zählwerte ist 0 die schlechteste reguläre Klasse (−2).</x:v>
      </x:c>
      <x:c r="AE577" s="14" t="str">
        <x:v>v1.4</x:v>
      </x:c>
      <x:c r="AF577" s="52" t="str">
        <x:v>2026-08-16</x:v>
      </x:c>
      <x:c r="AG577" s="52"/>
    </x:row>
    <x:row r="578" ht="42" customHeight="1">
      <x:c r="A578" s="14" t="str">
        <x:v>WOK-G-236</x:v>
      </x:c>
      <x:c r="B578" s="14" t="str">
        <x:v>SDG+ – Kooperationen/Systemwandel</x:v>
      </x:c>
      <x:c r="C578" s="14" t="str">
        <x:v>—</x:v>
      </x:c>
      <x:c r="D578" s="14" t="str">
        <x:v>Mehr‑Stakeholder‑Boards</x:v>
      </x:c>
      <x:c r="E578" s="14" t="str">
        <x:v>Mehr‑Stakeholder‑Boards – Antikorruption</x:v>
      </x:c>
      <x:c r="F578" s="14" t="str">
        <x:v>Bestätigte Fälle/1.000 FTE</x:v>
      </x:c>
      <x:c r="G578" s="14" t="str">
        <x:v>Fälle/1.000 FTE</x:v>
      </x:c>
      <x:c r="H578" s="14" t="str">
        <x:v>lower_is_better</x:v>
      </x:c>
      <x:c r="I578" s="14" t="str">
        <x:v>R01</x:v>
      </x:c>
      <x:c r="J578" s="14" t="str">
        <x:v>0:+3; ≤0,2:+2; ≤0,5:0; ≤1:‑2; &gt;1:‑3</x:v>
      </x:c>
      <x:c r="K578" s="14" t="str">
        <x:v>Feste WÖk-Kalibrierung</x:v>
      </x:c>
      <x:c r="L578" s="14" t="str">
        <x:v>Arbeitskalibrierung – fachlich zu validieren</x:v>
      </x:c>
      <x:c r="M578" s="14" t="str">
        <x:v>WÖk-interne Klassenlogik</x:v>
      </x:c>
      <x:c r="N578" s="14" t="str">
        <x:v>Optional/Nein</x:v>
      </x:c>
      <x:c r="O578" s="14" t="str">
        <x:v>ESRS G1; GRI 205/207</x:v>
      </x:c>
      <x:c r="P578" s="14" t="str">
        <x:v>ESRS G1, GRI 205/207, OECD Anti‑Bribery</x:v>
      </x:c>
      <x:c r="Q578" s="14" t="str">
        <x:v>Mess-, Berichts- oder Managementrahmen; Schwellen sind grundsätzlich WÖk-Kalibrierungen</x:v>
      </x:c>
      <x:c r="R578" s="14" t="str">
        <x:v>Messgrundlage belegt; Schwellenkalibrierung offen</x:v>
      </x:c>
      <x:c r="S578" s="14" t="str">
        <x:v>EU-ESRS; GRI; OECD-AB</x:v>
      </x:c>
      <x:c r="T578" s="14" t="str">
        <x:v>G47 Handel; K Versicherungen; M72 F&amp;E</x:v>
      </x:c>
      <x:c r="U578" s="14" t="str">
        <x:v>Legacy / nicht explizit versioniert</x:v>
      </x:c>
      <x:c r="V578" s="51" t="str"/>
      <x:c r="W578" s="14" t="str">
        <x:v>Migration auf NACE Rev. 2.1 erforderlich</x:v>
      </x:c>
      <x:c r="X578" s="14" t="str">
        <x:v>Organisation/Governance; konsolidierter Kreis und relevante Rechtseinheiten</x:v>
      </x:c>
      <x:c r="Y578" s="14" t="str">
        <x:v>Siehe Quelle: Definition gemäß Standard (ESRS/GRI/Taxonomie/ISO).</x:v>
      </x:c>
      <x:c r="Z578" s="14" t="str">
        <x:v>Primärdaten bevorzugt; Sekundärdaten nur transparent und versioniert; Methode und Systemgrenze dokumentieren</x:v>
      </x:c>
      <x:c r="AA578" s="14" t="str">
        <x:v>Limited Assurance; risikobasiert höhere Prüftiefe</x:v>
      </x:c>
      <x:c r="AB578" s="14" t="str">
        <x:v>Strukturell nutzbar; Schwellen fachlich zu validieren</x:v>
      </x:c>
      <x:c r="AC578" s="14" t="str">
        <x:v>Mittel</x:v>
      </x:c>
      <x:c r="AD578" s="14" t="str">
        <x:v>Vollständige fünfstufige numerische Regel.</x:v>
      </x:c>
      <x:c r="AE578" s="14" t="str">
        <x:v>v1.4</x:v>
      </x:c>
      <x:c r="AF578" s="52" t="str">
        <x:v>2026-08-16</x:v>
      </x:c>
      <x:c r="AG578" s="52"/>
    </x:row>
    <x:row r="579" ht="42" customHeight="1">
      <x:c r="A579" s="14" t="str">
        <x:v>WOK-G-237</x:v>
      </x:c>
      <x:c r="B579" s="14" t="str">
        <x:v>SDG+ – Kooperationen/Systemwandel</x:v>
      </x:c>
      <x:c r="C579" s="14" t="str">
        <x:v>—</x:v>
      </x:c>
      <x:c r="D579" s="14" t="str">
        <x:v>Mehr‑Stakeholder‑Boards</x:v>
      </x:c>
      <x:c r="E579" s="14" t="str">
        <x:v>Mehr‑Stakeholder‑Boards – Whistleblowing</x:v>
      </x:c>
      <x:c r="F579" s="14" t="str">
        <x:v>Wirksamkeits‑Score</x:v>
      </x:c>
      <x:c r="G579" s="14" t="str">
        <x:v>0–1</x:v>
      </x:c>
      <x:c r="H579" s="14" t="str">
        <x:v>higher_is_better</x:v>
      </x:c>
      <x:c r="I579" s="14" t="str">
        <x:v>R16</x:v>
      </x:c>
      <x:c r="J579" s="14" t="str">
        <x:v>≥0,9:+3; 0,75–0,89:+2; 0,6–0,74:0; 0,4–0,59:‑2; &lt;0,4:‑3</x:v>
      </x:c>
      <x:c r="K579" s="14" t="str">
        <x:v>Feste WÖk-Kalibrierung</x:v>
      </x:c>
      <x:c r="L579" s="14" t="str">
        <x:v>Arbeitskalibrierung – fachlich zu validieren</x:v>
      </x:c>
      <x:c r="M579" s="14" t="str">
        <x:v>WÖk-interne Klassenlogik</x:v>
      </x:c>
      <x:c r="N579" s="14" t="str">
        <x:v>Optional/Nein</x:v>
      </x:c>
      <x:c r="O579" s="14" t="str">
        <x:v>ESRS G1; GRI 205/207</x:v>
      </x:c>
      <x:c r="P579" s="14" t="str">
        <x:v>ESRS G1, GRI 205/207, OECD Anti‑Bribery</x:v>
      </x:c>
      <x:c r="Q579" s="14" t="str">
        <x:v>Mess-, Berichts- oder Managementrahmen; Schwellen sind grundsätzlich WÖk-Kalibrierungen</x:v>
      </x:c>
      <x:c r="R579" s="14" t="str">
        <x:v>Messgrundlage belegt; Schwellenkalibrierung offen</x:v>
      </x:c>
      <x:c r="S579" s="14" t="str">
        <x:v>EU-ESRS; GRI; OECD-AB</x:v>
      </x:c>
      <x:c r="T579" s="14" t="str">
        <x:v>G47 Handel; K Versicherungen; M72 F&amp;E</x:v>
      </x:c>
      <x:c r="U579" s="14" t="str">
        <x:v>Legacy / nicht explizit versioniert</x:v>
      </x:c>
      <x:c r="V579" s="51" t="str"/>
      <x:c r="W579" s="14" t="str">
        <x:v>Migration auf NACE Rev. 2.1 erforderlich</x:v>
      </x:c>
      <x:c r="X579" s="14" t="str">
        <x:v>Organisation/Governance; konsolidierter Kreis und relevante Rechtseinheiten</x:v>
      </x:c>
      <x:c r="Y579" s="14" t="str">
        <x:v>Siehe Quelle: Definition gemäß Standard (ESRS/GRI/Taxonomie/ISO).</x:v>
      </x:c>
      <x:c r="Z579" s="14" t="str">
        <x:v>Primärdaten bevorzugt; Sekundärdaten nur transparent und versioniert; Methode und Systemgrenze dokumentieren</x:v>
      </x:c>
      <x:c r="AA579" s="14" t="str">
        <x:v>Limited Assurance; risikobasiert höhere Prüftiefe</x:v>
      </x:c>
      <x:c r="AB579" s="14" t="str">
        <x:v>Strukturell nutzbar; Schwellen fachlich zu validieren</x:v>
      </x:c>
      <x:c r="AC579" s="14" t="str">
        <x:v>Mittel</x:v>
      </x:c>
      <x:c r="AD579" s="14" t="str">
        <x:v>Vollständige fünfstufige numerische Regel.</x:v>
      </x:c>
      <x:c r="AE579" s="14" t="str">
        <x:v>v1.4</x:v>
      </x:c>
      <x:c r="AF579" s="52" t="str">
        <x:v>2026-08-16</x:v>
      </x:c>
      <x:c r="AG579" s="52"/>
    </x:row>
    <x:row r="580" ht="42" customHeight="1">
      <x:c r="A580" s="14" t="str">
        <x:v>WOK-G-238</x:v>
      </x:c>
      <x:c r="B580" s="14" t="str">
        <x:v>SDG+ – Kooperationen/Systemwandel</x:v>
      </x:c>
      <x:c r="C580" s="14" t="str">
        <x:v>—</x:v>
      </x:c>
      <x:c r="D580" s="14" t="str">
        <x:v>Mehr‑Stakeholder‑Boards</x:v>
      </x:c>
      <x:c r="E580" s="14" t="str">
        <x:v>Mehr‑Stakeholder‑Boards – Steuertransparenz</x:v>
      </x:c>
      <x:c r="F580" s="14" t="str">
        <x:v>CbCR‑Offenlegung</x:v>
      </x:c>
      <x:c r="G580" s="14" t="str">
        <x:v>0–1</x:v>
      </x:c>
      <x:c r="H580" s="14" t="str">
        <x:v>higher_is_better</x:v>
      </x:c>
      <x:c r="I580" s="14" t="str">
        <x:v>R08</x:v>
      </x:c>
      <x:c r="J580" s="14" t="str">
        <x:v>vollständig:+3; teilweise:+2; minimal:0; schlecht:‑2</x:v>
      </x:c>
      <x:c r="K580" s="14" t="str">
        <x:v>Qualitativ</x:v>
      </x:c>
      <x:c r="L580" s="14" t="str">
        <x:v>Assurance und Kriterienkatalog erforderlich</x:v>
      </x:c>
      <x:c r="M580" s="14" t="str">
        <x:v>WÖk-interne Kategorien</x:v>
      </x:c>
      <x:c r="N580" s="14" t="str">
        <x:v>Optional/Nein</x:v>
      </x:c>
      <x:c r="O580" s="14" t="str">
        <x:v>ESRS G1; GRI 205/207</x:v>
      </x:c>
      <x:c r="P580" s="14" t="str">
        <x:v>ESRS G1, GRI 205/207, OECD Anti‑Bribery</x:v>
      </x:c>
      <x:c r="Q580" s="14" t="str">
        <x:v>Mess-, Berichts- oder Managementrahmen; Schwellen sind grundsätzlich WÖk-Kalibrierungen</x:v>
      </x:c>
      <x:c r="R580" s="14" t="str">
        <x:v>Messgrundlage belegt; Schwellenkalibrierung offen</x:v>
      </x:c>
      <x:c r="S580" s="14" t="str">
        <x:v>EU-ESRS; GRI; OECD-AB</x:v>
      </x:c>
      <x:c r="T580" s="14" t="str">
        <x:v>G47 Handel; K Versicherungen; M72 F&amp;E</x:v>
      </x:c>
      <x:c r="U580" s="14" t="str">
        <x:v>Legacy / nicht explizit versioniert</x:v>
      </x:c>
      <x:c r="V580" s="51" t="str"/>
      <x:c r="W580" s="14" t="str">
        <x:v>Migration auf NACE Rev. 2.1 erforderlich</x:v>
      </x:c>
      <x:c r="X580" s="14" t="str">
        <x:v>Organisation/Governance; konsolidierter Kreis und relevante Rechtseinheiten</x:v>
      </x:c>
      <x:c r="Y580" s="14" t="str">
        <x:v>Siehe Quelle: Definition gemäß Standard (ESRS/GRI/Taxonomie/ISO).</x:v>
      </x:c>
      <x:c r="Z580" s="14" t="str">
        <x:v>Dokumentierter Kriterienkatalog; nachvollziehbare Evidenz; DQR A/B bevorzugt</x:v>
      </x:c>
      <x:c r="AA580" s="14" t="str">
        <x:v>Unabhängige Fachprüfung/Limited Assurance; bei roten Linien Reasonable Assurance</x:v>
      </x:c>
      <x:c r="AB580" s="14" t="str">
        <x:v>Prüfung/Parametrisierung erforderlich</x:v>
      </x:c>
      <x:c r="AC580" s="14" t="str">
        <x:v>Hoch</x:v>
      </x:c>
      <x:c r="AD580" s="14" t="str">
        <x:v>Die Kategorie −3 fehlt; Vollständigkeit und Wirksamkeit sind feldspezifisch zu definieren.</x:v>
      </x:c>
      <x:c r="AE580" s="14" t="str">
        <x:v>v1.4</x:v>
      </x:c>
      <x:c r="AF580" s="52" t="str">
        <x:v>2026-08-16</x:v>
      </x:c>
      <x:c r="AG580" s="52"/>
    </x:row>
    <x:row r="581" ht="42" customHeight="1">
      <x:c r="A581" s="14" t="str">
        <x:v>WOK-SC-164</x:v>
      </x:c>
      <x:c r="B581" s="14" t="str">
        <x:v>SDG+ – Kooperationen/Systemwandel</x:v>
      </x:c>
      <x:c r="C581" s="14" t="str">
        <x:v>—</x:v>
      </x:c>
      <x:c r="D581" s="14" t="str">
        <x:v>Gemeinsame Due Diligence</x:v>
      </x:c>
      <x:c r="E581" s="14" t="str">
        <x:v>Gemeinsame Due Diligence – ESG‑Spend‑Coverage</x:v>
      </x:c>
      <x:c r="F581" s="14" t="str">
        <x:v>Anteil verifizierter ESG‑Daten am Spend</x:v>
      </x:c>
      <x:c r="G581" s="14" t="str">
        <x:v>%</x:v>
      </x:c>
      <x:c r="H581" s="14" t="str">
        <x:v>higher_is_better</x:v>
      </x:c>
      <x:c r="I581" s="14" t="str">
        <x:v>R26</x:v>
      </x:c>
      <x:c r="J581" s="14" t="str">
        <x:v>≥90:+3; 70–89:+2; 50–69:0; 30–49:‑2; &lt;30:‑3</x:v>
      </x:c>
      <x:c r="K581" s="14" t="str">
        <x:v>Feste WÖk-Kalibrierung</x:v>
      </x:c>
      <x:c r="L581" s="14" t="str">
        <x:v>Arbeitskalibrierung – fachlich zu validieren</x:v>
      </x:c>
      <x:c r="M581" s="14" t="str">
        <x:v>WÖk-interne Klassenlogik</x:v>
      </x:c>
      <x:c r="N581" s="14" t="str">
        <x:v>Optional/Nein</x:v>
      </x:c>
      <x:c r="O581" s="14" t="str">
        <x:v>ESRS S2; GRI 308/414/408/409</x:v>
      </x:c>
      <x:c r="P581" s="14" t="str">
        <x:v>ESRS S2, GRI 308/414, OECD Due Diligence</x:v>
      </x:c>
      <x:c r="Q581" s="14" t="str">
        <x:v>Mess-, Berichts- oder Managementrahmen; Schwellen sind grundsätzlich WÖk-Kalibrierungen</x:v>
      </x:c>
      <x:c r="R581" s="14" t="str">
        <x:v>Messgrundlage belegt; Schwellenkalibrierung offen</x:v>
      </x:c>
      <x:c r="S581" s="14" t="str">
        <x:v>EU-ESRS; GRI; OECD-DD; ILO-CORE</x:v>
      </x:c>
      <x:c r="T581" s="14" t="str">
        <x:v>C20 Chemie; C24 Stahl; C29 Fahrzeuge</x:v>
      </x:c>
      <x:c r="U581" s="14" t="str">
        <x:v>Legacy / nicht explizit versioniert</x:v>
      </x:c>
      <x:c r="V581" s="51" t="str"/>
      <x:c r="W581" s="14" t="str">
        <x:v>Migration auf NACE Rev. 2.1 erforderlich</x:v>
      </x:c>
      <x:c r="X581" s="14" t="str">
        <x:v>Vorgelagerte Lieferkette; relevante Tier-Stufen und Beschaffungsvolumen</x:v>
      </x:c>
      <x:c r="Y581" s="14" t="str">
        <x:v>Quote = Zähler / Nenner gemäß Quelle; in %.</x:v>
      </x:c>
      <x:c r="Z581" s="14" t="str">
        <x:v>Primärdaten bevorzugt; Sekundärdaten nur transparent und versioniert; Methode und Systemgrenze dokumentieren</x:v>
      </x:c>
      <x:c r="AA581" s="14" t="str">
        <x:v>Limited Assurance; risikobasiert höhere Prüftiefe</x:v>
      </x:c>
      <x:c r="AB581" s="14" t="str">
        <x:v>Strukturell nutzbar; Schwellen fachlich zu validieren</x:v>
      </x:c>
      <x:c r="AC581" s="14" t="str">
        <x:v>Mittel</x:v>
      </x:c>
      <x:c r="AD581" s="14" t="str">
        <x:v>Vollständige fünfstufige numerische Regel.</x:v>
      </x:c>
      <x:c r="AE581" s="14" t="str">
        <x:v>v1.4</x:v>
      </x:c>
      <x:c r="AF581" s="52" t="str">
        <x:v>2026-08-16</x:v>
      </x:c>
      <x:c r="AG581" s="52"/>
    </x:row>
    <x:row r="582" ht="42" customHeight="1">
      <x:c r="A582" s="14" t="str">
        <x:v>WOK-SC-165</x:v>
      </x:c>
      <x:c r="B582" s="14" t="str">
        <x:v>SDG+ – Kooperationen/Systemwandel</x:v>
      </x:c>
      <x:c r="C582" s="14" t="str">
        <x:v>—</x:v>
      </x:c>
      <x:c r="D582" s="14" t="str">
        <x:v>Gemeinsame Due Diligence</x:v>
      </x:c>
      <x:c r="E582" s="14" t="str">
        <x:v>Gemeinsame Due Diligence – Kinder/Zwangsarbeit</x:v>
      </x:c>
      <x:c r="F582" s="14" t="str">
        <x:v>Audits ohne Verstöße</x:v>
      </x:c>
      <x:c r="G582" s="14" t="str">
        <x:v>% Lieferanten</x:v>
      </x:c>
      <x:c r="H582" s="14" t="str">
        <x:v>higher_is_better</x:v>
      </x:c>
      <x:c r="I582" s="14" t="str">
        <x:v>R28</x:v>
      </x:c>
      <x:c r="J582" s="14" t="str">
        <x:v>≥98:+3; 90–97:+2; 75–89:0; 50–74:‑2; &lt;50:‑3</x:v>
      </x:c>
      <x:c r="K582" s="14" t="str">
        <x:v>Feste WÖk-Kalibrierung</x:v>
      </x:c>
      <x:c r="L582" s="14" t="str">
        <x:v>Arbeitskalibrierung – fachlich zu validieren</x:v>
      </x:c>
      <x:c r="M582" s="14" t="str">
        <x:v>WÖk-interne Klassenlogik</x:v>
      </x:c>
      <x:c r="N582" s="14" t="str">
        <x:v>Optional/Nein</x:v>
      </x:c>
      <x:c r="O582" s="14" t="str">
        <x:v>ESRS S2; GRI 308/414/408/409</x:v>
      </x:c>
      <x:c r="P582" s="14" t="str">
        <x:v>ESRS S2, GRI 308/414, OECD Due Diligence</x:v>
      </x:c>
      <x:c r="Q582" s="14" t="str">
        <x:v>Mess-, Berichts- oder Managementrahmen; Schwellen sind grundsätzlich WÖk-Kalibrierungen</x:v>
      </x:c>
      <x:c r="R582" s="14" t="str">
        <x:v>Messgrundlage belegt; Schwellenkalibrierung offen</x:v>
      </x:c>
      <x:c r="S582" s="14" t="str">
        <x:v>EU-ESRS; GRI; OECD-DD; ILO-CORE</x:v>
      </x:c>
      <x:c r="T582" s="14" t="str">
        <x:v>C20 Chemie; C24 Stahl; C29 Fahrzeuge</x:v>
      </x:c>
      <x:c r="U582" s="14" t="str">
        <x:v>Legacy / nicht explizit versioniert</x:v>
      </x:c>
      <x:c r="V582" s="51" t="str"/>
      <x:c r="W582" s="14" t="str">
        <x:v>Migration auf NACE Rev. 2.1 erforderlich</x:v>
      </x:c>
      <x:c r="X582" s="14" t="str">
        <x:v>Vorgelagerte Lieferkette; relevante Tier-Stufen und Beschaffungsvolumen</x:v>
      </x:c>
      <x:c r="Y582" s="14" t="str">
        <x:v>Quote = Zähler / Nenner gemäß Quelle; in %.</x:v>
      </x:c>
      <x:c r="Z582" s="14" t="str">
        <x:v>Primärdaten bevorzugt; Sekundärdaten nur transparent und versioniert; Methode und Systemgrenze dokumentieren</x:v>
      </x:c>
      <x:c r="AA582" s="14" t="str">
        <x:v>Limited Assurance; risikobasiert höhere Prüftiefe</x:v>
      </x:c>
      <x:c r="AB582" s="14" t="str">
        <x:v>Strukturell nutzbar; Schwellen fachlich zu validieren</x:v>
      </x:c>
      <x:c r="AC582" s="14" t="str">
        <x:v>Mittel</x:v>
      </x:c>
      <x:c r="AD582" s="14" t="str">
        <x:v>Vollständige fünfstufige numerische Regel.</x:v>
      </x:c>
      <x:c r="AE582" s="14" t="str">
        <x:v>v1.4</x:v>
      </x:c>
      <x:c r="AF582" s="52" t="str">
        <x:v>2026-08-16</x:v>
      </x:c>
      <x:c r="AG582" s="52"/>
    </x:row>
    <x:row r="583" ht="42" customHeight="1">
      <x:c r="A583" s="14" t="str">
        <x:v>WOK-SC-166</x:v>
      </x:c>
      <x:c r="B583" s="14" t="str">
        <x:v>SDG+ – Kooperationen/Systemwandel</x:v>
      </x:c>
      <x:c r="C583" s="14" t="str">
        <x:v>—</x:v>
      </x:c>
      <x:c r="D583" s="14" t="str">
        <x:v>Gemeinsame Due Diligence</x:v>
      </x:c>
      <x:c r="E583" s="14" t="str">
        <x:v>Gemeinsame Due Diligence – Scope‑3 Daten</x:v>
      </x:c>
      <x:c r="F583" s="14" t="str">
        <x:v>Primärdaten‑Abdeckung</x:v>
      </x:c>
      <x:c r="G583" s="14" t="str">
        <x:v>% Kategorien</x:v>
      </x:c>
      <x:c r="H583" s="14" t="str">
        <x:v>higher_is_better</x:v>
      </x:c>
      <x:c r="I583" s="14" t="str">
        <x:v>R23</x:v>
      </x:c>
      <x:c r="J583" s="14" t="str">
        <x:v>≥80:+3; 60–79:+2; 40–59:0; 20–39:‑2; &lt;20:‑3</x:v>
      </x:c>
      <x:c r="K583" s="14" t="str">
        <x:v>Feste WÖk-Kalibrierung</x:v>
      </x:c>
      <x:c r="L583" s="14" t="str">
        <x:v>Arbeitskalibrierung – fachlich zu validieren</x:v>
      </x:c>
      <x:c r="M583" s="14" t="str">
        <x:v>WÖk-interne Klassenlogik</x:v>
      </x:c>
      <x:c r="N583" s="14" t="str">
        <x:v>Optional/Nein</x:v>
      </x:c>
      <x:c r="O583" s="14" t="str">
        <x:v>ESRS E1; GHG Protocol</x:v>
      </x:c>
      <x:c r="P583" s="14" t="str">
        <x:v>ESRS E1, GHG Protocol (Corporate/Scope 1–3), ISO 14064/14067</x:v>
      </x:c>
      <x:c r="Q583" s="14" t="str">
        <x:v>Mess-, Berichts- oder Managementrahmen; Schwellen sind grundsätzlich WÖk-Kalibrierungen</x:v>
      </x:c>
      <x:c r="R583" s="14" t="str">
        <x:v>Messgrundlage belegt; Schwellenkalibrierung offen</x:v>
      </x:c>
      <x:c r="S583" s="14" t="str">
        <x:v>EU-ESRS; GHG-CORP; GHG-S3; GHG-PROD</x:v>
      </x:c>
      <x:c r="T583" s="14" t="str">
        <x:v>C20 Chemie; C24 Stahl; C29 Fahrzeuge</x:v>
      </x:c>
      <x:c r="U583" s="14" t="str">
        <x:v>Legacy / nicht explizit versioniert</x:v>
      </x:c>
      <x:c r="V583" s="51" t="str"/>
      <x:c r="W583" s="14" t="str">
        <x:v>Migration auf NACE Rev. 2.1 erforderlich</x:v>
      </x:c>
      <x:c r="X583" s="14" t="str">
        <x:v>Vorgelagerte Lieferkette; relevante Tier-Stufen und Beschaffungsvolumen</x:v>
      </x:c>
      <x:c r="Y583" s="14" t="str">
        <x:v>Quote = Zähler / Nenner gemäß Quelle; in %.</x:v>
      </x:c>
      <x:c r="Z583" s="14" t="str">
        <x:v>Primärdaten bevorzugt; Sekundärdaten nur transparent und versioniert; Methode und Systemgrenze dokumentieren</x:v>
      </x:c>
      <x:c r="AA583" s="14" t="str">
        <x:v>Limited Assurance; risikobasiert höhere Prüftiefe</x:v>
      </x:c>
      <x:c r="AB583" s="14" t="str">
        <x:v>Strukturell nutzbar; Schwellen fachlich zu validieren</x:v>
      </x:c>
      <x:c r="AC583" s="14" t="str">
        <x:v>Mittel</x:v>
      </x:c>
      <x:c r="AD583" s="14" t="str">
        <x:v>Vollständige fünfstufige numerische Regel.</x:v>
      </x:c>
      <x:c r="AE583" s="14" t="str">
        <x:v>v1.4</x:v>
      </x:c>
      <x:c r="AF583" s="52" t="str">
        <x:v>2026-08-16</x:v>
      </x:c>
      <x:c r="AG583" s="52"/>
    </x:row>
    <x:row r="584" ht="42" customHeight="1">
      <x:c r="A584" s="14" t="str">
        <x:v>WOK-E-227</x:v>
      </x:c>
      <x:c r="B584" s="14" t="str">
        <x:v>SDG+ – Kooperationen/Systemwandel</x:v>
      </x:c>
      <x:c r="C584" s="14" t="str">
        <x:v>—</x:v>
      </x:c>
      <x:c r="D584" s="14" t="str">
        <x:v>Branchen‑Dekarbonisierungs‑Initiativen</x:v>
      </x:c>
      <x:c r="E584" s="14" t="str">
        <x:v>Branchen‑Dekarbonisierungs‑Initiativen – EE‑Anteil</x:v>
      </x:c>
      <x:c r="F584" s="14" t="str">
        <x:v>Anteil erneuerbarer Energien am Strombezug</x:v>
      </x:c>
      <x:c r="G584" s="14" t="str">
        <x:v>%</x:v>
      </x:c>
      <x:c r="H584" s="14" t="str">
        <x:v>higher_is_better</x:v>
      </x:c>
      <x:c r="I584" s="14" t="str">
        <x:v>R25</x:v>
      </x:c>
      <x:c r="J584" s="14" t="str">
        <x:v>≥90%:+3; 70–89%:+2; 50–69%:0; 30–49%:‑2; &lt;30%:‑3</x:v>
      </x:c>
      <x:c r="K584" s="14" t="str">
        <x:v>Feste WÖk-Kalibrierung</x:v>
      </x:c>
      <x:c r="L584" s="14" t="str">
        <x:v>Arbeitskalibrierung – fachlich zu validieren</x:v>
      </x:c>
      <x:c r="M584" s="14" t="str">
        <x:v>WÖk-interne Klassenlogik</x:v>
      </x:c>
      <x:c r="N584" s="14" t="str">
        <x:v>Optional/Nein</x:v>
      </x:c>
      <x:c r="O584" s="14" t="str">
        <x:v>ESRS E1; GHG Protocol</x:v>
      </x:c>
      <x:c r="P584" s="14" t="str">
        <x:v>ESRS E1, ISO 50001 (EnMS), ISO/IEC 30134‑2 (PUE), EU EPBD</x:v>
      </x:c>
      <x:c r="Q584" s="14" t="str">
        <x:v>Mess-, Berichts- oder Managementrahmen; Schwellen sind grundsätzlich WÖk-Kalibrierungen</x:v>
      </x:c>
      <x:c r="R584" s="14" t="str">
        <x:v>Messgrundlage belegt; Schwellenkalibrierung offen</x:v>
      </x:c>
      <x:c r="S584" s="14" t="str">
        <x:v>EU-ESRS; GHG-CORP; GHG-S3; GHG-PROD</x:v>
      </x:c>
      <x:c r="T584" s="14" t="str">
        <x:v>C20 Chemie; C24 Stahl; C29 Fahrzeuge</x:v>
      </x:c>
      <x:c r="U584" s="14" t="str">
        <x:v>Legacy / nicht explizit versioniert</x:v>
      </x:c>
      <x:c r="V584" s="51" t="str"/>
      <x:c r="W584" s="14" t="str">
        <x:v>Migration auf NACE Rev. 2.1 erforderlich</x:v>
      </x:c>
      <x:c r="X584" s="14" t="str">
        <x:v>Standort/Prozess/Aktivität; Bezugsgröße und relevante Umweltmedien</x:v>
      </x:c>
      <x:c r="Y584" s="14" t="str">
        <x:v>EE‑Anteil = EE‑Strom (inkl. PPA/HKN) / Gesamtstrom.</x:v>
      </x:c>
      <x:c r="Z584" s="14" t="str">
        <x:v>Primärdaten bevorzugt; Sekundärdaten nur transparent und versioniert; Methode und Systemgrenze dokumentieren</x:v>
      </x:c>
      <x:c r="AA584" s="14" t="str">
        <x:v>Limited Assurance; risikobasiert höhere Prüftiefe</x:v>
      </x:c>
      <x:c r="AB584" s="14" t="str">
        <x:v>Strukturell nutzbar; Schwellen fachlich zu validieren</x:v>
      </x:c>
      <x:c r="AC584" s="14" t="str">
        <x:v>Mittel</x:v>
      </x:c>
      <x:c r="AD584" s="14" t="str">
        <x:v>Vollständige fünfstufige Prozentregel.</x:v>
      </x:c>
      <x:c r="AE584" s="14" t="str">
        <x:v>v1.4</x:v>
      </x:c>
      <x:c r="AF584" s="52" t="str">
        <x:v>2026-08-16</x:v>
      </x:c>
      <x:c r="AG584" s="52"/>
    </x:row>
    <x:row r="585" ht="42" customHeight="1">
      <x:c r="A585" s="14" t="str">
        <x:v>WOK-E-228</x:v>
      </x:c>
      <x:c r="B585" s="14" t="str">
        <x:v>SDG+ – Kooperationen/Systemwandel</x:v>
      </x:c>
      <x:c r="C585" s="14" t="str">
        <x:v>—</x:v>
      </x:c>
      <x:c r="D585" s="14" t="str">
        <x:v>Branchen‑Dekarbonisierungs‑Initiativen</x:v>
      </x:c>
      <x:c r="E585" s="14" t="str">
        <x:v>Branchen‑Dekarbonisierungs‑Initiativen – Intensität</x:v>
      </x:c>
      <x:c r="F585" s="14" t="str">
        <x:v>Energie je Output/Umsatz</x:v>
      </x:c>
      <x:c r="G585" s="14" t="str">
        <x:v>kWh/€ Mio bzw. kWh/t</x:v>
      </x:c>
      <x:c r="H585" s="14" t="str">
        <x:v>lower_is_better</x:v>
      </x:c>
      <x:c r="I585" s="14" t="str">
        <x:v>R06</x:v>
      </x:c>
      <x:c r="J585" s="14" t="str">
        <x:v>Top‑10%:+3; Mittel:0; &gt;150%:‑2; &gt;250%:‑3</x:v>
      </x:c>
      <x:c r="K585" s="14" t="str">
        <x:v>Benchmarkabhängig</x:v>
      </x:c>
      <x:c r="L585" s="14" t="str">
        <x:v>Validierter Benchmark fehlt</x:v>
      </x:c>
      <x:c r="M585" s="14" t="str">
        <x:v>Branche/Region/Technologie</x:v>
      </x:c>
      <x:c r="N585" s="14" t="str">
        <x:v>Ja</x:v>
      </x:c>
      <x:c r="O585" s="14" t="str">
        <x:v>ESRS E1; GHG Protocol</x:v>
      </x:c>
      <x:c r="P585" s="14" t="str">
        <x:v>ESRS E1, ISO 50001 (EnMS), ISO/IEC 30134‑2 (PUE), EU EPBD</x:v>
      </x:c>
      <x:c r="Q585" s="14" t="str">
        <x:v>Mess-/Methodenrahmen; aktiver Branchen-/Regional-/Technologiebenchmark separat erforderlich</x:v>
      </x:c>
      <x:c r="R585" s="14" t="str">
        <x:v>Teilbelegt – Benchmarkquelle fehlt</x:v>
      </x:c>
      <x:c r="S585" s="14" t="str">
        <x:v>EU-ESRS; GHG-CORP; GHG-S3; GHG-PROD</x:v>
      </x:c>
      <x:c r="T585" s="14" t="str">
        <x:v>C20 Chemie; C24 Stahl; C29 Fahrzeuge</x:v>
      </x:c>
      <x:c r="U585" s="14" t="str">
        <x:v>Legacy / nicht explizit versioniert</x:v>
      </x:c>
      <x:c r="V585" s="51" t="str"/>
      <x:c r="W585" s="14" t="str">
        <x:v>Migration auf NACE Rev. 2.1 erforderlich</x:v>
      </x:c>
      <x:c r="X585" s="14" t="str">
        <x:v>Standort/Prozess/Aktivität; Bezugsgröße und relevante Umweltmedien</x:v>
      </x:c>
      <x:c r="Y585" s="14" t="str">
        <x:v>Siehe Quelle: Definition gemäß Standard (ESRS/GRI/Taxonomie/ISO).</x:v>
      </x:c>
      <x:c r="Z585" s="14" t="str">
        <x:v>Primärdaten plus repräsentativer, versionierter Benchmarkdatensatz; Stichprobe und Population offenlegen</x:v>
      </x:c>
      <x:c r="AA585" s="14" t="str">
        <x:v>Messwert-Assurance und unabhängige Benchmark-Governance</x:v>
      </x:c>
      <x:c r="AB585" s="14" t="str">
        <x:v>Prüfung/Parametrisierung erforderlich</x:v>
      </x:c>
      <x:c r="AC585" s="14" t="str">
        <x:v>Hoch</x:v>
      </x:c>
      <x:c r="AD585" s="14" t="str">
        <x:v>Top-10-Prozent, Mittelwert, 150 % und 250 % müssen aus einer dokumentierten Grundgesamtheit stammen.</x:v>
      </x:c>
      <x:c r="AE585" s="14" t="str">
        <x:v>v1.4</x:v>
      </x:c>
      <x:c r="AF585" s="52" t="str">
        <x:v>2026-08-16</x:v>
      </x:c>
      <x:c r="AG585" s="52"/>
    </x:row>
    <x:row r="586" ht="42" customHeight="1">
      <x:c r="A586" s="14" t="str">
        <x:v>WOK-E-229</x:v>
      </x:c>
      <x:c r="B586" s="14" t="str">
        <x:v>SDG+ – Kooperationen/Systemwandel</x:v>
      </x:c>
      <x:c r="C586" s="14" t="str">
        <x:v>—</x:v>
      </x:c>
      <x:c r="D586" s="14" t="str">
        <x:v>Branchen‑Dekarbonisierungs‑Initiativen</x:v>
      </x:c>
      <x:c r="E586" s="14" t="str">
        <x:v>Branchen‑Dekarbonisierungs‑Initiativen – Effizienz (PUE)*</x:v>
      </x:c>
      <x:c r="F586" s="14" t="str">
        <x:v>Effizienz Rechenzentrum/IT‑Betrieb (falls zutreffend)</x:v>
      </x:c>
      <x:c r="G586" s="14" t="str">
        <x:v>PUE</x:v>
      </x:c>
      <x:c r="H586" s="14" t="str">
        <x:v>lower_is_better</x:v>
      </x:c>
      <x:c r="I586" s="14" t="str">
        <x:v>R09</x:v>
      </x:c>
      <x:c r="J586" s="14" t="str">
        <x:v>≤1,2:+3; 1,21–1,4:+2; 1,41–1,6:0; 1,61–1,8:‑2; &gt;1,8:‑3</x:v>
      </x:c>
      <x:c r="K586" s="14" t="str">
        <x:v>Feste WÖk-Kalibrierung</x:v>
      </x:c>
      <x:c r="L586" s="14" t="str">
        <x:v>Messstandard belegt; Klassen sind WÖk-Kalibrierung</x:v>
      </x:c>
      <x:c r="M586" s="14" t="str">
        <x:v>PUE-Messung nach ISO/IEC 30134-2; Klassen intern</x:v>
      </x:c>
      <x:c r="N586" s="14" t="str">
        <x:v>Optional/Nein</x:v>
      </x:c>
      <x:c r="O586" s="14" t="str">
        <x:v>ISO 14067/50001/45001/22301/27701/23894</x:v>
      </x:c>
      <x:c r="P586" s="14" t="str">
        <x:v>ESRS E1, ISO 50001 (EnMS), ISO/IEC 30134‑2 (PUE), EU EPBD</x:v>
      </x:c>
      <x:c r="Q586" s="14" t="str">
        <x:v>Mess-, Berichts- oder Managementrahmen; Schwellen sind grundsätzlich WÖk-Kalibrierungen</x:v>
      </x:c>
      <x:c r="R586" s="14" t="str">
        <x:v>Messgrundlage belegt; Schwellenkalibrierung offen</x:v>
      </x:c>
      <x:c r="S586" s="14" t="str">
        <x:v>ISO-14067; ISO-50001; ISO-45001; ISO-22301; ISO-27701; ISO-23894</x:v>
      </x:c>
      <x:c r="T586" s="14" t="str">
        <x:v>C20 Chemie; C24 Stahl; C29 Fahrzeuge</x:v>
      </x:c>
      <x:c r="U586" s="14" t="str">
        <x:v>Legacy / nicht explizit versioniert</x:v>
      </x:c>
      <x:c r="V586" s="51" t="str"/>
      <x:c r="W586" s="14" t="str">
        <x:v>Migration auf NACE Rev. 2.1 erforderlich</x:v>
      </x:c>
      <x:c r="X586" s="14" t="str">
        <x:v>Standort/Prozess/Aktivität; Bezugsgröße und relevante Umweltmedien</x:v>
      </x:c>
      <x:c r="Y586" s="14" t="str">
        <x:v>PUE = Gesamtstrom RZ / IT‑Last (ISO/IEC 30134‑2).</x:v>
      </x:c>
      <x:c r="Z586" s="14" t="str">
        <x:v>Primärdaten bevorzugt; Sekundärdaten nur transparent und versioniert; Methode und Systemgrenze dokumentieren</x:v>
      </x:c>
      <x:c r="AA586" s="14" t="str">
        <x:v>Limited Assurance; risikobasiert höhere Prüftiefe</x:v>
      </x:c>
      <x:c r="AB586" s="14" t="str">
        <x:v>Strukturell nutzbar; Schwellen fachlich zu validieren</x:v>
      </x:c>
      <x:c r="AC586" s="14" t="str">
        <x:v>Mittel</x:v>
      </x:c>
      <x:c r="AD586" s="14" t="str">
        <x:v>Klimazone und Rechenzentrumstyp sind bei der Validierung zu berücksichtigen.</x:v>
      </x:c>
      <x:c r="AE586" s="14" t="str">
        <x:v>v1.4</x:v>
      </x:c>
      <x:c r="AF586" s="52" t="str">
        <x:v>2026-08-16</x:v>
      </x:c>
      <x:c r="AG586" s="52"/>
    </x:row>
    <x:row r="587" ht="42" customHeight="1">
      <x:c r="A587" s="14" t="str">
        <x:v>WOK-P-134</x:v>
      </x:c>
      <x:c r="B587" s="14" t="str">
        <x:v>SDG+ – Kooperationen/Systemwandel</x:v>
      </x:c>
      <x:c r="C587" s="14" t="str">
        <x:v>—</x:v>
      </x:c>
      <x:c r="D587" s="14" t="str">
        <x:v>Interoperabilität/Standards</x:v>
      </x:c>
      <x:c r="E587" s="14" t="str">
        <x:v>Interoperabilität/Standards – PCF</x:v>
      </x:c>
      <x:c r="F587" s="14" t="str">
        <x:v>CO₂‑Fußabdruck pro Einheit</x:v>
      </x:c>
      <x:c r="G587" s="14" t="str">
        <x:v>kg CO₂e/Einheit</x:v>
      </x:c>
      <x:c r="H587" s="14" t="str">
        <x:v>lower_is_better</x:v>
      </x:c>
      <x:c r="I587" s="14" t="str">
        <x:v>R07</x:v>
      </x:c>
      <x:c r="J587" s="14" t="str">
        <x:v>Top‑10%:+3; ±Benchmark:0; &gt;150%:‑2; &gt;250%:‑3</x:v>
      </x:c>
      <x:c r="K587" s="14" t="str">
        <x:v>Benchmarkabhängig</x:v>
      </x:c>
      <x:c r="L587" s="14" t="str">
        <x:v>Validierter Benchmark fehlt</x:v>
      </x:c>
      <x:c r="M587" s="14" t="str">
        <x:v>Produktgruppe/Region/Technologie</x:v>
      </x:c>
      <x:c r="N587" s="14" t="str">
        <x:v>Ja</x:v>
      </x:c>
      <x:c r="O587" s="14" t="str">
        <x:v>ISO 14067; ESRS E5; GRI 306/301; WEEE/VerpackG</x:v>
      </x:c>
      <x:c r="P587" s="14" t="str">
        <x:v>ISO 14067/14040/44 (LCA/PCF), PEF/EF 3.1, EU Reparierbarkeitsindex</x:v>
      </x:c>
      <x:c r="Q587" s="14" t="str">
        <x:v>Mess-/Methodenrahmen; aktiver Branchen-/Regional-/Technologiebenchmark separat erforderlich</x:v>
      </x:c>
      <x:c r="R587" s="14" t="str">
        <x:v>Teilbelegt – Benchmarkquelle fehlt</x:v>
      </x:c>
      <x:c r="S587" s="14" t="str">
        <x:v>ISO-14067; EU-ESRS; GRI; EU-WEEE; DE-VERPACKG; EU-PPWR</x:v>
      </x:c>
      <x:c r="T587" s="14" t="str">
        <x:v>J61 Telekom; J62 IT; RZ</x:v>
      </x:c>
      <x:c r="U587" s="14" t="str">
        <x:v>Legacy / nicht explizit versioniert</x:v>
      </x:c>
      <x:c r="V587" s="51" t="str"/>
      <x:c r="W587" s="14" t="str">
        <x:v>Migration auf NACE Rev. 2.1 erforderlich</x:v>
      </x:c>
      <x:c r="X587" s="14" t="str">
        <x:v>Produkt/Funktionseinheit; Lebenszyklusgrenze mindestens cradle-to-gate, bei Nutzungs-/End-of-Life-Relevanz cradle-to-grave</x:v>
      </x:c>
      <x:c r="Y587" s="14" t="str">
        <x:v>PCF gemäß ISO 14067/PEF; Well‑to‑Gate + Nutzung falls zutreffend.</x:v>
      </x:c>
      <x:c r="Z587" s="14" t="str">
        <x:v>Primärdaten plus repräsentativer, versionierter Benchmarkdatensatz; Stichprobe und Population offenlegen</x:v>
      </x:c>
      <x:c r="AA587" s="14" t="str">
        <x:v>Messwert-Assurance und unabhängige Benchmark-Governance</x:v>
      </x:c>
      <x:c r="AB587" s="14" t="str">
        <x:v>Prüfung/Parametrisierung erforderlich</x:v>
      </x:c>
      <x:c r="AC587" s="14" t="str">
        <x:v>Hoch</x:v>
      </x:c>
      <x:c r="AD587" s="14" t="str">
        <x:v>Produktspezifische Referenzpopulation erforderlich.</x:v>
      </x:c>
      <x:c r="AE587" s="14" t="str">
        <x:v>v1.4</x:v>
      </x:c>
      <x:c r="AF587" s="52" t="str">
        <x:v>2026-08-16</x:v>
      </x:c>
      <x:c r="AG587" s="52"/>
    </x:row>
    <x:row r="588" ht="42" customHeight="1">
      <x:c r="A588" s="14" t="str">
        <x:v>WOK-P-135</x:v>
      </x:c>
      <x:c r="B588" s="14" t="str">
        <x:v>SDG+ – Kooperationen/Systemwandel</x:v>
      </x:c>
      <x:c r="C588" s="14" t="str">
        <x:v>—</x:v>
      </x:c>
      <x:c r="D588" s="14" t="str">
        <x:v>Interoperabilität/Standards</x:v>
      </x:c>
      <x:c r="E588" s="14" t="str">
        <x:v>Interoperabilität/Standards – Reparierbarkeit</x:v>
      </x:c>
      <x:c r="F588" s="14" t="str">
        <x:v>Reparierbarkeitsindex</x:v>
      </x:c>
      <x:c r="G588" s="14" t="str">
        <x:v>Score 0–10</x:v>
      </x:c>
      <x:c r="H588" s="14" t="str">
        <x:v>higher_is_better</x:v>
      </x:c>
      <x:c r="I588" s="14" t="str">
        <x:v>R24</x:v>
      </x:c>
      <x:c r="J588" s="14" t="str">
        <x:v>≥8:+3; 6–7,9:+2; 4–5,9:0; 2–3,9:‑2; &lt;2:‑3</x:v>
      </x:c>
      <x:c r="K588" s="14" t="str">
        <x:v>Produktspezifische Indexkalibrierung</x:v>
      </x:c>
      <x:c r="L588" s="14" t="str">
        <x:v>Indexsystem und Produktgruppe müssen ausgewiesen werden</x:v>
      </x:c>
      <x:c r="M588" s="14" t="str">
        <x:v>FR-/EU-Reparierbarkeitssystem je Produktgruppe</x:v>
      </x:c>
      <x:c r="N588" s="14" t="str">
        <x:v>Optional/Nein</x:v>
      </x:c>
      <x:c r="O588" s="14" t="str">
        <x:v>EU/FR Index</x:v>
      </x:c>
      <x:c r="P588" s="14" t="str">
        <x:v>ISO 14067/14040/44 (LCA/PCF), PEF/EF 3.1, EU Reparierbarkeitsindex</x:v>
      </x:c>
      <x:c r="Q588" s="14" t="str">
        <x:v>Produktspezifischer Rechts-/Indexrahmen; System und Produktgruppe explizit auswählen</x:v>
      </x:c>
      <x:c r="R588" s="14" t="str">
        <x:v>Teilbelegt – produktspezifisch zu validieren</x:v>
      </x:c>
      <x:c r="S588" s="14" t="str">
        <x:v>FR-REPAIR; EU-REPAIR; EU-ESPR</x:v>
      </x:c>
      <x:c r="T588" s="14" t="str">
        <x:v>J61 Telekom; J62 IT; RZ</x:v>
      </x:c>
      <x:c r="U588" s="14" t="str">
        <x:v>Legacy / nicht explizit versioniert</x:v>
      </x:c>
      <x:c r="V588" s="51" t="str"/>
      <x:c r="W588" s="14" t="str">
        <x:v>Migration auf NACE Rev. 2.1 erforderlich</x:v>
      </x:c>
      <x:c r="X588" s="14" t="str">
        <x:v>Produkt/Funktionseinheit; Lebenszyklusgrenze mindestens cradle-to-gate, bei Nutzungs-/End-of-Life-Relevanz cradle-to-grave</x:v>
      </x:c>
      <x:c r="Y588" s="14" t="str">
        <x:v>EU/FR‑Reparierbarkeitsindex: Zerlegbarkeit, Ersatzteile, Doku.</x:v>
      </x:c>
      <x:c r="Z588" s="14" t="str">
        <x:v>Primärdaten oder qualitätsgesicherte Sekundärdaten; Methode, Zeitraum und Systemgrenze dokumentieren</x:v>
      </x:c>
      <x:c r="AA588" s="14" t="str">
        <x:v>Limited Assurance; bei materieller Steuerwirkung risikobasiert vertiefen</x:v>
      </x:c>
      <x:c r="AB588" s="14" t="str">
        <x:v>Produktspezifische bzw. lokale Prüfung erforderlich</x:v>
      </x:c>
      <x:c r="AC588" s="14" t="str">
        <x:v>Hoch</x:v>
      </x:c>
      <x:c r="AD588" s="14" t="str">
        <x:v>Indexsystem, Produktgruppe und Rechtsstand festlegen. Französischer Index und EU-Score sind nicht pauschal austauschbar.</x:v>
      </x:c>
      <x:c r="AE588" s="14" t="str">
        <x:v>v1.4</x:v>
      </x:c>
      <x:c r="AF588" s="52" t="str">
        <x:v>2026-08-16</x:v>
      </x:c>
      <x:c r="AG588" s="52"/>
    </x:row>
    <x:row r="589" ht="42" customHeight="1">
      <x:c r="A589" s="14" t="str">
        <x:v>WOK-P-136</x:v>
      </x:c>
      <x:c r="B589" s="14" t="str">
        <x:v>SDG+ – Kooperationen/Systemwandel</x:v>
      </x:c>
      <x:c r="C589" s="14" t="str">
        <x:v>—</x:v>
      </x:c>
      <x:c r="D589" s="14" t="str">
        <x:v>Interoperabilität/Standards</x:v>
      </x:c>
      <x:c r="E589" s="14" t="str">
        <x:v>Interoperabilität/Standards – Rücknahme/Recycling</x:v>
      </x:c>
      <x:c r="F589" s="14" t="str">
        <x:v>Rücknahme‑/Recyclingquote</x:v>
      </x:c>
      <x:c r="G589" s="14" t="str">
        <x:v>%</x:v>
      </x:c>
      <x:c r="H589" s="14" t="str">
        <x:v>higher_is_better</x:v>
      </x:c>
      <x:c r="I589" s="14" t="str">
        <x:v>R22</x:v>
      </x:c>
      <x:c r="J589" s="14" t="str">
        <x:v>≥70:+3; 50–69:+2; 30–49:0; 15–29:‑2; &lt;15:‑3</x:v>
      </x:c>
      <x:c r="K589" s="14" t="str">
        <x:v>Feste WÖk-Kalibrierung</x:v>
      </x:c>
      <x:c r="L589" s="14" t="str">
        <x:v>Arbeitskalibrierung – fachlich zu validieren</x:v>
      </x:c>
      <x:c r="M589" s="14" t="str">
        <x:v>WÖk-interne Klassenlogik</x:v>
      </x:c>
      <x:c r="N589" s="14" t="str">
        <x:v>Optional/Nein</x:v>
      </x:c>
      <x:c r="O589" s="14" t="str">
        <x:v>ESRS E5; GRI 306/301; WEEE/VerpackG</x:v>
      </x:c>
      <x:c r="P589" s="14" t="str">
        <x:v>ESRS E5, GRI 306, WEEE/VerpackG</x:v>
      </x:c>
      <x:c r="Q589" s="14" t="str">
        <x:v>Mess-, Berichts- oder Managementrahmen; Schwellen sind grundsätzlich WÖk-Kalibrierungen</x:v>
      </x:c>
      <x:c r="R589" s="14" t="str">
        <x:v>Messgrundlage belegt; Schwellenkalibrierung offen</x:v>
      </x:c>
      <x:c r="S589" s="14" t="str">
        <x:v>EU-ESRS; GRI; EU-WEEE; DE-VERPACKG; EU-PPWR</x:v>
      </x:c>
      <x:c r="T589" s="14" t="str">
        <x:v>J61 Telekom; J62 IT; RZ</x:v>
      </x:c>
      <x:c r="U589" s="14" t="str">
        <x:v>Legacy / nicht explizit versioniert</x:v>
      </x:c>
      <x:c r="V589" s="51" t="str"/>
      <x:c r="W589" s="14" t="str">
        <x:v>Migration auf NACE Rev. 2.1 erforderlich</x:v>
      </x:c>
      <x:c r="X589" s="14" t="str">
        <x:v>Produkt/Funktionseinheit; Lebenszyklusgrenze mindestens cradle-to-gate, bei Nutzungs-/End-of-Life-Relevanz cradle-to-grave</x:v>
      </x:c>
      <x:c r="Y589" s="14" t="str">
        <x:v>Siehe Quelle: Definition gemäß Standard (ESRS/GRI/Taxonomie/ISO).</x:v>
      </x:c>
      <x:c r="Z589" s="14" t="str">
        <x:v>Primärdaten bevorzugt; Sekundärdaten nur transparent und versioniert; Methode und Systemgrenze dokumentieren</x:v>
      </x:c>
      <x:c r="AA589" s="14" t="str">
        <x:v>Limited Assurance; risikobasiert höhere Prüftiefe</x:v>
      </x:c>
      <x:c r="AB589" s="14" t="str">
        <x:v>Strukturell nutzbar; Schwellen fachlich zu validieren</x:v>
      </x:c>
      <x:c r="AC589" s="14" t="str">
        <x:v>Mittel</x:v>
      </x:c>
      <x:c r="AD589" s="14" t="str">
        <x:v>Vollständige fünfstufige numerische Regel.</x:v>
      </x:c>
      <x:c r="AE589" s="14" t="str">
        <x:v>v1.4</x:v>
      </x:c>
      <x:c r="AF589" s="52" t="str">
        <x:v>2026-08-16</x:v>
      </x:c>
      <x:c r="AG589" s="52"/>
    </x:row>
    <x:row r="590" ht="42" customHeight="1">
      <x:c r="A590" s="14" t="str">
        <x:v>WOK-SYS-203</x:v>
      </x:c>
      <x:c r="B590" s="14" t="str">
        <x:v>SDG+ – Kultur</x:v>
      </x:c>
      <x:c r="C590" s="14" t="str">
        <x:v>—</x:v>
      </x:c>
      <x:c r="D590" s="14" t="str">
        <x:v>Kulturelle Teilhabe</x:v>
      </x:c>
      <x:c r="E590" s="14" t="str">
        <x:v>Kulturelle Teilhabe – Index</x:v>
      </x:c>
      <x:c r="F590" s="14" t="str">
        <x:v>umsatzgewichteter Index (z. B. Demokratie/Rule of Law)</x:v>
      </x:c>
      <x:c r="G590" s="14" t="str">
        <x:v>0–1</x:v>
      </x:c>
      <x:c r="H590" s="14" t="str">
        <x:v>higher_is_better</x:v>
      </x:c>
      <x:c r="I590" s="14" t="str">
        <x:v>R15</x:v>
      </x:c>
      <x:c r="J590" s="14" t="str">
        <x:v>≥0,8:+3; 0,7–0,79:+2; 0,6–0,69:0; 0,5–0,59:‑2; &lt;0,5:‑3</x:v>
      </x:c>
      <x:c r="K590" s="14" t="str">
        <x:v>Feste WÖk-Kalibrierung</x:v>
      </x:c>
      <x:c r="L590" s="14" t="str">
        <x:v>Arbeitskalibrierung – fachlich zu validieren</x:v>
      </x:c>
      <x:c r="M590" s="14" t="str">
        <x:v>WÖk-interne Klassenlogik</x:v>
      </x:c>
      <x:c r="N590" s="14" t="str">
        <x:v>Optional/Nein</x:v>
      </x:c>
      <x:c r="O590" s="14" t="str">
        <x:v>SROI/SDG17</x:v>
      </x:c>
      <x:c r="P590" s="14" t="str">
        <x:v>SDG 16/17, WJP, V‑Dem</x:v>
      </x:c>
      <x:c r="Q590" s="14" t="str">
        <x:v>Methodischer Platzhalter; konkrete Fach- und Primärdatenquelle erforderlich</x:v>
      </x:c>
      <x:c r="R590" s="14" t="str">
        <x:v>Platzhalter – fachliche Operationalisierung offen</x:v>
      </x:c>
      <x:c r="S590" s="14" t="str">
        <x:v>INT-WOEK-TSROI; SVI-SROI; UN-SDG</x:v>
      </x:c>
      <x:c r="T590" s="14" t="str">
        <x:v>G47 Handel; K Versicherungen; M72 F&amp;E</x:v>
      </x:c>
      <x:c r="U590" s="14" t="str">
        <x:v>Legacy / nicht explizit versioniert</x:v>
      </x:c>
      <x:c r="V590" s="51" t="str"/>
      <x:c r="W590" s="14" t="str">
        <x:v>Migration auf NACE Rev. 2.1 erforderlich</x:v>
      </x:c>
      <x:c r="X590" s="14" t="str">
        <x:v>Programm/Portfolio/Systemraum; Empfängergruppe, Region und Zeitraum explizit definieren</x:v>
      </x:c>
      <x:c r="Y590" s="14" t="str">
        <x:v>Siehe Quelle: Definition gemäß Standard (ESRS/GRI/Taxonomie/ISO).</x:v>
      </x:c>
      <x:c r="Z590" s="14" t="str">
        <x:v>Primärdaten bevorzugt; Sekundärdaten nur transparent und versioniert; Methode und Systemgrenze dokumentieren</x:v>
      </x:c>
      <x:c r="AA590" s="14" t="str">
        <x:v>Limited Assurance; risikobasiert höhere Prüftiefe</x:v>
      </x:c>
      <x:c r="AB590" s="14" t="str">
        <x:v>Fachlogik nicht abschließend operationalisiert</x:v>
      </x:c>
      <x:c r="AC590" s="14" t="str">
        <x:v>Kritisch</x:v>
      </x:c>
      <x:c r="AD590" s="14" t="str">
        <x:v>SROI/SDG 17 ist keine hinreichend konkrete Mess- oder Schwellenquelle. Vollständige fünfstufige numerische Regel.</x:v>
      </x:c>
      <x:c r="AE590" s="14" t="str">
        <x:v>v1.4</x:v>
      </x:c>
      <x:c r="AF590" s="52" t="str">
        <x:v>2026-08-16</x:v>
      </x:c>
      <x:c r="AG590" s="52"/>
    </x:row>
    <x:row r="591" ht="42" customHeight="1">
      <x:c r="A591" s="14" t="str">
        <x:v>WOK-SYS-204</x:v>
      </x:c>
      <x:c r="B591" s="14" t="str">
        <x:v>SDG+ – Kultur</x:v>
      </x:c>
      <x:c r="C591" s="14" t="str">
        <x:v>—</x:v>
      </x:c>
      <x:c r="D591" s="14" t="str">
        <x:v>Kulturelle Teilhabe</x:v>
      </x:c>
      <x:c r="E591" s="14" t="str">
        <x:v>Kulturelle Teilhabe – Exposure</x:v>
      </x:c>
      <x:c r="F591" s="14" t="str">
        <x:v>Umsatz in Hochrisikoländern</x:v>
      </x:c>
      <x:c r="G591" s="14" t="str">
        <x:v>%</x:v>
      </x:c>
      <x:c r="H591" s="14" t="str">
        <x:v>lower_is_better</x:v>
      </x:c>
      <x:c r="I591" s="14" t="str">
        <x:v>R13</x:v>
      </x:c>
      <x:c r="J591" s="14" t="str">
        <x:v>≤5:+3; 6–10:+2; 11–20:0; 21–30:‑2; &gt;30:‑3</x:v>
      </x:c>
      <x:c r="K591" s="14" t="str">
        <x:v>Feste WÖk-Kalibrierung</x:v>
      </x:c>
      <x:c r="L591" s="14" t="str">
        <x:v>Arbeitskalibrierung – fachlich zu validieren</x:v>
      </x:c>
      <x:c r="M591" s="14" t="str">
        <x:v>WÖk-interne Klassenlogik</x:v>
      </x:c>
      <x:c r="N591" s="14" t="str">
        <x:v>Optional/Nein</x:v>
      </x:c>
      <x:c r="O591" s="14" t="str">
        <x:v>SROI/SDG17</x:v>
      </x:c>
      <x:c r="P591" s="14" t="str">
        <x:v>SROI/SDG17</x:v>
      </x:c>
      <x:c r="Q591" s="14" t="str">
        <x:v>Methodischer Platzhalter; konkrete Fach- und Primärdatenquelle erforderlich</x:v>
      </x:c>
      <x:c r="R591" s="14" t="str">
        <x:v>Platzhalter – fachliche Operationalisierung offen</x:v>
      </x:c>
      <x:c r="S591" s="14" t="str">
        <x:v>INT-WOEK-TSROI; SVI-SROI; UN-SDG</x:v>
      </x:c>
      <x:c r="T591" s="14" t="str">
        <x:v>G47 Handel; K Versicherungen; M72 F&amp;E</x:v>
      </x:c>
      <x:c r="U591" s="14" t="str">
        <x:v>Legacy / nicht explizit versioniert</x:v>
      </x:c>
      <x:c r="V591" s="51" t="str"/>
      <x:c r="W591" s="14" t="str">
        <x:v>Migration auf NACE Rev. 2.1 erforderlich</x:v>
      </x:c>
      <x:c r="X591" s="14" t="str">
        <x:v>Programm/Portfolio/Systemraum; Empfängergruppe, Region und Zeitraum explizit definieren</x:v>
      </x:c>
      <x:c r="Y591" s="14" t="str">
        <x:v>Siehe Quelle: Definition gemäß Standard (ESRS/GRI/Taxonomie/ISO).</x:v>
      </x:c>
      <x:c r="Z591" s="14" t="str">
        <x:v>Primärdaten bevorzugt; Sekundärdaten nur transparent und versioniert; Methode und Systemgrenze dokumentieren</x:v>
      </x:c>
      <x:c r="AA591" s="14" t="str">
        <x:v>Limited Assurance; risikobasiert höhere Prüftiefe</x:v>
      </x:c>
      <x:c r="AB591" s="14" t="str">
        <x:v>Fachlogik nicht abschließend operationalisiert</x:v>
      </x:c>
      <x:c r="AC591" s="14" t="str">
        <x:v>Kritisch</x:v>
      </x:c>
      <x:c r="AD591" s="14" t="str">
        <x:v>SROI/SDG 17 ist keine hinreichend konkrete Mess- oder Schwellenquelle. Vollständige fünfstufige numerische Regel.</x:v>
      </x:c>
      <x:c r="AE591" s="14" t="str">
        <x:v>v1.4</x:v>
      </x:c>
      <x:c r="AF591" s="52" t="str">
        <x:v>2026-08-16</x:v>
      </x:c>
      <x:c r="AG591" s="52"/>
    </x:row>
    <x:row r="592" ht="42" customHeight="1">
      <x:c r="A592" s="14" t="str">
        <x:v>WOK-SYS-205</x:v>
      </x:c>
      <x:c r="B592" s="14" t="str">
        <x:v>SDG+ – Kultur</x:v>
      </x:c>
      <x:c r="C592" s="14" t="str">
        <x:v>—</x:v>
      </x:c>
      <x:c r="D592" s="14" t="str">
        <x:v>Kulturelle Teilhabe</x:v>
      </x:c>
      <x:c r="E592" s="14" t="str">
        <x:v>Kulturelle Teilhabe – Kooperationen</x:v>
      </x:c>
      <x:c r="F592" s="14" t="str">
        <x:v>aktive, evaluierte Partnerschaften/Jahr</x:v>
      </x:c>
      <x:c r="G592" s="14" t="str">
        <x:v>#/Jahr</x:v>
      </x:c>
      <x:c r="H592" s="14" t="str">
        <x:v>higher_is_better</x:v>
      </x:c>
      <x:c r="I592" s="14" t="str">
        <x:v>R20</x:v>
      </x:c>
      <x:c r="J592" s="14" t="str">
        <x:v>≥5:+3; 3–4:+2; 1–2:0; 0:‑2</x:v>
      </x:c>
      <x:c r="K592" s="14" t="str">
        <x:v>Feste WÖk-Grobkalibrierung</x:v>
      </x:c>
      <x:c r="L592" s="14" t="str">
        <x:v>Klasse −3 nur für negative/unzulässige Werte ergänzt</x:v>
      </x:c>
      <x:c r="M592" s="14" t="str">
        <x:v>WÖk-interne Grobkalibrierung</x:v>
      </x:c>
      <x:c r="N592" s="14" t="str">
        <x:v>Optional/Nein</x:v>
      </x:c>
      <x:c r="O592" s="14" t="str">
        <x:v>SROI/SDG17</x:v>
      </x:c>
      <x:c r="P592" s="14" t="str">
        <x:v>SDG 16/17, WJP, V‑Dem</x:v>
      </x:c>
      <x:c r="Q592" s="14" t="str">
        <x:v>Methodischer Platzhalter; konkrete Fach- und Primärdatenquelle erforderlich</x:v>
      </x:c>
      <x:c r="R592" s="14" t="str">
        <x:v>Platzhalter – fachliche Operationalisierung offen</x:v>
      </x:c>
      <x:c r="S592" s="14" t="str">
        <x:v>INT-WOEK-TSROI; SVI-SROI; UN-SDG</x:v>
      </x:c>
      <x:c r="T592" s="14" t="str">
        <x:v>G47 Handel; K Versicherungen; M72 F&amp;E</x:v>
      </x:c>
      <x:c r="U592" s="14" t="str">
        <x:v>Legacy / nicht explizit versioniert</x:v>
      </x:c>
      <x:c r="V592" s="51" t="str"/>
      <x:c r="W592" s="14" t="str">
        <x:v>Migration auf NACE Rev. 2.1 erforderlich</x:v>
      </x:c>
      <x:c r="X592" s="14" t="str">
        <x:v>Programm/Portfolio/Systemraum; Empfängergruppe, Region und Zeitraum explizit definieren</x:v>
      </x:c>
      <x:c r="Y592" s="14" t="str">
        <x:v>Siehe Quelle: Definition gemäß Standard (ESRS/GRI/Taxonomie/ISO).</x:v>
      </x:c>
      <x:c r="Z592" s="14" t="str">
        <x:v>Primärdaten bevorzugt; Sekundärdaten nur transparent und versioniert; Methode und Systemgrenze dokumentieren</x:v>
      </x:c>
      <x:c r="AA592" s="14" t="str">
        <x:v>Limited Assurance; risikobasiert höhere Prüftiefe</x:v>
      </x:c>
      <x:c r="AB592" s="14" t="str">
        <x:v>Fachlogik nicht abschließend operationalisiert</x:v>
      </x:c>
      <x:c r="AC592" s="14" t="str">
        <x:v>Kritisch</x:v>
      </x:c>
      <x:c r="AD592" s="14" t="str">
        <x:v>SROI/SDG 17 ist keine hinreichend konkrete Mess- oder Schwellenquelle. Für sachlogisch nichtnegative Zählwerte ist 0 die schlechteste reguläre Klasse (−2).</x:v>
      </x:c>
      <x:c r="AE592" s="14" t="str">
        <x:v>v1.4</x:v>
      </x:c>
      <x:c r="AF592" s="52" t="str">
        <x:v>2026-08-16</x:v>
      </x:c>
      <x:c r="AG592" s="52"/>
    </x:row>
    <x:row r="593" ht="42" customHeight="1">
      <x:c r="A593" s="14" t="str">
        <x:v>WOK-SYS-206</x:v>
      </x:c>
      <x:c r="B593" s="14" t="str">
        <x:v>SDG+ – Kultur</x:v>
      </x:c>
      <x:c r="C593" s="14" t="str">
        <x:v>—</x:v>
      </x:c>
      <x:c r="D593" s="14" t="str">
        <x:v>Vielfalt im Programm</x:v>
      </x:c>
      <x:c r="E593" s="14" t="str">
        <x:v>Vielfalt im Programm – Index</x:v>
      </x:c>
      <x:c r="F593" s="14" t="str">
        <x:v>umsatzgewichteter Index (z. B. Demokratie/Rule of Law)</x:v>
      </x:c>
      <x:c r="G593" s="14" t="str">
        <x:v>0–1</x:v>
      </x:c>
      <x:c r="H593" s="14" t="str">
        <x:v>higher_is_better</x:v>
      </x:c>
      <x:c r="I593" s="14" t="str">
        <x:v>R15</x:v>
      </x:c>
      <x:c r="J593" s="14" t="str">
        <x:v>≥0,8:+3; 0,7–0,79:+2; 0,6–0,69:0; 0,5–0,59:‑2; &lt;0,5:‑3</x:v>
      </x:c>
      <x:c r="K593" s="14" t="str">
        <x:v>Feste WÖk-Kalibrierung</x:v>
      </x:c>
      <x:c r="L593" s="14" t="str">
        <x:v>Arbeitskalibrierung – fachlich zu validieren</x:v>
      </x:c>
      <x:c r="M593" s="14" t="str">
        <x:v>WÖk-interne Klassenlogik</x:v>
      </x:c>
      <x:c r="N593" s="14" t="str">
        <x:v>Optional/Nein</x:v>
      </x:c>
      <x:c r="O593" s="14" t="str">
        <x:v>SROI/SDG17</x:v>
      </x:c>
      <x:c r="P593" s="14" t="str">
        <x:v>SDG 16/17, WJP, V‑Dem</x:v>
      </x:c>
      <x:c r="Q593" s="14" t="str">
        <x:v>Methodischer Platzhalter; konkrete Fach- und Primärdatenquelle erforderlich</x:v>
      </x:c>
      <x:c r="R593" s="14" t="str">
        <x:v>Platzhalter – fachliche Operationalisierung offen</x:v>
      </x:c>
      <x:c r="S593" s="14" t="str">
        <x:v>INT-WOEK-TSROI; SVI-SROI; UN-SDG</x:v>
      </x:c>
      <x:c r="T593" s="14" t="str">
        <x:v>G47 Handel; K Versicherungen; M72 F&amp;E</x:v>
      </x:c>
      <x:c r="U593" s="14" t="str">
        <x:v>Legacy / nicht explizit versioniert</x:v>
      </x:c>
      <x:c r="V593" s="51" t="str"/>
      <x:c r="W593" s="14" t="str">
        <x:v>Migration auf NACE Rev. 2.1 erforderlich</x:v>
      </x:c>
      <x:c r="X593" s="14" t="str">
        <x:v>Programm/Portfolio/Systemraum; Empfängergruppe, Region und Zeitraum explizit definieren</x:v>
      </x:c>
      <x:c r="Y593" s="14" t="str">
        <x:v>Siehe Quelle: Definition gemäß Standard (ESRS/GRI/Taxonomie/ISO).</x:v>
      </x:c>
      <x:c r="Z593" s="14" t="str">
        <x:v>Primärdaten bevorzugt; Sekundärdaten nur transparent und versioniert; Methode und Systemgrenze dokumentieren</x:v>
      </x:c>
      <x:c r="AA593" s="14" t="str">
        <x:v>Limited Assurance; risikobasiert höhere Prüftiefe</x:v>
      </x:c>
      <x:c r="AB593" s="14" t="str">
        <x:v>Fachlogik nicht abschließend operationalisiert</x:v>
      </x:c>
      <x:c r="AC593" s="14" t="str">
        <x:v>Kritisch</x:v>
      </x:c>
      <x:c r="AD593" s="14" t="str">
        <x:v>SROI/SDG 17 ist keine hinreichend konkrete Mess- oder Schwellenquelle. Vollständige fünfstufige numerische Regel.</x:v>
      </x:c>
      <x:c r="AE593" s="14" t="str">
        <x:v>v1.4</x:v>
      </x:c>
      <x:c r="AF593" s="52" t="str">
        <x:v>2026-08-16</x:v>
      </x:c>
      <x:c r="AG593" s="52"/>
    </x:row>
    <x:row r="594" ht="42" customHeight="1">
      <x:c r="A594" s="14" t="str">
        <x:v>WOK-SYS-207</x:v>
      </x:c>
      <x:c r="B594" s="14" t="str">
        <x:v>SDG+ – Kultur</x:v>
      </x:c>
      <x:c r="C594" s="14" t="str">
        <x:v>—</x:v>
      </x:c>
      <x:c r="D594" s="14" t="str">
        <x:v>Vielfalt im Programm</x:v>
      </x:c>
      <x:c r="E594" s="14" t="str">
        <x:v>Vielfalt im Programm – Exposure</x:v>
      </x:c>
      <x:c r="F594" s="14" t="str">
        <x:v>Umsatz in Hochrisikoländern</x:v>
      </x:c>
      <x:c r="G594" s="14" t="str">
        <x:v>%</x:v>
      </x:c>
      <x:c r="H594" s="14" t="str">
        <x:v>lower_is_better</x:v>
      </x:c>
      <x:c r="I594" s="14" t="str">
        <x:v>R13</x:v>
      </x:c>
      <x:c r="J594" s="14" t="str">
        <x:v>≤5:+3; 6–10:+2; 11–20:0; 21–30:‑2; &gt;30:‑3</x:v>
      </x:c>
      <x:c r="K594" s="14" t="str">
        <x:v>Feste WÖk-Kalibrierung</x:v>
      </x:c>
      <x:c r="L594" s="14" t="str">
        <x:v>Arbeitskalibrierung – fachlich zu validieren</x:v>
      </x:c>
      <x:c r="M594" s="14" t="str">
        <x:v>WÖk-interne Klassenlogik</x:v>
      </x:c>
      <x:c r="N594" s="14" t="str">
        <x:v>Optional/Nein</x:v>
      </x:c>
      <x:c r="O594" s="14" t="str">
        <x:v>SROI/SDG17</x:v>
      </x:c>
      <x:c r="P594" s="14" t="str">
        <x:v>SROI/SDG17</x:v>
      </x:c>
      <x:c r="Q594" s="14" t="str">
        <x:v>Methodischer Platzhalter; konkrete Fach- und Primärdatenquelle erforderlich</x:v>
      </x:c>
      <x:c r="R594" s="14" t="str">
        <x:v>Platzhalter – fachliche Operationalisierung offen</x:v>
      </x:c>
      <x:c r="S594" s="14" t="str">
        <x:v>INT-WOEK-TSROI; SVI-SROI; UN-SDG</x:v>
      </x:c>
      <x:c r="T594" s="14" t="str">
        <x:v>G47 Handel; K Versicherungen; M72 F&amp;E</x:v>
      </x:c>
      <x:c r="U594" s="14" t="str">
        <x:v>Legacy / nicht explizit versioniert</x:v>
      </x:c>
      <x:c r="V594" s="51" t="str"/>
      <x:c r="W594" s="14" t="str">
        <x:v>Migration auf NACE Rev. 2.1 erforderlich</x:v>
      </x:c>
      <x:c r="X594" s="14" t="str">
        <x:v>Programm/Portfolio/Systemraum; Empfängergruppe, Region und Zeitraum explizit definieren</x:v>
      </x:c>
      <x:c r="Y594" s="14" t="str">
        <x:v>Siehe Quelle: Definition gemäß Standard (ESRS/GRI/Taxonomie/ISO).</x:v>
      </x:c>
      <x:c r="Z594" s="14" t="str">
        <x:v>Primärdaten bevorzugt; Sekundärdaten nur transparent und versioniert; Methode und Systemgrenze dokumentieren</x:v>
      </x:c>
      <x:c r="AA594" s="14" t="str">
        <x:v>Limited Assurance; risikobasiert höhere Prüftiefe</x:v>
      </x:c>
      <x:c r="AB594" s="14" t="str">
        <x:v>Fachlogik nicht abschließend operationalisiert</x:v>
      </x:c>
      <x:c r="AC594" s="14" t="str">
        <x:v>Kritisch</x:v>
      </x:c>
      <x:c r="AD594" s="14" t="str">
        <x:v>SROI/SDG 17 ist keine hinreichend konkrete Mess- oder Schwellenquelle. Vollständige fünfstufige numerische Regel.</x:v>
      </x:c>
      <x:c r="AE594" s="14" t="str">
        <x:v>v1.4</x:v>
      </x:c>
      <x:c r="AF594" s="52" t="str">
        <x:v>2026-08-16</x:v>
      </x:c>
      <x:c r="AG594" s="52"/>
    </x:row>
    <x:row r="595" ht="42" customHeight="1">
      <x:c r="A595" s="14" t="str">
        <x:v>WOK-SYS-208</x:v>
      </x:c>
      <x:c r="B595" s="14" t="str">
        <x:v>SDG+ – Kultur</x:v>
      </x:c>
      <x:c r="C595" s="14" t="str">
        <x:v>—</x:v>
      </x:c>
      <x:c r="D595" s="14" t="str">
        <x:v>Vielfalt im Programm</x:v>
      </x:c>
      <x:c r="E595" s="14" t="str">
        <x:v>Vielfalt im Programm – Kooperationen</x:v>
      </x:c>
      <x:c r="F595" s="14" t="str">
        <x:v>aktive, evaluierte Partnerschaften/Jahr</x:v>
      </x:c>
      <x:c r="G595" s="14" t="str">
        <x:v>#/Jahr</x:v>
      </x:c>
      <x:c r="H595" s="14" t="str">
        <x:v>higher_is_better</x:v>
      </x:c>
      <x:c r="I595" s="14" t="str">
        <x:v>R20</x:v>
      </x:c>
      <x:c r="J595" s="14" t="str">
        <x:v>≥5:+3; 3–4:+2; 1–2:0; 0:‑2</x:v>
      </x:c>
      <x:c r="K595" s="14" t="str">
        <x:v>Feste WÖk-Grobkalibrierung</x:v>
      </x:c>
      <x:c r="L595" s="14" t="str">
        <x:v>Klasse −3 nur für negative/unzulässige Werte ergänzt</x:v>
      </x:c>
      <x:c r="M595" s="14" t="str">
        <x:v>WÖk-interne Grobkalibrierung</x:v>
      </x:c>
      <x:c r="N595" s="14" t="str">
        <x:v>Optional/Nein</x:v>
      </x:c>
      <x:c r="O595" s="14" t="str">
        <x:v>SROI/SDG17</x:v>
      </x:c>
      <x:c r="P595" s="14" t="str">
        <x:v>SDG 16/17, WJP, V‑Dem</x:v>
      </x:c>
      <x:c r="Q595" s="14" t="str">
        <x:v>Methodischer Platzhalter; konkrete Fach- und Primärdatenquelle erforderlich</x:v>
      </x:c>
      <x:c r="R595" s="14" t="str">
        <x:v>Platzhalter – fachliche Operationalisierung offen</x:v>
      </x:c>
      <x:c r="S595" s="14" t="str">
        <x:v>INT-WOEK-TSROI; SVI-SROI; UN-SDG</x:v>
      </x:c>
      <x:c r="T595" s="14" t="str">
        <x:v>G47 Handel; K Versicherungen; M72 F&amp;E</x:v>
      </x:c>
      <x:c r="U595" s="14" t="str">
        <x:v>Legacy / nicht explizit versioniert</x:v>
      </x:c>
      <x:c r="V595" s="51" t="str"/>
      <x:c r="W595" s="14" t="str">
        <x:v>Migration auf NACE Rev. 2.1 erforderlich</x:v>
      </x:c>
      <x:c r="X595" s="14" t="str">
        <x:v>Programm/Portfolio/Systemraum; Empfängergruppe, Region und Zeitraum explizit definieren</x:v>
      </x:c>
      <x:c r="Y595" s="14" t="str">
        <x:v>Siehe Quelle: Definition gemäß Standard (ESRS/GRI/Taxonomie/ISO).</x:v>
      </x:c>
      <x:c r="Z595" s="14" t="str">
        <x:v>Primärdaten bevorzugt; Sekundärdaten nur transparent und versioniert; Methode und Systemgrenze dokumentieren</x:v>
      </x:c>
      <x:c r="AA595" s="14" t="str">
        <x:v>Limited Assurance; risikobasiert höhere Prüftiefe</x:v>
      </x:c>
      <x:c r="AB595" s="14" t="str">
        <x:v>Fachlogik nicht abschließend operationalisiert</x:v>
      </x:c>
      <x:c r="AC595" s="14" t="str">
        <x:v>Kritisch</x:v>
      </x:c>
      <x:c r="AD595" s="14" t="str">
        <x:v>SROI/SDG 17 ist keine hinreichend konkrete Mess- oder Schwellenquelle. Für sachlogisch nichtnegative Zählwerte ist 0 die schlechteste reguläre Klasse (−2).</x:v>
      </x:c>
      <x:c r="AE595" s="14" t="str">
        <x:v>v1.4</x:v>
      </x:c>
      <x:c r="AF595" s="52" t="str">
        <x:v>2026-08-16</x:v>
      </x:c>
      <x:c r="AG595" s="52"/>
    </x:row>
    <x:row r="596" ht="42" customHeight="1">
      <x:c r="A596" s="14" t="str">
        <x:v>WOK-G-239</x:v>
      </x:c>
      <x:c r="B596" s="14" t="str">
        <x:v>SDG+ – Kultur</x:v>
      </x:c>
      <x:c r="C596" s="14" t="str">
        <x:v>—</x:v>
      </x:c>
      <x:c r="D596" s="14" t="str">
        <x:v>Governance Kulturinstitutionen</x:v>
      </x:c>
      <x:c r="E596" s="14" t="str">
        <x:v>Governance Kulturinstitutionen – Antikorruption</x:v>
      </x:c>
      <x:c r="F596" s="14" t="str">
        <x:v>Bestätigte Fälle/1.000 FTE</x:v>
      </x:c>
      <x:c r="G596" s="14" t="str">
        <x:v>Fälle/1.000 FTE</x:v>
      </x:c>
      <x:c r="H596" s="14" t="str">
        <x:v>lower_is_better</x:v>
      </x:c>
      <x:c r="I596" s="14" t="str">
        <x:v>R01</x:v>
      </x:c>
      <x:c r="J596" s="14" t="str">
        <x:v>0:+3; ≤0,2:+2; ≤0,5:0; ≤1:‑2; &gt;1:‑3</x:v>
      </x:c>
      <x:c r="K596" s="14" t="str">
        <x:v>Feste WÖk-Kalibrierung</x:v>
      </x:c>
      <x:c r="L596" s="14" t="str">
        <x:v>Arbeitskalibrierung – fachlich zu validieren</x:v>
      </x:c>
      <x:c r="M596" s="14" t="str">
        <x:v>WÖk-interne Klassenlogik</x:v>
      </x:c>
      <x:c r="N596" s="14" t="str">
        <x:v>Optional/Nein</x:v>
      </x:c>
      <x:c r="O596" s="14" t="str">
        <x:v>ESRS G1; GRI 205/207</x:v>
      </x:c>
      <x:c r="P596" s="14" t="str">
        <x:v>ESRS G1, GRI 205/207, OECD Anti‑Bribery</x:v>
      </x:c>
      <x:c r="Q596" s="14" t="str">
        <x:v>Mess-, Berichts- oder Managementrahmen; Schwellen sind grundsätzlich WÖk-Kalibrierungen</x:v>
      </x:c>
      <x:c r="R596" s="14" t="str">
        <x:v>Messgrundlage belegt; Schwellenkalibrierung offen</x:v>
      </x:c>
      <x:c r="S596" s="14" t="str">
        <x:v>EU-ESRS; GRI; OECD-AB</x:v>
      </x:c>
      <x:c r="T596" s="14" t="str">
        <x:v>G47 Handel; K Versicherungen; M72 F&amp;E</x:v>
      </x:c>
      <x:c r="U596" s="14" t="str">
        <x:v>Legacy / nicht explizit versioniert</x:v>
      </x:c>
      <x:c r="V596" s="51" t="str"/>
      <x:c r="W596" s="14" t="str">
        <x:v>Migration auf NACE Rev. 2.1 erforderlich</x:v>
      </x:c>
      <x:c r="X596" s="14" t="str">
        <x:v>Organisation/Governance; konsolidierter Kreis und relevante Rechtseinheiten</x:v>
      </x:c>
      <x:c r="Y596" s="14" t="str">
        <x:v>Siehe Quelle: Definition gemäß Standard (ESRS/GRI/Taxonomie/ISO).</x:v>
      </x:c>
      <x:c r="Z596" s="14" t="str">
        <x:v>Primärdaten bevorzugt; Sekundärdaten nur transparent und versioniert; Methode und Systemgrenze dokumentieren</x:v>
      </x:c>
      <x:c r="AA596" s="14" t="str">
        <x:v>Limited Assurance; risikobasiert höhere Prüftiefe</x:v>
      </x:c>
      <x:c r="AB596" s="14" t="str">
        <x:v>Strukturell nutzbar; Schwellen fachlich zu validieren</x:v>
      </x:c>
      <x:c r="AC596" s="14" t="str">
        <x:v>Mittel</x:v>
      </x:c>
      <x:c r="AD596" s="14" t="str">
        <x:v>Vollständige fünfstufige numerische Regel.</x:v>
      </x:c>
      <x:c r="AE596" s="14" t="str">
        <x:v>v1.4</x:v>
      </x:c>
      <x:c r="AF596" s="52" t="str">
        <x:v>2026-08-16</x:v>
      </x:c>
      <x:c r="AG596" s="52"/>
    </x:row>
    <x:row r="597" ht="42" customHeight="1">
      <x:c r="A597" s="14" t="str">
        <x:v>WOK-G-240</x:v>
      </x:c>
      <x:c r="B597" s="14" t="str">
        <x:v>SDG+ – Kultur</x:v>
      </x:c>
      <x:c r="C597" s="14" t="str">
        <x:v>—</x:v>
      </x:c>
      <x:c r="D597" s="14" t="str">
        <x:v>Governance Kulturinstitutionen</x:v>
      </x:c>
      <x:c r="E597" s="14" t="str">
        <x:v>Governance Kulturinstitutionen – Whistleblowing</x:v>
      </x:c>
      <x:c r="F597" s="14" t="str">
        <x:v>Wirksamkeits‑Score</x:v>
      </x:c>
      <x:c r="G597" s="14" t="str">
        <x:v>0–1</x:v>
      </x:c>
      <x:c r="H597" s="14" t="str">
        <x:v>higher_is_better</x:v>
      </x:c>
      <x:c r="I597" s="14" t="str">
        <x:v>R16</x:v>
      </x:c>
      <x:c r="J597" s="14" t="str">
        <x:v>≥0,9:+3; 0,75–0,89:+2; 0,6–0,74:0; 0,4–0,59:‑2; &lt;0,4:‑3</x:v>
      </x:c>
      <x:c r="K597" s="14" t="str">
        <x:v>Feste WÖk-Kalibrierung</x:v>
      </x:c>
      <x:c r="L597" s="14" t="str">
        <x:v>Arbeitskalibrierung – fachlich zu validieren</x:v>
      </x:c>
      <x:c r="M597" s="14" t="str">
        <x:v>WÖk-interne Klassenlogik</x:v>
      </x:c>
      <x:c r="N597" s="14" t="str">
        <x:v>Optional/Nein</x:v>
      </x:c>
      <x:c r="O597" s="14" t="str">
        <x:v>ESRS G1; GRI 205/207</x:v>
      </x:c>
      <x:c r="P597" s="14" t="str">
        <x:v>ESRS G1, GRI 205/207, OECD Anti‑Bribery</x:v>
      </x:c>
      <x:c r="Q597" s="14" t="str">
        <x:v>Mess-, Berichts- oder Managementrahmen; Schwellen sind grundsätzlich WÖk-Kalibrierungen</x:v>
      </x:c>
      <x:c r="R597" s="14" t="str">
        <x:v>Messgrundlage belegt; Schwellenkalibrierung offen</x:v>
      </x:c>
      <x:c r="S597" s="14" t="str">
        <x:v>EU-ESRS; GRI; OECD-AB</x:v>
      </x:c>
      <x:c r="T597" s="14" t="str">
        <x:v>G47 Handel; K Versicherungen; M72 F&amp;E</x:v>
      </x:c>
      <x:c r="U597" s="14" t="str">
        <x:v>Legacy / nicht explizit versioniert</x:v>
      </x:c>
      <x:c r="V597" s="51" t="str"/>
      <x:c r="W597" s="14" t="str">
        <x:v>Migration auf NACE Rev. 2.1 erforderlich</x:v>
      </x:c>
      <x:c r="X597" s="14" t="str">
        <x:v>Organisation/Governance; konsolidierter Kreis und relevante Rechtseinheiten</x:v>
      </x:c>
      <x:c r="Y597" s="14" t="str">
        <x:v>Siehe Quelle: Definition gemäß Standard (ESRS/GRI/Taxonomie/ISO).</x:v>
      </x:c>
      <x:c r="Z597" s="14" t="str">
        <x:v>Primärdaten bevorzugt; Sekundärdaten nur transparent und versioniert; Methode und Systemgrenze dokumentieren</x:v>
      </x:c>
      <x:c r="AA597" s="14" t="str">
        <x:v>Limited Assurance; risikobasiert höhere Prüftiefe</x:v>
      </x:c>
      <x:c r="AB597" s="14" t="str">
        <x:v>Strukturell nutzbar; Schwellen fachlich zu validieren</x:v>
      </x:c>
      <x:c r="AC597" s="14" t="str">
        <x:v>Mittel</x:v>
      </x:c>
      <x:c r="AD597" s="14" t="str">
        <x:v>Vollständige fünfstufige numerische Regel.</x:v>
      </x:c>
      <x:c r="AE597" s="14" t="str">
        <x:v>v1.4</x:v>
      </x:c>
      <x:c r="AF597" s="52" t="str">
        <x:v>2026-08-16</x:v>
      </x:c>
      <x:c r="AG597" s="52"/>
    </x:row>
    <x:row r="598" ht="42" customHeight="1">
      <x:c r="A598" s="14" t="str">
        <x:v>WOK-G-241</x:v>
      </x:c>
      <x:c r="B598" s="14" t="str">
        <x:v>SDG+ – Kultur</x:v>
      </x:c>
      <x:c r="C598" s="14" t="str">
        <x:v>—</x:v>
      </x:c>
      <x:c r="D598" s="14" t="str">
        <x:v>Governance Kulturinstitutionen</x:v>
      </x:c>
      <x:c r="E598" s="14" t="str">
        <x:v>Governance Kulturinstitutionen – Steuertransparenz</x:v>
      </x:c>
      <x:c r="F598" s="14" t="str">
        <x:v>CbCR‑Offenlegung</x:v>
      </x:c>
      <x:c r="G598" s="14" t="str">
        <x:v>0–1</x:v>
      </x:c>
      <x:c r="H598" s="14" t="str">
        <x:v>higher_is_better</x:v>
      </x:c>
      <x:c r="I598" s="14" t="str">
        <x:v>R08</x:v>
      </x:c>
      <x:c r="J598" s="14" t="str">
        <x:v>vollständig:+3; teilweise:+2; minimal:0; schlecht:‑2</x:v>
      </x:c>
      <x:c r="K598" s="14" t="str">
        <x:v>Qualitativ</x:v>
      </x:c>
      <x:c r="L598" s="14" t="str">
        <x:v>Assurance und Kriterienkatalog erforderlich</x:v>
      </x:c>
      <x:c r="M598" s="14" t="str">
        <x:v>WÖk-interne Kategorien</x:v>
      </x:c>
      <x:c r="N598" s="14" t="str">
        <x:v>Optional/Nein</x:v>
      </x:c>
      <x:c r="O598" s="14" t="str">
        <x:v>ESRS G1; GRI 205/207</x:v>
      </x:c>
      <x:c r="P598" s="14" t="str">
        <x:v>ESRS G1, GRI 205/207, OECD Anti‑Bribery</x:v>
      </x:c>
      <x:c r="Q598" s="14" t="str">
        <x:v>Mess-, Berichts- oder Managementrahmen; Schwellen sind grundsätzlich WÖk-Kalibrierungen</x:v>
      </x:c>
      <x:c r="R598" s="14" t="str">
        <x:v>Messgrundlage belegt; Schwellenkalibrierung offen</x:v>
      </x:c>
      <x:c r="S598" s="14" t="str">
        <x:v>EU-ESRS; GRI; OECD-AB</x:v>
      </x:c>
      <x:c r="T598" s="14" t="str">
        <x:v>G47 Handel; K Versicherungen; M72 F&amp;E</x:v>
      </x:c>
      <x:c r="U598" s="14" t="str">
        <x:v>Legacy / nicht explizit versioniert</x:v>
      </x:c>
      <x:c r="V598" s="51" t="str"/>
      <x:c r="W598" s="14" t="str">
        <x:v>Migration auf NACE Rev. 2.1 erforderlich</x:v>
      </x:c>
      <x:c r="X598" s="14" t="str">
        <x:v>Organisation/Governance; konsolidierter Kreis und relevante Rechtseinheiten</x:v>
      </x:c>
      <x:c r="Y598" s="14" t="str">
        <x:v>Siehe Quelle: Definition gemäß Standard (ESRS/GRI/Taxonomie/ISO).</x:v>
      </x:c>
      <x:c r="Z598" s="14" t="str">
        <x:v>Dokumentierter Kriterienkatalog; nachvollziehbare Evidenz; DQR A/B bevorzugt</x:v>
      </x:c>
      <x:c r="AA598" s="14" t="str">
        <x:v>Unabhängige Fachprüfung/Limited Assurance; bei roten Linien Reasonable Assurance</x:v>
      </x:c>
      <x:c r="AB598" s="14" t="str">
        <x:v>Prüfung/Parametrisierung erforderlich</x:v>
      </x:c>
      <x:c r="AC598" s="14" t="str">
        <x:v>Hoch</x:v>
      </x:c>
      <x:c r="AD598" s="14" t="str">
        <x:v>Die Kategorie −3 fehlt; Vollständigkeit und Wirksamkeit sind feldspezifisch zu definieren.</x:v>
      </x:c>
      <x:c r="AE598" s="14" t="str">
        <x:v>v1.4</x:v>
      </x:c>
      <x:c r="AF598" s="52" t="str">
        <x:v>2026-08-16</x:v>
      </x:c>
      <x:c r="AG598" s="52"/>
    </x:row>
    <x:row r="599" ht="42" customHeight="1">
      <x:c r="A599" s="14" t="str">
        <x:v>WOK-SC-167</x:v>
      </x:c>
      <x:c r="B599" s="14" t="str">
        <x:v>SDG+ – Kultur</x:v>
      </x:c>
      <x:c r="C599" s="14" t="str">
        <x:v>—</x:v>
      </x:c>
      <x:c r="D599" s="14" t="str">
        <x:v>Faire Kultur‑Lieferketten</x:v>
      </x:c>
      <x:c r="E599" s="14" t="str">
        <x:v>Faire Kultur‑Lieferketten – ESG‑Spend‑Coverage</x:v>
      </x:c>
      <x:c r="F599" s="14" t="str">
        <x:v>Anteil verifizierter ESG‑Daten am Spend</x:v>
      </x:c>
      <x:c r="G599" s="14" t="str">
        <x:v>%</x:v>
      </x:c>
      <x:c r="H599" s="14" t="str">
        <x:v>higher_is_better</x:v>
      </x:c>
      <x:c r="I599" s="14" t="str">
        <x:v>R26</x:v>
      </x:c>
      <x:c r="J599" s="14" t="str">
        <x:v>≥90:+3; 70–89:+2; 50–69:0; 30–49:‑2; &lt;30:‑3</x:v>
      </x:c>
      <x:c r="K599" s="14" t="str">
        <x:v>Feste WÖk-Kalibrierung</x:v>
      </x:c>
      <x:c r="L599" s="14" t="str">
        <x:v>Arbeitskalibrierung – fachlich zu validieren</x:v>
      </x:c>
      <x:c r="M599" s="14" t="str">
        <x:v>WÖk-interne Klassenlogik</x:v>
      </x:c>
      <x:c r="N599" s="14" t="str">
        <x:v>Optional/Nein</x:v>
      </x:c>
      <x:c r="O599" s="14" t="str">
        <x:v>ESRS S2; GRI 308/414/408/409</x:v>
      </x:c>
      <x:c r="P599" s="14" t="str">
        <x:v>ESRS S2, GRI 308/414, OECD Due Diligence</x:v>
      </x:c>
      <x:c r="Q599" s="14" t="str">
        <x:v>Mess-, Berichts- oder Managementrahmen; Schwellen sind grundsätzlich WÖk-Kalibrierungen</x:v>
      </x:c>
      <x:c r="R599" s="14" t="str">
        <x:v>Messgrundlage belegt; Schwellenkalibrierung offen</x:v>
      </x:c>
      <x:c r="S599" s="14" t="str">
        <x:v>EU-ESRS; GRI; OECD-DD; ILO-CORE</x:v>
      </x:c>
      <x:c r="T599" s="14" t="str">
        <x:v>G47 Handel; K Versicherungen; M72 F&amp;E</x:v>
      </x:c>
      <x:c r="U599" s="14" t="str">
        <x:v>Legacy / nicht explizit versioniert</x:v>
      </x:c>
      <x:c r="V599" s="51" t="str"/>
      <x:c r="W599" s="14" t="str">
        <x:v>Migration auf NACE Rev. 2.1 erforderlich</x:v>
      </x:c>
      <x:c r="X599" s="14" t="str">
        <x:v>Vorgelagerte Lieferkette; relevante Tier-Stufen und Beschaffungsvolumen</x:v>
      </x:c>
      <x:c r="Y599" s="14" t="str">
        <x:v>Quote = Zähler / Nenner gemäß Quelle; in %.</x:v>
      </x:c>
      <x:c r="Z599" s="14" t="str">
        <x:v>Primärdaten bevorzugt; Sekundärdaten nur transparent und versioniert; Methode und Systemgrenze dokumentieren</x:v>
      </x:c>
      <x:c r="AA599" s="14" t="str">
        <x:v>Limited Assurance; risikobasiert höhere Prüftiefe</x:v>
      </x:c>
      <x:c r="AB599" s="14" t="str">
        <x:v>Strukturell nutzbar; Schwellen fachlich zu validieren</x:v>
      </x:c>
      <x:c r="AC599" s="14" t="str">
        <x:v>Mittel</x:v>
      </x:c>
      <x:c r="AD599" s="14" t="str">
        <x:v>Vollständige fünfstufige numerische Regel.</x:v>
      </x:c>
      <x:c r="AE599" s="14" t="str">
        <x:v>v1.4</x:v>
      </x:c>
      <x:c r="AF599" s="52" t="str">
        <x:v>2026-08-16</x:v>
      </x:c>
      <x:c r="AG599" s="52"/>
    </x:row>
    <x:row r="600" ht="42" customHeight="1">
      <x:c r="A600" s="14" t="str">
        <x:v>WOK-SC-168</x:v>
      </x:c>
      <x:c r="B600" s="14" t="str">
        <x:v>SDG+ – Kultur</x:v>
      </x:c>
      <x:c r="C600" s="14" t="str">
        <x:v>—</x:v>
      </x:c>
      <x:c r="D600" s="14" t="str">
        <x:v>Faire Kultur‑Lieferketten</x:v>
      </x:c>
      <x:c r="E600" s="14" t="str">
        <x:v>Faire Kultur‑Lieferketten – Kinder/Zwangsarbeit</x:v>
      </x:c>
      <x:c r="F600" s="14" t="str">
        <x:v>Audits ohne Verstöße</x:v>
      </x:c>
      <x:c r="G600" s="14" t="str">
        <x:v>% Lieferanten</x:v>
      </x:c>
      <x:c r="H600" s="14" t="str">
        <x:v>higher_is_better</x:v>
      </x:c>
      <x:c r="I600" s="14" t="str">
        <x:v>R28</x:v>
      </x:c>
      <x:c r="J600" s="14" t="str">
        <x:v>≥98:+3; 90–97:+2; 75–89:0; 50–74:‑2; &lt;50:‑3</x:v>
      </x:c>
      <x:c r="K600" s="14" t="str">
        <x:v>Feste WÖk-Kalibrierung</x:v>
      </x:c>
      <x:c r="L600" s="14" t="str">
        <x:v>Arbeitskalibrierung – fachlich zu validieren</x:v>
      </x:c>
      <x:c r="M600" s="14" t="str">
        <x:v>WÖk-interne Klassenlogik</x:v>
      </x:c>
      <x:c r="N600" s="14" t="str">
        <x:v>Optional/Nein</x:v>
      </x:c>
      <x:c r="O600" s="14" t="str">
        <x:v>ESRS S2; GRI 308/414/408/409</x:v>
      </x:c>
      <x:c r="P600" s="14" t="str">
        <x:v>ESRS S2, GRI 308/414, OECD Due Diligence</x:v>
      </x:c>
      <x:c r="Q600" s="14" t="str">
        <x:v>Mess-, Berichts- oder Managementrahmen; Schwellen sind grundsätzlich WÖk-Kalibrierungen</x:v>
      </x:c>
      <x:c r="R600" s="14" t="str">
        <x:v>Messgrundlage belegt; Schwellenkalibrierung offen</x:v>
      </x:c>
      <x:c r="S600" s="14" t="str">
        <x:v>EU-ESRS; GRI; OECD-DD; ILO-CORE</x:v>
      </x:c>
      <x:c r="T600" s="14" t="str">
        <x:v>G47 Handel; K Versicherungen; M72 F&amp;E</x:v>
      </x:c>
      <x:c r="U600" s="14" t="str">
        <x:v>Legacy / nicht explizit versioniert</x:v>
      </x:c>
      <x:c r="V600" s="51" t="str"/>
      <x:c r="W600" s="14" t="str">
        <x:v>Migration auf NACE Rev. 2.1 erforderlich</x:v>
      </x:c>
      <x:c r="X600" s="14" t="str">
        <x:v>Vorgelagerte Lieferkette; relevante Tier-Stufen und Beschaffungsvolumen</x:v>
      </x:c>
      <x:c r="Y600" s="14" t="str">
        <x:v>Quote = Zähler / Nenner gemäß Quelle; in %.</x:v>
      </x:c>
      <x:c r="Z600" s="14" t="str">
        <x:v>Primärdaten bevorzugt; Sekundärdaten nur transparent und versioniert; Methode und Systemgrenze dokumentieren</x:v>
      </x:c>
      <x:c r="AA600" s="14" t="str">
        <x:v>Limited Assurance; risikobasiert höhere Prüftiefe</x:v>
      </x:c>
      <x:c r="AB600" s="14" t="str">
        <x:v>Strukturell nutzbar; Schwellen fachlich zu validieren</x:v>
      </x:c>
      <x:c r="AC600" s="14" t="str">
        <x:v>Mittel</x:v>
      </x:c>
      <x:c r="AD600" s="14" t="str">
        <x:v>Vollständige fünfstufige numerische Regel.</x:v>
      </x:c>
      <x:c r="AE600" s="14" t="str">
        <x:v>v1.4</x:v>
      </x:c>
      <x:c r="AF600" s="52" t="str">
        <x:v>2026-08-16</x:v>
      </x:c>
      <x:c r="AG600" s="52"/>
    </x:row>
    <x:row r="601" ht="42" customHeight="1">
      <x:c r="A601" s="14" t="str">
        <x:v>WOK-SC-169</x:v>
      </x:c>
      <x:c r="B601" s="14" t="str">
        <x:v>SDG+ – Kultur</x:v>
      </x:c>
      <x:c r="C601" s="14" t="str">
        <x:v>—</x:v>
      </x:c>
      <x:c r="D601" s="14" t="str">
        <x:v>Faire Kultur‑Lieferketten</x:v>
      </x:c>
      <x:c r="E601" s="14" t="str">
        <x:v>Faire Kultur‑Lieferketten – Scope‑3 Daten</x:v>
      </x:c>
      <x:c r="F601" s="14" t="str">
        <x:v>Primärdaten‑Abdeckung</x:v>
      </x:c>
      <x:c r="G601" s="14" t="str">
        <x:v>% Kategorien</x:v>
      </x:c>
      <x:c r="H601" s="14" t="str">
        <x:v>higher_is_better</x:v>
      </x:c>
      <x:c r="I601" s="14" t="str">
        <x:v>R23</x:v>
      </x:c>
      <x:c r="J601" s="14" t="str">
        <x:v>≥80:+3; 60–79:+2; 40–59:0; 20–39:‑2; &lt;20:‑3</x:v>
      </x:c>
      <x:c r="K601" s="14" t="str">
        <x:v>Feste WÖk-Kalibrierung</x:v>
      </x:c>
      <x:c r="L601" s="14" t="str">
        <x:v>Arbeitskalibrierung – fachlich zu validieren</x:v>
      </x:c>
      <x:c r="M601" s="14" t="str">
        <x:v>WÖk-interne Klassenlogik</x:v>
      </x:c>
      <x:c r="N601" s="14" t="str">
        <x:v>Optional/Nein</x:v>
      </x:c>
      <x:c r="O601" s="14" t="str">
        <x:v>ESRS E1; GHG Protocol</x:v>
      </x:c>
      <x:c r="P601" s="14" t="str">
        <x:v>ESRS E1, GHG Protocol (Corporate/Scope 1–3), ISO 14064/14067</x:v>
      </x:c>
      <x:c r="Q601" s="14" t="str">
        <x:v>Mess-, Berichts- oder Managementrahmen; Schwellen sind grundsätzlich WÖk-Kalibrierungen</x:v>
      </x:c>
      <x:c r="R601" s="14" t="str">
        <x:v>Messgrundlage belegt; Schwellenkalibrierung offen</x:v>
      </x:c>
      <x:c r="S601" s="14" t="str">
        <x:v>EU-ESRS; GHG-CORP; GHG-S3; GHG-PROD</x:v>
      </x:c>
      <x:c r="T601" s="14" t="str">
        <x:v>G47 Handel; K Versicherungen; M72 F&amp;E</x:v>
      </x:c>
      <x:c r="U601" s="14" t="str">
        <x:v>Legacy / nicht explizit versioniert</x:v>
      </x:c>
      <x:c r="V601" s="51" t="str"/>
      <x:c r="W601" s="14" t="str">
        <x:v>Migration auf NACE Rev. 2.1 erforderlich</x:v>
      </x:c>
      <x:c r="X601" s="14" t="str">
        <x:v>Vorgelagerte Lieferkette; relevante Tier-Stufen und Beschaffungsvolumen</x:v>
      </x:c>
      <x:c r="Y601" s="14" t="str">
        <x:v>Quote = Zähler / Nenner gemäß Quelle; in %.</x:v>
      </x:c>
      <x:c r="Z601" s="14" t="str">
        <x:v>Primärdaten bevorzugt; Sekundärdaten nur transparent und versioniert; Methode und Systemgrenze dokumentieren</x:v>
      </x:c>
      <x:c r="AA601" s="14" t="str">
        <x:v>Limited Assurance; risikobasiert höhere Prüftiefe</x:v>
      </x:c>
      <x:c r="AB601" s="14" t="str">
        <x:v>Strukturell nutzbar; Schwellen fachlich zu validieren</x:v>
      </x:c>
      <x:c r="AC601" s="14" t="str">
        <x:v>Mittel</x:v>
      </x:c>
      <x:c r="AD601" s="14" t="str">
        <x:v>Vollständige fünfstufige numerische Regel.</x:v>
      </x:c>
      <x:c r="AE601" s="14" t="str">
        <x:v>v1.4</x:v>
      </x:c>
      <x:c r="AF601" s="52" t="str">
        <x:v>2026-08-16</x:v>
      </x:c>
      <x:c r="AG601" s="52"/>
    </x:row>
    <x:row r="602" ht="42" customHeight="1">
      <x:c r="A602" s="14" t="str">
        <x:v>WOK-RE-125</x:v>
      </x:c>
      <x:c r="B602" s="14" t="str">
        <x:v>SDG+ – Kultur</x:v>
      </x:c>
      <x:c r="C602" s="14" t="str">
        <x:v>—</x:v>
      </x:c>
      <x:c r="D602" s="14" t="str">
        <x:v>Niederschwellige Räume/Barrierefrei</x:v>
      </x:c>
      <x:c r="E602" s="14" t="str">
        <x:v>Niederschwellige Räume/Barrierefrei – Betriebsenergie</x:v>
      </x:c>
      <x:c r="F602" s="14" t="str">
        <x:v>Endenergiebedarf</x:v>
      </x:c>
      <x:c r="G602" s="14" t="str">
        <x:v>kWh/m²a</x:v>
      </x:c>
      <x:c r="H602" s="14" t="str">
        <x:v>lower_is_better</x:v>
      </x:c>
      <x:c r="I602" s="14" t="str">
        <x:v>R05</x:v>
      </x:c>
      <x:c r="J602" s="14" t="str">
        <x:v>Top 15%:+3; +15–30%:+2; +31–60%:0; &gt;+60%:‑2/‑3</x:v>
      </x:c>
      <x:c r="K602" s="14" t="str">
        <x:v>Benchmarkabhängig</x:v>
      </x:c>
      <x:c r="L602" s="14" t="str">
        <x:v>Validierter Benchmark fehlt</x:v>
      </x:c>
      <x:c r="M602" s="14" t="str">
        <x:v>Branche/Region/Technologie</x:v>
      </x:c>
      <x:c r="N602" s="14" t="str">
        <x:v>Ja</x:v>
      </x:c>
      <x:c r="O602" s="14" t="str">
        <x:v>EPBD; EN 15978</x:v>
      </x:c>
      <x:c r="P602" s="14" t="str">
        <x:v>ESRS E1, ISO 50001 (EnMS), ISO/IEC 30134‑2 (PUE), EU EPBD</x:v>
      </x:c>
      <x:c r="Q602" s="14" t="str">
        <x:v>Mess-/Methodenrahmen; aktiver Branchen-/Regional-/Technologiebenchmark separat erforderlich</x:v>
      </x:c>
      <x:c r="R602" s="14" t="str">
        <x:v>Teilbelegt – Benchmarkquelle fehlt</x:v>
      </x:c>
      <x:c r="S602" s="14" t="str">
        <x:v>EU-EPBD; CEN-15978</x:v>
      </x:c>
      <x:c r="T602" s="14" t="str">
        <x:v>L68 Immobilien; F41/F42 Bau</x:v>
      </x:c>
      <x:c r="U602" s="14" t="str">
        <x:v>Legacy / nicht explizit versioniert</x:v>
      </x:c>
      <x:c r="V602" s="51" t="str"/>
      <x:c r="W602" s="14" t="str">
        <x:v>Migration auf NACE Rev. 2.1 erforderlich</x:v>
      </x:c>
      <x:c r="X602" s="14" t="str">
        <x:v>Gebäude/Standort; Betrieb plus relevante Lebenszyklusmodule</x:v>
      </x:c>
      <x:c r="Y602" s="14" t="str">
        <x:v>Siehe Quelle: Definition gemäß Standard (ESRS/GRI/Taxonomie/ISO).</x:v>
      </x:c>
      <x:c r="Z602" s="14" t="str">
        <x:v>Primärdaten plus repräsentativer, versionierter Benchmarkdatensatz; Stichprobe und Population offenlegen</x:v>
      </x:c>
      <x:c r="AA602" s="14" t="str">
        <x:v>Messwert-Assurance und unabhängige Benchmark-Governance</x:v>
      </x:c>
      <x:c r="AB602" s="14" t="str">
        <x:v>Prüfung/Parametrisierung erforderlich</x:v>
      </x:c>
      <x:c r="AC602" s="14" t="str">
        <x:v>Hoch</x:v>
      </x:c>
      <x:c r="AD602" s="14" t="str">
        <x:v>Die Grenze &gt;+60 % ist derzeit nicht eindeutig in −2/−3 aufgelöst.</x:v>
      </x:c>
      <x:c r="AE602" s="14" t="str">
        <x:v>v1.4</x:v>
      </x:c>
      <x:c r="AF602" s="52" t="str">
        <x:v>2026-08-16</x:v>
      </x:c>
      <x:c r="AG602" s="52"/>
    </x:row>
    <x:row r="603" ht="42" customHeight="1">
      <x:c r="A603" s="14" t="str">
        <x:v>WOK-RE-126</x:v>
      </x:c>
      <x:c r="B603" s="14" t="str">
        <x:v>SDG+ – Kultur</x:v>
      </x:c>
      <x:c r="C603" s="14" t="str">
        <x:v>—</x:v>
      </x:c>
      <x:c r="D603" s="14" t="str">
        <x:v>Niederschwellige Räume/Barrierefrei</x:v>
      </x:c>
      <x:c r="E603" s="14" t="str">
        <x:v>Niederschwellige Räume/Barrierefrei – Graue Emissionen</x:v>
      </x:c>
      <x:c r="F603" s="14" t="str">
        <x:v>Embodied Carbon (A1–A3)</x:v>
      </x:c>
      <x:c r="G603" s="14" t="str">
        <x:v>kg CO₂e/m²</x:v>
      </x:c>
      <x:c r="H603" s="14" t="str">
        <x:v>lower_is_better</x:v>
      </x:c>
      <x:c r="I603" s="14" t="str">
        <x:v>R06</x:v>
      </x:c>
      <x:c r="J603" s="14" t="str">
        <x:v>Top‑10%:+3; Mittel:0; &gt;150%:‑2; &gt;250%:‑3</x:v>
      </x:c>
      <x:c r="K603" s="14" t="str">
        <x:v>Benchmarkabhängig</x:v>
      </x:c>
      <x:c r="L603" s="14" t="str">
        <x:v>Validierter Benchmark fehlt</x:v>
      </x:c>
      <x:c r="M603" s="14" t="str">
        <x:v>Branche/Region/Technologie</x:v>
      </x:c>
      <x:c r="N603" s="14" t="str">
        <x:v>Ja</x:v>
      </x:c>
      <x:c r="O603" s="14" t="str">
        <x:v>EN 15978/ISO 14067</x:v>
      </x:c>
      <x:c r="P603" s="14" t="str">
        <x:v>ESRS E1, GHG Protocol (Corporate/Scope 1–3), ISO 14064/14067</x:v>
      </x:c>
      <x:c r="Q603" s="14" t="str">
        <x:v>Mess-/Methodenrahmen; aktiver Branchen-/Regional-/Technologiebenchmark separat erforderlich</x:v>
      </x:c>
      <x:c r="R603" s="14" t="str">
        <x:v>Teilbelegt – Benchmarkquelle fehlt</x:v>
      </x:c>
      <x:c r="S603" s="14" t="str">
        <x:v>CEN-15978; ISO-14067</x:v>
      </x:c>
      <x:c r="T603" s="14" t="str">
        <x:v>L68 Immobilien; F41/F42 Bau</x:v>
      </x:c>
      <x:c r="U603" s="14" t="str">
        <x:v>Legacy / nicht explizit versioniert</x:v>
      </x:c>
      <x:c r="V603" s="51" t="str"/>
      <x:c r="W603" s="14" t="str">
        <x:v>Migration auf NACE Rev. 2.1 erforderlich</x:v>
      </x:c>
      <x:c r="X603" s="14" t="str">
        <x:v>Gebäude/Standort; Betrieb plus relevante Lebenszyklusmodule</x:v>
      </x:c>
      <x:c r="Y603" s="14" t="str">
        <x:v>Embodied Carbon gem. EN 15978 (A1–A3 ggf. A4–A5); kg CO₂e/m².</x:v>
      </x:c>
      <x:c r="Z603" s="14" t="str">
        <x:v>Primärdaten plus repräsentativer, versionierter Benchmarkdatensatz; Stichprobe und Population offenlegen</x:v>
      </x:c>
      <x:c r="AA603" s="14" t="str">
        <x:v>Messwert-Assurance und unabhängige Benchmark-Governance</x:v>
      </x:c>
      <x:c r="AB603" s="14" t="str">
        <x:v>Prüfung/Parametrisierung erforderlich</x:v>
      </x:c>
      <x:c r="AC603" s="14" t="str">
        <x:v>Hoch</x:v>
      </x:c>
      <x:c r="AD603" s="14" t="str">
        <x:v>Top-10-Prozent, Mittelwert, 150 % und 250 % müssen aus einer dokumentierten Grundgesamtheit stammen.</x:v>
      </x:c>
      <x:c r="AE603" s="14" t="str">
        <x:v>v1.4</x:v>
      </x:c>
      <x:c r="AF603" s="52" t="str">
        <x:v>2026-08-16</x:v>
      </x:c>
      <x:c r="AG603" s="52"/>
    </x:row>
    <x:row r="604" ht="42" customHeight="1">
      <x:c r="A604" s="14" t="str">
        <x:v>WOK-RE-127</x:v>
      </x:c>
      <x:c r="B604" s="14" t="str">
        <x:v>SDG+ – Kultur</x:v>
      </x:c>
      <x:c r="C604" s="14" t="str">
        <x:v>—</x:v>
      </x:c>
      <x:c r="D604" s="14" t="str">
        <x:v>Niederschwellige Räume/Barrierefrei</x:v>
      </x:c>
      <x:c r="E604" s="14" t="str">
        <x:v>Niederschwellige Räume/Barrierefrei – ÖPNV‑Erreichbarkeit</x:v>
      </x:c>
      <x:c r="F604" s="14" t="str">
        <x:v>Transit‑Score</x:v>
      </x:c>
      <x:c r="G604" s="14" t="str">
        <x:v>0–1</x:v>
      </x:c>
      <x:c r="H604" s="14" t="str">
        <x:v>higher_is_better</x:v>
      </x:c>
      <x:c r="I604" s="14" t="str">
        <x:v>R14</x:v>
      </x:c>
      <x:c r="J604" s="14" t="str">
        <x:v>≥0,8:+3; 0,6–0,79:+2; 0,4–0,59:0; 0,2–0,39:‑2; &lt;0,2:‑3</x:v>
      </x:c>
      <x:c r="K604" s="14" t="str">
        <x:v>Feste WÖk-Kalibrierung</x:v>
      </x:c>
      <x:c r="L604" s="14" t="str">
        <x:v>Arbeitskalibrierung – fachlich zu validieren</x:v>
      </x:c>
      <x:c r="M604" s="14" t="str">
        <x:v>WÖk-interne Klassenlogik</x:v>
      </x:c>
      <x:c r="N604" s="14" t="str">
        <x:v>Optional/Nein</x:v>
      </x:c>
      <x:c r="O604" s="14" t="str">
        <x:v>Stadt/GIS</x:v>
      </x:c>
      <x:c r="P604" s="14" t="str">
        <x:v>Stadt/GIS</x:v>
      </x:c>
      <x:c r="Q604" s="14" t="str">
        <x:v>Lokale Primärdaten; Datenhalter, Layer, Zeitraum und Methodik je Fall ergänzen</x:v>
      </x:c>
      <x:c r="R604" s="14" t="str">
        <x:v>Platzhalter – konkrete Datenquelle fehlt</x:v>
      </x:c>
      <x:c r="S604" s="14" t="str">
        <x:v>DATA-GIS</x:v>
      </x:c>
      <x:c r="T604" s="14" t="str">
        <x:v>L68 Immobilien; F41/F42 Bau</x:v>
      </x:c>
      <x:c r="U604" s="14" t="str">
        <x:v>Legacy / nicht explizit versioniert</x:v>
      </x:c>
      <x:c r="V604" s="51" t="str"/>
      <x:c r="W604" s="14" t="str">
        <x:v>Migration auf NACE Rev. 2.1 erforderlich</x:v>
      </x:c>
      <x:c r="X604" s="14" t="str">
        <x:v>Gebäude/Standort; Betrieb plus relevante Lebenszyklusmodule</x:v>
      </x:c>
      <x:c r="Y604" s="14" t="str">
        <x:v>Siehe Quelle: Definition gemäß Standard (ESRS/GRI/Taxonomie/ISO).</x:v>
      </x:c>
      <x:c r="Z604" s="14" t="str">
        <x:v>Primärdaten oder qualitätsgesicherte Sekundärdaten; Methode, Zeitraum und Systemgrenze dokumentieren</x:v>
      </x:c>
      <x:c r="AA604" s="14" t="str">
        <x:v>Limited Assurance; bei materieller Steuerwirkung risikobasiert vertiefen</x:v>
      </x:c>
      <x:c r="AB604" s="14" t="str">
        <x:v>Produktspezifische bzw. lokale Prüfung erforderlich</x:v>
      </x:c>
      <x:c r="AC604" s="14" t="str">
        <x:v>Hoch</x:v>
      </x:c>
      <x:c r="AD604" s="14" t="str">
        <x:v>Konkreten Datenhalter, GIS-Layer, Stichtag und Methodik ergänzen. Vollständige fünfstufige numerische Regel.</x:v>
      </x:c>
      <x:c r="AE604" s="14" t="str">
        <x:v>v1.4</x:v>
      </x:c>
      <x:c r="AF604" s="52" t="str">
        <x:v>2026-08-16</x:v>
      </x:c>
      <x:c r="AG604" s="52"/>
    </x:row>
    <x:row r="605" ht="42" customHeight="1">
      <x:c r="A605" s="14" t="str">
        <x:v>WOK-SYS-209</x:v>
      </x:c>
      <x:c r="B605" s="14" t="str">
        <x:v>SDG+ – Kultur</x:v>
      </x:c>
      <x:c r="C605" s="14" t="str">
        <x:v>—</x:v>
      </x:c>
      <x:c r="D605" s="14" t="str">
        <x:v>Förderallianzen/Community</x:v>
      </x:c>
      <x:c r="E605" s="14" t="str">
        <x:v>Förderallianzen/Community – Index</x:v>
      </x:c>
      <x:c r="F605" s="14" t="str">
        <x:v>umsatzgewichteter Index (z. B. Demokratie/Rule of Law)</x:v>
      </x:c>
      <x:c r="G605" s="14" t="str">
        <x:v>0–1</x:v>
      </x:c>
      <x:c r="H605" s="14" t="str">
        <x:v>higher_is_better</x:v>
      </x:c>
      <x:c r="I605" s="14" t="str">
        <x:v>R15</x:v>
      </x:c>
      <x:c r="J605" s="14" t="str">
        <x:v>≥0,8:+3; 0,7–0,79:+2; 0,6–0,69:0; 0,5–0,59:‑2; &lt;0,5:‑3</x:v>
      </x:c>
      <x:c r="K605" s="14" t="str">
        <x:v>Feste WÖk-Kalibrierung</x:v>
      </x:c>
      <x:c r="L605" s="14" t="str">
        <x:v>Arbeitskalibrierung – fachlich zu validieren</x:v>
      </x:c>
      <x:c r="M605" s="14" t="str">
        <x:v>WÖk-interne Klassenlogik</x:v>
      </x:c>
      <x:c r="N605" s="14" t="str">
        <x:v>Optional/Nein</x:v>
      </x:c>
      <x:c r="O605" s="14" t="str">
        <x:v>SROI/SDG17</x:v>
      </x:c>
      <x:c r="P605" s="14" t="str">
        <x:v>SDG 16/17, WJP, V‑Dem</x:v>
      </x:c>
      <x:c r="Q605" s="14" t="str">
        <x:v>Methodischer Platzhalter; konkrete Fach- und Primärdatenquelle erforderlich</x:v>
      </x:c>
      <x:c r="R605" s="14" t="str">
        <x:v>Platzhalter – fachliche Operationalisierung offen</x:v>
      </x:c>
      <x:c r="S605" s="14" t="str">
        <x:v>INT-WOEK-TSROI; SVI-SROI; UN-SDG</x:v>
      </x:c>
      <x:c r="T605" s="14" t="str">
        <x:v>G47 Handel; K Versicherungen; M72 F&amp;E</x:v>
      </x:c>
      <x:c r="U605" s="14" t="str">
        <x:v>Legacy / nicht explizit versioniert</x:v>
      </x:c>
      <x:c r="V605" s="51" t="str"/>
      <x:c r="W605" s="14" t="str">
        <x:v>Migration auf NACE Rev. 2.1 erforderlich</x:v>
      </x:c>
      <x:c r="X605" s="14" t="str">
        <x:v>Programm/Portfolio/Systemraum; Empfängergruppe, Region und Zeitraum explizit definieren</x:v>
      </x:c>
      <x:c r="Y605" s="14" t="str">
        <x:v>Siehe Quelle: Definition gemäß Standard (ESRS/GRI/Taxonomie/ISO).</x:v>
      </x:c>
      <x:c r="Z605" s="14" t="str">
        <x:v>Primärdaten bevorzugt; Sekundärdaten nur transparent und versioniert; Methode und Systemgrenze dokumentieren</x:v>
      </x:c>
      <x:c r="AA605" s="14" t="str">
        <x:v>Limited Assurance; risikobasiert höhere Prüftiefe</x:v>
      </x:c>
      <x:c r="AB605" s="14" t="str">
        <x:v>Fachlogik nicht abschließend operationalisiert</x:v>
      </x:c>
      <x:c r="AC605" s="14" t="str">
        <x:v>Kritisch</x:v>
      </x:c>
      <x:c r="AD605" s="14" t="str">
        <x:v>SROI/SDG 17 ist keine hinreichend konkrete Mess- oder Schwellenquelle. Vollständige fünfstufige numerische Regel.</x:v>
      </x:c>
      <x:c r="AE605" s="14" t="str">
        <x:v>v1.4</x:v>
      </x:c>
      <x:c r="AF605" s="52" t="str">
        <x:v>2026-08-16</x:v>
      </x:c>
      <x:c r="AG605" s="52"/>
    </x:row>
    <x:row r="606" ht="42" customHeight="1">
      <x:c r="A606" s="14" t="str">
        <x:v>WOK-SYS-210</x:v>
      </x:c>
      <x:c r="B606" s="14" t="str">
        <x:v>SDG+ – Kultur</x:v>
      </x:c>
      <x:c r="C606" s="14" t="str">
        <x:v>—</x:v>
      </x:c>
      <x:c r="D606" s="14" t="str">
        <x:v>Förderallianzen/Community</x:v>
      </x:c>
      <x:c r="E606" s="14" t="str">
        <x:v>Förderallianzen/Community – Exposure</x:v>
      </x:c>
      <x:c r="F606" s="14" t="str">
        <x:v>Umsatz in Hochrisikoländern</x:v>
      </x:c>
      <x:c r="G606" s="14" t="str">
        <x:v>%</x:v>
      </x:c>
      <x:c r="H606" s="14" t="str">
        <x:v>lower_is_better</x:v>
      </x:c>
      <x:c r="I606" s="14" t="str">
        <x:v>R13</x:v>
      </x:c>
      <x:c r="J606" s="14" t="str">
        <x:v>≤5:+3; 6–10:+2; 11–20:0; 21–30:‑2; &gt;30:‑3</x:v>
      </x:c>
      <x:c r="K606" s="14" t="str">
        <x:v>Feste WÖk-Kalibrierung</x:v>
      </x:c>
      <x:c r="L606" s="14" t="str">
        <x:v>Arbeitskalibrierung – fachlich zu validieren</x:v>
      </x:c>
      <x:c r="M606" s="14" t="str">
        <x:v>WÖk-interne Klassenlogik</x:v>
      </x:c>
      <x:c r="N606" s="14" t="str">
        <x:v>Optional/Nein</x:v>
      </x:c>
      <x:c r="O606" s="14" t="str">
        <x:v>SROI/SDG17</x:v>
      </x:c>
      <x:c r="P606" s="14" t="str">
        <x:v>SROI/SDG17</x:v>
      </x:c>
      <x:c r="Q606" s="14" t="str">
        <x:v>Methodischer Platzhalter; konkrete Fach- und Primärdatenquelle erforderlich</x:v>
      </x:c>
      <x:c r="R606" s="14" t="str">
        <x:v>Platzhalter – fachliche Operationalisierung offen</x:v>
      </x:c>
      <x:c r="S606" s="14" t="str">
        <x:v>INT-WOEK-TSROI; SVI-SROI; UN-SDG</x:v>
      </x:c>
      <x:c r="T606" s="14" t="str">
        <x:v>G47 Handel; K Versicherungen; M72 F&amp;E</x:v>
      </x:c>
      <x:c r="U606" s="14" t="str">
        <x:v>Legacy / nicht explizit versioniert</x:v>
      </x:c>
      <x:c r="V606" s="51" t="str"/>
      <x:c r="W606" s="14" t="str">
        <x:v>Migration auf NACE Rev. 2.1 erforderlich</x:v>
      </x:c>
      <x:c r="X606" s="14" t="str">
        <x:v>Programm/Portfolio/Systemraum; Empfängergruppe, Region und Zeitraum explizit definieren</x:v>
      </x:c>
      <x:c r="Y606" s="14" t="str">
        <x:v>Siehe Quelle: Definition gemäß Standard (ESRS/GRI/Taxonomie/ISO).</x:v>
      </x:c>
      <x:c r="Z606" s="14" t="str">
        <x:v>Primärdaten bevorzugt; Sekundärdaten nur transparent und versioniert; Methode und Systemgrenze dokumentieren</x:v>
      </x:c>
      <x:c r="AA606" s="14" t="str">
        <x:v>Limited Assurance; risikobasiert höhere Prüftiefe</x:v>
      </x:c>
      <x:c r="AB606" s="14" t="str">
        <x:v>Fachlogik nicht abschließend operationalisiert</x:v>
      </x:c>
      <x:c r="AC606" s="14" t="str">
        <x:v>Kritisch</x:v>
      </x:c>
      <x:c r="AD606" s="14" t="str">
        <x:v>SROI/SDG 17 ist keine hinreichend konkrete Mess- oder Schwellenquelle. Vollständige fünfstufige numerische Regel.</x:v>
      </x:c>
      <x:c r="AE606" s="14" t="str">
        <x:v>v1.4</x:v>
      </x:c>
      <x:c r="AF606" s="52" t="str">
        <x:v>2026-08-16</x:v>
      </x:c>
      <x:c r="AG606" s="52"/>
    </x:row>
    <x:row r="607" ht="42" customHeight="1">
      <x:c r="A607" s="14" t="str">
        <x:v>WOK-SYS-211</x:v>
      </x:c>
      <x:c r="B607" s="14" t="str">
        <x:v>SDG+ – Kultur</x:v>
      </x:c>
      <x:c r="C607" s="14" t="str">
        <x:v>—</x:v>
      </x:c>
      <x:c r="D607" s="14" t="str">
        <x:v>Förderallianzen/Community</x:v>
      </x:c>
      <x:c r="E607" s="14" t="str">
        <x:v>Förderallianzen/Community – Kooperationen</x:v>
      </x:c>
      <x:c r="F607" s="14" t="str">
        <x:v>aktive, evaluierte Partnerschaften/Jahr</x:v>
      </x:c>
      <x:c r="G607" s="14" t="str">
        <x:v>#/Jahr</x:v>
      </x:c>
      <x:c r="H607" s="14" t="str">
        <x:v>higher_is_better</x:v>
      </x:c>
      <x:c r="I607" s="14" t="str">
        <x:v>R20</x:v>
      </x:c>
      <x:c r="J607" s="14" t="str">
        <x:v>≥5:+3; 3–4:+2; 1–2:0; 0:‑2</x:v>
      </x:c>
      <x:c r="K607" s="14" t="str">
        <x:v>Feste WÖk-Grobkalibrierung</x:v>
      </x:c>
      <x:c r="L607" s="14" t="str">
        <x:v>Klasse −3 nur für negative/unzulässige Werte ergänzt</x:v>
      </x:c>
      <x:c r="M607" s="14" t="str">
        <x:v>WÖk-interne Grobkalibrierung</x:v>
      </x:c>
      <x:c r="N607" s="14" t="str">
        <x:v>Optional/Nein</x:v>
      </x:c>
      <x:c r="O607" s="14" t="str">
        <x:v>SROI/SDG17</x:v>
      </x:c>
      <x:c r="P607" s="14" t="str">
        <x:v>SDG 16/17, WJP, V‑Dem</x:v>
      </x:c>
      <x:c r="Q607" s="14" t="str">
        <x:v>Methodischer Platzhalter; konkrete Fach- und Primärdatenquelle erforderlich</x:v>
      </x:c>
      <x:c r="R607" s="14" t="str">
        <x:v>Platzhalter – fachliche Operationalisierung offen</x:v>
      </x:c>
      <x:c r="S607" s="14" t="str">
        <x:v>INT-WOEK-TSROI; SVI-SROI; UN-SDG</x:v>
      </x:c>
      <x:c r="T607" s="14" t="str">
        <x:v>G47 Handel; K Versicherungen; M72 F&amp;E</x:v>
      </x:c>
      <x:c r="U607" s="14" t="str">
        <x:v>Legacy / nicht explizit versioniert</x:v>
      </x:c>
      <x:c r="V607" s="51" t="str"/>
      <x:c r="W607" s="14" t="str">
        <x:v>Migration auf NACE Rev. 2.1 erforderlich</x:v>
      </x:c>
      <x:c r="X607" s="14" t="str">
        <x:v>Programm/Portfolio/Systemraum; Empfängergruppe, Region und Zeitraum explizit definieren</x:v>
      </x:c>
      <x:c r="Y607" s="14" t="str">
        <x:v>Siehe Quelle: Definition gemäß Standard (ESRS/GRI/Taxonomie/ISO).</x:v>
      </x:c>
      <x:c r="Z607" s="14" t="str">
        <x:v>Primärdaten bevorzugt; Sekundärdaten nur transparent und versioniert; Methode und Systemgrenze dokumentieren</x:v>
      </x:c>
      <x:c r="AA607" s="14" t="str">
        <x:v>Limited Assurance; risikobasiert höhere Prüftiefe</x:v>
      </x:c>
      <x:c r="AB607" s="14" t="str">
        <x:v>Fachlogik nicht abschließend operationalisiert</x:v>
      </x:c>
      <x:c r="AC607" s="14" t="str">
        <x:v>Kritisch</x:v>
      </x:c>
      <x:c r="AD607" s="14" t="str">
        <x:v>SROI/SDG 17 ist keine hinreichend konkrete Mess- oder Schwellenquelle. Für sachlogisch nichtnegative Zählwerte ist 0 die schlechteste reguläre Klasse (−2).</x:v>
      </x:c>
      <x:c r="AE607" s="14" t="str">
        <x:v>v1.4</x:v>
      </x:c>
      <x:c r="AF607" s="52" t="str">
        <x:v>2026-08-16</x:v>
      </x:c>
      <x:c r="AG607" s="52"/>
    </x:row>
    <x:row r="608" ht="42" customHeight="1">
      <x:c r="A608" s="14" t="str">
        <x:v>WOK-SYS-212</x:v>
      </x:c>
      <x:c r="B608" s="14" t="str">
        <x:v>SDG+ – Transparenz/Open Data</x:v>
      </x:c>
      <x:c r="C608" s="14" t="str">
        <x:v>—</x:v>
      </x:c>
      <x:c r="D608" s="14" t="str">
        <x:v>Maschinenlesbare Offenlegung</x:v>
      </x:c>
      <x:c r="E608" s="14" t="str">
        <x:v>Maschinenlesbare Offenlegung – Index</x:v>
      </x:c>
      <x:c r="F608" s="14" t="str">
        <x:v>umsatzgewichteter Index (z. B. Demokratie/Rule of Law)</x:v>
      </x:c>
      <x:c r="G608" s="14" t="str">
        <x:v>0–1</x:v>
      </x:c>
      <x:c r="H608" s="14" t="str">
        <x:v>higher_is_better</x:v>
      </x:c>
      <x:c r="I608" s="14" t="str">
        <x:v>R15</x:v>
      </x:c>
      <x:c r="J608" s="14" t="str">
        <x:v>≥0,8:+3; 0,7–0,79:+2; 0,6–0,69:0; 0,5–0,59:‑2; &lt;0,5:‑3</x:v>
      </x:c>
      <x:c r="K608" s="14" t="str">
        <x:v>Feste WÖk-Kalibrierung</x:v>
      </x:c>
      <x:c r="L608" s="14" t="str">
        <x:v>Arbeitskalibrierung – fachlich zu validieren</x:v>
      </x:c>
      <x:c r="M608" s="14" t="str">
        <x:v>WÖk-interne Klassenlogik</x:v>
      </x:c>
      <x:c r="N608" s="14" t="str">
        <x:v>Optional/Nein</x:v>
      </x:c>
      <x:c r="O608" s="14" t="str">
        <x:v>SROI/SDG17</x:v>
      </x:c>
      <x:c r="P608" s="14" t="str">
        <x:v>SDG 16/17, WJP, V‑Dem</x:v>
      </x:c>
      <x:c r="Q608" s="14" t="str">
        <x:v>Methodischer Platzhalter; konkrete Fach- und Primärdatenquelle erforderlich</x:v>
      </x:c>
      <x:c r="R608" s="14" t="str">
        <x:v>Platzhalter – fachliche Operationalisierung offen</x:v>
      </x:c>
      <x:c r="S608" s="14" t="str">
        <x:v>INT-WOEK-TSROI; SVI-SROI; UN-SDG</x:v>
      </x:c>
      <x:c r="T608" s="14" t="str">
        <x:v>G47 Handel; K Versicherungen; M72 F&amp;E</x:v>
      </x:c>
      <x:c r="U608" s="14" t="str">
        <x:v>Legacy / nicht explizit versioniert</x:v>
      </x:c>
      <x:c r="V608" s="51" t="str"/>
      <x:c r="W608" s="14" t="str">
        <x:v>Migration auf NACE Rev. 2.1 erforderlich</x:v>
      </x:c>
      <x:c r="X608" s="14" t="str">
        <x:v>Programm/Portfolio/Systemraum; Empfängergruppe, Region und Zeitraum explizit definieren</x:v>
      </x:c>
      <x:c r="Y608" s="14" t="str">
        <x:v>Siehe Quelle: Definition gemäß Standard (ESRS/GRI/Taxonomie/ISO).</x:v>
      </x:c>
      <x:c r="Z608" s="14" t="str">
        <x:v>Primärdaten bevorzugt; Sekundärdaten nur transparent und versioniert; Methode und Systemgrenze dokumentieren</x:v>
      </x:c>
      <x:c r="AA608" s="14" t="str">
        <x:v>Limited Assurance; risikobasiert höhere Prüftiefe</x:v>
      </x:c>
      <x:c r="AB608" s="14" t="str">
        <x:v>Fachlogik nicht abschließend operationalisiert</x:v>
      </x:c>
      <x:c r="AC608" s="14" t="str">
        <x:v>Kritisch</x:v>
      </x:c>
      <x:c r="AD608" s="14" t="str">
        <x:v>SROI/SDG 17 ist keine hinreichend konkrete Mess- oder Schwellenquelle. Vollständige fünfstufige numerische Regel.</x:v>
      </x:c>
      <x:c r="AE608" s="14" t="str">
        <x:v>v1.4</x:v>
      </x:c>
      <x:c r="AF608" s="52" t="str">
        <x:v>2026-08-16</x:v>
      </x:c>
      <x:c r="AG608" s="52"/>
    </x:row>
    <x:row r="609" ht="42" customHeight="1">
      <x:c r="A609" s="14" t="str">
        <x:v>WOK-SYS-213</x:v>
      </x:c>
      <x:c r="B609" s="14" t="str">
        <x:v>SDG+ – Transparenz/Open Data</x:v>
      </x:c>
      <x:c r="C609" s="14" t="str">
        <x:v>—</x:v>
      </x:c>
      <x:c r="D609" s="14" t="str">
        <x:v>Maschinenlesbare Offenlegung</x:v>
      </x:c>
      <x:c r="E609" s="14" t="str">
        <x:v>Maschinenlesbare Offenlegung – Exposure</x:v>
      </x:c>
      <x:c r="F609" s="14" t="str">
        <x:v>Umsatz in Hochrisikoländern</x:v>
      </x:c>
      <x:c r="G609" s="14" t="str">
        <x:v>%</x:v>
      </x:c>
      <x:c r="H609" s="14" t="str">
        <x:v>lower_is_better</x:v>
      </x:c>
      <x:c r="I609" s="14" t="str">
        <x:v>R13</x:v>
      </x:c>
      <x:c r="J609" s="14" t="str">
        <x:v>≤5:+3; 6–10:+2; 11–20:0; 21–30:‑2; &gt;30:‑3</x:v>
      </x:c>
      <x:c r="K609" s="14" t="str">
        <x:v>Feste WÖk-Kalibrierung</x:v>
      </x:c>
      <x:c r="L609" s="14" t="str">
        <x:v>Arbeitskalibrierung – fachlich zu validieren</x:v>
      </x:c>
      <x:c r="M609" s="14" t="str">
        <x:v>WÖk-interne Klassenlogik</x:v>
      </x:c>
      <x:c r="N609" s="14" t="str">
        <x:v>Optional/Nein</x:v>
      </x:c>
      <x:c r="O609" s="14" t="str">
        <x:v>SROI/SDG17</x:v>
      </x:c>
      <x:c r="P609" s="14" t="str">
        <x:v>SROI/SDG17</x:v>
      </x:c>
      <x:c r="Q609" s="14" t="str">
        <x:v>Methodischer Platzhalter; konkrete Fach- und Primärdatenquelle erforderlich</x:v>
      </x:c>
      <x:c r="R609" s="14" t="str">
        <x:v>Platzhalter – fachliche Operationalisierung offen</x:v>
      </x:c>
      <x:c r="S609" s="14" t="str">
        <x:v>INT-WOEK-TSROI; SVI-SROI; UN-SDG</x:v>
      </x:c>
      <x:c r="T609" s="14" t="str">
        <x:v>G47 Handel; K Versicherungen; M72 F&amp;E</x:v>
      </x:c>
      <x:c r="U609" s="14" t="str">
        <x:v>Legacy / nicht explizit versioniert</x:v>
      </x:c>
      <x:c r="V609" s="51" t="str"/>
      <x:c r="W609" s="14" t="str">
        <x:v>Migration auf NACE Rev. 2.1 erforderlich</x:v>
      </x:c>
      <x:c r="X609" s="14" t="str">
        <x:v>Programm/Portfolio/Systemraum; Empfängergruppe, Region und Zeitraum explizit definieren</x:v>
      </x:c>
      <x:c r="Y609" s="14" t="str">
        <x:v>Siehe Quelle: Definition gemäß Standard (ESRS/GRI/Taxonomie/ISO).</x:v>
      </x:c>
      <x:c r="Z609" s="14" t="str">
        <x:v>Primärdaten bevorzugt; Sekundärdaten nur transparent und versioniert; Methode und Systemgrenze dokumentieren</x:v>
      </x:c>
      <x:c r="AA609" s="14" t="str">
        <x:v>Limited Assurance; risikobasiert höhere Prüftiefe</x:v>
      </x:c>
      <x:c r="AB609" s="14" t="str">
        <x:v>Fachlogik nicht abschließend operationalisiert</x:v>
      </x:c>
      <x:c r="AC609" s="14" t="str">
        <x:v>Kritisch</x:v>
      </x:c>
      <x:c r="AD609" s="14" t="str">
        <x:v>SROI/SDG 17 ist keine hinreichend konkrete Mess- oder Schwellenquelle. Vollständige fünfstufige numerische Regel.</x:v>
      </x:c>
      <x:c r="AE609" s="14" t="str">
        <x:v>v1.4</x:v>
      </x:c>
      <x:c r="AF609" s="52" t="str">
        <x:v>2026-08-16</x:v>
      </x:c>
      <x:c r="AG609" s="52"/>
    </x:row>
    <x:row r="610" ht="42" customHeight="1">
      <x:c r="A610" s="14" t="str">
        <x:v>WOK-SYS-214</x:v>
      </x:c>
      <x:c r="B610" s="14" t="str">
        <x:v>SDG+ – Transparenz/Open Data</x:v>
      </x:c>
      <x:c r="C610" s="14" t="str">
        <x:v>—</x:v>
      </x:c>
      <x:c r="D610" s="14" t="str">
        <x:v>Maschinenlesbare Offenlegung</x:v>
      </x:c>
      <x:c r="E610" s="14" t="str">
        <x:v>Maschinenlesbare Offenlegung – Kooperationen</x:v>
      </x:c>
      <x:c r="F610" s="14" t="str">
        <x:v>aktive, evaluierte Partnerschaften/Jahr</x:v>
      </x:c>
      <x:c r="G610" s="14" t="str">
        <x:v>#/Jahr</x:v>
      </x:c>
      <x:c r="H610" s="14" t="str">
        <x:v>higher_is_better</x:v>
      </x:c>
      <x:c r="I610" s="14" t="str">
        <x:v>R20</x:v>
      </x:c>
      <x:c r="J610" s="14" t="str">
        <x:v>≥5:+3; 3–4:+2; 1–2:0; 0:‑2</x:v>
      </x:c>
      <x:c r="K610" s="14" t="str">
        <x:v>Feste WÖk-Grobkalibrierung</x:v>
      </x:c>
      <x:c r="L610" s="14" t="str">
        <x:v>Klasse −3 nur für negative/unzulässige Werte ergänzt</x:v>
      </x:c>
      <x:c r="M610" s="14" t="str">
        <x:v>WÖk-interne Grobkalibrierung</x:v>
      </x:c>
      <x:c r="N610" s="14" t="str">
        <x:v>Optional/Nein</x:v>
      </x:c>
      <x:c r="O610" s="14" t="str">
        <x:v>SROI/SDG17</x:v>
      </x:c>
      <x:c r="P610" s="14" t="str">
        <x:v>SDG 16/17, WJP, V‑Dem</x:v>
      </x:c>
      <x:c r="Q610" s="14" t="str">
        <x:v>Methodischer Platzhalter; konkrete Fach- und Primärdatenquelle erforderlich</x:v>
      </x:c>
      <x:c r="R610" s="14" t="str">
        <x:v>Platzhalter – fachliche Operationalisierung offen</x:v>
      </x:c>
      <x:c r="S610" s="14" t="str">
        <x:v>INT-WOEK-TSROI; SVI-SROI; UN-SDG</x:v>
      </x:c>
      <x:c r="T610" s="14" t="str">
        <x:v>G47 Handel; K Versicherungen; M72 F&amp;E</x:v>
      </x:c>
      <x:c r="U610" s="14" t="str">
        <x:v>Legacy / nicht explizit versioniert</x:v>
      </x:c>
      <x:c r="V610" s="51" t="str"/>
      <x:c r="W610" s="14" t="str">
        <x:v>Migration auf NACE Rev. 2.1 erforderlich</x:v>
      </x:c>
      <x:c r="X610" s="14" t="str">
        <x:v>Programm/Portfolio/Systemraum; Empfängergruppe, Region und Zeitraum explizit definieren</x:v>
      </x:c>
      <x:c r="Y610" s="14" t="str">
        <x:v>Siehe Quelle: Definition gemäß Standard (ESRS/GRI/Taxonomie/ISO).</x:v>
      </x:c>
      <x:c r="Z610" s="14" t="str">
        <x:v>Primärdaten bevorzugt; Sekundärdaten nur transparent und versioniert; Methode und Systemgrenze dokumentieren</x:v>
      </x:c>
      <x:c r="AA610" s="14" t="str">
        <x:v>Limited Assurance; risikobasiert höhere Prüftiefe</x:v>
      </x:c>
      <x:c r="AB610" s="14" t="str">
        <x:v>Fachlogik nicht abschließend operationalisiert</x:v>
      </x:c>
      <x:c r="AC610" s="14" t="str">
        <x:v>Kritisch</x:v>
      </x:c>
      <x:c r="AD610" s="14" t="str">
        <x:v>SROI/SDG 17 ist keine hinreichend konkrete Mess- oder Schwellenquelle. Für sachlogisch nichtnegative Zählwerte ist 0 die schlechteste reguläre Klasse (−2).</x:v>
      </x:c>
      <x:c r="AE610" s="14" t="str">
        <x:v>v1.4</x:v>
      </x:c>
      <x:c r="AF610" s="52" t="str">
        <x:v>2026-08-16</x:v>
      </x:c>
      <x:c r="AG610" s="52"/>
    </x:row>
    <x:row r="611" ht="42" customHeight="1">
      <x:c r="A611" s="14" t="str">
        <x:v>WOK-G-242</x:v>
      </x:c>
      <x:c r="B611" s="14" t="str">
        <x:v>SDG+ – Transparenz/Open Data</x:v>
      </x:c>
      <x:c r="C611" s="14" t="str">
        <x:v>—</x:v>
      </x:c>
      <x:c r="D611" s="14" t="str">
        <x:v>Steuer‑ &amp; Finanztransparenz</x:v>
      </x:c>
      <x:c r="E611" s="14" t="str">
        <x:v>Steuer‑ &amp; Finanztransparenz – Antikorruption</x:v>
      </x:c>
      <x:c r="F611" s="14" t="str">
        <x:v>Bestätigte Fälle/1.000 FTE</x:v>
      </x:c>
      <x:c r="G611" s="14" t="str">
        <x:v>Fälle/1.000 FTE</x:v>
      </x:c>
      <x:c r="H611" s="14" t="str">
        <x:v>lower_is_better</x:v>
      </x:c>
      <x:c r="I611" s="14" t="str">
        <x:v>R01</x:v>
      </x:c>
      <x:c r="J611" s="14" t="str">
        <x:v>0:+3; ≤0,2:+2; ≤0,5:0; ≤1:‑2; &gt;1:‑3</x:v>
      </x:c>
      <x:c r="K611" s="14" t="str">
        <x:v>Feste WÖk-Kalibrierung</x:v>
      </x:c>
      <x:c r="L611" s="14" t="str">
        <x:v>Arbeitskalibrierung – fachlich zu validieren</x:v>
      </x:c>
      <x:c r="M611" s="14" t="str">
        <x:v>WÖk-interne Klassenlogik</x:v>
      </x:c>
      <x:c r="N611" s="14" t="str">
        <x:v>Optional/Nein</x:v>
      </x:c>
      <x:c r="O611" s="14" t="str">
        <x:v>ESRS G1; GRI 205/207</x:v>
      </x:c>
      <x:c r="P611" s="14" t="str">
        <x:v>ESRS G1, GRI 205/207, OECD Anti‑Bribery</x:v>
      </x:c>
      <x:c r="Q611" s="14" t="str">
        <x:v>Mess-, Berichts- oder Managementrahmen; Schwellen sind grundsätzlich WÖk-Kalibrierungen</x:v>
      </x:c>
      <x:c r="R611" s="14" t="str">
        <x:v>Messgrundlage belegt; Schwellenkalibrierung offen</x:v>
      </x:c>
      <x:c r="S611" s="14" t="str">
        <x:v>EU-ESRS; GRI; OECD-AB</x:v>
      </x:c>
      <x:c r="T611" s="14" t="str">
        <x:v>G47 Handel; K Versicherungen; M72 F&amp;E</x:v>
      </x:c>
      <x:c r="U611" s="14" t="str">
        <x:v>Legacy / nicht explizit versioniert</x:v>
      </x:c>
      <x:c r="V611" s="51" t="str"/>
      <x:c r="W611" s="14" t="str">
        <x:v>Migration auf NACE Rev. 2.1 erforderlich</x:v>
      </x:c>
      <x:c r="X611" s="14" t="str">
        <x:v>Organisation/Governance; konsolidierter Kreis und relevante Rechtseinheiten</x:v>
      </x:c>
      <x:c r="Y611" s="14" t="str">
        <x:v>Siehe Quelle: Definition gemäß Standard (ESRS/GRI/Taxonomie/ISO).</x:v>
      </x:c>
      <x:c r="Z611" s="14" t="str">
        <x:v>Primärdaten bevorzugt; Sekundärdaten nur transparent und versioniert; Methode und Systemgrenze dokumentieren</x:v>
      </x:c>
      <x:c r="AA611" s="14" t="str">
        <x:v>Limited Assurance; risikobasiert höhere Prüftiefe</x:v>
      </x:c>
      <x:c r="AB611" s="14" t="str">
        <x:v>Strukturell nutzbar; Schwellen fachlich zu validieren</x:v>
      </x:c>
      <x:c r="AC611" s="14" t="str">
        <x:v>Mittel</x:v>
      </x:c>
      <x:c r="AD611" s="14" t="str">
        <x:v>Vollständige fünfstufige numerische Regel.</x:v>
      </x:c>
      <x:c r="AE611" s="14" t="str">
        <x:v>v1.4</x:v>
      </x:c>
      <x:c r="AF611" s="52" t="str">
        <x:v>2026-08-16</x:v>
      </x:c>
      <x:c r="AG611" s="52"/>
    </x:row>
    <x:row r="612" ht="42" customHeight="1">
      <x:c r="A612" s="14" t="str">
        <x:v>WOK-G-243</x:v>
      </x:c>
      <x:c r="B612" s="14" t="str">
        <x:v>SDG+ – Transparenz/Open Data</x:v>
      </x:c>
      <x:c r="C612" s="14" t="str">
        <x:v>—</x:v>
      </x:c>
      <x:c r="D612" s="14" t="str">
        <x:v>Steuer‑ &amp; Finanztransparenz</x:v>
      </x:c>
      <x:c r="E612" s="14" t="str">
        <x:v>Steuer‑ &amp; Finanztransparenz – Whistleblowing</x:v>
      </x:c>
      <x:c r="F612" s="14" t="str">
        <x:v>Wirksamkeits‑Score</x:v>
      </x:c>
      <x:c r="G612" s="14" t="str">
        <x:v>0–1</x:v>
      </x:c>
      <x:c r="H612" s="14" t="str">
        <x:v>higher_is_better</x:v>
      </x:c>
      <x:c r="I612" s="14" t="str">
        <x:v>R16</x:v>
      </x:c>
      <x:c r="J612" s="14" t="str">
        <x:v>≥0,9:+3; 0,75–0,89:+2; 0,6–0,74:0; 0,4–0,59:‑2; &lt;0,4:‑3</x:v>
      </x:c>
      <x:c r="K612" s="14" t="str">
        <x:v>Feste WÖk-Kalibrierung</x:v>
      </x:c>
      <x:c r="L612" s="14" t="str">
        <x:v>Arbeitskalibrierung – fachlich zu validieren</x:v>
      </x:c>
      <x:c r="M612" s="14" t="str">
        <x:v>WÖk-interne Klassenlogik</x:v>
      </x:c>
      <x:c r="N612" s="14" t="str">
        <x:v>Optional/Nein</x:v>
      </x:c>
      <x:c r="O612" s="14" t="str">
        <x:v>ESRS G1; GRI 205/207</x:v>
      </x:c>
      <x:c r="P612" s="14" t="str">
        <x:v>ESRS G1, GRI 205/207, OECD Anti‑Bribery</x:v>
      </x:c>
      <x:c r="Q612" s="14" t="str">
        <x:v>Mess-, Berichts- oder Managementrahmen; Schwellen sind grundsätzlich WÖk-Kalibrierungen</x:v>
      </x:c>
      <x:c r="R612" s="14" t="str">
        <x:v>Messgrundlage belegt; Schwellenkalibrierung offen</x:v>
      </x:c>
      <x:c r="S612" s="14" t="str">
        <x:v>EU-ESRS; GRI; OECD-AB</x:v>
      </x:c>
      <x:c r="T612" s="14" t="str">
        <x:v>G47 Handel; K Versicherungen; M72 F&amp;E</x:v>
      </x:c>
      <x:c r="U612" s="14" t="str">
        <x:v>Legacy / nicht explizit versioniert</x:v>
      </x:c>
      <x:c r="V612" s="51" t="str"/>
      <x:c r="W612" s="14" t="str">
        <x:v>Migration auf NACE Rev. 2.1 erforderlich</x:v>
      </x:c>
      <x:c r="X612" s="14" t="str">
        <x:v>Organisation/Governance; konsolidierter Kreis und relevante Rechtseinheiten</x:v>
      </x:c>
      <x:c r="Y612" s="14" t="str">
        <x:v>Siehe Quelle: Definition gemäß Standard (ESRS/GRI/Taxonomie/ISO).</x:v>
      </x:c>
      <x:c r="Z612" s="14" t="str">
        <x:v>Primärdaten bevorzugt; Sekundärdaten nur transparent und versioniert; Methode und Systemgrenze dokumentieren</x:v>
      </x:c>
      <x:c r="AA612" s="14" t="str">
        <x:v>Limited Assurance; risikobasiert höhere Prüftiefe</x:v>
      </x:c>
      <x:c r="AB612" s="14" t="str">
        <x:v>Strukturell nutzbar; Schwellen fachlich zu validieren</x:v>
      </x:c>
      <x:c r="AC612" s="14" t="str">
        <x:v>Mittel</x:v>
      </x:c>
      <x:c r="AD612" s="14" t="str">
        <x:v>Vollständige fünfstufige numerische Regel.</x:v>
      </x:c>
      <x:c r="AE612" s="14" t="str">
        <x:v>v1.4</x:v>
      </x:c>
      <x:c r="AF612" s="52" t="str">
        <x:v>2026-08-16</x:v>
      </x:c>
      <x:c r="AG612" s="52"/>
    </x:row>
    <x:row r="613" ht="42" customHeight="1">
      <x:c r="A613" s="14" t="str">
        <x:v>WOK-G-244</x:v>
      </x:c>
      <x:c r="B613" s="14" t="str">
        <x:v>SDG+ – Transparenz/Open Data</x:v>
      </x:c>
      <x:c r="C613" s="14" t="str">
        <x:v>—</x:v>
      </x:c>
      <x:c r="D613" s="14" t="str">
        <x:v>Steuer‑ &amp; Finanztransparenz</x:v>
      </x:c>
      <x:c r="E613" s="14" t="str">
        <x:v>Steuer‑ &amp; Finanztransparenz – Steuertransparenz</x:v>
      </x:c>
      <x:c r="F613" s="14" t="str">
        <x:v>CbCR‑Offenlegung</x:v>
      </x:c>
      <x:c r="G613" s="14" t="str">
        <x:v>0–1</x:v>
      </x:c>
      <x:c r="H613" s="14" t="str">
        <x:v>higher_is_better</x:v>
      </x:c>
      <x:c r="I613" s="14" t="str">
        <x:v>R08</x:v>
      </x:c>
      <x:c r="J613" s="14" t="str">
        <x:v>vollständig:+3; teilweise:+2; minimal:0; schlecht:‑2</x:v>
      </x:c>
      <x:c r="K613" s="14" t="str">
        <x:v>Qualitativ</x:v>
      </x:c>
      <x:c r="L613" s="14" t="str">
        <x:v>Assurance und Kriterienkatalog erforderlich</x:v>
      </x:c>
      <x:c r="M613" s="14" t="str">
        <x:v>WÖk-interne Kategorien</x:v>
      </x:c>
      <x:c r="N613" s="14" t="str">
        <x:v>Optional/Nein</x:v>
      </x:c>
      <x:c r="O613" s="14" t="str">
        <x:v>ESRS G1; GRI 205/207</x:v>
      </x:c>
      <x:c r="P613" s="14" t="str">
        <x:v>ESRS G1, GRI 205/207, OECD Anti‑Bribery</x:v>
      </x:c>
      <x:c r="Q613" s="14" t="str">
        <x:v>Mess-, Berichts- oder Managementrahmen; Schwellen sind grundsätzlich WÖk-Kalibrierungen</x:v>
      </x:c>
      <x:c r="R613" s="14" t="str">
        <x:v>Messgrundlage belegt; Schwellenkalibrierung offen</x:v>
      </x:c>
      <x:c r="S613" s="14" t="str">
        <x:v>EU-ESRS; GRI; OECD-AB</x:v>
      </x:c>
      <x:c r="T613" s="14" t="str">
        <x:v>G47 Handel; K Versicherungen; M72 F&amp;E</x:v>
      </x:c>
      <x:c r="U613" s="14" t="str">
        <x:v>Legacy / nicht explizit versioniert</x:v>
      </x:c>
      <x:c r="V613" s="51" t="str"/>
      <x:c r="W613" s="14" t="str">
        <x:v>Migration auf NACE Rev. 2.1 erforderlich</x:v>
      </x:c>
      <x:c r="X613" s="14" t="str">
        <x:v>Organisation/Governance; konsolidierter Kreis und relevante Rechtseinheiten</x:v>
      </x:c>
      <x:c r="Y613" s="14" t="str">
        <x:v>Siehe Quelle: Definition gemäß Standard (ESRS/GRI/Taxonomie/ISO).</x:v>
      </x:c>
      <x:c r="Z613" s="14" t="str">
        <x:v>Dokumentierter Kriterienkatalog; nachvollziehbare Evidenz; DQR A/B bevorzugt</x:v>
      </x:c>
      <x:c r="AA613" s="14" t="str">
        <x:v>Unabhängige Fachprüfung/Limited Assurance; bei roten Linien Reasonable Assurance</x:v>
      </x:c>
      <x:c r="AB613" s="14" t="str">
        <x:v>Prüfung/Parametrisierung erforderlich</x:v>
      </x:c>
      <x:c r="AC613" s="14" t="str">
        <x:v>Hoch</x:v>
      </x:c>
      <x:c r="AD613" s="14" t="str">
        <x:v>Die Kategorie −3 fehlt; Vollständigkeit und Wirksamkeit sind feldspezifisch zu definieren.</x:v>
      </x:c>
      <x:c r="AE613" s="14" t="str">
        <x:v>v1.4</x:v>
      </x:c>
      <x:c r="AF613" s="52" t="str">
        <x:v>2026-08-16</x:v>
      </x:c>
      <x:c r="AG613" s="52"/>
    </x:row>
    <x:row r="614" ht="42" customHeight="1">
      <x:c r="A614" s="14" t="str">
        <x:v>WOK-SC-170</x:v>
      </x:c>
      <x:c r="B614" s="14" t="str">
        <x:v>SDG+ – Transparenz/Open Data</x:v>
      </x:c>
      <x:c r="C614" s="14" t="str">
        <x:v>—</x:v>
      </x:c>
      <x:c r="D614" s="14" t="str">
        <x:v>Lieferkette Daten‑Coverage</x:v>
      </x:c>
      <x:c r="E614" s="14" t="str">
        <x:v>Lieferkette Daten‑Coverage – ESG‑Spend‑Coverage</x:v>
      </x:c>
      <x:c r="F614" s="14" t="str">
        <x:v>Anteil verifizierter ESG‑Daten am Spend</x:v>
      </x:c>
      <x:c r="G614" s="14" t="str">
        <x:v>%</x:v>
      </x:c>
      <x:c r="H614" s="14" t="str">
        <x:v>higher_is_better</x:v>
      </x:c>
      <x:c r="I614" s="14" t="str">
        <x:v>R26</x:v>
      </x:c>
      <x:c r="J614" s="14" t="str">
        <x:v>≥90:+3; 70–89:+2; 50–69:0; 30–49:‑2; &lt;30:‑3</x:v>
      </x:c>
      <x:c r="K614" s="14" t="str">
        <x:v>Feste WÖk-Kalibrierung</x:v>
      </x:c>
      <x:c r="L614" s="14" t="str">
        <x:v>Arbeitskalibrierung – fachlich zu validieren</x:v>
      </x:c>
      <x:c r="M614" s="14" t="str">
        <x:v>WÖk-interne Klassenlogik</x:v>
      </x:c>
      <x:c r="N614" s="14" t="str">
        <x:v>Optional/Nein</x:v>
      </x:c>
      <x:c r="O614" s="14" t="str">
        <x:v>ESRS S2; GRI 308/414/408/409</x:v>
      </x:c>
      <x:c r="P614" s="14" t="str">
        <x:v>ESRS S2, GRI 308/414, OECD Due Diligence</x:v>
      </x:c>
      <x:c r="Q614" s="14" t="str">
        <x:v>Mess-, Berichts- oder Managementrahmen; Schwellen sind grundsätzlich WÖk-Kalibrierungen</x:v>
      </x:c>
      <x:c r="R614" s="14" t="str">
        <x:v>Messgrundlage belegt; Schwellenkalibrierung offen</x:v>
      </x:c>
      <x:c r="S614" s="14" t="str">
        <x:v>EU-ESRS; GRI; OECD-DD; ILO-CORE</x:v>
      </x:c>
      <x:c r="T614" s="14" t="str">
        <x:v>C20 Chemie; C24 Stahl; C29 Fahrzeuge</x:v>
      </x:c>
      <x:c r="U614" s="14" t="str">
        <x:v>Legacy / nicht explizit versioniert</x:v>
      </x:c>
      <x:c r="V614" s="51" t="str"/>
      <x:c r="W614" s="14" t="str">
        <x:v>Migration auf NACE Rev. 2.1 erforderlich</x:v>
      </x:c>
      <x:c r="X614" s="14" t="str">
        <x:v>Vorgelagerte Lieferkette; relevante Tier-Stufen und Beschaffungsvolumen</x:v>
      </x:c>
      <x:c r="Y614" s="14" t="str">
        <x:v>Quote = Zähler / Nenner gemäß Quelle; in %.</x:v>
      </x:c>
      <x:c r="Z614" s="14" t="str">
        <x:v>Primärdaten bevorzugt; Sekundärdaten nur transparent und versioniert; Methode und Systemgrenze dokumentieren</x:v>
      </x:c>
      <x:c r="AA614" s="14" t="str">
        <x:v>Limited Assurance; risikobasiert höhere Prüftiefe</x:v>
      </x:c>
      <x:c r="AB614" s="14" t="str">
        <x:v>Strukturell nutzbar; Schwellen fachlich zu validieren</x:v>
      </x:c>
      <x:c r="AC614" s="14" t="str">
        <x:v>Mittel</x:v>
      </x:c>
      <x:c r="AD614" s="14" t="str">
        <x:v>Vollständige fünfstufige numerische Regel.</x:v>
      </x:c>
      <x:c r="AE614" s="14" t="str">
        <x:v>v1.4</x:v>
      </x:c>
      <x:c r="AF614" s="52" t="str">
        <x:v>2026-08-16</x:v>
      </x:c>
      <x:c r="AG614" s="52"/>
    </x:row>
    <x:row r="615" ht="42" customHeight="1">
      <x:c r="A615" s="14" t="str">
        <x:v>WOK-SC-171</x:v>
      </x:c>
      <x:c r="B615" s="14" t="str">
        <x:v>SDG+ – Transparenz/Open Data</x:v>
      </x:c>
      <x:c r="C615" s="14" t="str">
        <x:v>—</x:v>
      </x:c>
      <x:c r="D615" s="14" t="str">
        <x:v>Lieferkette Daten‑Coverage</x:v>
      </x:c>
      <x:c r="E615" s="14" t="str">
        <x:v>Lieferkette Daten‑Coverage – Kinder/Zwangsarbeit</x:v>
      </x:c>
      <x:c r="F615" s="14" t="str">
        <x:v>Audits ohne Verstöße</x:v>
      </x:c>
      <x:c r="G615" s="14" t="str">
        <x:v>% Lieferanten</x:v>
      </x:c>
      <x:c r="H615" s="14" t="str">
        <x:v>higher_is_better</x:v>
      </x:c>
      <x:c r="I615" s="14" t="str">
        <x:v>R28</x:v>
      </x:c>
      <x:c r="J615" s="14" t="str">
        <x:v>≥98:+3; 90–97:+2; 75–89:0; 50–74:‑2; &lt;50:‑3</x:v>
      </x:c>
      <x:c r="K615" s="14" t="str">
        <x:v>Feste WÖk-Kalibrierung</x:v>
      </x:c>
      <x:c r="L615" s="14" t="str">
        <x:v>Arbeitskalibrierung – fachlich zu validieren</x:v>
      </x:c>
      <x:c r="M615" s="14" t="str">
        <x:v>WÖk-interne Klassenlogik</x:v>
      </x:c>
      <x:c r="N615" s="14" t="str">
        <x:v>Optional/Nein</x:v>
      </x:c>
      <x:c r="O615" s="14" t="str">
        <x:v>ESRS S2; GRI 308/414/408/409</x:v>
      </x:c>
      <x:c r="P615" s="14" t="str">
        <x:v>ESRS S2, GRI 308/414, OECD Due Diligence</x:v>
      </x:c>
      <x:c r="Q615" s="14" t="str">
        <x:v>Mess-, Berichts- oder Managementrahmen; Schwellen sind grundsätzlich WÖk-Kalibrierungen</x:v>
      </x:c>
      <x:c r="R615" s="14" t="str">
        <x:v>Messgrundlage belegt; Schwellenkalibrierung offen</x:v>
      </x:c>
      <x:c r="S615" s="14" t="str">
        <x:v>EU-ESRS; GRI; OECD-DD; ILO-CORE</x:v>
      </x:c>
      <x:c r="T615" s="14" t="str">
        <x:v>C20 Chemie; C24 Stahl; C29 Fahrzeuge</x:v>
      </x:c>
      <x:c r="U615" s="14" t="str">
        <x:v>Legacy / nicht explizit versioniert</x:v>
      </x:c>
      <x:c r="V615" s="51" t="str"/>
      <x:c r="W615" s="14" t="str">
        <x:v>Migration auf NACE Rev. 2.1 erforderlich</x:v>
      </x:c>
      <x:c r="X615" s="14" t="str">
        <x:v>Vorgelagerte Lieferkette; relevante Tier-Stufen und Beschaffungsvolumen</x:v>
      </x:c>
      <x:c r="Y615" s="14" t="str">
        <x:v>Quote = Zähler / Nenner gemäß Quelle; in %.</x:v>
      </x:c>
      <x:c r="Z615" s="14" t="str">
        <x:v>Primärdaten bevorzugt; Sekundärdaten nur transparent und versioniert; Methode und Systemgrenze dokumentieren</x:v>
      </x:c>
      <x:c r="AA615" s="14" t="str">
        <x:v>Limited Assurance; risikobasiert höhere Prüftiefe</x:v>
      </x:c>
      <x:c r="AB615" s="14" t="str">
        <x:v>Strukturell nutzbar; Schwellen fachlich zu validieren</x:v>
      </x:c>
      <x:c r="AC615" s="14" t="str">
        <x:v>Mittel</x:v>
      </x:c>
      <x:c r="AD615" s="14" t="str">
        <x:v>Vollständige fünfstufige numerische Regel.</x:v>
      </x:c>
      <x:c r="AE615" s="14" t="str">
        <x:v>v1.4</x:v>
      </x:c>
      <x:c r="AF615" s="52" t="str">
        <x:v>2026-08-16</x:v>
      </x:c>
      <x:c r="AG615" s="52"/>
    </x:row>
    <x:row r="616" ht="42" customHeight="1">
      <x:c r="A616" s="14" t="str">
        <x:v>WOK-SC-172</x:v>
      </x:c>
      <x:c r="B616" s="14" t="str">
        <x:v>SDG+ – Transparenz/Open Data</x:v>
      </x:c>
      <x:c r="C616" s="14" t="str">
        <x:v>—</x:v>
      </x:c>
      <x:c r="D616" s="14" t="str">
        <x:v>Lieferkette Daten‑Coverage</x:v>
      </x:c>
      <x:c r="E616" s="14" t="str">
        <x:v>Lieferkette Daten‑Coverage – Scope‑3 Daten</x:v>
      </x:c>
      <x:c r="F616" s="14" t="str">
        <x:v>Primärdaten‑Abdeckung</x:v>
      </x:c>
      <x:c r="G616" s="14" t="str">
        <x:v>% Kategorien</x:v>
      </x:c>
      <x:c r="H616" s="14" t="str">
        <x:v>higher_is_better</x:v>
      </x:c>
      <x:c r="I616" s="14" t="str">
        <x:v>R23</x:v>
      </x:c>
      <x:c r="J616" s="14" t="str">
        <x:v>≥80:+3; 60–79:+2; 40–59:0; 20–39:‑2; &lt;20:‑3</x:v>
      </x:c>
      <x:c r="K616" s="14" t="str">
        <x:v>Feste WÖk-Kalibrierung</x:v>
      </x:c>
      <x:c r="L616" s="14" t="str">
        <x:v>Arbeitskalibrierung – fachlich zu validieren</x:v>
      </x:c>
      <x:c r="M616" s="14" t="str">
        <x:v>WÖk-interne Klassenlogik</x:v>
      </x:c>
      <x:c r="N616" s="14" t="str">
        <x:v>Optional/Nein</x:v>
      </x:c>
      <x:c r="O616" s="14" t="str">
        <x:v>ESRS E1; GHG Protocol</x:v>
      </x:c>
      <x:c r="P616" s="14" t="str">
        <x:v>ESRS E1, GHG Protocol (Corporate/Scope 1–3), ISO 14064/14067</x:v>
      </x:c>
      <x:c r="Q616" s="14" t="str">
        <x:v>Mess-, Berichts- oder Managementrahmen; Schwellen sind grundsätzlich WÖk-Kalibrierungen</x:v>
      </x:c>
      <x:c r="R616" s="14" t="str">
        <x:v>Messgrundlage belegt; Schwellenkalibrierung offen</x:v>
      </x:c>
      <x:c r="S616" s="14" t="str">
        <x:v>EU-ESRS; GHG-CORP; GHG-S3; GHG-PROD</x:v>
      </x:c>
      <x:c r="T616" s="14" t="str">
        <x:v>C20 Chemie; C24 Stahl; C29 Fahrzeuge</x:v>
      </x:c>
      <x:c r="U616" s="14" t="str">
        <x:v>Legacy / nicht explizit versioniert</x:v>
      </x:c>
      <x:c r="V616" s="51" t="str"/>
      <x:c r="W616" s="14" t="str">
        <x:v>Migration auf NACE Rev. 2.1 erforderlich</x:v>
      </x:c>
      <x:c r="X616" s="14" t="str">
        <x:v>Vorgelagerte Lieferkette; relevante Tier-Stufen und Beschaffungsvolumen</x:v>
      </x:c>
      <x:c r="Y616" s="14" t="str">
        <x:v>Quote = Zähler / Nenner gemäß Quelle; in %.</x:v>
      </x:c>
      <x:c r="Z616" s="14" t="str">
        <x:v>Primärdaten bevorzugt; Sekundärdaten nur transparent und versioniert; Methode und Systemgrenze dokumentieren</x:v>
      </x:c>
      <x:c r="AA616" s="14" t="str">
        <x:v>Limited Assurance; risikobasiert höhere Prüftiefe</x:v>
      </x:c>
      <x:c r="AB616" s="14" t="str">
        <x:v>Strukturell nutzbar; Schwellen fachlich zu validieren</x:v>
      </x:c>
      <x:c r="AC616" s="14" t="str">
        <x:v>Mittel</x:v>
      </x:c>
      <x:c r="AD616" s="14" t="str">
        <x:v>Vollständige fünfstufige numerische Regel.</x:v>
      </x:c>
      <x:c r="AE616" s="14" t="str">
        <x:v>v1.4</x:v>
      </x:c>
      <x:c r="AF616" s="52" t="str">
        <x:v>2026-08-16</x:v>
      </x:c>
      <x:c r="AG616" s="52"/>
    </x:row>
    <x:row r="617" ht="42" customHeight="1">
      <x:c r="A617" s="14" t="str">
        <x:v>WOK-SYS-215</x:v>
      </x:c>
      <x:c r="B617" s="14" t="str">
        <x:v>SDG+ – Transparenz/Open Data</x:v>
      </x:c>
      <x:c r="C617" s="14" t="str">
        <x:v>—</x:v>
      </x:c>
      <x:c r="D617" s="14" t="str">
        <x:v>Impact‑APIs/Standards</x:v>
      </x:c>
      <x:c r="E617" s="14" t="str">
        <x:v>Impact‑APIs/Standards – Index</x:v>
      </x:c>
      <x:c r="F617" s="14" t="str">
        <x:v>umsatzgewichteter Index (z. B. Demokratie/Rule of Law)</x:v>
      </x:c>
      <x:c r="G617" s="14" t="str">
        <x:v>0–1</x:v>
      </x:c>
      <x:c r="H617" s="14" t="str">
        <x:v>higher_is_better</x:v>
      </x:c>
      <x:c r="I617" s="14" t="str">
        <x:v>R15</x:v>
      </x:c>
      <x:c r="J617" s="14" t="str">
        <x:v>≥0,8:+3; 0,7–0,79:+2; 0,6–0,69:0; 0,5–0,59:‑2; &lt;0,5:‑3</x:v>
      </x:c>
      <x:c r="K617" s="14" t="str">
        <x:v>Feste WÖk-Kalibrierung</x:v>
      </x:c>
      <x:c r="L617" s="14" t="str">
        <x:v>Arbeitskalibrierung – fachlich zu validieren</x:v>
      </x:c>
      <x:c r="M617" s="14" t="str">
        <x:v>WÖk-interne Klassenlogik</x:v>
      </x:c>
      <x:c r="N617" s="14" t="str">
        <x:v>Optional/Nein</x:v>
      </x:c>
      <x:c r="O617" s="14" t="str">
        <x:v>SROI/SDG17</x:v>
      </x:c>
      <x:c r="P617" s="14" t="str">
        <x:v>SDG 16/17, WJP, V‑Dem</x:v>
      </x:c>
      <x:c r="Q617" s="14" t="str">
        <x:v>Methodischer Platzhalter; konkrete Fach- und Primärdatenquelle erforderlich</x:v>
      </x:c>
      <x:c r="R617" s="14" t="str">
        <x:v>Platzhalter – fachliche Operationalisierung offen</x:v>
      </x:c>
      <x:c r="S617" s="14" t="str">
        <x:v>INT-WOEK-TSROI; SVI-SROI; UN-SDG</x:v>
      </x:c>
      <x:c r="T617" s="14" t="str">
        <x:v>G47 Handel; K Versicherungen; M72 F&amp;E</x:v>
      </x:c>
      <x:c r="U617" s="14" t="str">
        <x:v>Legacy / nicht explizit versioniert</x:v>
      </x:c>
      <x:c r="V617" s="51" t="str"/>
      <x:c r="W617" s="14" t="str">
        <x:v>Migration auf NACE Rev. 2.1 erforderlich</x:v>
      </x:c>
      <x:c r="X617" s="14" t="str">
        <x:v>Programm/Portfolio/Systemraum; Empfängergruppe, Region und Zeitraum explizit definieren</x:v>
      </x:c>
      <x:c r="Y617" s="14" t="str">
        <x:v>Siehe Quelle: Definition gemäß Standard (ESRS/GRI/Taxonomie/ISO).</x:v>
      </x:c>
      <x:c r="Z617" s="14" t="str">
        <x:v>Primärdaten bevorzugt; Sekundärdaten nur transparent und versioniert; Methode und Systemgrenze dokumentieren</x:v>
      </x:c>
      <x:c r="AA617" s="14" t="str">
        <x:v>Limited Assurance; risikobasiert höhere Prüftiefe</x:v>
      </x:c>
      <x:c r="AB617" s="14" t="str">
        <x:v>Fachlogik nicht abschließend operationalisiert</x:v>
      </x:c>
      <x:c r="AC617" s="14" t="str">
        <x:v>Kritisch</x:v>
      </x:c>
      <x:c r="AD617" s="14" t="str">
        <x:v>SROI/SDG 17 ist keine hinreichend konkrete Mess- oder Schwellenquelle. Vollständige fünfstufige numerische Regel.</x:v>
      </x:c>
      <x:c r="AE617" s="14" t="str">
        <x:v>v1.4</x:v>
      </x:c>
      <x:c r="AF617" s="52" t="str">
        <x:v>2026-08-16</x:v>
      </x:c>
      <x:c r="AG617" s="52"/>
    </x:row>
    <x:row r="618" ht="42" customHeight="1">
      <x:c r="A618" s="14" t="str">
        <x:v>WOK-SYS-216</x:v>
      </x:c>
      <x:c r="B618" s="14" t="str">
        <x:v>SDG+ – Transparenz/Open Data</x:v>
      </x:c>
      <x:c r="C618" s="14" t="str">
        <x:v>—</x:v>
      </x:c>
      <x:c r="D618" s="14" t="str">
        <x:v>Impact‑APIs/Standards</x:v>
      </x:c>
      <x:c r="E618" s="14" t="str">
        <x:v>Impact‑APIs/Standards – Exposure</x:v>
      </x:c>
      <x:c r="F618" s="14" t="str">
        <x:v>Umsatz in Hochrisikoländern</x:v>
      </x:c>
      <x:c r="G618" s="14" t="str">
        <x:v>%</x:v>
      </x:c>
      <x:c r="H618" s="14" t="str">
        <x:v>lower_is_better</x:v>
      </x:c>
      <x:c r="I618" s="14" t="str">
        <x:v>R13</x:v>
      </x:c>
      <x:c r="J618" s="14" t="str">
        <x:v>≤5:+3; 6–10:+2; 11–20:0; 21–30:‑2; &gt;30:‑3</x:v>
      </x:c>
      <x:c r="K618" s="14" t="str">
        <x:v>Feste WÖk-Kalibrierung</x:v>
      </x:c>
      <x:c r="L618" s="14" t="str">
        <x:v>Arbeitskalibrierung – fachlich zu validieren</x:v>
      </x:c>
      <x:c r="M618" s="14" t="str">
        <x:v>WÖk-interne Klassenlogik</x:v>
      </x:c>
      <x:c r="N618" s="14" t="str">
        <x:v>Optional/Nein</x:v>
      </x:c>
      <x:c r="O618" s="14" t="str">
        <x:v>SROI/SDG17</x:v>
      </x:c>
      <x:c r="P618" s="14" t="str">
        <x:v>SROI/SDG17</x:v>
      </x:c>
      <x:c r="Q618" s="14" t="str">
        <x:v>Methodischer Platzhalter; konkrete Fach- und Primärdatenquelle erforderlich</x:v>
      </x:c>
      <x:c r="R618" s="14" t="str">
        <x:v>Platzhalter – fachliche Operationalisierung offen</x:v>
      </x:c>
      <x:c r="S618" s="14" t="str">
        <x:v>INT-WOEK-TSROI; SVI-SROI; UN-SDG</x:v>
      </x:c>
      <x:c r="T618" s="14" t="str">
        <x:v>G47 Handel; K Versicherungen; M72 F&amp;E</x:v>
      </x:c>
      <x:c r="U618" s="14" t="str">
        <x:v>Legacy / nicht explizit versioniert</x:v>
      </x:c>
      <x:c r="V618" s="51" t="str"/>
      <x:c r="W618" s="14" t="str">
        <x:v>Migration auf NACE Rev. 2.1 erforderlich</x:v>
      </x:c>
      <x:c r="X618" s="14" t="str">
        <x:v>Programm/Portfolio/Systemraum; Empfängergruppe, Region und Zeitraum explizit definieren</x:v>
      </x:c>
      <x:c r="Y618" s="14" t="str">
        <x:v>Siehe Quelle: Definition gemäß Standard (ESRS/GRI/Taxonomie/ISO).</x:v>
      </x:c>
      <x:c r="Z618" s="14" t="str">
        <x:v>Primärdaten bevorzugt; Sekundärdaten nur transparent und versioniert; Methode und Systemgrenze dokumentieren</x:v>
      </x:c>
      <x:c r="AA618" s="14" t="str">
        <x:v>Limited Assurance; risikobasiert höhere Prüftiefe</x:v>
      </x:c>
      <x:c r="AB618" s="14" t="str">
        <x:v>Fachlogik nicht abschließend operationalisiert</x:v>
      </x:c>
      <x:c r="AC618" s="14" t="str">
        <x:v>Kritisch</x:v>
      </x:c>
      <x:c r="AD618" s="14" t="str">
        <x:v>SROI/SDG 17 ist keine hinreichend konkrete Mess- oder Schwellenquelle. Vollständige fünfstufige numerische Regel.</x:v>
      </x:c>
      <x:c r="AE618" s="14" t="str">
        <x:v>v1.4</x:v>
      </x:c>
      <x:c r="AF618" s="52" t="str">
        <x:v>2026-08-16</x:v>
      </x:c>
      <x:c r="AG618" s="52"/>
    </x:row>
    <x:row r="619" ht="42" customHeight="1">
      <x:c r="A619" s="14" t="str">
        <x:v>WOK-SYS-217</x:v>
      </x:c>
      <x:c r="B619" s="14" t="str">
        <x:v>SDG+ – Transparenz/Open Data</x:v>
      </x:c>
      <x:c r="C619" s="14" t="str">
        <x:v>—</x:v>
      </x:c>
      <x:c r="D619" s="14" t="str">
        <x:v>Impact‑APIs/Standards</x:v>
      </x:c>
      <x:c r="E619" s="14" t="str">
        <x:v>Impact‑APIs/Standards – Kooperationen</x:v>
      </x:c>
      <x:c r="F619" s="14" t="str">
        <x:v>aktive, evaluierte Partnerschaften/Jahr</x:v>
      </x:c>
      <x:c r="G619" s="14" t="str">
        <x:v>#/Jahr</x:v>
      </x:c>
      <x:c r="H619" s="14" t="str">
        <x:v>higher_is_better</x:v>
      </x:c>
      <x:c r="I619" s="14" t="str">
        <x:v>R20</x:v>
      </x:c>
      <x:c r="J619" s="14" t="str">
        <x:v>≥5:+3; 3–4:+2; 1–2:0; 0:‑2</x:v>
      </x:c>
      <x:c r="K619" s="14" t="str">
        <x:v>Feste WÖk-Grobkalibrierung</x:v>
      </x:c>
      <x:c r="L619" s="14" t="str">
        <x:v>Klasse −3 nur für negative/unzulässige Werte ergänzt</x:v>
      </x:c>
      <x:c r="M619" s="14" t="str">
        <x:v>WÖk-interne Grobkalibrierung</x:v>
      </x:c>
      <x:c r="N619" s="14" t="str">
        <x:v>Optional/Nein</x:v>
      </x:c>
      <x:c r="O619" s="14" t="str">
        <x:v>SROI/SDG17</x:v>
      </x:c>
      <x:c r="P619" s="14" t="str">
        <x:v>SDG 16/17, WJP, V‑Dem</x:v>
      </x:c>
      <x:c r="Q619" s="14" t="str">
        <x:v>Methodischer Platzhalter; konkrete Fach- und Primärdatenquelle erforderlich</x:v>
      </x:c>
      <x:c r="R619" s="14" t="str">
        <x:v>Platzhalter – fachliche Operationalisierung offen</x:v>
      </x:c>
      <x:c r="S619" s="14" t="str">
        <x:v>INT-WOEK-TSROI; SVI-SROI; UN-SDG</x:v>
      </x:c>
      <x:c r="T619" s="14" t="str">
        <x:v>G47 Handel; K Versicherungen; M72 F&amp;E</x:v>
      </x:c>
      <x:c r="U619" s="14" t="str">
        <x:v>Legacy / nicht explizit versioniert</x:v>
      </x:c>
      <x:c r="V619" s="51" t="str"/>
      <x:c r="W619" s="14" t="str">
        <x:v>Migration auf NACE Rev. 2.1 erforderlich</x:v>
      </x:c>
      <x:c r="X619" s="14" t="str">
        <x:v>Programm/Portfolio/Systemraum; Empfängergruppe, Region und Zeitraum explizit definieren</x:v>
      </x:c>
      <x:c r="Y619" s="14" t="str">
        <x:v>Siehe Quelle: Definition gemäß Standard (ESRS/GRI/Taxonomie/ISO).</x:v>
      </x:c>
      <x:c r="Z619" s="14" t="str">
        <x:v>Primärdaten bevorzugt; Sekundärdaten nur transparent und versioniert; Methode und Systemgrenze dokumentieren</x:v>
      </x:c>
      <x:c r="AA619" s="14" t="str">
        <x:v>Limited Assurance; risikobasiert höhere Prüftiefe</x:v>
      </x:c>
      <x:c r="AB619" s="14" t="str">
        <x:v>Fachlogik nicht abschließend operationalisiert</x:v>
      </x:c>
      <x:c r="AC619" s="14" t="str">
        <x:v>Kritisch</x:v>
      </x:c>
      <x:c r="AD619" s="14" t="str">
        <x:v>SROI/SDG 17 ist keine hinreichend konkrete Mess- oder Schwellenquelle. Für sachlogisch nichtnegative Zählwerte ist 0 die schlechteste reguläre Klasse (−2).</x:v>
      </x:c>
      <x:c r="AE619" s="14" t="str">
        <x:v>v1.4</x:v>
      </x:c>
      <x:c r="AF619" s="52" t="str">
        <x:v>2026-08-16</x:v>
      </x:c>
      <x:c r="AG619" s="52"/>
    </x:row>
    <x:row r="620" ht="42" customHeight="1">
      <x:c r="A620" s="14" t="str">
        <x:v>WOK-G-245</x:v>
      </x:c>
      <x:c r="B620" s="14" t="str">
        <x:v>SDG+ – Transparenz/Open Data</x:v>
      </x:c>
      <x:c r="C620" s="14" t="str">
        <x:v>—</x:v>
      </x:c>
      <x:c r="D620" s="14" t="str">
        <x:v>Audit‑Assurance Abdeckung</x:v>
      </x:c>
      <x:c r="E620" s="14" t="str">
        <x:v>Audit‑Assurance Abdeckung – Antikorruption</x:v>
      </x:c>
      <x:c r="F620" s="14" t="str">
        <x:v>Bestätigte Fälle/1.000 FTE</x:v>
      </x:c>
      <x:c r="G620" s="14" t="str">
        <x:v>Fälle/1.000 FTE</x:v>
      </x:c>
      <x:c r="H620" s="14" t="str">
        <x:v>lower_is_better</x:v>
      </x:c>
      <x:c r="I620" s="14" t="str">
        <x:v>R01</x:v>
      </x:c>
      <x:c r="J620" s="14" t="str">
        <x:v>0:+3; ≤0,2:+2; ≤0,5:0; ≤1:‑2; &gt;1:‑3</x:v>
      </x:c>
      <x:c r="K620" s="14" t="str">
        <x:v>Feste WÖk-Kalibrierung</x:v>
      </x:c>
      <x:c r="L620" s="14" t="str">
        <x:v>Arbeitskalibrierung – fachlich zu validieren</x:v>
      </x:c>
      <x:c r="M620" s="14" t="str">
        <x:v>WÖk-interne Klassenlogik</x:v>
      </x:c>
      <x:c r="N620" s="14" t="str">
        <x:v>Optional/Nein</x:v>
      </x:c>
      <x:c r="O620" s="14" t="str">
        <x:v>ESRS G1; GRI 205/207</x:v>
      </x:c>
      <x:c r="P620" s="14" t="str">
        <x:v>ESRS S2, GRI 308/414, OECD Due Diligence</x:v>
      </x:c>
      <x:c r="Q620" s="14" t="str">
        <x:v>Mess-, Berichts- oder Managementrahmen; Schwellen sind grundsätzlich WÖk-Kalibrierungen</x:v>
      </x:c>
      <x:c r="R620" s="14" t="str">
        <x:v>Messgrundlage belegt; Schwellenkalibrierung offen</x:v>
      </x:c>
      <x:c r="S620" s="14" t="str">
        <x:v>EU-ESRS; GRI; OECD-AB</x:v>
      </x:c>
      <x:c r="T620" s="14" t="str">
        <x:v>G47 Handel; K Versicherungen; M72 F&amp;E</x:v>
      </x:c>
      <x:c r="U620" s="14" t="str">
        <x:v>Legacy / nicht explizit versioniert</x:v>
      </x:c>
      <x:c r="V620" s="51" t="str"/>
      <x:c r="W620" s="14" t="str">
        <x:v>Migration auf NACE Rev. 2.1 erforderlich</x:v>
      </x:c>
      <x:c r="X620" s="14" t="str">
        <x:v>Organisation/Governance; konsolidierter Kreis und relevante Rechtseinheiten</x:v>
      </x:c>
      <x:c r="Y620" s="14" t="str">
        <x:v>Siehe Quelle: Definition gemäß Standard (ESRS/GRI/Taxonomie/ISO).</x:v>
      </x:c>
      <x:c r="Z620" s="14" t="str">
        <x:v>Primärdaten bevorzugt; Sekundärdaten nur transparent und versioniert; Methode und Systemgrenze dokumentieren</x:v>
      </x:c>
      <x:c r="AA620" s="14" t="str">
        <x:v>Limited Assurance; risikobasiert höhere Prüftiefe</x:v>
      </x:c>
      <x:c r="AB620" s="14" t="str">
        <x:v>Strukturell nutzbar; Schwellen fachlich zu validieren</x:v>
      </x:c>
      <x:c r="AC620" s="14" t="str">
        <x:v>Mittel</x:v>
      </x:c>
      <x:c r="AD620" s="14" t="str">
        <x:v>Vollständige fünfstufige numerische Regel.</x:v>
      </x:c>
      <x:c r="AE620" s="14" t="str">
        <x:v>v1.4</x:v>
      </x:c>
      <x:c r="AF620" s="52" t="str">
        <x:v>2026-08-16</x:v>
      </x:c>
      <x:c r="AG620" s="52"/>
    </x:row>
    <x:row r="621" ht="42" customHeight="1">
      <x:c r="A621" s="14" t="str">
        <x:v>WOK-G-246</x:v>
      </x:c>
      <x:c r="B621" s="14" t="str">
        <x:v>SDG+ – Transparenz/Open Data</x:v>
      </x:c>
      <x:c r="C621" s="14" t="str">
        <x:v>—</x:v>
      </x:c>
      <x:c r="D621" s="14" t="str">
        <x:v>Audit‑Assurance Abdeckung</x:v>
      </x:c>
      <x:c r="E621" s="14" t="str">
        <x:v>Audit‑Assurance Abdeckung – Whistleblowing</x:v>
      </x:c>
      <x:c r="F621" s="14" t="str">
        <x:v>Wirksamkeits‑Score</x:v>
      </x:c>
      <x:c r="G621" s="14" t="str">
        <x:v>0–1</x:v>
      </x:c>
      <x:c r="H621" s="14" t="str">
        <x:v>higher_is_better</x:v>
      </x:c>
      <x:c r="I621" s="14" t="str">
        <x:v>R16</x:v>
      </x:c>
      <x:c r="J621" s="14" t="str">
        <x:v>≥0,9:+3; 0,75–0,89:+2; 0,6–0,74:0; 0,4–0,59:‑2; &lt;0,4:‑3</x:v>
      </x:c>
      <x:c r="K621" s="14" t="str">
        <x:v>Feste WÖk-Kalibrierung</x:v>
      </x:c>
      <x:c r="L621" s="14" t="str">
        <x:v>Arbeitskalibrierung – fachlich zu validieren</x:v>
      </x:c>
      <x:c r="M621" s="14" t="str">
        <x:v>WÖk-interne Klassenlogik</x:v>
      </x:c>
      <x:c r="N621" s="14" t="str">
        <x:v>Optional/Nein</x:v>
      </x:c>
      <x:c r="O621" s="14" t="str">
        <x:v>ESRS G1; GRI 205/207</x:v>
      </x:c>
      <x:c r="P621" s="14" t="str">
        <x:v>ESRS S2, GRI 308/414, OECD Due Diligence</x:v>
      </x:c>
      <x:c r="Q621" s="14" t="str">
        <x:v>Mess-, Berichts- oder Managementrahmen; Schwellen sind grundsätzlich WÖk-Kalibrierungen</x:v>
      </x:c>
      <x:c r="R621" s="14" t="str">
        <x:v>Messgrundlage belegt; Schwellenkalibrierung offen</x:v>
      </x:c>
      <x:c r="S621" s="14" t="str">
        <x:v>EU-ESRS; GRI; OECD-AB</x:v>
      </x:c>
      <x:c r="T621" s="14" t="str">
        <x:v>G47 Handel; K Versicherungen; M72 F&amp;E</x:v>
      </x:c>
      <x:c r="U621" s="14" t="str">
        <x:v>Legacy / nicht explizit versioniert</x:v>
      </x:c>
      <x:c r="V621" s="51" t="str"/>
      <x:c r="W621" s="14" t="str">
        <x:v>Migration auf NACE Rev. 2.1 erforderlich</x:v>
      </x:c>
      <x:c r="X621" s="14" t="str">
        <x:v>Organisation/Governance; konsolidierter Kreis und relevante Rechtseinheiten</x:v>
      </x:c>
      <x:c r="Y621" s="14" t="str">
        <x:v>Siehe Quelle: Definition gemäß Standard (ESRS/GRI/Taxonomie/ISO).</x:v>
      </x:c>
      <x:c r="Z621" s="14" t="str">
        <x:v>Primärdaten bevorzugt; Sekundärdaten nur transparent und versioniert; Methode und Systemgrenze dokumentieren</x:v>
      </x:c>
      <x:c r="AA621" s="14" t="str">
        <x:v>Limited Assurance; risikobasiert höhere Prüftiefe</x:v>
      </x:c>
      <x:c r="AB621" s="14" t="str">
        <x:v>Strukturell nutzbar; Schwellen fachlich zu validieren</x:v>
      </x:c>
      <x:c r="AC621" s="14" t="str">
        <x:v>Mittel</x:v>
      </x:c>
      <x:c r="AD621" s="14" t="str">
        <x:v>Vollständige fünfstufige numerische Regel.</x:v>
      </x:c>
      <x:c r="AE621" s="14" t="str">
        <x:v>v1.4</x:v>
      </x:c>
      <x:c r="AF621" s="52" t="str">
        <x:v>2026-08-16</x:v>
      </x:c>
      <x:c r="AG621" s="52"/>
    </x:row>
    <x:row r="622" ht="42" customHeight="1">
      <x:c r="A622" s="14" t="str">
        <x:v>WOK-G-247</x:v>
      </x:c>
      <x:c r="B622" s="14" t="str">
        <x:v>SDG+ – Transparenz/Open Data</x:v>
      </x:c>
      <x:c r="C622" s="14" t="str">
        <x:v>—</x:v>
      </x:c>
      <x:c r="D622" s="14" t="str">
        <x:v>Audit‑Assurance Abdeckung</x:v>
      </x:c>
      <x:c r="E622" s="14" t="str">
        <x:v>Audit‑Assurance Abdeckung – Steuertransparenz</x:v>
      </x:c>
      <x:c r="F622" s="14" t="str">
        <x:v>CbCR‑Offenlegung</x:v>
      </x:c>
      <x:c r="G622" s="14" t="str">
        <x:v>0–1</x:v>
      </x:c>
      <x:c r="H622" s="14" t="str">
        <x:v>higher_is_better</x:v>
      </x:c>
      <x:c r="I622" s="14" t="str">
        <x:v>R08</x:v>
      </x:c>
      <x:c r="J622" s="14" t="str">
        <x:v>vollständig:+3; teilweise:+2; minimal:0; schlecht:‑2</x:v>
      </x:c>
      <x:c r="K622" s="14" t="str">
        <x:v>Qualitativ</x:v>
      </x:c>
      <x:c r="L622" s="14" t="str">
        <x:v>Assurance und Kriterienkatalog erforderlich</x:v>
      </x:c>
      <x:c r="M622" s="14" t="str">
        <x:v>WÖk-interne Kategorien</x:v>
      </x:c>
      <x:c r="N622" s="14" t="str">
        <x:v>Optional/Nein</x:v>
      </x:c>
      <x:c r="O622" s="14" t="str">
        <x:v>ESRS G1; GRI 205/207</x:v>
      </x:c>
      <x:c r="P622" s="14" t="str">
        <x:v>ESRS S2, GRI 308/414, OECD Due Diligence</x:v>
      </x:c>
      <x:c r="Q622" s="14" t="str">
        <x:v>Mess-, Berichts- oder Managementrahmen; Schwellen sind grundsätzlich WÖk-Kalibrierungen</x:v>
      </x:c>
      <x:c r="R622" s="14" t="str">
        <x:v>Messgrundlage belegt; Schwellenkalibrierung offen</x:v>
      </x:c>
      <x:c r="S622" s="14" t="str">
        <x:v>EU-ESRS; GRI; OECD-AB</x:v>
      </x:c>
      <x:c r="T622" s="14" t="str">
        <x:v>G47 Handel; K Versicherungen; M72 F&amp;E</x:v>
      </x:c>
      <x:c r="U622" s="14" t="str">
        <x:v>Legacy / nicht explizit versioniert</x:v>
      </x:c>
      <x:c r="V622" s="51" t="str"/>
      <x:c r="W622" s="14" t="str">
        <x:v>Migration auf NACE Rev. 2.1 erforderlich</x:v>
      </x:c>
      <x:c r="X622" s="14" t="str">
        <x:v>Organisation/Governance; konsolidierter Kreis und relevante Rechtseinheiten</x:v>
      </x:c>
      <x:c r="Y622" s="14" t="str">
        <x:v>Siehe Quelle: Definition gemäß Standard (ESRS/GRI/Taxonomie/ISO).</x:v>
      </x:c>
      <x:c r="Z622" s="14" t="str">
        <x:v>Dokumentierter Kriterienkatalog; nachvollziehbare Evidenz; DQR A/B bevorzugt</x:v>
      </x:c>
      <x:c r="AA622" s="14" t="str">
        <x:v>Unabhängige Fachprüfung/Limited Assurance; bei roten Linien Reasonable Assurance</x:v>
      </x:c>
      <x:c r="AB622" s="14" t="str">
        <x:v>Prüfung/Parametrisierung erforderlich</x:v>
      </x:c>
      <x:c r="AC622" s="14" t="str">
        <x:v>Hoch</x:v>
      </x:c>
      <x:c r="AD622" s="14" t="str">
        <x:v>Die Kategorie −3 fehlt; Vollständigkeit und Wirksamkeit sind feldspezifisch zu definieren.</x:v>
      </x:c>
      <x:c r="AE622" s="14" t="str">
        <x:v>v1.4</x:v>
      </x:c>
      <x:c r="AF622" s="52" t="str">
        <x:v>2026-08-16</x:v>
      </x:c>
      <x:c r="AG622" s="52"/>
    </x:row>
    <x:row r="623" ht="42" customHeight="1">
      <x:c r="A623" s="14" t="str">
        <x:v>WOK-SYS-218</x:v>
      </x:c>
      <x:c r="B623" s="14" t="str">
        <x:v>SDG+ – Transparenz/Open Data</x:v>
      </x:c>
      <x:c r="C623" s="14" t="str">
        <x:v>—</x:v>
      </x:c>
      <x:c r="D623" s="14" t="str">
        <x:v>Publikations‑Backlog (OA)</x:v>
      </x:c>
      <x:c r="E623" s="14" t="str">
        <x:v>Publikations‑Backlog (OA) – Index</x:v>
      </x:c>
      <x:c r="F623" s="14" t="str">
        <x:v>umsatzgewichteter Index (z. B. Demokratie/Rule of Law)</x:v>
      </x:c>
      <x:c r="G623" s="14" t="str">
        <x:v>0–1</x:v>
      </x:c>
      <x:c r="H623" s="14" t="str">
        <x:v>higher_is_better</x:v>
      </x:c>
      <x:c r="I623" s="14" t="str">
        <x:v>R15</x:v>
      </x:c>
      <x:c r="J623" s="14" t="str">
        <x:v>≥0,8:+3; 0,7–0,79:+2; 0,6–0,69:0; 0,5–0,59:‑2; &lt;0,5:‑3</x:v>
      </x:c>
      <x:c r="K623" s="14" t="str">
        <x:v>Feste WÖk-Kalibrierung</x:v>
      </x:c>
      <x:c r="L623" s="14" t="str">
        <x:v>Arbeitskalibrierung – fachlich zu validieren</x:v>
      </x:c>
      <x:c r="M623" s="14" t="str">
        <x:v>WÖk-interne Klassenlogik</x:v>
      </x:c>
      <x:c r="N623" s="14" t="str">
        <x:v>Optional/Nein</x:v>
      </x:c>
      <x:c r="O623" s="14" t="str">
        <x:v>SROI/SDG17</x:v>
      </x:c>
      <x:c r="P623" s="14" t="str">
        <x:v>SDG 16/17, WJP, V‑Dem</x:v>
      </x:c>
      <x:c r="Q623" s="14" t="str">
        <x:v>Methodischer Platzhalter; konkrete Fach- und Primärdatenquelle erforderlich</x:v>
      </x:c>
      <x:c r="R623" s="14" t="str">
        <x:v>Platzhalter – fachliche Operationalisierung offen</x:v>
      </x:c>
      <x:c r="S623" s="14" t="str">
        <x:v>INT-WOEK-TSROI; SVI-SROI; UN-SDG</x:v>
      </x:c>
      <x:c r="T623" s="14" t="str">
        <x:v>G47 Handel; K Versicherungen; M72 F&amp;E</x:v>
      </x:c>
      <x:c r="U623" s="14" t="str">
        <x:v>Legacy / nicht explizit versioniert</x:v>
      </x:c>
      <x:c r="V623" s="51" t="str"/>
      <x:c r="W623" s="14" t="str">
        <x:v>Migration auf NACE Rev. 2.1 erforderlich</x:v>
      </x:c>
      <x:c r="X623" s="14" t="str">
        <x:v>Programm/Portfolio/Systemraum; Empfängergruppe, Region und Zeitraum explizit definieren</x:v>
      </x:c>
      <x:c r="Y623" s="14" t="str">
        <x:v>Siehe Quelle: Definition gemäß Standard (ESRS/GRI/Taxonomie/ISO).</x:v>
      </x:c>
      <x:c r="Z623" s="14" t="str">
        <x:v>Primärdaten bevorzugt; Sekundärdaten nur transparent und versioniert; Methode und Systemgrenze dokumentieren</x:v>
      </x:c>
      <x:c r="AA623" s="14" t="str">
        <x:v>Limited Assurance; risikobasiert höhere Prüftiefe</x:v>
      </x:c>
      <x:c r="AB623" s="14" t="str">
        <x:v>Fachlogik nicht abschließend operationalisiert</x:v>
      </x:c>
      <x:c r="AC623" s="14" t="str">
        <x:v>Kritisch</x:v>
      </x:c>
      <x:c r="AD623" s="14" t="str">
        <x:v>SROI/SDG 17 ist keine hinreichend konkrete Mess- oder Schwellenquelle. Vollständige fünfstufige numerische Regel.</x:v>
      </x:c>
      <x:c r="AE623" s="14" t="str">
        <x:v>v1.4</x:v>
      </x:c>
      <x:c r="AF623" s="52" t="str">
        <x:v>2026-08-16</x:v>
      </x:c>
      <x:c r="AG623" s="52"/>
    </x:row>
    <x:row r="624" ht="42" customHeight="1">
      <x:c r="A624" s="14" t="str">
        <x:v>WOK-SYS-219</x:v>
      </x:c>
      <x:c r="B624" s="14" t="str">
        <x:v>SDG+ – Transparenz/Open Data</x:v>
      </x:c>
      <x:c r="C624" s="14" t="str">
        <x:v>—</x:v>
      </x:c>
      <x:c r="D624" s="14" t="str">
        <x:v>Publikations‑Backlog (OA)</x:v>
      </x:c>
      <x:c r="E624" s="14" t="str">
        <x:v>Publikations‑Backlog (OA) – Exposure</x:v>
      </x:c>
      <x:c r="F624" s="14" t="str">
        <x:v>Umsatz in Hochrisikoländern</x:v>
      </x:c>
      <x:c r="G624" s="14" t="str">
        <x:v>%</x:v>
      </x:c>
      <x:c r="H624" s="14" t="str">
        <x:v>lower_is_better</x:v>
      </x:c>
      <x:c r="I624" s="14" t="str">
        <x:v>R13</x:v>
      </x:c>
      <x:c r="J624" s="14" t="str">
        <x:v>≤5:+3; 6–10:+2; 11–20:0; 21–30:‑2; &gt;30:‑3</x:v>
      </x:c>
      <x:c r="K624" s="14" t="str">
        <x:v>Feste WÖk-Kalibrierung</x:v>
      </x:c>
      <x:c r="L624" s="14" t="str">
        <x:v>Arbeitskalibrierung – fachlich zu validieren</x:v>
      </x:c>
      <x:c r="M624" s="14" t="str">
        <x:v>WÖk-interne Klassenlogik</x:v>
      </x:c>
      <x:c r="N624" s="14" t="str">
        <x:v>Optional/Nein</x:v>
      </x:c>
      <x:c r="O624" s="14" t="str">
        <x:v>SROI/SDG17</x:v>
      </x:c>
      <x:c r="P624" s="14" t="str">
        <x:v>SROI/SDG17</x:v>
      </x:c>
      <x:c r="Q624" s="14" t="str">
        <x:v>Methodischer Platzhalter; konkrete Fach- und Primärdatenquelle erforderlich</x:v>
      </x:c>
      <x:c r="R624" s="14" t="str">
        <x:v>Platzhalter – fachliche Operationalisierung offen</x:v>
      </x:c>
      <x:c r="S624" s="14" t="str">
        <x:v>INT-WOEK-TSROI; SVI-SROI; UN-SDG</x:v>
      </x:c>
      <x:c r="T624" s="14" t="str">
        <x:v>G47 Handel; K Versicherungen; M72 F&amp;E</x:v>
      </x:c>
      <x:c r="U624" s="14" t="str">
        <x:v>Legacy / nicht explizit versioniert</x:v>
      </x:c>
      <x:c r="V624" s="51" t="str"/>
      <x:c r="W624" s="14" t="str">
        <x:v>Migration auf NACE Rev. 2.1 erforderlich</x:v>
      </x:c>
      <x:c r="X624" s="14" t="str">
        <x:v>Programm/Portfolio/Systemraum; Empfängergruppe, Region und Zeitraum explizit definieren</x:v>
      </x:c>
      <x:c r="Y624" s="14" t="str">
        <x:v>Siehe Quelle: Definition gemäß Standard (ESRS/GRI/Taxonomie/ISO).</x:v>
      </x:c>
      <x:c r="Z624" s="14" t="str">
        <x:v>Primärdaten bevorzugt; Sekundärdaten nur transparent und versioniert; Methode und Systemgrenze dokumentieren</x:v>
      </x:c>
      <x:c r="AA624" s="14" t="str">
        <x:v>Limited Assurance; risikobasiert höhere Prüftiefe</x:v>
      </x:c>
      <x:c r="AB624" s="14" t="str">
        <x:v>Fachlogik nicht abschließend operationalisiert</x:v>
      </x:c>
      <x:c r="AC624" s="14" t="str">
        <x:v>Kritisch</x:v>
      </x:c>
      <x:c r="AD624" s="14" t="str">
        <x:v>SROI/SDG 17 ist keine hinreichend konkrete Mess- oder Schwellenquelle. Vollständige fünfstufige numerische Regel.</x:v>
      </x:c>
      <x:c r="AE624" s="14" t="str">
        <x:v>v1.4</x:v>
      </x:c>
      <x:c r="AF624" s="52" t="str">
        <x:v>2026-08-16</x:v>
      </x:c>
      <x:c r="AG624" s="52"/>
    </x:row>
    <x:row r="625" ht="42" customHeight="1">
      <x:c r="A625" s="14" t="str">
        <x:v>WOK-SYS-220</x:v>
      </x:c>
      <x:c r="B625" s="14" t="str">
        <x:v>SDG+ – Transparenz/Open Data</x:v>
      </x:c>
      <x:c r="C625" s="14" t="str">
        <x:v>—</x:v>
      </x:c>
      <x:c r="D625" s="14" t="str">
        <x:v>Publikations‑Backlog (OA)</x:v>
      </x:c>
      <x:c r="E625" s="14" t="str">
        <x:v>Publikations‑Backlog (OA) – Kooperationen</x:v>
      </x:c>
      <x:c r="F625" s="14" t="str">
        <x:v>aktive, evaluierte Partnerschaften/Jahr</x:v>
      </x:c>
      <x:c r="G625" s="14" t="str">
        <x:v>#/Jahr</x:v>
      </x:c>
      <x:c r="H625" s="14" t="str">
        <x:v>higher_is_better</x:v>
      </x:c>
      <x:c r="I625" s="14" t="str">
        <x:v>R20</x:v>
      </x:c>
      <x:c r="J625" s="14" t="str">
        <x:v>≥5:+3; 3–4:+2; 1–2:0; 0:‑2</x:v>
      </x:c>
      <x:c r="K625" s="14" t="str">
        <x:v>Feste WÖk-Grobkalibrierung</x:v>
      </x:c>
      <x:c r="L625" s="14" t="str">
        <x:v>Klasse −3 nur für negative/unzulässige Werte ergänzt</x:v>
      </x:c>
      <x:c r="M625" s="14" t="str">
        <x:v>WÖk-interne Grobkalibrierung</x:v>
      </x:c>
      <x:c r="N625" s="14" t="str">
        <x:v>Optional/Nein</x:v>
      </x:c>
      <x:c r="O625" s="14" t="str">
        <x:v>SROI/SDG17</x:v>
      </x:c>
      <x:c r="P625" s="14" t="str">
        <x:v>SDG 16/17, WJP, V‑Dem</x:v>
      </x:c>
      <x:c r="Q625" s="14" t="str">
        <x:v>Methodischer Platzhalter; konkrete Fach- und Primärdatenquelle erforderlich</x:v>
      </x:c>
      <x:c r="R625" s="14" t="str">
        <x:v>Platzhalter – fachliche Operationalisierung offen</x:v>
      </x:c>
      <x:c r="S625" s="14" t="str">
        <x:v>INT-WOEK-TSROI; SVI-SROI; UN-SDG</x:v>
      </x:c>
      <x:c r="T625" s="14" t="str">
        <x:v>G47 Handel; K Versicherungen; M72 F&amp;E</x:v>
      </x:c>
      <x:c r="U625" s="14" t="str">
        <x:v>Legacy / nicht explizit versioniert</x:v>
      </x:c>
      <x:c r="V625" s="51" t="str"/>
      <x:c r="W625" s="14" t="str">
        <x:v>Migration auf NACE Rev. 2.1 erforderlich</x:v>
      </x:c>
      <x:c r="X625" s="14" t="str">
        <x:v>Programm/Portfolio/Systemraum; Empfängergruppe, Region und Zeitraum explizit definieren</x:v>
      </x:c>
      <x:c r="Y625" s="14" t="str">
        <x:v>Siehe Quelle: Definition gemäß Standard (ESRS/GRI/Taxonomie/ISO).</x:v>
      </x:c>
      <x:c r="Z625" s="14" t="str">
        <x:v>Primärdaten bevorzugt; Sekundärdaten nur transparent und versioniert; Methode und Systemgrenze dokumentieren</x:v>
      </x:c>
      <x:c r="AA625" s="14" t="str">
        <x:v>Limited Assurance; risikobasiert höhere Prüftiefe</x:v>
      </x:c>
      <x:c r="AB625" s="14" t="str">
        <x:v>Fachlogik nicht abschließend operationalisiert</x:v>
      </x:c>
      <x:c r="AC625" s="14" t="str">
        <x:v>Kritisch</x:v>
      </x:c>
      <x:c r="AD625" s="14" t="str">
        <x:v>SROI/SDG 17 ist keine hinreichend konkrete Mess- oder Schwellenquelle. Für sachlogisch nichtnegative Zählwerte ist 0 die schlechteste reguläre Klasse (−2).</x:v>
      </x:c>
      <x:c r="AE625" s="14" t="str">
        <x:v>v1.4</x:v>
      </x:c>
      <x:c r="AF625" s="52" t="str">
        <x:v>2026-08-16</x:v>
      </x:c>
      <x:c r="AG625" s="52"/>
    </x:row>
  </x:sheetData>
  <x:mergeCells>
    <x:mergeCell ref="A1:AG1"/>
    <x:mergeCell ref="A2:AG2"/>
  </x:mergeCells>
  <x:conditionalFormatting sqref="AC5:AC625">
    <x:cfRule type="expression" dxfId="0" priority="1">
      <x:formula>AC5="Kritisch"</x:formula>
    </x:cfRule>
    <x:cfRule type="expression" dxfId="1" priority="2">
      <x:formula>AC5="Hoch"</x:formula>
    </x:cfRule>
    <x:cfRule type="expression" dxfId="2" priority="3">
      <x:formula>AC5="Mittel"</x:formula>
    </x:cfRule>
  </x:conditionalFormatting>
  <x:conditionalFormatting sqref="AB5:AB625">
    <x:cfRule type="expression" dxfId="3" priority="4">
      <x:formula>ISNUMBER(SEARCH("Kritische",AB5))</x:formula>
    </x:cfRule>
  </x:conditionalFormatting>
  <x:conditionalFormatting sqref="K5:K625">
    <x:cfRule type="expression" dxfId="4" priority="5">
      <x:formula>K5="Benchmarkabhängig"</x:formula>
    </x:cfRule>
    <x:cfRule type="expression" dxfId="5" priority="6">
      <x:formula>K5="Qualitativ"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07d0ae0a1b43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  <x:col min="8" max="8" width="10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14" hidden="0" customWidth="1"/>
    <x:col min="16" max="16" width="34" hidden="0" customWidth="1"/>
    <x:col min="17" max="17" width="18" hidden="0" customWidth="1"/>
    <x:col min="18" max="18" width="18" hidden="0" customWidth="1"/>
    <x:col min="19" max="19" width="18" hidden="0" customWidth="1"/>
    <x:col min="20" max="20" width="24" hidden="0" customWidth="1"/>
    <x:col min="21" max="21" width="48" hidden="0" customWidth="1"/>
  </x:cols>
  <x:sheetData>
    <x:row r="1" ht="32" customHeight="1">
      <x:c r="A1" s="5" t="str">
        <x:v>02 · Benchmarks und Referenzwerte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36" customHeight="1">
      <x:c r="A2" s="9" t="str">
        <x:v>Aktive Benchmarks werden nur nach dokumentierter Validierung genutzt. Q:T enthalten ausschließlich Legacy-Rechenwerte aus v1.2 und wirken nicht auf den FinalScore.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 ht="34" customHeight="1">
      <x:c r="A4" s="49" t="str">
        <x:v>WOK_ID</x:v>
      </x:c>
      <x:c r="B4" s="49" t="str">
        <x:v>NACE_Legacy</x:v>
      </x:c>
      <x:c r="C4" s="49" t="str">
        <x:v>NACE_Version</x:v>
      </x:c>
      <x:c r="D4" s="49" t="str">
        <x:v>Region</x:v>
      </x:c>
      <x:c r="E4" s="49" t="str">
        <x:v>Tech/Klasse</x:v>
      </x:c>
      <x:c r="F4" s="49" t="str">
        <x:v>Einheit</x:v>
      </x:c>
      <x:c r="G4" s="49" t="str">
        <x:v>Polarity</x:v>
      </x:c>
      <x:c r="H4" s="49" t="str">
        <x:v>Rule_ID</x:v>
      </x:c>
      <x:c r="I4" s="49" t="str">
        <x:v>Benchmarkbedarf</x:v>
      </x:c>
      <x:c r="J4" s="49" t="str">
        <x:v>Active_BM_Best</x:v>
      </x:c>
      <x:c r="K4" s="49" t="str">
        <x:v>Active_BM_Neutral</x:v>
      </x:c>
      <x:c r="L4" s="49" t="str">
        <x:v>Active_BM_Warn</x:v>
      </x:c>
      <x:c r="M4" s="49" t="str">
        <x:v>Active_BM_Critical</x:v>
      </x:c>
      <x:c r="N4" s="49" t="str">
        <x:v>Active_Source_ID</x:v>
      </x:c>
      <x:c r="O4" s="49" t="str">
        <x:v>Gültig_ab</x:v>
      </x:c>
      <x:c r="P4" s="49" t="str">
        <x:v>Active_Status</x:v>
      </x:c>
      <x:c r="Q4" s="49" t="str">
        <x:v>Legacy_BM_Neutral</x:v>
      </x:c>
      <x:c r="R4" s="49" t="str">
        <x:v>Legacy_BM_150pct</x:v>
      </x:c>
      <x:c r="S4" s="49" t="str">
        <x:v>Legacy_BM_250pct</x:v>
      </x:c>
      <x:c r="T4" s="49" t="str">
        <x:v>Legacy_Source</x:v>
      </x:c>
      <x:c r="U4" s="49" t="str">
        <x:v>Prüfhinweis</x:v>
      </x:c>
    </x:row>
    <x:row r="5" ht="42" customHeight="1">
      <x:c r="A5" s="14" t="str">
        <x:v>WOK-S-101</x:v>
      </x:c>
      <x:c r="B5" s="14" t="str">
        <x:v>G47</x:v>
      </x:c>
      <x:c r="C5" s="14" t="str">
        <x:v>Legacy / Migration auf NACE Rev. 2.1 offen</x:v>
      </x:c>
      <x:c r="D5" s="14" t="str">
        <x:v>EU</x:v>
      </x:c>
      <x:c r="E5" s="14"/>
      <x:c r="F5" s="14" t="str">
        <x:v>% Beschäftigte</x:v>
      </x:c>
      <x:c r="G5" s="14" t="str">
        <x:v>higher_is_better</x:v>
      </x:c>
      <x:c r="H5" s="14" t="str">
        <x:v>R27</x:v>
      </x:c>
      <x:c r="I5" s="14" t="str">
        <x:v>Optional/Nein</x:v>
      </x:c>
      <x:c r="J5" s="51"/>
      <x:c r="K5" s="51"/>
      <x:c r="L5" s="51"/>
      <x:c r="M5" s="51"/>
      <x:c r="N5" s="51"/>
      <x:c r="O5" s="54"/>
      <x:c r="P5" s="51" t="str">
        <x:v>Optional – kein aktiver Benchmark</x:v>
      </x:c>
      <x:c r="Q5" s="53" t="n">
        <x:v>69.5</x:v>
      </x:c>
      <x:c r="R5" s="53" t="n">
        <x:v>100</x:v>
      </x:c>
      <x:c r="S5" s="53" t="n">
        <x:v>100</x:v>
      </x:c>
      <x:c r="T5" s="53" t="str">
        <x:v>threshold:0-class</x:v>
      </x:c>
      <x:c r="U5" s="14" t="str">
        <x:v>Legacy-Werte bleiben nur als historische Rechenhilfe erhalten und werden nicht für den FinalScore verwendet.</x:v>
      </x:c>
    </x:row>
    <x:row r="6" ht="42" customHeight="1">
      <x:c r="A6" s="14" t="str">
        <x:v>WOK-S-102</x:v>
      </x:c>
      <x:c r="B6" s="14" t="str">
        <x:v>G47</x:v>
      </x:c>
      <x:c r="C6" s="14" t="str">
        <x:v>Legacy / Migration auf NACE Rev. 2.1 offen</x:v>
      </x:c>
      <x:c r="D6" s="14" t="str">
        <x:v>EU</x:v>
      </x:c>
      <x:c r="E6" s="14"/>
      <x:c r="F6" s="14" t="str">
        <x:v>%</x:v>
      </x:c>
      <x:c r="G6" s="14" t="str">
        <x:v>higher_is_better</x:v>
      </x:c>
      <x:c r="H6" s="14" t="str">
        <x:v>R26</x:v>
      </x:c>
      <x:c r="I6" s="14" t="str">
        <x:v>Optional/Nein</x:v>
      </x:c>
      <x:c r="J6" s="51"/>
      <x:c r="K6" s="51"/>
      <x:c r="L6" s="51"/>
      <x:c r="M6" s="51"/>
      <x:c r="N6" s="51"/>
      <x:c r="O6" s="54"/>
      <x:c r="P6" s="51" t="str">
        <x:v>Optional – kein aktiver Benchmark</x:v>
      </x:c>
      <x:c r="Q6" s="53" t="n">
        <x:v>59.5</x:v>
      </x:c>
      <x:c r="R6" s="53" t="n">
        <x:v>89.25</x:v>
      </x:c>
      <x:c r="S6" s="53" t="n">
        <x:v>100</x:v>
      </x:c>
      <x:c r="T6" s="53" t="str">
        <x:v>threshold:0-class</x:v>
      </x:c>
      <x:c r="U6" s="14" t="str">
        <x:v>Legacy-Werte bleiben nur als historische Rechenhilfe erhalten und werden nicht für den FinalScore verwendet.</x:v>
      </x:c>
    </x:row>
    <x:row r="7" ht="42" customHeight="1">
      <x:c r="A7" s="14" t="str">
        <x:v>WOK-S-103</x:v>
      </x:c>
      <x:c r="B7" s="14" t="str">
        <x:v>G47</x:v>
      </x:c>
      <x:c r="C7" s="14" t="str">
        <x:v>Legacy / Migration auf NACE Rev. 2.1 offen</x:v>
      </x:c>
      <x:c r="D7" s="14" t="str">
        <x:v>EU</x:v>
      </x:c>
      <x:c r="E7" s="14"/>
      <x:c r="F7" s="14" t="str">
        <x:v>Unfälle/Mio Std.</x:v>
      </x:c>
      <x:c r="G7" s="14" t="str">
        <x:v>lower_is_better</x:v>
      </x:c>
      <x:c r="H7" s="14" t="str">
        <x:v>R02</x:v>
      </x:c>
      <x:c r="I7" s="14" t="str">
        <x:v>Optional/Nein</x:v>
      </x:c>
      <x:c r="J7" s="51"/>
      <x:c r="K7" s="51"/>
      <x:c r="L7" s="51"/>
      <x:c r="M7" s="51"/>
      <x:c r="N7" s="51"/>
      <x:c r="O7" s="54"/>
      <x:c r="P7" s="51" t="str">
        <x:v>Optional – kein aktiver Benchmark</x:v>
      </x:c>
      <x:c r="Q7" s="53" t="n">
        <x:v>3</x:v>
      </x:c>
      <x:c r="R7" s="53" t="n">
        <x:v>4.5</x:v>
      </x:c>
      <x:c r="S7" s="53" t="n">
        <x:v>7.5</x:v>
      </x:c>
      <x:c r="T7" s="53" t="str">
        <x:v>threshold:0-class</x:v>
      </x:c>
      <x:c r="U7" s="14" t="str">
        <x:v>Legacy-Werte bleiben nur als historische Rechenhilfe erhalten und werden nicht für den FinalScore verwendet.</x:v>
      </x:c>
    </x:row>
    <x:row r="8" ht="42" customHeight="1">
      <x:c r="A8" s="14" t="str">
        <x:v>WOK-S-104</x:v>
      </x:c>
      <x:c r="B8" s="14" t="str">
        <x:v>G47</x:v>
      </x:c>
      <x:c r="C8" s="14" t="str">
        <x:v>Legacy / Migration auf NACE Rev. 2.1 offen</x:v>
      </x:c>
      <x:c r="D8" s="14" t="str">
        <x:v>EU</x:v>
      </x:c>
      <x:c r="E8" s="14"/>
      <x:c r="F8" s="14" t="str">
        <x:v>% Beschäftigte</x:v>
      </x:c>
      <x:c r="G8" s="14" t="str">
        <x:v>higher_is_better</x:v>
      </x:c>
      <x:c r="H8" s="14" t="str">
        <x:v>R27</x:v>
      </x:c>
      <x:c r="I8" s="14" t="str">
        <x:v>Optional/Nein</x:v>
      </x:c>
      <x:c r="J8" s="51"/>
      <x:c r="K8" s="51"/>
      <x:c r="L8" s="51"/>
      <x:c r="M8" s="51"/>
      <x:c r="N8" s="51"/>
      <x:c r="O8" s="54"/>
      <x:c r="P8" s="51" t="str">
        <x:v>Optional – kein aktiver Benchmark</x:v>
      </x:c>
      <x:c r="Q8" s="53" t="n">
        <x:v>69.5</x:v>
      </x:c>
      <x:c r="R8" s="53" t="n">
        <x:v>100</x:v>
      </x:c>
      <x:c r="S8" s="53" t="n">
        <x:v>100</x:v>
      </x:c>
      <x:c r="T8" s="53" t="str">
        <x:v>threshold:0-class</x:v>
      </x:c>
      <x:c r="U8" s="14" t="str">
        <x:v>Legacy-Werte bleiben nur als historische Rechenhilfe erhalten und werden nicht für den FinalScore verwendet.</x:v>
      </x:c>
    </x:row>
    <x:row r="9" ht="42" customHeight="1">
      <x:c r="A9" s="14" t="str">
        <x:v>WOK-S-105</x:v>
      </x:c>
      <x:c r="B9" s="14" t="str">
        <x:v>G47</x:v>
      </x:c>
      <x:c r="C9" s="14" t="str">
        <x:v>Legacy / Migration auf NACE Rev. 2.1 offen</x:v>
      </x:c>
      <x:c r="D9" s="14" t="str">
        <x:v>EU</x:v>
      </x:c>
      <x:c r="E9" s="14"/>
      <x:c r="F9" s="14" t="str">
        <x:v>%</x:v>
      </x:c>
      <x:c r="G9" s="14" t="str">
        <x:v>higher_is_better</x:v>
      </x:c>
      <x:c r="H9" s="14" t="str">
        <x:v>R26</x:v>
      </x:c>
      <x:c r="I9" s="14" t="str">
        <x:v>Optional/Nein</x:v>
      </x:c>
      <x:c r="J9" s="51"/>
      <x:c r="K9" s="51"/>
      <x:c r="L9" s="51"/>
      <x:c r="M9" s="51"/>
      <x:c r="N9" s="51"/>
      <x:c r="O9" s="54"/>
      <x:c r="P9" s="51" t="str">
        <x:v>Optional – kein aktiver Benchmark</x:v>
      </x:c>
      <x:c r="Q9" s="53" t="n">
        <x:v>59.5</x:v>
      </x:c>
      <x:c r="R9" s="53" t="n">
        <x:v>89.25</x:v>
      </x:c>
      <x:c r="S9" s="53" t="n">
        <x:v>100</x:v>
      </x:c>
      <x:c r="T9" s="53" t="str">
        <x:v>threshold:0-class</x:v>
      </x:c>
      <x:c r="U9" s="14" t="str">
        <x:v>Legacy-Werte bleiben nur als historische Rechenhilfe erhalten und werden nicht für den FinalScore verwendet.</x:v>
      </x:c>
    </x:row>
    <x:row r="10" ht="42" customHeight="1">
      <x:c r="A10" s="14" t="str">
        <x:v>WOK-S-106</x:v>
      </x:c>
      <x:c r="B10" s="14" t="str">
        <x:v>G47</x:v>
      </x:c>
      <x:c r="C10" s="14" t="str">
        <x:v>Legacy / Migration auf NACE Rev. 2.1 offen</x:v>
      </x:c>
      <x:c r="D10" s="14" t="str">
        <x:v>EU</x:v>
      </x:c>
      <x:c r="E10" s="14"/>
      <x:c r="F10" s="14" t="str">
        <x:v>Unfälle/Mio Std.</x:v>
      </x:c>
      <x:c r="G10" s="14" t="str">
        <x:v>lower_is_better</x:v>
      </x:c>
      <x:c r="H10" s="14" t="str">
        <x:v>R02</x:v>
      </x:c>
      <x:c r="I10" s="14" t="str">
        <x:v>Optional/Nein</x:v>
      </x:c>
      <x:c r="J10" s="51"/>
      <x:c r="K10" s="51"/>
      <x:c r="L10" s="51"/>
      <x:c r="M10" s="51"/>
      <x:c r="N10" s="51"/>
      <x:c r="O10" s="54"/>
      <x:c r="P10" s="51" t="str">
        <x:v>Optional – kein aktiver Benchmark</x:v>
      </x:c>
      <x:c r="Q10" s="53" t="n">
        <x:v>3</x:v>
      </x:c>
      <x:c r="R10" s="53" t="n">
        <x:v>4.5</x:v>
      </x:c>
      <x:c r="S10" s="53" t="n">
        <x:v>7.5</x:v>
      </x:c>
      <x:c r="T10" s="53" t="str">
        <x:v>threshold:0-class</x:v>
      </x:c>
      <x:c r="U10" s="14" t="str">
        <x:v>Legacy-Werte bleiben nur als historische Rechenhilfe erhalten und werden nicht für den FinalScore verwendet.</x:v>
      </x:c>
    </x:row>
    <x:row r="11" ht="42" customHeight="1">
      <x:c r="A11" s="14" t="str">
        <x:v>WOK-SC-101</x:v>
      </x:c>
      <x:c r="B11" s="14" t="str">
        <x:v>C20</x:v>
      </x:c>
      <x:c r="C11" s="14" t="str">
        <x:v>Legacy / Migration auf NACE Rev. 2.1 offen</x:v>
      </x:c>
      <x:c r="D11" s="14" t="str">
        <x:v>EU</x:v>
      </x:c>
      <x:c r="E11" s="14"/>
      <x:c r="F11" s="14" t="str">
        <x:v>%</x:v>
      </x:c>
      <x:c r="G11" s="14" t="str">
        <x:v>higher_is_better</x:v>
      </x:c>
      <x:c r="H11" s="14" t="str">
        <x:v>R26</x:v>
      </x:c>
      <x:c r="I11" s="14" t="str">
        <x:v>Optional/Nein</x:v>
      </x:c>
      <x:c r="J11" s="51"/>
      <x:c r="K11" s="51"/>
      <x:c r="L11" s="51"/>
      <x:c r="M11" s="51"/>
      <x:c r="N11" s="51"/>
      <x:c r="O11" s="54"/>
      <x:c r="P11" s="51" t="str">
        <x:v>Optional – kein aktiver Benchmark</x:v>
      </x:c>
      <x:c r="Q11" s="53" t="n">
        <x:v>59.5</x:v>
      </x:c>
      <x:c r="R11" s="53" t="n">
        <x:v>89.25</x:v>
      </x:c>
      <x:c r="S11" s="53" t="n">
        <x:v>100</x:v>
      </x:c>
      <x:c r="T11" s="53" t="str">
        <x:v>threshold:0-class</x:v>
      </x:c>
      <x:c r="U11" s="14" t="str">
        <x:v>Legacy-Werte bleiben nur als historische Rechenhilfe erhalten und werden nicht für den FinalScore verwendet.</x:v>
      </x:c>
    </x:row>
    <x:row r="12" ht="42" customHeight="1">
      <x:c r="A12" s="14" t="str">
        <x:v>WOK-SC-102</x:v>
      </x:c>
      <x:c r="B12" s="14" t="str">
        <x:v>C20</x:v>
      </x:c>
      <x:c r="C12" s="14" t="str">
        <x:v>Legacy / Migration auf NACE Rev. 2.1 offen</x:v>
      </x:c>
      <x:c r="D12" s="14" t="str">
        <x:v>EU</x:v>
      </x:c>
      <x:c r="E12" s="14"/>
      <x:c r="F12" s="14" t="str">
        <x:v>% Lieferanten</x:v>
      </x:c>
      <x:c r="G12" s="14" t="str">
        <x:v>higher_is_better</x:v>
      </x:c>
      <x:c r="H12" s="14" t="str">
        <x:v>R28</x:v>
      </x:c>
      <x:c r="I12" s="14" t="str">
        <x:v>Optional/Nein</x:v>
      </x:c>
      <x:c r="J12" s="51"/>
      <x:c r="K12" s="51"/>
      <x:c r="L12" s="51"/>
      <x:c r="M12" s="51"/>
      <x:c r="N12" s="51"/>
      <x:c r="O12" s="54"/>
      <x:c r="P12" s="51" t="str">
        <x:v>Optional – kein aktiver Benchmark</x:v>
      </x:c>
      <x:c r="Q12" s="53" t="n">
        <x:v>82</x:v>
      </x:c>
      <x:c r="R12" s="53" t="n">
        <x:v>100</x:v>
      </x:c>
      <x:c r="S12" s="53" t="n">
        <x:v>100</x:v>
      </x:c>
      <x:c r="T12" s="53" t="str">
        <x:v>threshold:0-class</x:v>
      </x:c>
      <x:c r="U12" s="14" t="str">
        <x:v>Legacy-Werte bleiben nur als historische Rechenhilfe erhalten und werden nicht für den FinalScore verwendet.</x:v>
      </x:c>
    </x:row>
    <x:row r="13" ht="42" customHeight="1">
      <x:c r="A13" s="14" t="str">
        <x:v>WOK-SC-103</x:v>
      </x:c>
      <x:c r="B13" s="14" t="str">
        <x:v>C20</x:v>
      </x:c>
      <x:c r="C13" s="14" t="str">
        <x:v>Legacy / Migration auf NACE Rev. 2.1 offen</x:v>
      </x:c>
      <x:c r="D13" s="14" t="str">
        <x:v>EU</x:v>
      </x:c>
      <x:c r="E13" s="14"/>
      <x:c r="F13" s="14" t="str">
        <x:v>% Kategorien</x:v>
      </x:c>
      <x:c r="G13" s="14" t="str">
        <x:v>higher_is_better</x:v>
      </x:c>
      <x:c r="H13" s="14" t="str">
        <x:v>R23</x:v>
      </x:c>
      <x:c r="I13" s="14" t="str">
        <x:v>Optional/Nein</x:v>
      </x:c>
      <x:c r="J13" s="51"/>
      <x:c r="K13" s="51"/>
      <x:c r="L13" s="51"/>
      <x:c r="M13" s="51"/>
      <x:c r="N13" s="51"/>
      <x:c r="O13" s="54"/>
      <x:c r="P13" s="51" t="str">
        <x:v>Optional – kein aktiver Benchmark</x:v>
      </x:c>
      <x:c r="Q13" s="53" t="n">
        <x:v>49.5</x:v>
      </x:c>
      <x:c r="R13" s="53" t="n">
        <x:v>74.25</x:v>
      </x:c>
      <x:c r="S13" s="53" t="n">
        <x:v>100</x:v>
      </x:c>
      <x:c r="T13" s="53" t="str">
        <x:v>threshold:0-class</x:v>
      </x:c>
      <x:c r="U13" s="14" t="str">
        <x:v>Legacy-Werte bleiben nur als historische Rechenhilfe erhalten und werden nicht für den FinalScore verwendet.</x:v>
      </x:c>
    </x:row>
    <x:row r="14" ht="42" customHeight="1">
      <x:c r="A14" s="14" t="str">
        <x:v>WOK-G-101</x:v>
      </x:c>
      <x:c r="B14" s="14" t="str">
        <x:v>G47</x:v>
      </x:c>
      <x:c r="C14" s="14" t="str">
        <x:v>Legacy / Migration auf NACE Rev. 2.1 offen</x:v>
      </x:c>
      <x:c r="D14" s="14" t="str">
        <x:v>EU</x:v>
      </x:c>
      <x:c r="E14" s="14"/>
      <x:c r="F14" s="14" t="str">
        <x:v>Fälle/1.000 FTE</x:v>
      </x:c>
      <x:c r="G14" s="14" t="str">
        <x:v>lower_is_better</x:v>
      </x:c>
      <x:c r="H14" s="14" t="str">
        <x:v>R01</x:v>
      </x:c>
      <x:c r="I14" s="14" t="str">
        <x:v>Optional/Nein</x:v>
      </x:c>
      <x:c r="J14" s="51"/>
      <x:c r="K14" s="51"/>
      <x:c r="L14" s="51"/>
      <x:c r="M14" s="51"/>
      <x:c r="N14" s="51"/>
      <x:c r="O14" s="54"/>
      <x:c r="P14" s="51" t="str">
        <x:v>Optional – kein aktiver Benchmark</x:v>
      </x:c>
      <x:c r="Q14" s="53" t="n">
        <x:v>0.5</x:v>
      </x:c>
      <x:c r="R14" s="53" t="n">
        <x:v>0.75</x:v>
      </x:c>
      <x:c r="S14" s="53" t="n">
        <x:v>1.25</x:v>
      </x:c>
      <x:c r="T14" s="53" t="str">
        <x:v>threshold:0-class</x:v>
      </x:c>
      <x:c r="U14" s="14" t="str">
        <x:v>Legacy-Werte bleiben nur als historische Rechenhilfe erhalten und werden nicht für den FinalScore verwendet.</x:v>
      </x:c>
    </x:row>
    <x:row r="15" ht="42" customHeight="1">
      <x:c r="A15" s="14" t="str">
        <x:v>WOK-G-102</x:v>
      </x:c>
      <x:c r="B15" s="14" t="str">
        <x:v>G47</x:v>
      </x:c>
      <x:c r="C15" s="14" t="str">
        <x:v>Legacy / Migration auf NACE Rev. 2.1 offen</x:v>
      </x:c>
      <x:c r="D15" s="14" t="str">
        <x:v>EU</x:v>
      </x:c>
      <x:c r="E15" s="14"/>
      <x:c r="F15" s="14" t="str">
        <x:v>0–1</x:v>
      </x:c>
      <x:c r="G15" s="14" t="str">
        <x:v>higher_is_better</x:v>
      </x:c>
      <x:c r="H15" s="14" t="str">
        <x:v>R16</x:v>
      </x:c>
      <x:c r="I15" s="14" t="str">
        <x:v>Optional/Nein</x:v>
      </x:c>
      <x:c r="J15" s="51"/>
      <x:c r="K15" s="51"/>
      <x:c r="L15" s="51"/>
      <x:c r="M15" s="51"/>
      <x:c r="N15" s="51"/>
      <x:c r="O15" s="54"/>
      <x:c r="P15" s="51" t="str">
        <x:v>Optional – kein aktiver Benchmark</x:v>
      </x:c>
      <x:c r="Q15" s="53" t="n">
        <x:v>0.6699999999999999</x:v>
      </x:c>
      <x:c r="R15" s="53" t="n">
        <x:v>1</x:v>
      </x:c>
      <x:c r="S15" s="53" t="n">
        <x:v>1</x:v>
      </x:c>
      <x:c r="T15" s="53" t="str">
        <x:v>threshold:0-class</x:v>
      </x:c>
      <x:c r="U15" s="14" t="str">
        <x:v>Legacy-Werte bleiben nur als historische Rechenhilfe erhalten und werden nicht für den FinalScore verwendet.</x:v>
      </x:c>
    </x:row>
    <x:row r="16" ht="42" customHeight="1">
      <x:c r="A16" s="14" t="str">
        <x:v>WOK-G-103</x:v>
      </x:c>
      <x:c r="B16" s="14" t="str">
        <x:v>G47</x:v>
      </x:c>
      <x:c r="C16" s="14" t="str">
        <x:v>Legacy / Migration auf NACE Rev. 2.1 offen</x:v>
      </x:c>
      <x:c r="D16" s="14" t="str">
        <x:v>EU</x:v>
      </x:c>
      <x:c r="E16" s="14"/>
      <x:c r="F16" s="14" t="str">
        <x:v>0–1</x:v>
      </x:c>
      <x:c r="G16" s="14" t="str">
        <x:v>higher_is_better</x:v>
      </x:c>
      <x:c r="H16" s="14" t="str">
        <x:v>R08</x:v>
      </x:c>
      <x:c r="I16" s="14" t="str">
        <x:v>Optional/Nein</x:v>
      </x:c>
      <x:c r="J16" s="51"/>
      <x:c r="K16" s="51"/>
      <x:c r="L16" s="51"/>
      <x:c r="M16" s="51"/>
      <x:c r="N16" s="51"/>
      <x:c r="O16" s="54"/>
      <x:c r="P16" s="51" t="str">
        <x:v>Optional – kein aktiver Benchmark</x:v>
      </x:c>
      <x:c r="Q16" s="53" t="n">
        <x:v>0.5</x:v>
      </x:c>
      <x:c r="R16" s="53" t="n">
        <x:v>0.75</x:v>
      </x:c>
      <x:c r="S16" s="53" t="n">
        <x:v>0.9</x:v>
      </x:c>
      <x:c r="T16" s="53" t="str">
        <x:v>default:higher_is_better_abs</x:v>
      </x:c>
      <x:c r="U16" s="14" t="str">
        <x:v>Legacy-Werte bleiben nur als historische Rechenhilfe erhalten und werden nicht für den FinalScore verwendet.</x:v>
      </x:c>
    </x:row>
    <x:row r="17" ht="42" customHeight="1">
      <x:c r="A17" s="14" t="str">
        <x:v>WOK-S-107</x:v>
      </x:c>
      <x:c r="B17" s="14" t="str">
        <x:v>G47</x:v>
      </x:c>
      <x:c r="C17" s="14" t="str">
        <x:v>Legacy / Migration auf NACE Rev. 2.1 offen</x:v>
      </x:c>
      <x:c r="D17" s="14" t="str">
        <x:v>EU</x:v>
      </x:c>
      <x:c r="E17" s="14"/>
      <x:c r="F17" s="14" t="str">
        <x:v>%</x:v>
      </x:c>
      <x:c r="G17" s="14" t="str">
        <x:v>higher_is_better</x:v>
      </x:c>
      <x:c r="H17" s="14" t="str">
        <x:v>R26</x:v>
      </x:c>
      <x:c r="I17" s="14" t="str">
        <x:v>Optional/Nein</x:v>
      </x:c>
      <x:c r="J17" s="51"/>
      <x:c r="K17" s="51"/>
      <x:c r="L17" s="51"/>
      <x:c r="M17" s="51"/>
      <x:c r="N17" s="51"/>
      <x:c r="O17" s="54"/>
      <x:c r="P17" s="51" t="str">
        <x:v>Optional – kein aktiver Benchmark</x:v>
      </x:c>
      <x:c r="Q17" s="53" t="n">
        <x:v>59.5</x:v>
      </x:c>
      <x:c r="R17" s="53" t="n">
        <x:v>89.25</x:v>
      </x:c>
      <x:c r="S17" s="53" t="n">
        <x:v>100</x:v>
      </x:c>
      <x:c r="T17" s="53" t="str">
        <x:v>threshold:0-class</x:v>
      </x:c>
      <x:c r="U17" s="14" t="str">
        <x:v>Legacy-Werte bleiben nur als historische Rechenhilfe erhalten und werden nicht für den FinalScore verwendet.</x:v>
      </x:c>
    </x:row>
    <x:row r="18" ht="42" customHeight="1">
      <x:c r="A18" s="14" t="str">
        <x:v>WOK-S-108</x:v>
      </x:c>
      <x:c r="B18" s="14" t="str">
        <x:v>G47</x:v>
      </x:c>
      <x:c r="C18" s="14" t="str">
        <x:v>Legacy / Migration auf NACE Rev. 2.1 offen</x:v>
      </x:c>
      <x:c r="D18" s="14" t="str">
        <x:v>EU</x:v>
      </x:c>
      <x:c r="E18" s="14"/>
      <x:c r="F18" s="14" t="str">
        <x:v>% Lieferanten</x:v>
      </x:c>
      <x:c r="G18" s="14" t="str">
        <x:v>higher_is_better</x:v>
      </x:c>
      <x:c r="H18" s="14" t="str">
        <x:v>R28</x:v>
      </x:c>
      <x:c r="I18" s="14" t="str">
        <x:v>Optional/Nein</x:v>
      </x:c>
      <x:c r="J18" s="51"/>
      <x:c r="K18" s="51"/>
      <x:c r="L18" s="51"/>
      <x:c r="M18" s="51"/>
      <x:c r="N18" s="51"/>
      <x:c r="O18" s="54"/>
      <x:c r="P18" s="51" t="str">
        <x:v>Optional – kein aktiver Benchmark</x:v>
      </x:c>
      <x:c r="Q18" s="53" t="n">
        <x:v>82</x:v>
      </x:c>
      <x:c r="R18" s="53" t="n">
        <x:v>100</x:v>
      </x:c>
      <x:c r="S18" s="53" t="n">
        <x:v>100</x:v>
      </x:c>
      <x:c r="T18" s="53" t="str">
        <x:v>threshold:0-class</x:v>
      </x:c>
      <x:c r="U18" s="14" t="str">
        <x:v>Legacy-Werte bleiben nur als historische Rechenhilfe erhalten und werden nicht für den FinalScore verwendet.</x:v>
      </x:c>
    </x:row>
    <x:row r="19" ht="42" customHeight="1">
      <x:c r="A19" s="14" t="str">
        <x:v>WOK-S-109</x:v>
      </x:c>
      <x:c r="B19" s="14" t="str">
        <x:v>G47</x:v>
      </x:c>
      <x:c r="C19" s="14" t="str">
        <x:v>Legacy / Migration auf NACE Rev. 2.1 offen</x:v>
      </x:c>
      <x:c r="D19" s="14" t="str">
        <x:v>EU</x:v>
      </x:c>
      <x:c r="E19" s="14"/>
      <x:c r="F19" s="14" t="str">
        <x:v>% Kategorien</x:v>
      </x:c>
      <x:c r="G19" s="14" t="str">
        <x:v>higher_is_better</x:v>
      </x:c>
      <x:c r="H19" s="14" t="str">
        <x:v>R23</x:v>
      </x:c>
      <x:c r="I19" s="14" t="str">
        <x:v>Optional/Nein</x:v>
      </x:c>
      <x:c r="J19" s="51"/>
      <x:c r="K19" s="51"/>
      <x:c r="L19" s="51"/>
      <x:c r="M19" s="51"/>
      <x:c r="N19" s="51"/>
      <x:c r="O19" s="54"/>
      <x:c r="P19" s="51" t="str">
        <x:v>Optional – kein aktiver Benchmark</x:v>
      </x:c>
      <x:c r="Q19" s="53" t="n">
        <x:v>49.5</x:v>
      </x:c>
      <x:c r="R19" s="53" t="n">
        <x:v>74.25</x:v>
      </x:c>
      <x:c r="S19" s="53" t="n">
        <x:v>100</x:v>
      </x:c>
      <x:c r="T19" s="53" t="str">
        <x:v>threshold:0-class</x:v>
      </x:c>
      <x:c r="U19" s="14" t="str">
        <x:v>Legacy-Werte bleiben nur als historische Rechenhilfe erhalten und werden nicht für den FinalScore verwendet.</x:v>
      </x:c>
    </x:row>
    <x:row r="20" ht="42" customHeight="1">
      <x:c r="A20" s="14" t="str">
        <x:v>WOK-SYS-101</x:v>
      </x:c>
      <x:c r="B20" s="14" t="str">
        <x:v>G47</x:v>
      </x:c>
      <x:c r="C20" s="14" t="str">
        <x:v>Legacy / Migration auf NACE Rev. 2.1 offen</x:v>
      </x:c>
      <x:c r="D20" s="14" t="str">
        <x:v>EU</x:v>
      </x:c>
      <x:c r="E20" s="14"/>
      <x:c r="F20" s="14" t="str">
        <x:v>0–1</x:v>
      </x:c>
      <x:c r="G20" s="14" t="str">
        <x:v>higher_is_better</x:v>
      </x:c>
      <x:c r="H20" s="14" t="str">
        <x:v>R15</x:v>
      </x:c>
      <x:c r="I20" s="14" t="str">
        <x:v>Optional/Nein</x:v>
      </x:c>
      <x:c r="J20" s="51"/>
      <x:c r="K20" s="51"/>
      <x:c r="L20" s="51"/>
      <x:c r="M20" s="51"/>
      <x:c r="N20" s="51"/>
      <x:c r="O20" s="54"/>
      <x:c r="P20" s="51" t="str">
        <x:v>Optional – kein aktiver Benchmark</x:v>
      </x:c>
      <x:c r="Q20" s="53" t="n">
        <x:v>0.645</x:v>
      </x:c>
      <x:c r="R20" s="53" t="n">
        <x:v>0.9675</x:v>
      </x:c>
      <x:c r="S20" s="53" t="n">
        <x:v>1</x:v>
      </x:c>
      <x:c r="T20" s="53" t="str">
        <x:v>threshold:0-class</x:v>
      </x:c>
      <x:c r="U20" s="14" t="str">
        <x:v>Legacy-Werte bleiben nur als historische Rechenhilfe erhalten und werden nicht für den FinalScore verwendet.</x:v>
      </x:c>
    </x:row>
    <x:row r="21" ht="42" customHeight="1">
      <x:c r="A21" s="14" t="str">
        <x:v>WOK-SYS-102</x:v>
      </x:c>
      <x:c r="B21" s="14" t="str">
        <x:v>G47</x:v>
      </x:c>
      <x:c r="C21" s="14" t="str">
        <x:v>Legacy / Migration auf NACE Rev. 2.1 offen</x:v>
      </x:c>
      <x:c r="D21" s="14" t="str">
        <x:v>EU</x:v>
      </x:c>
      <x:c r="E21" s="14"/>
      <x:c r="F21" s="14" t="str">
        <x:v>%</x:v>
      </x:c>
      <x:c r="G21" s="14" t="str">
        <x:v>lower_is_better</x:v>
      </x:c>
      <x:c r="H21" s="14" t="str">
        <x:v>R13</x:v>
      </x:c>
      <x:c r="I21" s="14" t="str">
        <x:v>Optional/Nein</x:v>
      </x:c>
      <x:c r="J21" s="51"/>
      <x:c r="K21" s="51"/>
      <x:c r="L21" s="51"/>
      <x:c r="M21" s="51"/>
      <x:c r="N21" s="51"/>
      <x:c r="O21" s="54"/>
      <x:c r="P21" s="51" t="str">
        <x:v>Optional – kein aktiver Benchmark</x:v>
      </x:c>
      <x:c r="Q21" s="53" t="n">
        <x:v>15.5</x:v>
      </x:c>
      <x:c r="R21" s="53" t="n">
        <x:v>23.25</x:v>
      </x:c>
      <x:c r="S21" s="53" t="n">
        <x:v>38.75</x:v>
      </x:c>
      <x:c r="T21" s="53" t="str">
        <x:v>threshold:0-class</x:v>
      </x:c>
      <x:c r="U21" s="14" t="str">
        <x:v>Legacy-Werte bleiben nur als historische Rechenhilfe erhalten und werden nicht für den FinalScore verwendet.</x:v>
      </x:c>
    </x:row>
    <x:row r="22" ht="42" customHeight="1">
      <x:c r="A22" s="14" t="str">
        <x:v>WOK-SYS-103</x:v>
      </x:c>
      <x:c r="B22" s="14" t="str">
        <x:v>G47</x:v>
      </x:c>
      <x:c r="C22" s="14" t="str">
        <x:v>Legacy / Migration auf NACE Rev. 2.1 offen</x:v>
      </x:c>
      <x:c r="D22" s="14" t="str">
        <x:v>EU</x:v>
      </x:c>
      <x:c r="E22" s="14"/>
      <x:c r="F22" s="14" t="str">
        <x:v>#/Jahr</x:v>
      </x:c>
      <x:c r="G22" s="14" t="str">
        <x:v>higher_is_better</x:v>
      </x:c>
      <x:c r="H22" s="14" t="str">
        <x:v>R20</x:v>
      </x:c>
      <x:c r="I22" s="14" t="str">
        <x:v>Optional/Nein</x:v>
      </x:c>
      <x:c r="J22" s="51"/>
      <x:c r="K22" s="51"/>
      <x:c r="L22" s="51"/>
      <x:c r="M22" s="51"/>
      <x:c r="N22" s="51"/>
      <x:c r="O22" s="54"/>
      <x:c r="P22" s="51" t="str">
        <x:v>Optional – kein aktiver Benchmark</x:v>
      </x:c>
      <x:c r="Q22" s="53" t="n">
        <x:v>1.5</x:v>
      </x:c>
      <x:c r="R22" s="53" t="n">
        <x:v>2.25</x:v>
      </x:c>
      <x:c r="S22" s="53" t="n">
        <x:v>3.75</x:v>
      </x:c>
      <x:c r="T22" s="53" t="str">
        <x:v>threshold:0-class</x:v>
      </x:c>
      <x:c r="U22" s="14" t="str">
        <x:v>Legacy-Werte bleiben nur als historische Rechenhilfe erhalten und werden nicht für den FinalScore verwendet.</x:v>
      </x:c>
    </x:row>
    <x:row r="23" ht="42" customHeight="1">
      <x:c r="A23" s="14" t="str">
        <x:v>WOK-S-110</x:v>
      </x:c>
      <x:c r="B23" s="14" t="str">
        <x:v>G47</x:v>
      </x:c>
      <x:c r="C23" s="14" t="str">
        <x:v>Legacy / Migration auf NACE Rev. 2.1 offen</x:v>
      </x:c>
      <x:c r="D23" s="14" t="str">
        <x:v>EU</x:v>
      </x:c>
      <x:c r="E23" s="14"/>
      <x:c r="F23" s="14" t="str">
        <x:v>% Beschäftigte</x:v>
      </x:c>
      <x:c r="G23" s="14" t="str">
        <x:v>higher_is_better</x:v>
      </x:c>
      <x:c r="H23" s="14" t="str">
        <x:v>R27</x:v>
      </x:c>
      <x:c r="I23" s="14" t="str">
        <x:v>Optional/Nein</x:v>
      </x:c>
      <x:c r="J23" s="51"/>
      <x:c r="K23" s="51"/>
      <x:c r="L23" s="51"/>
      <x:c r="M23" s="51"/>
      <x:c r="N23" s="51"/>
      <x:c r="O23" s="54"/>
      <x:c r="P23" s="51" t="str">
        <x:v>Optional – kein aktiver Benchmark</x:v>
      </x:c>
      <x:c r="Q23" s="53" t="n">
        <x:v>69.5</x:v>
      </x:c>
      <x:c r="R23" s="53" t="n">
        <x:v>100</x:v>
      </x:c>
      <x:c r="S23" s="53" t="n">
        <x:v>100</x:v>
      </x:c>
      <x:c r="T23" s="53" t="str">
        <x:v>threshold:0-class</x:v>
      </x:c>
      <x:c r="U23" s="14" t="str">
        <x:v>Legacy-Werte bleiben nur als historische Rechenhilfe erhalten und werden nicht für den FinalScore verwendet.</x:v>
      </x:c>
    </x:row>
    <x:row r="24" ht="42" customHeight="1">
      <x:c r="A24" s="14" t="str">
        <x:v>WOK-S-111</x:v>
      </x:c>
      <x:c r="B24" s="14" t="str">
        <x:v>G47</x:v>
      </x:c>
      <x:c r="C24" s="14" t="str">
        <x:v>Legacy / Migration auf NACE Rev. 2.1 offen</x:v>
      </x:c>
      <x:c r="D24" s="14" t="str">
        <x:v>EU</x:v>
      </x:c>
      <x:c r="E24" s="14"/>
      <x:c r="F24" s="14" t="str">
        <x:v>%</x:v>
      </x:c>
      <x:c r="G24" s="14" t="str">
        <x:v>higher_is_better</x:v>
      </x:c>
      <x:c r="H24" s="14" t="str">
        <x:v>R26</x:v>
      </x:c>
      <x:c r="I24" s="14" t="str">
        <x:v>Optional/Nein</x:v>
      </x:c>
      <x:c r="J24" s="51"/>
      <x:c r="K24" s="51"/>
      <x:c r="L24" s="51"/>
      <x:c r="M24" s="51"/>
      <x:c r="N24" s="51"/>
      <x:c r="O24" s="54"/>
      <x:c r="P24" s="51" t="str">
        <x:v>Optional – kein aktiver Benchmark</x:v>
      </x:c>
      <x:c r="Q24" s="53" t="n">
        <x:v>59.5</x:v>
      </x:c>
      <x:c r="R24" s="53" t="n">
        <x:v>89.25</x:v>
      </x:c>
      <x:c r="S24" s="53" t="n">
        <x:v>100</x:v>
      </x:c>
      <x:c r="T24" s="53" t="str">
        <x:v>threshold:0-class</x:v>
      </x:c>
      <x:c r="U24" s="14" t="str">
        <x:v>Legacy-Werte bleiben nur als historische Rechenhilfe erhalten und werden nicht für den FinalScore verwendet.</x:v>
      </x:c>
    </x:row>
    <x:row r="25" ht="42" customHeight="1">
      <x:c r="A25" s="14" t="str">
        <x:v>WOK-S-112</x:v>
      </x:c>
      <x:c r="B25" s="14" t="str">
        <x:v>G47</x:v>
      </x:c>
      <x:c r="C25" s="14" t="str">
        <x:v>Legacy / Migration auf NACE Rev. 2.1 offen</x:v>
      </x:c>
      <x:c r="D25" s="14" t="str">
        <x:v>EU</x:v>
      </x:c>
      <x:c r="E25" s="14"/>
      <x:c r="F25" s="14" t="str">
        <x:v>Unfälle/Mio Std.</x:v>
      </x:c>
      <x:c r="G25" s="14" t="str">
        <x:v>lower_is_better</x:v>
      </x:c>
      <x:c r="H25" s="14" t="str">
        <x:v>R02</x:v>
      </x:c>
      <x:c r="I25" s="14" t="str">
        <x:v>Optional/Nein</x:v>
      </x:c>
      <x:c r="J25" s="51"/>
      <x:c r="K25" s="51"/>
      <x:c r="L25" s="51"/>
      <x:c r="M25" s="51"/>
      <x:c r="N25" s="51"/>
      <x:c r="O25" s="54"/>
      <x:c r="P25" s="51" t="str">
        <x:v>Optional – kein aktiver Benchmark</x:v>
      </x:c>
      <x:c r="Q25" s="53" t="n">
        <x:v>3</x:v>
      </x:c>
      <x:c r="R25" s="53" t="n">
        <x:v>4.5</x:v>
      </x:c>
      <x:c r="S25" s="53" t="n">
        <x:v>7.5</x:v>
      </x:c>
      <x:c r="T25" s="53" t="str">
        <x:v>threshold:0-class</x:v>
      </x:c>
      <x:c r="U25" s="14" t="str">
        <x:v>Legacy-Werte bleiben nur als historische Rechenhilfe erhalten und werden nicht für den FinalScore verwendet.</x:v>
      </x:c>
    </x:row>
    <x:row r="26" ht="42" customHeight="1">
      <x:c r="A26" s="14" t="str">
        <x:v>WOK-G-104</x:v>
      </x:c>
      <x:c r="B26" s="14" t="str">
        <x:v>G47</x:v>
      </x:c>
      <x:c r="C26" s="14" t="str">
        <x:v>Legacy / Migration auf NACE Rev. 2.1 offen</x:v>
      </x:c>
      <x:c r="D26" s="14" t="str">
        <x:v>EU</x:v>
      </x:c>
      <x:c r="E26" s="14"/>
      <x:c r="F26" s="14" t="str">
        <x:v>Fälle/1.000 FTE</x:v>
      </x:c>
      <x:c r="G26" s="14" t="str">
        <x:v>lower_is_better</x:v>
      </x:c>
      <x:c r="H26" s="14" t="str">
        <x:v>R01</x:v>
      </x:c>
      <x:c r="I26" s="14" t="str">
        <x:v>Optional/Nein</x:v>
      </x:c>
      <x:c r="J26" s="51"/>
      <x:c r="K26" s="51"/>
      <x:c r="L26" s="51"/>
      <x:c r="M26" s="51"/>
      <x:c r="N26" s="51"/>
      <x:c r="O26" s="54"/>
      <x:c r="P26" s="51" t="str">
        <x:v>Optional – kein aktiver Benchmark</x:v>
      </x:c>
      <x:c r="Q26" s="53" t="n">
        <x:v>0.5</x:v>
      </x:c>
      <x:c r="R26" s="53" t="n">
        <x:v>0.75</x:v>
      </x:c>
      <x:c r="S26" s="53" t="n">
        <x:v>1.25</x:v>
      </x:c>
      <x:c r="T26" s="53" t="str">
        <x:v>threshold:0-class</x:v>
      </x:c>
      <x:c r="U26" s="14" t="str">
        <x:v>Legacy-Werte bleiben nur als historische Rechenhilfe erhalten und werden nicht für den FinalScore verwendet.</x:v>
      </x:c>
    </x:row>
    <x:row r="27" ht="42" customHeight="1">
      <x:c r="A27" s="14" t="str">
        <x:v>WOK-G-105</x:v>
      </x:c>
      <x:c r="B27" s="14" t="str">
        <x:v>G47</x:v>
      </x:c>
      <x:c r="C27" s="14" t="str">
        <x:v>Legacy / Migration auf NACE Rev. 2.1 offen</x:v>
      </x:c>
      <x:c r="D27" s="14" t="str">
        <x:v>EU</x:v>
      </x:c>
      <x:c r="E27" s="14"/>
      <x:c r="F27" s="14" t="str">
        <x:v>0–1</x:v>
      </x:c>
      <x:c r="G27" s="14" t="str">
        <x:v>higher_is_better</x:v>
      </x:c>
      <x:c r="H27" s="14" t="str">
        <x:v>R16</x:v>
      </x:c>
      <x:c r="I27" s="14" t="str">
        <x:v>Optional/Nein</x:v>
      </x:c>
      <x:c r="J27" s="51"/>
      <x:c r="K27" s="51"/>
      <x:c r="L27" s="51"/>
      <x:c r="M27" s="51"/>
      <x:c r="N27" s="51"/>
      <x:c r="O27" s="54"/>
      <x:c r="P27" s="51" t="str">
        <x:v>Optional – kein aktiver Benchmark</x:v>
      </x:c>
      <x:c r="Q27" s="53" t="n">
        <x:v>0.6699999999999999</x:v>
      </x:c>
      <x:c r="R27" s="53" t="n">
        <x:v>1</x:v>
      </x:c>
      <x:c r="S27" s="53" t="n">
        <x:v>1</x:v>
      </x:c>
      <x:c r="T27" s="53" t="str">
        <x:v>threshold:0-class</x:v>
      </x:c>
      <x:c r="U27" s="14" t="str">
        <x:v>Legacy-Werte bleiben nur als historische Rechenhilfe erhalten und werden nicht für den FinalScore verwendet.</x:v>
      </x:c>
    </x:row>
    <x:row r="28" ht="42" customHeight="1">
      <x:c r="A28" s="14" t="str">
        <x:v>WOK-G-106</x:v>
      </x:c>
      <x:c r="B28" s="14" t="str">
        <x:v>G47</x:v>
      </x:c>
      <x:c r="C28" s="14" t="str">
        <x:v>Legacy / Migration auf NACE Rev. 2.1 offen</x:v>
      </x:c>
      <x:c r="D28" s="14" t="str">
        <x:v>EU</x:v>
      </x:c>
      <x:c r="E28" s="14"/>
      <x:c r="F28" s="14" t="str">
        <x:v>0–1</x:v>
      </x:c>
      <x:c r="G28" s="14" t="str">
        <x:v>higher_is_better</x:v>
      </x:c>
      <x:c r="H28" s="14" t="str">
        <x:v>R08</x:v>
      </x:c>
      <x:c r="I28" s="14" t="str">
        <x:v>Optional/Nein</x:v>
      </x:c>
      <x:c r="J28" s="51"/>
      <x:c r="K28" s="51"/>
      <x:c r="L28" s="51"/>
      <x:c r="M28" s="51"/>
      <x:c r="N28" s="51"/>
      <x:c r="O28" s="54"/>
      <x:c r="P28" s="51" t="str">
        <x:v>Optional – kein aktiver Benchmark</x:v>
      </x:c>
      <x:c r="Q28" s="53" t="n">
        <x:v>0.5</x:v>
      </x:c>
      <x:c r="R28" s="53" t="n">
        <x:v>0.75</x:v>
      </x:c>
      <x:c r="S28" s="53" t="n">
        <x:v>0.9</x:v>
      </x:c>
      <x:c r="T28" s="53" t="str">
        <x:v>default:higher_is_better_abs</x:v>
      </x:c>
      <x:c r="U28" s="14" t="str">
        <x:v>Legacy-Werte bleiben nur als historische Rechenhilfe erhalten und werden nicht für den FinalScore verwendet.</x:v>
      </x:c>
    </x:row>
    <x:row r="29" ht="42" customHeight="1">
      <x:c r="A29" s="14" t="str">
        <x:v>WOK-S-113</x:v>
      </x:c>
      <x:c r="B29" s="14" t="str">
        <x:v>G47</x:v>
      </x:c>
      <x:c r="C29" s="14" t="str">
        <x:v>Legacy / Migration auf NACE Rev. 2.1 offen</x:v>
      </x:c>
      <x:c r="D29" s="14" t="str">
        <x:v>EU</x:v>
      </x:c>
      <x:c r="E29" s="14"/>
      <x:c r="F29" s="14" t="str">
        <x:v>% Beschäftigte</x:v>
      </x:c>
      <x:c r="G29" s="14" t="str">
        <x:v>higher_is_better</x:v>
      </x:c>
      <x:c r="H29" s="14" t="str">
        <x:v>R27</x:v>
      </x:c>
      <x:c r="I29" s="14" t="str">
        <x:v>Optional/Nein</x:v>
      </x:c>
      <x:c r="J29" s="51"/>
      <x:c r="K29" s="51"/>
      <x:c r="L29" s="51"/>
      <x:c r="M29" s="51"/>
      <x:c r="N29" s="51"/>
      <x:c r="O29" s="54"/>
      <x:c r="P29" s="51" t="str">
        <x:v>Optional – kein aktiver Benchmark</x:v>
      </x:c>
      <x:c r="Q29" s="53" t="n">
        <x:v>69.5</x:v>
      </x:c>
      <x:c r="R29" s="53" t="n">
        <x:v>100</x:v>
      </x:c>
      <x:c r="S29" s="53" t="n">
        <x:v>100</x:v>
      </x:c>
      <x:c r="T29" s="53" t="str">
        <x:v>threshold:0-class</x:v>
      </x:c>
      <x:c r="U29" s="14" t="str">
        <x:v>Legacy-Werte bleiben nur als historische Rechenhilfe erhalten und werden nicht für den FinalScore verwendet.</x:v>
      </x:c>
    </x:row>
    <x:row r="30" ht="42" customHeight="1">
      <x:c r="A30" s="14" t="str">
        <x:v>WOK-S-114</x:v>
      </x:c>
      <x:c r="B30" s="14" t="str">
        <x:v>G47</x:v>
      </x:c>
      <x:c r="C30" s="14" t="str">
        <x:v>Legacy / Migration auf NACE Rev. 2.1 offen</x:v>
      </x:c>
      <x:c r="D30" s="14" t="str">
        <x:v>EU</x:v>
      </x:c>
      <x:c r="E30" s="14"/>
      <x:c r="F30" s="14" t="str">
        <x:v>%</x:v>
      </x:c>
      <x:c r="G30" s="14" t="str">
        <x:v>higher_is_better</x:v>
      </x:c>
      <x:c r="H30" s="14" t="str">
        <x:v>R26</x:v>
      </x:c>
      <x:c r="I30" s="14" t="str">
        <x:v>Optional/Nein</x:v>
      </x:c>
      <x:c r="J30" s="51"/>
      <x:c r="K30" s="51"/>
      <x:c r="L30" s="51"/>
      <x:c r="M30" s="51"/>
      <x:c r="N30" s="51"/>
      <x:c r="O30" s="54"/>
      <x:c r="P30" s="51" t="str">
        <x:v>Optional – kein aktiver Benchmark</x:v>
      </x:c>
      <x:c r="Q30" s="53" t="n">
        <x:v>59.5</x:v>
      </x:c>
      <x:c r="R30" s="53" t="n">
        <x:v>89.25</x:v>
      </x:c>
      <x:c r="S30" s="53" t="n">
        <x:v>100</x:v>
      </x:c>
      <x:c r="T30" s="53" t="str">
        <x:v>threshold:0-class</x:v>
      </x:c>
      <x:c r="U30" s="14" t="str">
        <x:v>Legacy-Werte bleiben nur als historische Rechenhilfe erhalten und werden nicht für den FinalScore verwendet.</x:v>
      </x:c>
    </x:row>
    <x:row r="31" ht="42" customHeight="1">
      <x:c r="A31" s="14" t="str">
        <x:v>WOK-S-115</x:v>
      </x:c>
      <x:c r="B31" s="14" t="str">
        <x:v>G47</x:v>
      </x:c>
      <x:c r="C31" s="14" t="str">
        <x:v>Legacy / Migration auf NACE Rev. 2.1 offen</x:v>
      </x:c>
      <x:c r="D31" s="14" t="str">
        <x:v>EU</x:v>
      </x:c>
      <x:c r="E31" s="14"/>
      <x:c r="F31" s="14" t="str">
        <x:v>Unfälle/Mio Std.</x:v>
      </x:c>
      <x:c r="G31" s="14" t="str">
        <x:v>lower_is_better</x:v>
      </x:c>
      <x:c r="H31" s="14" t="str">
        <x:v>R02</x:v>
      </x:c>
      <x:c r="I31" s="14" t="str">
        <x:v>Optional/Nein</x:v>
      </x:c>
      <x:c r="J31" s="51"/>
      <x:c r="K31" s="51"/>
      <x:c r="L31" s="51"/>
      <x:c r="M31" s="51"/>
      <x:c r="N31" s="51"/>
      <x:c r="O31" s="54"/>
      <x:c r="P31" s="51" t="str">
        <x:v>Optional – kein aktiver Benchmark</x:v>
      </x:c>
      <x:c r="Q31" s="53" t="n">
        <x:v>3</x:v>
      </x:c>
      <x:c r="R31" s="53" t="n">
        <x:v>4.5</x:v>
      </x:c>
      <x:c r="S31" s="53" t="n">
        <x:v>7.5</x:v>
      </x:c>
      <x:c r="T31" s="53" t="str">
        <x:v>threshold:0-class</x:v>
      </x:c>
      <x:c r="U31" s="14" t="str">
        <x:v>Legacy-Werte bleiben nur als historische Rechenhilfe erhalten und werden nicht für den FinalScore verwendet.</x:v>
      </x:c>
    </x:row>
    <x:row r="32" ht="42" customHeight="1">
      <x:c r="A32" s="14" t="str">
        <x:v>WOK-E-101</x:v>
      </x:c>
      <x:c r="B32" s="14" t="str">
        <x:v>A01</x:v>
      </x:c>
      <x:c r="C32" s="14" t="str">
        <x:v>Legacy / Migration auf NACE Rev. 2.1 offen</x:v>
      </x:c>
      <x:c r="D32" s="14" t="str">
        <x:v>EU</x:v>
      </x:c>
      <x:c r="E32" s="14"/>
      <x:c r="F32" s="14" t="str">
        <x:v>m³*WSI</x:v>
      </x:c>
      <x:c r="G32" s="14" t="str">
        <x:v>lower_is_better</x:v>
      </x:c>
      <x:c r="H32" s="14" t="str">
        <x:v>R06</x:v>
      </x:c>
      <x:c r="I32" s="14" t="str">
        <x:v>Ja</x:v>
      </x:c>
      <x:c r="J32" s="51"/>
      <x:c r="K32" s="51"/>
      <x:c r="L32" s="51"/>
      <x:c r="M32" s="51"/>
      <x:c r="N32" s="51"/>
      <x:c r="O32" s="54"/>
      <x:c r="P32" s="51" t="str">
        <x:v>Offen – validierter Benchmark fehlt</x:v>
      </x:c>
      <x:c r="Q32" s="53" t="n">
        <x:v>1</x:v>
      </x:c>
      <x:c r="R32" s="53" t="n">
        <x:v>1.5</x:v>
      </x:c>
      <x:c r="S32" s="53" t="n">
        <x:v>2.5</x:v>
      </x:c>
      <x:c r="T32" s="53" t="str">
        <x:v>default:lower_is_better_abs</x:v>
      </x:c>
      <x:c r="U32" s="14" t="str">
        <x:v>Vor Aktivierung repräsentative Population, Region, Technologieklasse, Statistik, Quelle und Gültigkeitszeitraum dokumentieren.</x:v>
      </x:c>
    </x:row>
    <x:row r="33" ht="42" customHeight="1">
      <x:c r="A33" s="14" t="str">
        <x:v>WOK-E-102</x:v>
      </x:c>
      <x:c r="B33" s="14" t="str">
        <x:v>A01</x:v>
      </x:c>
      <x:c r="C33" s="14" t="str">
        <x:v>Legacy / Migration auf NACE Rev. 2.1 offen</x:v>
      </x:c>
      <x:c r="D33" s="14" t="str">
        <x:v>EU</x:v>
      </x:c>
      <x:c r="E33" s="14"/>
      <x:c r="F33" s="14" t="str">
        <x:v>%</x:v>
      </x:c>
      <x:c r="G33" s="14" t="str">
        <x:v>higher_is_better</x:v>
      </x:c>
      <x:c r="H33" s="14" t="str">
        <x:v>R25</x:v>
      </x:c>
      <x:c r="I33" s="14" t="str">
        <x:v>Optional/Nein</x:v>
      </x:c>
      <x:c r="J33" s="51"/>
      <x:c r="K33" s="51"/>
      <x:c r="L33" s="51"/>
      <x:c r="M33" s="51"/>
      <x:c r="N33" s="51"/>
      <x:c r="O33" s="54"/>
      <x:c r="P33" s="51" t="str">
        <x:v>Optional – kein aktiver Benchmark</x:v>
      </x:c>
      <x:c r="Q33" s="53" t="n">
        <x:v>50</x:v>
      </x:c>
      <x:c r="R33" s="53" t="n">
        <x:v>75</x:v>
      </x:c>
      <x:c r="S33" s="53" t="n">
        <x:v>100</x:v>
      </x:c>
      <x:c r="T33" s="53" t="str">
        <x:v>default:higher_is_better_pct</x:v>
      </x:c>
      <x:c r="U33" s="14" t="str">
        <x:v>Legacy-Werte bleiben nur als historische Rechenhilfe erhalten und werden nicht für den FinalScore verwendet.</x:v>
      </x:c>
    </x:row>
    <x:row r="34" ht="42" customHeight="1">
      <x:c r="A34" s="14" t="str">
        <x:v>WOK-E-103</x:v>
      </x:c>
      <x:c r="B34" s="14" t="str">
        <x:v>A01</x:v>
      </x:c>
      <x:c r="C34" s="14" t="str">
        <x:v>Legacy / Migration auf NACE Rev. 2.1 offen</x:v>
      </x:c>
      <x:c r="D34" s="14" t="str">
        <x:v>EU</x:v>
      </x:c>
      <x:c r="E34" s="14"/>
      <x:c r="F34" s="14" t="str">
        <x:v>%</x:v>
      </x:c>
      <x:c r="G34" s="14" t="str">
        <x:v>lower_is_better</x:v>
      </x:c>
      <x:c r="H34" s="14" t="str">
        <x:v>R12</x:v>
      </x:c>
      <x:c r="I34" s="14" t="str">
        <x:v>Optional/Nein</x:v>
      </x:c>
      <x:c r="J34" s="51"/>
      <x:c r="K34" s="51"/>
      <x:c r="L34" s="51"/>
      <x:c r="M34" s="51"/>
      <x:c r="N34" s="51"/>
      <x:c r="O34" s="54"/>
      <x:c r="P34" s="51" t="str">
        <x:v>Optional – kein aktiver Benchmark</x:v>
      </x:c>
      <x:c r="Q34" s="53" t="n">
        <x:v>1</x:v>
      </x:c>
      <x:c r="R34" s="53" t="n">
        <x:v>1.2</x:v>
      </x:c>
      <x:c r="S34" s="53" t="n">
        <x:v>1.5</x:v>
      </x:c>
      <x:c r="T34" s="53" t="str">
        <x:v>default:reg_limit</x:v>
      </x:c>
      <x:c r="U34" s="14" t="str">
        <x:v>Legacy-Werte bleiben nur als historische Rechenhilfe erhalten und werden nicht für den FinalScore verwendet.</x:v>
      </x:c>
    </x:row>
    <x:row r="35" ht="42" customHeight="1">
      <x:c r="A35" s="14" t="str">
        <x:v>WOK-E-104</x:v>
      </x:c>
      <x:c r="B35" s="14" t="str">
        <x:v>A01</x:v>
      </x:c>
      <x:c r="C35" s="14" t="str">
        <x:v>Legacy / Migration auf NACE Rev. 2.1 offen</x:v>
      </x:c>
      <x:c r="D35" s="14" t="str">
        <x:v>EU</x:v>
      </x:c>
      <x:c r="E35" s="14"/>
      <x:c r="F35" s="14" t="str">
        <x:v>kg/t</x:v>
      </x:c>
      <x:c r="G35" s="14" t="str">
        <x:v>lower_is_better</x:v>
      </x:c>
      <x:c r="H35" s="14" t="str">
        <x:v>R06</x:v>
      </x:c>
      <x:c r="I35" s="14" t="str">
        <x:v>Ja</x:v>
      </x:c>
      <x:c r="J35" s="51"/>
      <x:c r="K35" s="51"/>
      <x:c r="L35" s="51"/>
      <x:c r="M35" s="51"/>
      <x:c r="N35" s="51"/>
      <x:c r="O35" s="54"/>
      <x:c r="P35" s="51" t="str">
        <x:v>Offen – validierter Benchmark fehlt</x:v>
      </x:c>
      <x:c r="Q35" s="53" t="n">
        <x:v>1</x:v>
      </x:c>
      <x:c r="R35" s="53" t="n">
        <x:v>1.5</x:v>
      </x:c>
      <x:c r="S35" s="53" t="n">
        <x:v>2.5</x:v>
      </x:c>
      <x:c r="T35" s="53" t="str">
        <x:v>default:lower_is_better_abs</x:v>
      </x:c>
      <x:c r="U35" s="14" t="str">
        <x:v>Vor Aktivierung repräsentative Population, Region, Technologieklasse, Statistik, Quelle und Gültigkeitszeitraum dokumentieren.</x:v>
      </x:c>
    </x:row>
    <x:row r="36" ht="42" customHeight="1">
      <x:c r="A36" s="14" t="str">
        <x:v>WOK-E-105</x:v>
      </x:c>
      <x:c r="B36" s="14" t="str">
        <x:v>A01</x:v>
      </x:c>
      <x:c r="C36" s="14" t="str">
        <x:v>Legacy / Migration auf NACE Rev. 2.1 offen</x:v>
      </x:c>
      <x:c r="D36" s="14" t="str">
        <x:v>EU</x:v>
      </x:c>
      <x:c r="E36" s="14"/>
      <x:c r="F36" s="14" t="str">
        <x:v>%</x:v>
      </x:c>
      <x:c r="G36" s="14" t="str">
        <x:v>higher_is_better</x:v>
      </x:c>
      <x:c r="H36" s="14" t="str">
        <x:v>R25</x:v>
      </x:c>
      <x:c r="I36" s="14" t="str">
        <x:v>Optional/Nein</x:v>
      </x:c>
      <x:c r="J36" s="51"/>
      <x:c r="K36" s="51"/>
      <x:c r="L36" s="51"/>
      <x:c r="M36" s="51"/>
      <x:c r="N36" s="51"/>
      <x:c r="O36" s="54"/>
      <x:c r="P36" s="51" t="str">
        <x:v>Optional – kein aktiver Benchmark</x:v>
      </x:c>
      <x:c r="Q36" s="53" t="n">
        <x:v>50</x:v>
      </x:c>
      <x:c r="R36" s="53" t="n">
        <x:v>75</x:v>
      </x:c>
      <x:c r="S36" s="53" t="n">
        <x:v>100</x:v>
      </x:c>
      <x:c r="T36" s="53" t="str">
        <x:v>default:higher_is_better_pct</x:v>
      </x:c>
      <x:c r="U36" s="14" t="str">
        <x:v>Legacy-Werte bleiben nur als historische Rechenhilfe erhalten und werden nicht für den FinalScore verwendet.</x:v>
      </x:c>
    </x:row>
    <x:row r="37" ht="42" customHeight="1">
      <x:c r="A37" s="14" t="str">
        <x:v>WOK-E-106</x:v>
      </x:c>
      <x:c r="B37" s="14" t="str">
        <x:v>A01</x:v>
      </x:c>
      <x:c r="C37" s="14" t="str">
        <x:v>Legacy / Migration auf NACE Rev. 2.1 offen</x:v>
      </x:c>
      <x:c r="D37" s="14" t="str">
        <x:v>EU</x:v>
      </x:c>
      <x:c r="E37" s="14"/>
      <x:c r="F37" s="14" t="str">
        <x:v>kg/t</x:v>
      </x:c>
      <x:c r="G37" s="14" t="str">
        <x:v>lower_is_better</x:v>
      </x:c>
      <x:c r="H37" s="14" t="str">
        <x:v>R06</x:v>
      </x:c>
      <x:c r="I37" s="14" t="str">
        <x:v>Ja</x:v>
      </x:c>
      <x:c r="J37" s="51"/>
      <x:c r="K37" s="51"/>
      <x:c r="L37" s="51"/>
      <x:c r="M37" s="51"/>
      <x:c r="N37" s="51"/>
      <x:c r="O37" s="54"/>
      <x:c r="P37" s="51" t="str">
        <x:v>Offen – validierter Benchmark fehlt</x:v>
      </x:c>
      <x:c r="Q37" s="53" t="n">
        <x:v>1</x:v>
      </x:c>
      <x:c r="R37" s="53" t="n">
        <x:v>1.5</x:v>
      </x:c>
      <x:c r="S37" s="53" t="n">
        <x:v>2.5</x:v>
      </x:c>
      <x:c r="T37" s="53" t="str">
        <x:v>default:lower_is_better_abs</x:v>
      </x:c>
      <x:c r="U37" s="14" t="str">
        <x:v>Vor Aktivierung repräsentative Population, Region, Technologieklasse, Statistik, Quelle und Gültigkeitszeitraum dokumentieren.</x:v>
      </x:c>
    </x:row>
    <x:row r="38" ht="42" customHeight="1">
      <x:c r="A38" s="14" t="str">
        <x:v>WOK-E-107</x:v>
      </x:c>
      <x:c r="B38" s="14" t="str">
        <x:v>A01</x:v>
      </x:c>
      <x:c r="C38" s="14" t="str">
        <x:v>Legacy / Migration auf NACE Rev. 2.1 offen</x:v>
      </x:c>
      <x:c r="D38" s="14" t="str">
        <x:v>EU</x:v>
      </x:c>
      <x:c r="E38" s="14"/>
      <x:c r="F38" s="14" t="str">
        <x:v>m³*WSI</x:v>
      </x:c>
      <x:c r="G38" s="14" t="str">
        <x:v>lower_is_better</x:v>
      </x:c>
      <x:c r="H38" s="14" t="str">
        <x:v>R06</x:v>
      </x:c>
      <x:c r="I38" s="14" t="str">
        <x:v>Ja</x:v>
      </x:c>
      <x:c r="J38" s="51"/>
      <x:c r="K38" s="51"/>
      <x:c r="L38" s="51"/>
      <x:c r="M38" s="51"/>
      <x:c r="N38" s="51"/>
      <x:c r="O38" s="54"/>
      <x:c r="P38" s="51" t="str">
        <x:v>Offen – validierter Benchmark fehlt</x:v>
      </x:c>
      <x:c r="Q38" s="53" t="n">
        <x:v>1</x:v>
      </x:c>
      <x:c r="R38" s="53" t="n">
        <x:v>1.5</x:v>
      </x:c>
      <x:c r="S38" s="53" t="n">
        <x:v>2.5</x:v>
      </x:c>
      <x:c r="T38" s="53" t="str">
        <x:v>default:lower_is_better_abs</x:v>
      </x:c>
      <x:c r="U38" s="14" t="str">
        <x:v>Vor Aktivierung repräsentative Population, Region, Technologieklasse, Statistik, Quelle und Gültigkeitszeitraum dokumentieren.</x:v>
      </x:c>
    </x:row>
    <x:row r="39" ht="42" customHeight="1">
      <x:c r="A39" s="14" t="str">
        <x:v>WOK-E-108</x:v>
      </x:c>
      <x:c r="B39" s="14" t="str">
        <x:v>A01</x:v>
      </x:c>
      <x:c r="C39" s="14" t="str">
        <x:v>Legacy / Migration auf NACE Rev. 2.1 offen</x:v>
      </x:c>
      <x:c r="D39" s="14" t="str">
        <x:v>EU</x:v>
      </x:c>
      <x:c r="E39" s="14"/>
      <x:c r="F39" s="14" t="str">
        <x:v>%</x:v>
      </x:c>
      <x:c r="G39" s="14" t="str">
        <x:v>higher_is_better</x:v>
      </x:c>
      <x:c r="H39" s="14" t="str">
        <x:v>R25</x:v>
      </x:c>
      <x:c r="I39" s="14" t="str">
        <x:v>Optional/Nein</x:v>
      </x:c>
      <x:c r="J39" s="51"/>
      <x:c r="K39" s="51"/>
      <x:c r="L39" s="51"/>
      <x:c r="M39" s="51"/>
      <x:c r="N39" s="51"/>
      <x:c r="O39" s="54"/>
      <x:c r="P39" s="51" t="str">
        <x:v>Optional – kein aktiver Benchmark</x:v>
      </x:c>
      <x:c r="Q39" s="53" t="n">
        <x:v>50</x:v>
      </x:c>
      <x:c r="R39" s="53" t="n">
        <x:v>75</x:v>
      </x:c>
      <x:c r="S39" s="53" t="n">
        <x:v>100</x:v>
      </x:c>
      <x:c r="T39" s="53" t="str">
        <x:v>default:higher_is_better_pct</x:v>
      </x:c>
      <x:c r="U39" s="14" t="str">
        <x:v>Legacy-Werte bleiben nur als historische Rechenhilfe erhalten und werden nicht für den FinalScore verwendet.</x:v>
      </x:c>
    </x:row>
    <x:row r="40" ht="42" customHeight="1">
      <x:c r="A40" s="14" t="str">
        <x:v>WOK-E-109</x:v>
      </x:c>
      <x:c r="B40" s="14" t="str">
        <x:v>A01</x:v>
      </x:c>
      <x:c r="C40" s="14" t="str">
        <x:v>Legacy / Migration auf NACE Rev. 2.1 offen</x:v>
      </x:c>
      <x:c r="D40" s="14" t="str">
        <x:v>EU</x:v>
      </x:c>
      <x:c r="E40" s="14"/>
      <x:c r="F40" s="14" t="str">
        <x:v>%</x:v>
      </x:c>
      <x:c r="G40" s="14" t="str">
        <x:v>lower_is_better</x:v>
      </x:c>
      <x:c r="H40" s="14" t="str">
        <x:v>R12</x:v>
      </x:c>
      <x:c r="I40" s="14" t="str">
        <x:v>Optional/Nein</x:v>
      </x:c>
      <x:c r="J40" s="51"/>
      <x:c r="K40" s="51"/>
      <x:c r="L40" s="51"/>
      <x:c r="M40" s="51"/>
      <x:c r="N40" s="51"/>
      <x:c r="O40" s="54"/>
      <x:c r="P40" s="51" t="str">
        <x:v>Optional – kein aktiver Benchmark</x:v>
      </x:c>
      <x:c r="Q40" s="53" t="n">
        <x:v>1</x:v>
      </x:c>
      <x:c r="R40" s="53" t="n">
        <x:v>1.2</x:v>
      </x:c>
      <x:c r="S40" s="53" t="n">
        <x:v>1.5</x:v>
      </x:c>
      <x:c r="T40" s="53" t="str">
        <x:v>default:reg_limit</x:v>
      </x:c>
      <x:c r="U40" s="14" t="str">
        <x:v>Legacy-Werte bleiben nur als historische Rechenhilfe erhalten und werden nicht für den FinalScore verwendet.</x:v>
      </x:c>
    </x:row>
    <x:row r="41" ht="42" customHeight="1">
      <x:c r="A41" s="14" t="str">
        <x:v>WOK-SC-104</x:v>
      </x:c>
      <x:c r="B41" s="14" t="str">
        <x:v>A01</x:v>
      </x:c>
      <x:c r="C41" s="14" t="str">
        <x:v>Legacy / Migration auf NACE Rev. 2.1 offen</x:v>
      </x:c>
      <x:c r="D41" s="14" t="str">
        <x:v>EU</x:v>
      </x:c>
      <x:c r="E41" s="14"/>
      <x:c r="F41" s="14" t="str">
        <x:v>%</x:v>
      </x:c>
      <x:c r="G41" s="14" t="str">
        <x:v>higher_is_better</x:v>
      </x:c>
      <x:c r="H41" s="14" t="str">
        <x:v>R26</x:v>
      </x:c>
      <x:c r="I41" s="14" t="str">
        <x:v>Optional/Nein</x:v>
      </x:c>
      <x:c r="J41" s="51"/>
      <x:c r="K41" s="51"/>
      <x:c r="L41" s="51"/>
      <x:c r="M41" s="51"/>
      <x:c r="N41" s="51"/>
      <x:c r="O41" s="54"/>
      <x:c r="P41" s="51" t="str">
        <x:v>Optional – kein aktiver Benchmark</x:v>
      </x:c>
      <x:c r="Q41" s="53" t="n">
        <x:v>59.5</x:v>
      </x:c>
      <x:c r="R41" s="53" t="n">
        <x:v>89.25</x:v>
      </x:c>
      <x:c r="S41" s="53" t="n">
        <x:v>100</x:v>
      </x:c>
      <x:c r="T41" s="53" t="str">
        <x:v>threshold:0-class</x:v>
      </x:c>
      <x:c r="U41" s="14" t="str">
        <x:v>Legacy-Werte bleiben nur als historische Rechenhilfe erhalten und werden nicht für den FinalScore verwendet.</x:v>
      </x:c>
    </x:row>
    <x:row r="42" ht="42" customHeight="1">
      <x:c r="A42" s="14" t="str">
        <x:v>WOK-SC-105</x:v>
      </x:c>
      <x:c r="B42" s="14" t="str">
        <x:v>A01</x:v>
      </x:c>
      <x:c r="C42" s="14" t="str">
        <x:v>Legacy / Migration auf NACE Rev. 2.1 offen</x:v>
      </x:c>
      <x:c r="D42" s="14" t="str">
        <x:v>EU</x:v>
      </x:c>
      <x:c r="E42" s="14"/>
      <x:c r="F42" s="14" t="str">
        <x:v>% Lieferanten</x:v>
      </x:c>
      <x:c r="G42" s="14" t="str">
        <x:v>higher_is_better</x:v>
      </x:c>
      <x:c r="H42" s="14" t="str">
        <x:v>R28</x:v>
      </x:c>
      <x:c r="I42" s="14" t="str">
        <x:v>Optional/Nein</x:v>
      </x:c>
      <x:c r="J42" s="51"/>
      <x:c r="K42" s="51"/>
      <x:c r="L42" s="51"/>
      <x:c r="M42" s="51"/>
      <x:c r="N42" s="51"/>
      <x:c r="O42" s="54"/>
      <x:c r="P42" s="51" t="str">
        <x:v>Optional – kein aktiver Benchmark</x:v>
      </x:c>
      <x:c r="Q42" s="53" t="n">
        <x:v>82</x:v>
      </x:c>
      <x:c r="R42" s="53" t="n">
        <x:v>100</x:v>
      </x:c>
      <x:c r="S42" s="53" t="n">
        <x:v>100</x:v>
      </x:c>
      <x:c r="T42" s="53" t="str">
        <x:v>threshold:0-class</x:v>
      </x:c>
      <x:c r="U42" s="14" t="str">
        <x:v>Legacy-Werte bleiben nur als historische Rechenhilfe erhalten und werden nicht für den FinalScore verwendet.</x:v>
      </x:c>
    </x:row>
    <x:row r="43" ht="42" customHeight="1">
      <x:c r="A43" s="14" t="str">
        <x:v>WOK-SC-106</x:v>
      </x:c>
      <x:c r="B43" s="14" t="str">
        <x:v>A01</x:v>
      </x:c>
      <x:c r="C43" s="14" t="str">
        <x:v>Legacy / Migration auf NACE Rev. 2.1 offen</x:v>
      </x:c>
      <x:c r="D43" s="14" t="str">
        <x:v>EU</x:v>
      </x:c>
      <x:c r="E43" s="14"/>
      <x:c r="F43" s="14" t="str">
        <x:v>% Kategorien</x:v>
      </x:c>
      <x:c r="G43" s="14" t="str">
        <x:v>higher_is_better</x:v>
      </x:c>
      <x:c r="H43" s="14" t="str">
        <x:v>R23</x:v>
      </x:c>
      <x:c r="I43" s="14" t="str">
        <x:v>Optional/Nein</x:v>
      </x:c>
      <x:c r="J43" s="51"/>
      <x:c r="K43" s="51"/>
      <x:c r="L43" s="51"/>
      <x:c r="M43" s="51"/>
      <x:c r="N43" s="51"/>
      <x:c r="O43" s="54"/>
      <x:c r="P43" s="51" t="str">
        <x:v>Optional – kein aktiver Benchmark</x:v>
      </x:c>
      <x:c r="Q43" s="53" t="n">
        <x:v>49.5</x:v>
      </x:c>
      <x:c r="R43" s="53" t="n">
        <x:v>74.25</x:v>
      </x:c>
      <x:c r="S43" s="53" t="n">
        <x:v>100</x:v>
      </x:c>
      <x:c r="T43" s="53" t="str">
        <x:v>threshold:0-class</x:v>
      </x:c>
      <x:c r="U43" s="14" t="str">
        <x:v>Legacy-Werte bleiben nur als historische Rechenhilfe erhalten und werden nicht für den FinalScore verwendet.</x:v>
      </x:c>
    </x:row>
    <x:row r="44" ht="42" customHeight="1">
      <x:c r="A44" s="14" t="str">
        <x:v>WOK-P-101</x:v>
      </x:c>
      <x:c r="B44" s="14" t="str">
        <x:v>A01</x:v>
      </x:c>
      <x:c r="C44" s="14" t="str">
        <x:v>Legacy / Migration auf NACE Rev. 2.1 offen</x:v>
      </x:c>
      <x:c r="D44" s="14" t="str">
        <x:v>EU</x:v>
      </x:c>
      <x:c r="E44" s="14"/>
      <x:c r="F44" s="14" t="str">
        <x:v>kg CO₂e/Einheit</x:v>
      </x:c>
      <x:c r="G44" s="14" t="str">
        <x:v>lower_is_better</x:v>
      </x:c>
      <x:c r="H44" s="14" t="str">
        <x:v>R07</x:v>
      </x:c>
      <x:c r="I44" s="14" t="str">
        <x:v>Ja</x:v>
      </x:c>
      <x:c r="J44" s="51"/>
      <x:c r="K44" s="51"/>
      <x:c r="L44" s="51"/>
      <x:c r="M44" s="51"/>
      <x:c r="N44" s="51"/>
      <x:c r="O44" s="54"/>
      <x:c r="P44" s="51" t="str">
        <x:v>Offen – validierter Benchmark fehlt</x:v>
      </x:c>
      <x:c r="Q44" s="53" t="n">
        <x:v>1</x:v>
      </x:c>
      <x:c r="R44" s="53" t="n">
        <x:v>1.5</x:v>
      </x:c>
      <x:c r="S44" s="53" t="n">
        <x:v>2.5</x:v>
      </x:c>
      <x:c r="T44" s="53" t="str">
        <x:v>default:lower_is_better_abs</x:v>
      </x:c>
      <x:c r="U44" s="14" t="str">
        <x:v>Vor Aktivierung repräsentative Population, Region, Technologieklasse, Statistik, Quelle und Gültigkeitszeitraum dokumentieren.</x:v>
      </x:c>
    </x:row>
    <x:row r="45" ht="42" customHeight="1">
      <x:c r="A45" s="14" t="str">
        <x:v>WOK-P-102</x:v>
      </x:c>
      <x:c r="B45" s="14" t="str">
        <x:v>A01</x:v>
      </x:c>
      <x:c r="C45" s="14" t="str">
        <x:v>Legacy / Migration auf NACE Rev. 2.1 offen</x:v>
      </x:c>
      <x:c r="D45" s="14" t="str">
        <x:v>EU</x:v>
      </x:c>
      <x:c r="E45" s="14"/>
      <x:c r="F45" s="14" t="str">
        <x:v>Score 0–10</x:v>
      </x:c>
      <x:c r="G45" s="14" t="str">
        <x:v>higher_is_better</x:v>
      </x:c>
      <x:c r="H45" s="14" t="str">
        <x:v>R24</x:v>
      </x:c>
      <x:c r="I45" s="14" t="str">
        <x:v>Optional/Nein</x:v>
      </x:c>
      <x:c r="J45" s="51"/>
      <x:c r="K45" s="51"/>
      <x:c r="L45" s="51"/>
      <x:c r="M45" s="51"/>
      <x:c r="N45" s="51"/>
      <x:c r="O45" s="54"/>
      <x:c r="P45" s="51" t="str">
        <x:v>Optional – kein aktiver Benchmark</x:v>
      </x:c>
      <x:c r="Q45" s="53" t="n">
        <x:v>4.95</x:v>
      </x:c>
      <x:c r="R45" s="53" t="n">
        <x:v>1</x:v>
      </x:c>
      <x:c r="S45" s="53" t="n">
        <x:v>1</x:v>
      </x:c>
      <x:c r="T45" s="53" t="str">
        <x:v>threshold:0-class</x:v>
      </x:c>
      <x:c r="U45" s="14" t="str">
        <x:v>Legacy-Werte bleiben nur als historische Rechenhilfe erhalten und werden nicht für den FinalScore verwendet.</x:v>
      </x:c>
    </x:row>
    <x:row r="46" ht="42" customHeight="1">
      <x:c r="A46" s="14" t="str">
        <x:v>WOK-P-103</x:v>
      </x:c>
      <x:c r="B46" s="14" t="str">
        <x:v>A01</x:v>
      </x:c>
      <x:c r="C46" s="14" t="str">
        <x:v>Legacy / Migration auf NACE Rev. 2.1 offen</x:v>
      </x:c>
      <x:c r="D46" s="14" t="str">
        <x:v>EU</x:v>
      </x:c>
      <x:c r="E46" s="14"/>
      <x:c r="F46" s="14" t="str">
        <x:v>%</x:v>
      </x:c>
      <x:c r="G46" s="14" t="str">
        <x:v>higher_is_better</x:v>
      </x:c>
      <x:c r="H46" s="14" t="str">
        <x:v>R22</x:v>
      </x:c>
      <x:c r="I46" s="14" t="str">
        <x:v>Optional/Nein</x:v>
      </x:c>
      <x:c r="J46" s="51"/>
      <x:c r="K46" s="51"/>
      <x:c r="L46" s="51"/>
      <x:c r="M46" s="51"/>
      <x:c r="N46" s="51"/>
      <x:c r="O46" s="54"/>
      <x:c r="P46" s="51" t="str">
        <x:v>Optional – kein aktiver Benchmark</x:v>
      </x:c>
      <x:c r="Q46" s="53" t="n">
        <x:v>39.5</x:v>
      </x:c>
      <x:c r="R46" s="53" t="n">
        <x:v>59.25</x:v>
      </x:c>
      <x:c r="S46" s="53" t="n">
        <x:v>98.75</x:v>
      </x:c>
      <x:c r="T46" s="53" t="str">
        <x:v>threshold:0-class</x:v>
      </x:c>
      <x:c r="U46" s="14" t="str">
        <x:v>Legacy-Werte bleiben nur als historische Rechenhilfe erhalten und werden nicht für den FinalScore verwendet.</x:v>
      </x:c>
    </x:row>
    <x:row r="47" ht="42" customHeight="1">
      <x:c r="A47" s="14" t="str">
        <x:v>WOK-E-110</x:v>
      </x:c>
      <x:c r="B47" s="14" t="str">
        <x:v>A01</x:v>
      </x:c>
      <x:c r="C47" s="14" t="str">
        <x:v>Legacy / Migration auf NACE Rev. 2.1 offen</x:v>
      </x:c>
      <x:c r="D47" s="14" t="str">
        <x:v>EU</x:v>
      </x:c>
      <x:c r="E47" s="14"/>
      <x:c r="F47" s="14" t="str">
        <x:v>Qualitativ → Klasse</x:v>
      </x:c>
      <x:c r="G47" s="14" t="str">
        <x:v>higher_is_better</x:v>
      </x:c>
      <x:c r="H47" s="14" t="str">
        <x:v>R03</x:v>
      </x:c>
      <x:c r="I47" s="14" t="str">
        <x:v>Optional/Nein</x:v>
      </x:c>
      <x:c r="J47" s="51"/>
      <x:c r="K47" s="51"/>
      <x:c r="L47" s="51"/>
      <x:c r="M47" s="51"/>
      <x:c r="N47" s="51"/>
      <x:c r="O47" s="54"/>
      <x:c r="P47" s="51" t="str">
        <x:v>Optional – kein aktiver Benchmark</x:v>
      </x:c>
      <x:c r="Q47" s="53" t="n">
        <x:v>0.5</x:v>
      </x:c>
      <x:c r="R47" s="53" t="n">
        <x:v>0.75</x:v>
      </x:c>
      <x:c r="S47" s="53" t="n">
        <x:v>0.9</x:v>
      </x:c>
      <x:c r="T47" s="53" t="str">
        <x:v>default:higher_is_better_abs</x:v>
      </x:c>
      <x:c r="U47" s="14" t="str">
        <x:v>Legacy-Werte bleiben nur als historische Rechenhilfe erhalten und werden nicht für den FinalScore verwendet.</x:v>
      </x:c>
    </x:row>
    <x:row r="48" ht="42" customHeight="1">
      <x:c r="A48" s="14" t="str">
        <x:v>WOK-E-111</x:v>
      </x:c>
      <x:c r="B48" s="14" t="str">
        <x:v>A01</x:v>
      </x:c>
      <x:c r="C48" s="14" t="str">
        <x:v>Legacy / Migration auf NACE Rev. 2.1 offen</x:v>
      </x:c>
      <x:c r="D48" s="14" t="str">
        <x:v>EU</x:v>
      </x:c>
      <x:c r="E48" s="14"/>
      <x:c r="F48" s="14" t="str">
        <x:v>ha/Jahr</x:v>
      </x:c>
      <x:c r="G48" s="14" t="str">
        <x:v>lower_is_better</x:v>
      </x:c>
      <x:c r="H48" s="14" t="str">
        <x:v>R02</x:v>
      </x:c>
      <x:c r="I48" s="14" t="str">
        <x:v>Optional/Nein</x:v>
      </x:c>
      <x:c r="J48" s="51"/>
      <x:c r="K48" s="51"/>
      <x:c r="L48" s="51"/>
      <x:c r="M48" s="51"/>
      <x:c r="N48" s="51"/>
      <x:c r="O48" s="54"/>
      <x:c r="P48" s="51" t="str">
        <x:v>Optional – kein aktiver Benchmark</x:v>
      </x:c>
      <x:c r="Q48" s="53" t="n">
        <x:v>3</x:v>
      </x:c>
      <x:c r="R48" s="53" t="n">
        <x:v>4.5</x:v>
      </x:c>
      <x:c r="S48" s="53" t="n">
        <x:v>7.5</x:v>
      </x:c>
      <x:c r="T48" s="53" t="str">
        <x:v>threshold:0-class</x:v>
      </x:c>
      <x:c r="U48" s="14" t="str">
        <x:v>Legacy-Werte bleiben nur als historische Rechenhilfe erhalten und werden nicht für den FinalScore verwendet.</x:v>
      </x:c>
    </x:row>
    <x:row r="49" ht="42" customHeight="1">
      <x:c r="A49" s="14" t="str">
        <x:v>WOK-E-112</x:v>
      </x:c>
      <x:c r="B49" s="14" t="str">
        <x:v>A01</x:v>
      </x:c>
      <x:c r="C49" s="14" t="str">
        <x:v>Legacy / Migration auf NACE Rev. 2.1 offen</x:v>
      </x:c>
      <x:c r="D49" s="14" t="str">
        <x:v>EU</x:v>
      </x:c>
      <x:c r="E49" s="14"/>
      <x:c r="F49" s="14" t="str">
        <x:v>%</x:v>
      </x:c>
      <x:c r="G49" s="14" t="str">
        <x:v>higher_is_better</x:v>
      </x:c>
      <x:c r="H49" s="14" t="str">
        <x:v>R28</x:v>
      </x:c>
      <x:c r="I49" s="14" t="str">
        <x:v>Optional/Nein</x:v>
      </x:c>
      <x:c r="J49" s="51"/>
      <x:c r="K49" s="51"/>
      <x:c r="L49" s="51"/>
      <x:c r="M49" s="51"/>
      <x:c r="N49" s="51"/>
      <x:c r="O49" s="54"/>
      <x:c r="P49" s="51" t="str">
        <x:v>Optional – kein aktiver Benchmark</x:v>
      </x:c>
      <x:c r="Q49" s="53" t="n">
        <x:v>82</x:v>
      </x:c>
      <x:c r="R49" s="53" t="n">
        <x:v>100</x:v>
      </x:c>
      <x:c r="S49" s="53" t="n">
        <x:v>100</x:v>
      </x:c>
      <x:c r="T49" s="53" t="str">
        <x:v>threshold:0-class</x:v>
      </x:c>
      <x:c r="U49" s="14" t="str">
        <x:v>Legacy-Werte bleiben nur als historische Rechenhilfe erhalten und werden nicht für den FinalScore verwendet.</x:v>
      </x:c>
    </x:row>
    <x:row r="50" ht="42" customHeight="1">
      <x:c r="A50" s="14" t="str">
        <x:v>WOK-S-116</x:v>
      </x:c>
      <x:c r="B50" s="14" t="str">
        <x:v>A01</x:v>
      </x:c>
      <x:c r="C50" s="14" t="str">
        <x:v>Legacy / Migration auf NACE Rev. 2.1 offen</x:v>
      </x:c>
      <x:c r="D50" s="14" t="str">
        <x:v>EU</x:v>
      </x:c>
      <x:c r="E50" s="14"/>
      <x:c r="F50" s="14" t="str">
        <x:v>% Beschäftigte</x:v>
      </x:c>
      <x:c r="G50" s="14" t="str">
        <x:v>higher_is_better</x:v>
      </x:c>
      <x:c r="H50" s="14" t="str">
        <x:v>R27</x:v>
      </x:c>
      <x:c r="I50" s="14" t="str">
        <x:v>Optional/Nein</x:v>
      </x:c>
      <x:c r="J50" s="51"/>
      <x:c r="K50" s="51"/>
      <x:c r="L50" s="51"/>
      <x:c r="M50" s="51"/>
      <x:c r="N50" s="51"/>
      <x:c r="O50" s="54"/>
      <x:c r="P50" s="51" t="str">
        <x:v>Optional – kein aktiver Benchmark</x:v>
      </x:c>
      <x:c r="Q50" s="53" t="n">
        <x:v>69.5</x:v>
      </x:c>
      <x:c r="R50" s="53" t="n">
        <x:v>100</x:v>
      </x:c>
      <x:c r="S50" s="53" t="n">
        <x:v>100</x:v>
      </x:c>
      <x:c r="T50" s="53" t="str">
        <x:v>threshold:0-class</x:v>
      </x:c>
      <x:c r="U50" s="14" t="str">
        <x:v>Legacy-Werte bleiben nur als historische Rechenhilfe erhalten und werden nicht für den FinalScore verwendet.</x:v>
      </x:c>
    </x:row>
    <x:row r="51" ht="42" customHeight="1">
      <x:c r="A51" s="14" t="str">
        <x:v>WOK-S-117</x:v>
      </x:c>
      <x:c r="B51" s="14" t="str">
        <x:v>A01</x:v>
      </x:c>
      <x:c r="C51" s="14" t="str">
        <x:v>Legacy / Migration auf NACE Rev. 2.1 offen</x:v>
      </x:c>
      <x:c r="D51" s="14" t="str">
        <x:v>EU</x:v>
      </x:c>
      <x:c r="E51" s="14"/>
      <x:c r="F51" s="14" t="str">
        <x:v>%</x:v>
      </x:c>
      <x:c r="G51" s="14" t="str">
        <x:v>higher_is_better</x:v>
      </x:c>
      <x:c r="H51" s="14" t="str">
        <x:v>R26</x:v>
      </x:c>
      <x:c r="I51" s="14" t="str">
        <x:v>Optional/Nein</x:v>
      </x:c>
      <x:c r="J51" s="51"/>
      <x:c r="K51" s="51"/>
      <x:c r="L51" s="51"/>
      <x:c r="M51" s="51"/>
      <x:c r="N51" s="51"/>
      <x:c r="O51" s="54"/>
      <x:c r="P51" s="51" t="str">
        <x:v>Optional – kein aktiver Benchmark</x:v>
      </x:c>
      <x:c r="Q51" s="53" t="n">
        <x:v>59.5</x:v>
      </x:c>
      <x:c r="R51" s="53" t="n">
        <x:v>89.25</x:v>
      </x:c>
      <x:c r="S51" s="53" t="n">
        <x:v>100</x:v>
      </x:c>
      <x:c r="T51" s="53" t="str">
        <x:v>threshold:0-class</x:v>
      </x:c>
      <x:c r="U51" s="14" t="str">
        <x:v>Legacy-Werte bleiben nur als historische Rechenhilfe erhalten und werden nicht für den FinalScore verwendet.</x:v>
      </x:c>
    </x:row>
    <x:row r="52" ht="42" customHeight="1">
      <x:c r="A52" s="14" t="str">
        <x:v>WOK-S-118</x:v>
      </x:c>
      <x:c r="B52" s="14" t="str">
        <x:v>A01</x:v>
      </x:c>
      <x:c r="C52" s="14" t="str">
        <x:v>Legacy / Migration auf NACE Rev. 2.1 offen</x:v>
      </x:c>
      <x:c r="D52" s="14" t="str">
        <x:v>EU</x:v>
      </x:c>
      <x:c r="E52" s="14"/>
      <x:c r="F52" s="14" t="str">
        <x:v>Unfälle/Mio Std.</x:v>
      </x:c>
      <x:c r="G52" s="14" t="str">
        <x:v>lower_is_better</x:v>
      </x:c>
      <x:c r="H52" s="14" t="str">
        <x:v>R02</x:v>
      </x:c>
      <x:c r="I52" s="14" t="str">
        <x:v>Optional/Nein</x:v>
      </x:c>
      <x:c r="J52" s="51"/>
      <x:c r="K52" s="51"/>
      <x:c r="L52" s="51"/>
      <x:c r="M52" s="51"/>
      <x:c r="N52" s="51"/>
      <x:c r="O52" s="54"/>
      <x:c r="P52" s="51" t="str">
        <x:v>Optional – kein aktiver Benchmark</x:v>
      </x:c>
      <x:c r="Q52" s="53" t="n">
        <x:v>3</x:v>
      </x:c>
      <x:c r="R52" s="53" t="n">
        <x:v>4.5</x:v>
      </x:c>
      <x:c r="S52" s="53" t="n">
        <x:v>7.5</x:v>
      </x:c>
      <x:c r="T52" s="53" t="str">
        <x:v>threshold:0-class</x:v>
      </x:c>
      <x:c r="U52" s="14" t="str">
        <x:v>Legacy-Werte bleiben nur als historische Rechenhilfe erhalten und werden nicht für den FinalScore verwendet.</x:v>
      </x:c>
    </x:row>
    <x:row r="53" ht="42" customHeight="1">
      <x:c r="A53" s="14" t="str">
        <x:v>WOK-G-107</x:v>
      </x:c>
      <x:c r="B53" s="14" t="str">
        <x:v>A01</x:v>
      </x:c>
      <x:c r="C53" s="14" t="str">
        <x:v>Legacy / Migration auf NACE Rev. 2.1 offen</x:v>
      </x:c>
      <x:c r="D53" s="14" t="str">
        <x:v>EU</x:v>
      </x:c>
      <x:c r="E53" s="14"/>
      <x:c r="F53" s="14" t="str">
        <x:v>Fälle/1.000 FTE</x:v>
      </x:c>
      <x:c r="G53" s="14" t="str">
        <x:v>lower_is_better</x:v>
      </x:c>
      <x:c r="H53" s="14" t="str">
        <x:v>R01</x:v>
      </x:c>
      <x:c r="I53" s="14" t="str">
        <x:v>Optional/Nein</x:v>
      </x:c>
      <x:c r="J53" s="51"/>
      <x:c r="K53" s="51"/>
      <x:c r="L53" s="51"/>
      <x:c r="M53" s="51"/>
      <x:c r="N53" s="51"/>
      <x:c r="O53" s="54"/>
      <x:c r="P53" s="51" t="str">
        <x:v>Optional – kein aktiver Benchmark</x:v>
      </x:c>
      <x:c r="Q53" s="53" t="n">
        <x:v>0.5</x:v>
      </x:c>
      <x:c r="R53" s="53" t="n">
        <x:v>0.75</x:v>
      </x:c>
      <x:c r="S53" s="53" t="n">
        <x:v>1.25</x:v>
      </x:c>
      <x:c r="T53" s="53" t="str">
        <x:v>threshold:0-class</x:v>
      </x:c>
      <x:c r="U53" s="14" t="str">
        <x:v>Legacy-Werte bleiben nur als historische Rechenhilfe erhalten und werden nicht für den FinalScore verwendet.</x:v>
      </x:c>
    </x:row>
    <x:row r="54" ht="42" customHeight="1">
      <x:c r="A54" s="14" t="str">
        <x:v>WOK-G-108</x:v>
      </x:c>
      <x:c r="B54" s="14" t="str">
        <x:v>A01</x:v>
      </x:c>
      <x:c r="C54" s="14" t="str">
        <x:v>Legacy / Migration auf NACE Rev. 2.1 offen</x:v>
      </x:c>
      <x:c r="D54" s="14" t="str">
        <x:v>EU</x:v>
      </x:c>
      <x:c r="E54" s="14"/>
      <x:c r="F54" s="14" t="str">
        <x:v>0–1</x:v>
      </x:c>
      <x:c r="G54" s="14" t="str">
        <x:v>higher_is_better</x:v>
      </x:c>
      <x:c r="H54" s="14" t="str">
        <x:v>R16</x:v>
      </x:c>
      <x:c r="I54" s="14" t="str">
        <x:v>Optional/Nein</x:v>
      </x:c>
      <x:c r="J54" s="51"/>
      <x:c r="K54" s="51"/>
      <x:c r="L54" s="51"/>
      <x:c r="M54" s="51"/>
      <x:c r="N54" s="51"/>
      <x:c r="O54" s="54"/>
      <x:c r="P54" s="51" t="str">
        <x:v>Optional – kein aktiver Benchmark</x:v>
      </x:c>
      <x:c r="Q54" s="53" t="n">
        <x:v>0.6699999999999999</x:v>
      </x:c>
      <x:c r="R54" s="53" t="n">
        <x:v>1</x:v>
      </x:c>
      <x:c r="S54" s="53" t="n">
        <x:v>1</x:v>
      </x:c>
      <x:c r="T54" s="53" t="str">
        <x:v>threshold:0-class</x:v>
      </x:c>
      <x:c r="U54" s="14" t="str">
        <x:v>Legacy-Werte bleiben nur als historische Rechenhilfe erhalten und werden nicht für den FinalScore verwendet.</x:v>
      </x:c>
    </x:row>
    <x:row r="55" ht="42" customHeight="1">
      <x:c r="A55" s="14" t="str">
        <x:v>WOK-G-109</x:v>
      </x:c>
      <x:c r="B55" s="14" t="str">
        <x:v>A01</x:v>
      </x:c>
      <x:c r="C55" s="14" t="str">
        <x:v>Legacy / Migration auf NACE Rev. 2.1 offen</x:v>
      </x:c>
      <x:c r="D55" s="14" t="str">
        <x:v>EU</x:v>
      </x:c>
      <x:c r="E55" s="14"/>
      <x:c r="F55" s="14" t="str">
        <x:v>0–1</x:v>
      </x:c>
      <x:c r="G55" s="14" t="str">
        <x:v>higher_is_better</x:v>
      </x:c>
      <x:c r="H55" s="14" t="str">
        <x:v>R08</x:v>
      </x:c>
      <x:c r="I55" s="14" t="str">
        <x:v>Optional/Nein</x:v>
      </x:c>
      <x:c r="J55" s="51"/>
      <x:c r="K55" s="51"/>
      <x:c r="L55" s="51"/>
      <x:c r="M55" s="51"/>
      <x:c r="N55" s="51"/>
      <x:c r="O55" s="54"/>
      <x:c r="P55" s="51" t="str">
        <x:v>Optional – kein aktiver Benchmark</x:v>
      </x:c>
      <x:c r="Q55" s="53" t="n">
        <x:v>0.5</x:v>
      </x:c>
      <x:c r="R55" s="53" t="n">
        <x:v>0.75</x:v>
      </x:c>
      <x:c r="S55" s="53" t="n">
        <x:v>0.9</x:v>
      </x:c>
      <x:c r="T55" s="53" t="str">
        <x:v>default:higher_is_better_abs</x:v>
      </x:c>
      <x:c r="U55" s="14" t="str">
        <x:v>Legacy-Werte bleiben nur als historische Rechenhilfe erhalten und werden nicht für den FinalScore verwendet.</x:v>
      </x:c>
    </x:row>
    <x:row r="56" ht="42" customHeight="1">
      <x:c r="A56" s="14" t="str">
        <x:v>WOK-E-113</x:v>
      </x:c>
      <x:c r="B56" s="14" t="str">
        <x:v>A01</x:v>
      </x:c>
      <x:c r="C56" s="14" t="str">
        <x:v>Legacy / Migration auf NACE Rev. 2.1 offen</x:v>
      </x:c>
      <x:c r="D56" s="14" t="str">
        <x:v>EU</x:v>
      </x:c>
      <x:c r="E56" s="14"/>
      <x:c r="F56" s="14" t="str">
        <x:v>kg/t</x:v>
      </x:c>
      <x:c r="G56" s="14" t="str">
        <x:v>lower_is_better</x:v>
      </x:c>
      <x:c r="H56" s="14" t="str">
        <x:v>R06</x:v>
      </x:c>
      <x:c r="I56" s="14" t="str">
        <x:v>Ja</x:v>
      </x:c>
      <x:c r="J56" s="51"/>
      <x:c r="K56" s="51"/>
      <x:c r="L56" s="51"/>
      <x:c r="M56" s="51"/>
      <x:c r="N56" s="51"/>
      <x:c r="O56" s="54"/>
      <x:c r="P56" s="51" t="str">
        <x:v>Offen – validierter Benchmark fehlt</x:v>
      </x:c>
      <x:c r="Q56" s="53" t="n">
        <x:v>1</x:v>
      </x:c>
      <x:c r="R56" s="53" t="n">
        <x:v>1.5</x:v>
      </x:c>
      <x:c r="S56" s="53" t="n">
        <x:v>2.5</x:v>
      </x:c>
      <x:c r="T56" s="53" t="str">
        <x:v>default:lower_is_better_abs</x:v>
      </x:c>
      <x:c r="U56" s="14" t="str">
        <x:v>Vor Aktivierung repräsentative Population, Region, Technologieklasse, Statistik, Quelle und Gültigkeitszeitraum dokumentieren.</x:v>
      </x:c>
    </x:row>
    <x:row r="57" ht="42" customHeight="1">
      <x:c r="A57" s="14" t="str">
        <x:v>WOK-E-114</x:v>
      </x:c>
      <x:c r="B57" s="14" t="str">
        <x:v>A01</x:v>
      </x:c>
      <x:c r="C57" s="14" t="str">
        <x:v>Legacy / Migration auf NACE Rev. 2.1 offen</x:v>
      </x:c>
      <x:c r="D57" s="14" t="str">
        <x:v>EU</x:v>
      </x:c>
      <x:c r="E57" s="14"/>
      <x:c r="F57" s="14" t="str">
        <x:v>%</x:v>
      </x:c>
      <x:c r="G57" s="14" t="str">
        <x:v>higher_is_better</x:v>
      </x:c>
      <x:c r="H57" s="14" t="str">
        <x:v>R25</x:v>
      </x:c>
      <x:c r="I57" s="14" t="str">
        <x:v>Optional/Nein</x:v>
      </x:c>
      <x:c r="J57" s="51"/>
      <x:c r="K57" s="51"/>
      <x:c r="L57" s="51"/>
      <x:c r="M57" s="51"/>
      <x:c r="N57" s="51"/>
      <x:c r="O57" s="54"/>
      <x:c r="P57" s="51" t="str">
        <x:v>Optional – kein aktiver Benchmark</x:v>
      </x:c>
      <x:c r="Q57" s="53" t="n">
        <x:v>50</x:v>
      </x:c>
      <x:c r="R57" s="53" t="n">
        <x:v>75</x:v>
      </x:c>
      <x:c r="S57" s="53" t="n">
        <x:v>100</x:v>
      </x:c>
      <x:c r="T57" s="53" t="str">
        <x:v>default:higher_is_better_pct</x:v>
      </x:c>
      <x:c r="U57" s="14" t="str">
        <x:v>Legacy-Werte bleiben nur als historische Rechenhilfe erhalten und werden nicht für den FinalScore verwendet.</x:v>
      </x:c>
    </x:row>
    <x:row r="58" ht="42" customHeight="1">
      <x:c r="A58" s="14" t="str">
        <x:v>WOK-E-115</x:v>
      </x:c>
      <x:c r="B58" s="14" t="str">
        <x:v>A01</x:v>
      </x:c>
      <x:c r="C58" s="14" t="str">
        <x:v>Legacy / Migration auf NACE Rev. 2.1 offen</x:v>
      </x:c>
      <x:c r="D58" s="14" t="str">
        <x:v>EU</x:v>
      </x:c>
      <x:c r="E58" s="14"/>
      <x:c r="F58" s="14" t="str">
        <x:v>kg/t</x:v>
      </x:c>
      <x:c r="G58" s="14" t="str">
        <x:v>lower_is_better</x:v>
      </x:c>
      <x:c r="H58" s="14" t="str">
        <x:v>R06</x:v>
      </x:c>
      <x:c r="I58" s="14" t="str">
        <x:v>Ja</x:v>
      </x:c>
      <x:c r="J58" s="51"/>
      <x:c r="K58" s="51"/>
      <x:c r="L58" s="51"/>
      <x:c r="M58" s="51"/>
      <x:c r="N58" s="51"/>
      <x:c r="O58" s="54"/>
      <x:c r="P58" s="51" t="str">
        <x:v>Offen – validierter Benchmark fehlt</x:v>
      </x:c>
      <x:c r="Q58" s="53" t="n">
        <x:v>1</x:v>
      </x:c>
      <x:c r="R58" s="53" t="n">
        <x:v>1.5</x:v>
      </x:c>
      <x:c r="S58" s="53" t="n">
        <x:v>2.5</x:v>
      </x:c>
      <x:c r="T58" s="53" t="str">
        <x:v>default:lower_is_better_abs</x:v>
      </x:c>
      <x:c r="U58" s="14" t="str">
        <x:v>Vor Aktivierung repräsentative Population, Region, Technologieklasse, Statistik, Quelle und Gültigkeitszeitraum dokumentieren.</x:v>
      </x:c>
    </x:row>
    <x:row r="59" ht="42" customHeight="1">
      <x:c r="A59" s="14" t="str">
        <x:v>WOK-E-116</x:v>
      </x:c>
      <x:c r="B59" s="14" t="str">
        <x:v>C20</x:v>
      </x:c>
      <x:c r="C59" s="14" t="str">
        <x:v>Legacy / Migration auf NACE Rev. 2.1 offen</x:v>
      </x:c>
      <x:c r="D59" s="14" t="str">
        <x:v>EU</x:v>
      </x:c>
      <x:c r="E59" s="14"/>
      <x:c r="F59" s="14" t="str">
        <x:v>Fälle/1.000 FTE</x:v>
      </x:c>
      <x:c r="G59" s="14" t="str">
        <x:v>lower_is_better</x:v>
      </x:c>
      <x:c r="H59" s="14" t="str">
        <x:v>R01</x:v>
      </x:c>
      <x:c r="I59" s="14" t="str">
        <x:v>Optional/Nein</x:v>
      </x:c>
      <x:c r="J59" s="51"/>
      <x:c r="K59" s="51"/>
      <x:c r="L59" s="51"/>
      <x:c r="M59" s="51"/>
      <x:c r="N59" s="51"/>
      <x:c r="O59" s="54"/>
      <x:c r="P59" s="51" t="str">
        <x:v>Optional – kein aktiver Benchmark</x:v>
      </x:c>
      <x:c r="Q59" s="53" t="n">
        <x:v>0.5</x:v>
      </x:c>
      <x:c r="R59" s="53" t="n">
        <x:v>0.75</x:v>
      </x:c>
      <x:c r="S59" s="53" t="n">
        <x:v>1.25</x:v>
      </x:c>
      <x:c r="T59" s="53" t="str">
        <x:v>threshold:0-class</x:v>
      </x:c>
      <x:c r="U59" s="14" t="str">
        <x:v>Legacy-Werte bleiben nur als historische Rechenhilfe erhalten und werden nicht für den FinalScore verwendet.</x:v>
      </x:c>
    </x:row>
    <x:row r="60" ht="42" customHeight="1">
      <x:c r="A60" s="14" t="str">
        <x:v>WOK-E-117</x:v>
      </x:c>
      <x:c r="B60" s="14" t="str">
        <x:v>C20</x:v>
      </x:c>
      <x:c r="C60" s="14" t="str">
        <x:v>Legacy / Migration auf NACE Rev. 2.1 offen</x:v>
      </x:c>
      <x:c r="D60" s="14" t="str">
        <x:v>EU</x:v>
      </x:c>
      <x:c r="E60" s="14"/>
      <x:c r="F60" s="14" t="str">
        <x:v>0–1</x:v>
      </x:c>
      <x:c r="G60" s="14" t="str">
        <x:v>higher_is_better</x:v>
      </x:c>
      <x:c r="H60" s="14" t="str">
        <x:v>R16</x:v>
      </x:c>
      <x:c r="I60" s="14" t="str">
        <x:v>Optional/Nein</x:v>
      </x:c>
      <x:c r="J60" s="51"/>
      <x:c r="K60" s="51"/>
      <x:c r="L60" s="51"/>
      <x:c r="M60" s="51"/>
      <x:c r="N60" s="51"/>
      <x:c r="O60" s="54"/>
      <x:c r="P60" s="51" t="str">
        <x:v>Optional – kein aktiver Benchmark</x:v>
      </x:c>
      <x:c r="Q60" s="53" t="n">
        <x:v>0.6699999999999999</x:v>
      </x:c>
      <x:c r="R60" s="53" t="n">
        <x:v>1</x:v>
      </x:c>
      <x:c r="S60" s="53" t="n">
        <x:v>1</x:v>
      </x:c>
      <x:c r="T60" s="53" t="str">
        <x:v>threshold:0-class</x:v>
      </x:c>
      <x:c r="U60" s="14" t="str">
        <x:v>Legacy-Werte bleiben nur als historische Rechenhilfe erhalten und werden nicht für den FinalScore verwendet.</x:v>
      </x:c>
    </x:row>
    <x:row r="61" ht="42" customHeight="1">
      <x:c r="A61" s="14" t="str">
        <x:v>WOK-E-118</x:v>
      </x:c>
      <x:c r="B61" s="14" t="str">
        <x:v>C20</x:v>
      </x:c>
      <x:c r="C61" s="14" t="str">
        <x:v>Legacy / Migration auf NACE Rev. 2.1 offen</x:v>
      </x:c>
      <x:c r="D61" s="14" t="str">
        <x:v>EU</x:v>
      </x:c>
      <x:c r="E61" s="14"/>
      <x:c r="F61" s="14" t="str">
        <x:v>0–1</x:v>
      </x:c>
      <x:c r="G61" s="14" t="str">
        <x:v>higher_is_better</x:v>
      </x:c>
      <x:c r="H61" s="14" t="str">
        <x:v>R08</x:v>
      </x:c>
      <x:c r="I61" s="14" t="str">
        <x:v>Optional/Nein</x:v>
      </x:c>
      <x:c r="J61" s="51"/>
      <x:c r="K61" s="51"/>
      <x:c r="L61" s="51"/>
      <x:c r="M61" s="51"/>
      <x:c r="N61" s="51"/>
      <x:c r="O61" s="54"/>
      <x:c r="P61" s="51" t="str">
        <x:v>Optional – kein aktiver Benchmark</x:v>
      </x:c>
      <x:c r="Q61" s="53" t="n">
        <x:v>0.5</x:v>
      </x:c>
      <x:c r="R61" s="53" t="n">
        <x:v>0.75</x:v>
      </x:c>
      <x:c r="S61" s="53" t="n">
        <x:v>0.9</x:v>
      </x:c>
      <x:c r="T61" s="53" t="str">
        <x:v>default:higher_is_better_abs</x:v>
      </x:c>
      <x:c r="U61" s="14" t="str">
        <x:v>Legacy-Werte bleiben nur als historische Rechenhilfe erhalten und werden nicht für den FinalScore verwendet.</x:v>
      </x:c>
    </x:row>
    <x:row r="62" ht="42" customHeight="1">
      <x:c r="A62" s="14" t="str">
        <x:v>WOK-S-119</x:v>
      </x:c>
      <x:c r="B62" s="14" t="str">
        <x:v>C20</x:v>
      </x:c>
      <x:c r="C62" s="14" t="str">
        <x:v>Legacy / Migration auf NACE Rev. 2.1 offen</x:v>
      </x:c>
      <x:c r="D62" s="14" t="str">
        <x:v>EU</x:v>
      </x:c>
      <x:c r="E62" s="14"/>
      <x:c r="F62" s="14" t="str">
        <x:v>% Beschäftigte</x:v>
      </x:c>
      <x:c r="G62" s="14" t="str">
        <x:v>higher_is_better</x:v>
      </x:c>
      <x:c r="H62" s="14" t="str">
        <x:v>R27</x:v>
      </x:c>
      <x:c r="I62" s="14" t="str">
        <x:v>Optional/Nein</x:v>
      </x:c>
      <x:c r="J62" s="51"/>
      <x:c r="K62" s="51"/>
      <x:c r="L62" s="51"/>
      <x:c r="M62" s="51"/>
      <x:c r="N62" s="51"/>
      <x:c r="O62" s="54"/>
      <x:c r="P62" s="51" t="str">
        <x:v>Optional – kein aktiver Benchmark</x:v>
      </x:c>
      <x:c r="Q62" s="53" t="n">
        <x:v>69.5</x:v>
      </x:c>
      <x:c r="R62" s="53" t="n">
        <x:v>100</x:v>
      </x:c>
      <x:c r="S62" s="53" t="n">
        <x:v>100</x:v>
      </x:c>
      <x:c r="T62" s="53" t="str">
        <x:v>threshold:0-class</x:v>
      </x:c>
      <x:c r="U62" s="14" t="str">
        <x:v>Legacy-Werte bleiben nur als historische Rechenhilfe erhalten und werden nicht für den FinalScore verwendet.</x:v>
      </x:c>
    </x:row>
    <x:row r="63" ht="42" customHeight="1">
      <x:c r="A63" s="14" t="str">
        <x:v>WOK-S-120</x:v>
      </x:c>
      <x:c r="B63" s="14" t="str">
        <x:v>C20</x:v>
      </x:c>
      <x:c r="C63" s="14" t="str">
        <x:v>Legacy / Migration auf NACE Rev. 2.1 offen</x:v>
      </x:c>
      <x:c r="D63" s="14" t="str">
        <x:v>EU</x:v>
      </x:c>
      <x:c r="E63" s="14"/>
      <x:c r="F63" s="14" t="str">
        <x:v>%</x:v>
      </x:c>
      <x:c r="G63" s="14" t="str">
        <x:v>higher_is_better</x:v>
      </x:c>
      <x:c r="H63" s="14" t="str">
        <x:v>R26</x:v>
      </x:c>
      <x:c r="I63" s="14" t="str">
        <x:v>Optional/Nein</x:v>
      </x:c>
      <x:c r="J63" s="51"/>
      <x:c r="K63" s="51"/>
      <x:c r="L63" s="51"/>
      <x:c r="M63" s="51"/>
      <x:c r="N63" s="51"/>
      <x:c r="O63" s="54"/>
      <x:c r="P63" s="51" t="str">
        <x:v>Optional – kein aktiver Benchmark</x:v>
      </x:c>
      <x:c r="Q63" s="53" t="n">
        <x:v>59.5</x:v>
      </x:c>
      <x:c r="R63" s="53" t="n">
        <x:v>89.25</x:v>
      </x:c>
      <x:c r="S63" s="53" t="n">
        <x:v>100</x:v>
      </x:c>
      <x:c r="T63" s="53" t="str">
        <x:v>threshold:0-class</x:v>
      </x:c>
      <x:c r="U63" s="14" t="str">
        <x:v>Legacy-Werte bleiben nur als historische Rechenhilfe erhalten und werden nicht für den FinalScore verwendet.</x:v>
      </x:c>
    </x:row>
    <x:row r="64" ht="42" customHeight="1">
      <x:c r="A64" s="14" t="str">
        <x:v>WOK-S-121</x:v>
      </x:c>
      <x:c r="B64" s="14" t="str">
        <x:v>C20</x:v>
      </x:c>
      <x:c r="C64" s="14" t="str">
        <x:v>Legacy / Migration auf NACE Rev. 2.1 offen</x:v>
      </x:c>
      <x:c r="D64" s="14" t="str">
        <x:v>EU</x:v>
      </x:c>
      <x:c r="E64" s="14"/>
      <x:c r="F64" s="14" t="str">
        <x:v>Unfälle/Mio Std.</x:v>
      </x:c>
      <x:c r="G64" s="14" t="str">
        <x:v>lower_is_better</x:v>
      </x:c>
      <x:c r="H64" s="14" t="str">
        <x:v>R02</x:v>
      </x:c>
      <x:c r="I64" s="14" t="str">
        <x:v>Optional/Nein</x:v>
      </x:c>
      <x:c r="J64" s="51"/>
      <x:c r="K64" s="51"/>
      <x:c r="L64" s="51"/>
      <x:c r="M64" s="51"/>
      <x:c r="N64" s="51"/>
      <x:c r="O64" s="54"/>
      <x:c r="P64" s="51" t="str">
        <x:v>Optional – kein aktiver Benchmark</x:v>
      </x:c>
      <x:c r="Q64" s="53" t="n">
        <x:v>3</x:v>
      </x:c>
      <x:c r="R64" s="53" t="n">
        <x:v>4.5</x:v>
      </x:c>
      <x:c r="S64" s="53" t="n">
        <x:v>7.5</x:v>
      </x:c>
      <x:c r="T64" s="53" t="str">
        <x:v>threshold:0-class</x:v>
      </x:c>
      <x:c r="U64" s="14" t="str">
        <x:v>Legacy-Werte bleiben nur als historische Rechenhilfe erhalten und werden nicht für den FinalScore verwendet.</x:v>
      </x:c>
    </x:row>
    <x:row r="65" ht="42" customHeight="1">
      <x:c r="A65" s="14" t="str">
        <x:v>WOK-P-104</x:v>
      </x:c>
      <x:c r="B65" s="14" t="str">
        <x:v>C20</x:v>
      </x:c>
      <x:c r="C65" s="14" t="str">
        <x:v>Legacy / Migration auf NACE Rev. 2.1 offen</x:v>
      </x:c>
      <x:c r="D65" s="14" t="str">
        <x:v>EU</x:v>
      </x:c>
      <x:c r="E65" s="14"/>
      <x:c r="F65" s="14" t="str">
        <x:v>kg CO₂e/Einheit</x:v>
      </x:c>
      <x:c r="G65" s="14" t="str">
        <x:v>lower_is_better</x:v>
      </x:c>
      <x:c r="H65" s="14" t="str">
        <x:v>R07</x:v>
      </x:c>
      <x:c r="I65" s="14" t="str">
        <x:v>Ja</x:v>
      </x:c>
      <x:c r="J65" s="51"/>
      <x:c r="K65" s="51"/>
      <x:c r="L65" s="51"/>
      <x:c r="M65" s="51"/>
      <x:c r="N65" s="51"/>
      <x:c r="O65" s="54"/>
      <x:c r="P65" s="51" t="str">
        <x:v>Offen – validierter Benchmark fehlt</x:v>
      </x:c>
      <x:c r="Q65" s="53" t="n">
        <x:v>1</x:v>
      </x:c>
      <x:c r="R65" s="53" t="n">
        <x:v>1.5</x:v>
      </x:c>
      <x:c r="S65" s="53" t="n">
        <x:v>2.5</x:v>
      </x:c>
      <x:c r="T65" s="53" t="str">
        <x:v>default:lower_is_better_abs</x:v>
      </x:c>
      <x:c r="U65" s="14" t="str">
        <x:v>Vor Aktivierung repräsentative Population, Region, Technologieklasse, Statistik, Quelle und Gültigkeitszeitraum dokumentieren.</x:v>
      </x:c>
    </x:row>
    <x:row r="66" ht="42" customHeight="1">
      <x:c r="A66" s="14" t="str">
        <x:v>WOK-P-105</x:v>
      </x:c>
      <x:c r="B66" s="14" t="str">
        <x:v>C20</x:v>
      </x:c>
      <x:c r="C66" s="14" t="str">
        <x:v>Legacy / Migration auf NACE Rev. 2.1 offen</x:v>
      </x:c>
      <x:c r="D66" s="14" t="str">
        <x:v>EU</x:v>
      </x:c>
      <x:c r="E66" s="14"/>
      <x:c r="F66" s="14" t="str">
        <x:v>Score 0–10</x:v>
      </x:c>
      <x:c r="G66" s="14" t="str">
        <x:v>higher_is_better</x:v>
      </x:c>
      <x:c r="H66" s="14" t="str">
        <x:v>R24</x:v>
      </x:c>
      <x:c r="I66" s="14" t="str">
        <x:v>Optional/Nein</x:v>
      </x:c>
      <x:c r="J66" s="51"/>
      <x:c r="K66" s="51"/>
      <x:c r="L66" s="51"/>
      <x:c r="M66" s="51"/>
      <x:c r="N66" s="51"/>
      <x:c r="O66" s="54"/>
      <x:c r="P66" s="51" t="str">
        <x:v>Optional – kein aktiver Benchmark</x:v>
      </x:c>
      <x:c r="Q66" s="53" t="n">
        <x:v>4.95</x:v>
      </x:c>
      <x:c r="R66" s="53" t="n">
        <x:v>1</x:v>
      </x:c>
      <x:c r="S66" s="53" t="n">
        <x:v>1</x:v>
      </x:c>
      <x:c r="T66" s="53" t="str">
        <x:v>threshold:0-class</x:v>
      </x:c>
      <x:c r="U66" s="14" t="str">
        <x:v>Legacy-Werte bleiben nur als historische Rechenhilfe erhalten und werden nicht für den FinalScore verwendet.</x:v>
      </x:c>
    </x:row>
    <x:row r="67" ht="42" customHeight="1">
      <x:c r="A67" s="14" t="str">
        <x:v>WOK-P-106</x:v>
      </x:c>
      <x:c r="B67" s="14" t="str">
        <x:v>C20</x:v>
      </x:c>
      <x:c r="C67" s="14" t="str">
        <x:v>Legacy / Migration auf NACE Rev. 2.1 offen</x:v>
      </x:c>
      <x:c r="D67" s="14" t="str">
        <x:v>EU</x:v>
      </x:c>
      <x:c r="E67" s="14"/>
      <x:c r="F67" s="14" t="str">
        <x:v>%</x:v>
      </x:c>
      <x:c r="G67" s="14" t="str">
        <x:v>higher_is_better</x:v>
      </x:c>
      <x:c r="H67" s="14" t="str">
        <x:v>R22</x:v>
      </x:c>
      <x:c r="I67" s="14" t="str">
        <x:v>Optional/Nein</x:v>
      </x:c>
      <x:c r="J67" s="51"/>
      <x:c r="K67" s="51"/>
      <x:c r="L67" s="51"/>
      <x:c r="M67" s="51"/>
      <x:c r="N67" s="51"/>
      <x:c r="O67" s="54"/>
      <x:c r="P67" s="51" t="str">
        <x:v>Optional – kein aktiver Benchmark</x:v>
      </x:c>
      <x:c r="Q67" s="53" t="n">
        <x:v>39.5</x:v>
      </x:c>
      <x:c r="R67" s="53" t="n">
        <x:v>59.25</x:v>
      </x:c>
      <x:c r="S67" s="53" t="n">
        <x:v>98.75</x:v>
      </x:c>
      <x:c r="T67" s="53" t="str">
        <x:v>threshold:0-class</x:v>
      </x:c>
      <x:c r="U67" s="14" t="str">
        <x:v>Legacy-Werte bleiben nur als historische Rechenhilfe erhalten und werden nicht für den FinalScore verwendet.</x:v>
      </x:c>
    </x:row>
    <x:row r="68" ht="42" customHeight="1">
      <x:c r="A68" s="14" t="str">
        <x:v>WOK-G-110</x:v>
      </x:c>
      <x:c r="B68" s="14" t="str">
        <x:v>G47</x:v>
      </x:c>
      <x:c r="C68" s="14" t="str">
        <x:v>Legacy / Migration auf NACE Rev. 2.1 offen</x:v>
      </x:c>
      <x:c r="D68" s="14" t="str">
        <x:v>EU</x:v>
      </x:c>
      <x:c r="E68" s="14"/>
      <x:c r="F68" s="14" t="str">
        <x:v>Fälle/Mio</x:v>
      </x:c>
      <x:c r="G68" s="14" t="str">
        <x:v>lower_is_better</x:v>
      </x:c>
      <x:c r="H68" s="14" t="str">
        <x:v>R02</x:v>
      </x:c>
      <x:c r="I68" s="14" t="str">
        <x:v>Optional/Nein</x:v>
      </x:c>
      <x:c r="J68" s="51"/>
      <x:c r="K68" s="51"/>
      <x:c r="L68" s="51"/>
      <x:c r="M68" s="51"/>
      <x:c r="N68" s="51"/>
      <x:c r="O68" s="54"/>
      <x:c r="P68" s="51" t="str">
        <x:v>Optional – kein aktiver Benchmark</x:v>
      </x:c>
      <x:c r="Q68" s="53" t="n">
        <x:v>3</x:v>
      </x:c>
      <x:c r="R68" s="53" t="n">
        <x:v>4.5</x:v>
      </x:c>
      <x:c r="S68" s="53" t="n">
        <x:v>7.5</x:v>
      </x:c>
      <x:c r="T68" s="53" t="str">
        <x:v>threshold:0-class</x:v>
      </x:c>
      <x:c r="U68" s="14" t="str">
        <x:v>Legacy-Werte bleiben nur als historische Rechenhilfe erhalten und werden nicht für den FinalScore verwendet.</x:v>
      </x:c>
    </x:row>
    <x:row r="69" ht="42" customHeight="1">
      <x:c r="A69" s="14" t="str">
        <x:v>WOK-G-111</x:v>
      </x:c>
      <x:c r="B69" s="14" t="str">
        <x:v>G47</x:v>
      </x:c>
      <x:c r="C69" s="14" t="str">
        <x:v>Legacy / Migration auf NACE Rev. 2.1 offen</x:v>
      </x:c>
      <x:c r="D69" s="14" t="str">
        <x:v>EU</x:v>
      </x:c>
      <x:c r="E69" s="14"/>
      <x:c r="F69" s="14" t="str">
        <x:v>%</x:v>
      </x:c>
      <x:c r="G69" s="14" t="str">
        <x:v>higher_is_better</x:v>
      </x:c>
      <x:c r="H69" s="14" t="str">
        <x:v>R25</x:v>
      </x:c>
      <x:c r="I69" s="14" t="str">
        <x:v>Optional/Nein</x:v>
      </x:c>
      <x:c r="J69" s="51"/>
      <x:c r="K69" s="51"/>
      <x:c r="L69" s="51"/>
      <x:c r="M69" s="51"/>
      <x:c r="N69" s="51"/>
      <x:c r="O69" s="54"/>
      <x:c r="P69" s="51" t="str">
        <x:v>Optional – kein aktiver Benchmark</x:v>
      </x:c>
      <x:c r="Q69" s="53" t="n">
        <x:v>50</x:v>
      </x:c>
      <x:c r="R69" s="53" t="n">
        <x:v>75</x:v>
      </x:c>
      <x:c r="S69" s="53" t="n">
        <x:v>100</x:v>
      </x:c>
      <x:c r="T69" s="53" t="str">
        <x:v>default:higher_is_better_pct</x:v>
      </x:c>
      <x:c r="U69" s="14" t="str">
        <x:v>Legacy-Werte bleiben nur als historische Rechenhilfe erhalten und werden nicht für den FinalScore verwendet.</x:v>
      </x:c>
    </x:row>
    <x:row r="70" ht="42" customHeight="1">
      <x:c r="A70" s="14" t="str">
        <x:v>WOK-G-112</x:v>
      </x:c>
      <x:c r="B70" s="14" t="str">
        <x:v>G47</x:v>
      </x:c>
      <x:c r="C70" s="14" t="str">
        <x:v>Legacy / Migration auf NACE Rev. 2.1 offen</x:v>
      </x:c>
      <x:c r="D70" s="14" t="str">
        <x:v>EU</x:v>
      </x:c>
      <x:c r="E70" s="14"/>
      <x:c r="F70" s="14" t="str">
        <x:v>0–1</x:v>
      </x:c>
      <x:c r="G70" s="14" t="str">
        <x:v>higher_is_better</x:v>
      </x:c>
      <x:c r="H70" s="14" t="str">
        <x:v>R16</x:v>
      </x:c>
      <x:c r="I70" s="14" t="str">
        <x:v>Optional/Nein</x:v>
      </x:c>
      <x:c r="J70" s="51"/>
      <x:c r="K70" s="51"/>
      <x:c r="L70" s="51"/>
      <x:c r="M70" s="51"/>
      <x:c r="N70" s="51"/>
      <x:c r="O70" s="54"/>
      <x:c r="P70" s="51" t="str">
        <x:v>Optional – kein aktiver Benchmark</x:v>
      </x:c>
      <x:c r="Q70" s="53" t="n">
        <x:v>0.6699999999999999</x:v>
      </x:c>
      <x:c r="R70" s="53" t="n">
        <x:v>1</x:v>
      </x:c>
      <x:c r="S70" s="53" t="n">
        <x:v>1</x:v>
      </x:c>
      <x:c r="T70" s="53" t="str">
        <x:v>threshold:0-class</x:v>
      </x:c>
      <x:c r="U70" s="14" t="str">
        <x:v>Legacy-Werte bleiben nur als historische Rechenhilfe erhalten und werden nicht für den FinalScore verwendet.</x:v>
      </x:c>
    </x:row>
    <x:row r="71" ht="42" customHeight="1">
      <x:c r="A71" s="14" t="str">
        <x:v>WOK-RE-101</x:v>
      </x:c>
      <x:c r="B71" s="14" t="str">
        <x:v>L68</x:v>
      </x:c>
      <x:c r="C71" s="14" t="str">
        <x:v>Legacy / Migration auf NACE Rev. 2.1 offen</x:v>
      </x:c>
      <x:c r="D71" s="14" t="str">
        <x:v>EU</x:v>
      </x:c>
      <x:c r="E71" s="14"/>
      <x:c r="F71" s="14" t="str">
        <x:v>kWh/m²a</x:v>
      </x:c>
      <x:c r="G71" s="14" t="str">
        <x:v>lower_is_better</x:v>
      </x:c>
      <x:c r="H71" s="14" t="str">
        <x:v>R05</x:v>
      </x:c>
      <x:c r="I71" s="14" t="str">
        <x:v>Ja</x:v>
      </x:c>
      <x:c r="J71" s="51"/>
      <x:c r="K71" s="51"/>
      <x:c r="L71" s="51"/>
      <x:c r="M71" s="51"/>
      <x:c r="N71" s="51"/>
      <x:c r="O71" s="54"/>
      <x:c r="P71" s="51" t="str">
        <x:v>Offen – validierter Benchmark fehlt</x:v>
      </x:c>
      <x:c r="Q71" s="53" t="n">
        <x:v>1</x:v>
      </x:c>
      <x:c r="R71" s="53" t="n">
        <x:v>1.5</x:v>
      </x:c>
      <x:c r="S71" s="53" t="n">
        <x:v>2.5</x:v>
      </x:c>
      <x:c r="T71" s="53" t="str">
        <x:v>default:lower_is_better_abs</x:v>
      </x:c>
      <x:c r="U71" s="14" t="str">
        <x:v>Vor Aktivierung repräsentative Population, Region, Technologieklasse, Statistik, Quelle und Gültigkeitszeitraum dokumentieren.</x:v>
      </x:c>
    </x:row>
    <x:row r="72" ht="42" customHeight="1">
      <x:c r="A72" s="14" t="str">
        <x:v>WOK-RE-102</x:v>
      </x:c>
      <x:c r="B72" s="14" t="str">
        <x:v>L68</x:v>
      </x:c>
      <x:c r="C72" s="14" t="str">
        <x:v>Legacy / Migration auf NACE Rev. 2.1 offen</x:v>
      </x:c>
      <x:c r="D72" s="14" t="str">
        <x:v>EU</x:v>
      </x:c>
      <x:c r="E72" s="14"/>
      <x:c r="F72" s="14" t="str">
        <x:v>kg CO₂e/m²</x:v>
      </x:c>
      <x:c r="G72" s="14" t="str">
        <x:v>lower_is_better</x:v>
      </x:c>
      <x:c r="H72" s="14" t="str">
        <x:v>R06</x:v>
      </x:c>
      <x:c r="I72" s="14" t="str">
        <x:v>Ja</x:v>
      </x:c>
      <x:c r="J72" s="51"/>
      <x:c r="K72" s="51"/>
      <x:c r="L72" s="51"/>
      <x:c r="M72" s="51"/>
      <x:c r="N72" s="51"/>
      <x:c r="O72" s="54"/>
      <x:c r="P72" s="51" t="str">
        <x:v>Offen – validierter Benchmark fehlt</x:v>
      </x:c>
      <x:c r="Q72" s="53" t="n">
        <x:v>1</x:v>
      </x:c>
      <x:c r="R72" s="53" t="n">
        <x:v>1.5</x:v>
      </x:c>
      <x:c r="S72" s="53" t="n">
        <x:v>2.5</x:v>
      </x:c>
      <x:c r="T72" s="53" t="str">
        <x:v>default:lower_is_better_abs</x:v>
      </x:c>
      <x:c r="U72" s="14" t="str">
        <x:v>Vor Aktivierung repräsentative Population, Region, Technologieklasse, Statistik, Quelle und Gültigkeitszeitraum dokumentieren.</x:v>
      </x:c>
    </x:row>
    <x:row r="73" ht="42" customHeight="1">
      <x:c r="A73" s="14" t="str">
        <x:v>WOK-RE-103</x:v>
      </x:c>
      <x:c r="B73" s="14" t="str">
        <x:v>L68</x:v>
      </x:c>
      <x:c r="C73" s="14" t="str">
        <x:v>Legacy / Migration auf NACE Rev. 2.1 offen</x:v>
      </x:c>
      <x:c r="D73" s="14" t="str">
        <x:v>EU</x:v>
      </x:c>
      <x:c r="E73" s="14"/>
      <x:c r="F73" s="14" t="str">
        <x:v>0–1</x:v>
      </x:c>
      <x:c r="G73" s="14" t="str">
        <x:v>higher_is_better</x:v>
      </x:c>
      <x:c r="H73" s="14" t="str">
        <x:v>R14</x:v>
      </x:c>
      <x:c r="I73" s="14" t="str">
        <x:v>Optional/Nein</x:v>
      </x:c>
      <x:c r="J73" s="51"/>
      <x:c r="K73" s="51"/>
      <x:c r="L73" s="51"/>
      <x:c r="M73" s="51"/>
      <x:c r="N73" s="51"/>
      <x:c r="O73" s="54"/>
      <x:c r="P73" s="51" t="str">
        <x:v>Optional – kein aktiver Benchmark</x:v>
      </x:c>
      <x:c r="Q73" s="53" t="n">
        <x:v>0.495</x:v>
      </x:c>
      <x:c r="R73" s="53" t="n">
        <x:v>0.7424999999999999</x:v>
      </x:c>
      <x:c r="S73" s="53" t="n">
        <x:v>1</x:v>
      </x:c>
      <x:c r="T73" s="53" t="str">
        <x:v>threshold:0-class</x:v>
      </x:c>
      <x:c r="U73" s="14" t="str">
        <x:v>Legacy-Werte bleiben nur als historische Rechenhilfe erhalten und werden nicht für den FinalScore verwendet.</x:v>
      </x:c>
    </x:row>
    <x:row r="74" ht="42" customHeight="1">
      <x:c r="A74" s="14" t="str">
        <x:v>WOK-SYS-104</x:v>
      </x:c>
      <x:c r="B74" s="14" t="str">
        <x:v>G47</x:v>
      </x:c>
      <x:c r="C74" s="14" t="str">
        <x:v>Legacy / Migration auf NACE Rev. 2.1 offen</x:v>
      </x:c>
      <x:c r="D74" s="14" t="str">
        <x:v>EU</x:v>
      </x:c>
      <x:c r="E74" s="14"/>
      <x:c r="F74" s="14" t="str">
        <x:v>0–1</x:v>
      </x:c>
      <x:c r="G74" s="14" t="str">
        <x:v>higher_is_better</x:v>
      </x:c>
      <x:c r="H74" s="14" t="str">
        <x:v>R15</x:v>
      </x:c>
      <x:c r="I74" s="14" t="str">
        <x:v>Optional/Nein</x:v>
      </x:c>
      <x:c r="J74" s="51"/>
      <x:c r="K74" s="51"/>
      <x:c r="L74" s="51"/>
      <x:c r="M74" s="51"/>
      <x:c r="N74" s="51"/>
      <x:c r="O74" s="54"/>
      <x:c r="P74" s="51" t="str">
        <x:v>Optional – kein aktiver Benchmark</x:v>
      </x:c>
      <x:c r="Q74" s="53" t="n">
        <x:v>0.645</x:v>
      </x:c>
      <x:c r="R74" s="53" t="n">
        <x:v>0.9675</x:v>
      </x:c>
      <x:c r="S74" s="53" t="n">
        <x:v>1</x:v>
      </x:c>
      <x:c r="T74" s="53" t="str">
        <x:v>threshold:0-class</x:v>
      </x:c>
      <x:c r="U74" s="14" t="str">
        <x:v>Legacy-Werte bleiben nur als historische Rechenhilfe erhalten und werden nicht für den FinalScore verwendet.</x:v>
      </x:c>
    </x:row>
    <x:row r="75" ht="42" customHeight="1">
      <x:c r="A75" s="14" t="str">
        <x:v>WOK-SYS-105</x:v>
      </x:c>
      <x:c r="B75" s="14" t="str">
        <x:v>G47</x:v>
      </x:c>
      <x:c r="C75" s="14" t="str">
        <x:v>Legacy / Migration auf NACE Rev. 2.1 offen</x:v>
      </x:c>
      <x:c r="D75" s="14" t="str">
        <x:v>EU</x:v>
      </x:c>
      <x:c r="E75" s="14"/>
      <x:c r="F75" s="14" t="str">
        <x:v>%</x:v>
      </x:c>
      <x:c r="G75" s="14" t="str">
        <x:v>lower_is_better</x:v>
      </x:c>
      <x:c r="H75" s="14" t="str">
        <x:v>R13</x:v>
      </x:c>
      <x:c r="I75" s="14" t="str">
        <x:v>Optional/Nein</x:v>
      </x:c>
      <x:c r="J75" s="51"/>
      <x:c r="K75" s="51"/>
      <x:c r="L75" s="51"/>
      <x:c r="M75" s="51"/>
      <x:c r="N75" s="51"/>
      <x:c r="O75" s="54"/>
      <x:c r="P75" s="51" t="str">
        <x:v>Optional – kein aktiver Benchmark</x:v>
      </x:c>
      <x:c r="Q75" s="53" t="n">
        <x:v>15.5</x:v>
      </x:c>
      <x:c r="R75" s="53" t="n">
        <x:v>23.25</x:v>
      </x:c>
      <x:c r="S75" s="53" t="n">
        <x:v>38.75</x:v>
      </x:c>
      <x:c r="T75" s="53" t="str">
        <x:v>threshold:0-class</x:v>
      </x:c>
      <x:c r="U75" s="14" t="str">
        <x:v>Legacy-Werte bleiben nur als historische Rechenhilfe erhalten und werden nicht für den FinalScore verwendet.</x:v>
      </x:c>
    </x:row>
    <x:row r="76" ht="42" customHeight="1">
      <x:c r="A76" s="14" t="str">
        <x:v>WOK-SYS-106</x:v>
      </x:c>
      <x:c r="B76" s="14" t="str">
        <x:v>G47</x:v>
      </x:c>
      <x:c r="C76" s="14" t="str">
        <x:v>Legacy / Migration auf NACE Rev. 2.1 offen</x:v>
      </x:c>
      <x:c r="D76" s="14" t="str">
        <x:v>EU</x:v>
      </x:c>
      <x:c r="E76" s="14"/>
      <x:c r="F76" s="14" t="str">
        <x:v>#/Jahr</x:v>
      </x:c>
      <x:c r="G76" s="14" t="str">
        <x:v>higher_is_better</x:v>
      </x:c>
      <x:c r="H76" s="14" t="str">
        <x:v>R20</x:v>
      </x:c>
      <x:c r="I76" s="14" t="str">
        <x:v>Optional/Nein</x:v>
      </x:c>
      <x:c r="J76" s="51"/>
      <x:c r="K76" s="51"/>
      <x:c r="L76" s="51"/>
      <x:c r="M76" s="51"/>
      <x:c r="N76" s="51"/>
      <x:c r="O76" s="54"/>
      <x:c r="P76" s="51" t="str">
        <x:v>Optional – kein aktiver Benchmark</x:v>
      </x:c>
      <x:c r="Q76" s="53" t="n">
        <x:v>1.5</x:v>
      </x:c>
      <x:c r="R76" s="53" t="n">
        <x:v>2.25</x:v>
      </x:c>
      <x:c r="S76" s="53" t="n">
        <x:v>3.75</x:v>
      </x:c>
      <x:c r="T76" s="53" t="str">
        <x:v>threshold:0-class</x:v>
      </x:c>
      <x:c r="U76" s="14" t="str">
        <x:v>Legacy-Werte bleiben nur als historische Rechenhilfe erhalten und werden nicht für den FinalScore verwendet.</x:v>
      </x:c>
    </x:row>
    <x:row r="77" ht="42" customHeight="1">
      <x:c r="A77" s="14" t="str">
        <x:v>WOK-S-122</x:v>
      </x:c>
      <x:c r="B77" s="14" t="str">
        <x:v>G47</x:v>
      </x:c>
      <x:c r="C77" s="14" t="str">
        <x:v>Legacy / Migration auf NACE Rev. 2.1 offen</x:v>
      </x:c>
      <x:c r="D77" s="14" t="str">
        <x:v>EU</x:v>
      </x:c>
      <x:c r="E77" s="14"/>
      <x:c r="F77" s="14" t="str">
        <x:v>% Beschäftigte</x:v>
      </x:c>
      <x:c r="G77" s="14" t="str">
        <x:v>higher_is_better</x:v>
      </x:c>
      <x:c r="H77" s="14" t="str">
        <x:v>R27</x:v>
      </x:c>
      <x:c r="I77" s="14" t="str">
        <x:v>Optional/Nein</x:v>
      </x:c>
      <x:c r="J77" s="51"/>
      <x:c r="K77" s="51"/>
      <x:c r="L77" s="51"/>
      <x:c r="M77" s="51"/>
      <x:c r="N77" s="51"/>
      <x:c r="O77" s="54"/>
      <x:c r="P77" s="51" t="str">
        <x:v>Optional – kein aktiver Benchmark</x:v>
      </x:c>
      <x:c r="Q77" s="53" t="n">
        <x:v>69.5</x:v>
      </x:c>
      <x:c r="R77" s="53" t="n">
        <x:v>100</x:v>
      </x:c>
      <x:c r="S77" s="53" t="n">
        <x:v>100</x:v>
      </x:c>
      <x:c r="T77" s="53" t="str">
        <x:v>threshold:0-class</x:v>
      </x:c>
      <x:c r="U77" s="14" t="str">
        <x:v>Legacy-Werte bleiben nur als historische Rechenhilfe erhalten und werden nicht für den FinalScore verwendet.</x:v>
      </x:c>
    </x:row>
    <x:row r="78" ht="42" customHeight="1">
      <x:c r="A78" s="14" t="str">
        <x:v>WOK-S-123</x:v>
      </x:c>
      <x:c r="B78" s="14" t="str">
        <x:v>G47</x:v>
      </x:c>
      <x:c r="C78" s="14" t="str">
        <x:v>Legacy / Migration auf NACE Rev. 2.1 offen</x:v>
      </x:c>
      <x:c r="D78" s="14" t="str">
        <x:v>EU</x:v>
      </x:c>
      <x:c r="E78" s="14"/>
      <x:c r="F78" s="14" t="str">
        <x:v>%</x:v>
      </x:c>
      <x:c r="G78" s="14" t="str">
        <x:v>higher_is_better</x:v>
      </x:c>
      <x:c r="H78" s="14" t="str">
        <x:v>R26</x:v>
      </x:c>
      <x:c r="I78" s="14" t="str">
        <x:v>Optional/Nein</x:v>
      </x:c>
      <x:c r="J78" s="51"/>
      <x:c r="K78" s="51"/>
      <x:c r="L78" s="51"/>
      <x:c r="M78" s="51"/>
      <x:c r="N78" s="51"/>
      <x:c r="O78" s="54"/>
      <x:c r="P78" s="51" t="str">
        <x:v>Optional – kein aktiver Benchmark</x:v>
      </x:c>
      <x:c r="Q78" s="53" t="n">
        <x:v>59.5</x:v>
      </x:c>
      <x:c r="R78" s="53" t="n">
        <x:v>89.25</x:v>
      </x:c>
      <x:c r="S78" s="53" t="n">
        <x:v>100</x:v>
      </x:c>
      <x:c r="T78" s="53" t="str">
        <x:v>threshold:0-class</x:v>
      </x:c>
      <x:c r="U78" s="14" t="str">
        <x:v>Legacy-Werte bleiben nur als historische Rechenhilfe erhalten und werden nicht für den FinalScore verwendet.</x:v>
      </x:c>
    </x:row>
    <x:row r="79" ht="42" customHeight="1">
      <x:c r="A79" s="14" t="str">
        <x:v>WOK-S-124</x:v>
      </x:c>
      <x:c r="B79" s="14" t="str">
        <x:v>G47</x:v>
      </x:c>
      <x:c r="C79" s="14" t="str">
        <x:v>Legacy / Migration auf NACE Rev. 2.1 offen</x:v>
      </x:c>
      <x:c r="D79" s="14" t="str">
        <x:v>EU</x:v>
      </x:c>
      <x:c r="E79" s="14"/>
      <x:c r="F79" s="14" t="str">
        <x:v>Unfälle/Mio Std.</x:v>
      </x:c>
      <x:c r="G79" s="14" t="str">
        <x:v>lower_is_better</x:v>
      </x:c>
      <x:c r="H79" s="14" t="str">
        <x:v>R02</x:v>
      </x:c>
      <x:c r="I79" s="14" t="str">
        <x:v>Optional/Nein</x:v>
      </x:c>
      <x:c r="J79" s="51"/>
      <x:c r="K79" s="51"/>
      <x:c r="L79" s="51"/>
      <x:c r="M79" s="51"/>
      <x:c r="N79" s="51"/>
      <x:c r="O79" s="54"/>
      <x:c r="P79" s="51" t="str">
        <x:v>Optional – kein aktiver Benchmark</x:v>
      </x:c>
      <x:c r="Q79" s="53" t="n">
        <x:v>3</x:v>
      </x:c>
      <x:c r="R79" s="53" t="n">
        <x:v>4.5</x:v>
      </x:c>
      <x:c r="S79" s="53" t="n">
        <x:v>7.5</x:v>
      </x:c>
      <x:c r="T79" s="53" t="str">
        <x:v>threshold:0-class</x:v>
      </x:c>
      <x:c r="U79" s="14" t="str">
        <x:v>Legacy-Werte bleiben nur als historische Rechenhilfe erhalten und werden nicht für den FinalScore verwendet.</x:v>
      </x:c>
    </x:row>
    <x:row r="80" ht="42" customHeight="1">
      <x:c r="A80" s="14" t="str">
        <x:v>WOK-E-119</x:v>
      </x:c>
      <x:c r="B80" s="14" t="str">
        <x:v>C20</x:v>
      </x:c>
      <x:c r="C80" s="14" t="str">
        <x:v>Legacy / Migration auf NACE Rev. 2.1 offen</x:v>
      </x:c>
      <x:c r="D80" s="14" t="str">
        <x:v>EU</x:v>
      </x:c>
      <x:c r="E80" s="14"/>
      <x:c r="F80" s="14" t="str">
        <x:v>kg/t</x:v>
      </x:c>
      <x:c r="G80" s="14" t="str">
        <x:v>lower_is_better</x:v>
      </x:c>
      <x:c r="H80" s="14" t="str">
        <x:v>R06</x:v>
      </x:c>
      <x:c r="I80" s="14" t="str">
        <x:v>Ja</x:v>
      </x:c>
      <x:c r="J80" s="51"/>
      <x:c r="K80" s="51"/>
      <x:c r="L80" s="51"/>
      <x:c r="M80" s="51"/>
      <x:c r="N80" s="51"/>
      <x:c r="O80" s="54"/>
      <x:c r="P80" s="51" t="str">
        <x:v>Offen – validierter Benchmark fehlt</x:v>
      </x:c>
      <x:c r="Q80" s="53" t="n">
        <x:v>1</x:v>
      </x:c>
      <x:c r="R80" s="53" t="n">
        <x:v>1.5</x:v>
      </x:c>
      <x:c r="S80" s="53" t="n">
        <x:v>2.5</x:v>
      </x:c>
      <x:c r="T80" s="53" t="str">
        <x:v>default:lower_is_better_abs</x:v>
      </x:c>
      <x:c r="U80" s="14" t="str">
        <x:v>Vor Aktivierung repräsentative Population, Region, Technologieklasse, Statistik, Quelle und Gültigkeitszeitraum dokumentieren.</x:v>
      </x:c>
    </x:row>
    <x:row r="81" ht="42" customHeight="1">
      <x:c r="A81" s="14" t="str">
        <x:v>WOK-E-120</x:v>
      </x:c>
      <x:c r="B81" s="14" t="str">
        <x:v>C20</x:v>
      </x:c>
      <x:c r="C81" s="14" t="str">
        <x:v>Legacy / Migration auf NACE Rev. 2.1 offen</x:v>
      </x:c>
      <x:c r="D81" s="14" t="str">
        <x:v>EU</x:v>
      </x:c>
      <x:c r="E81" s="14"/>
      <x:c r="F81" s="14" t="str">
        <x:v>%</x:v>
      </x:c>
      <x:c r="G81" s="14" t="str">
        <x:v>higher_is_better</x:v>
      </x:c>
      <x:c r="H81" s="14" t="str">
        <x:v>R25</x:v>
      </x:c>
      <x:c r="I81" s="14" t="str">
        <x:v>Optional/Nein</x:v>
      </x:c>
      <x:c r="J81" s="51"/>
      <x:c r="K81" s="51"/>
      <x:c r="L81" s="51"/>
      <x:c r="M81" s="51"/>
      <x:c r="N81" s="51"/>
      <x:c r="O81" s="54"/>
      <x:c r="P81" s="51" t="str">
        <x:v>Optional – kein aktiver Benchmark</x:v>
      </x:c>
      <x:c r="Q81" s="53" t="n">
        <x:v>50</x:v>
      </x:c>
      <x:c r="R81" s="53" t="n">
        <x:v>75</x:v>
      </x:c>
      <x:c r="S81" s="53" t="n">
        <x:v>100</x:v>
      </x:c>
      <x:c r="T81" s="53" t="str">
        <x:v>default:higher_is_better_pct</x:v>
      </x:c>
      <x:c r="U81" s="14" t="str">
        <x:v>Legacy-Werte bleiben nur als historische Rechenhilfe erhalten und werden nicht für den FinalScore verwendet.</x:v>
      </x:c>
    </x:row>
    <x:row r="82" ht="42" customHeight="1">
      <x:c r="A82" s="14" t="str">
        <x:v>WOK-E-121</x:v>
      </x:c>
      <x:c r="B82" s="14" t="str">
        <x:v>C20</x:v>
      </x:c>
      <x:c r="C82" s="14" t="str">
        <x:v>Legacy / Migration auf NACE Rev. 2.1 offen</x:v>
      </x:c>
      <x:c r="D82" s="14" t="str">
        <x:v>EU</x:v>
      </x:c>
      <x:c r="E82" s="14"/>
      <x:c r="F82" s="14" t="str">
        <x:v>kg/t</x:v>
      </x:c>
      <x:c r="G82" s="14" t="str">
        <x:v>lower_is_better</x:v>
      </x:c>
      <x:c r="H82" s="14" t="str">
        <x:v>R06</x:v>
      </x:c>
      <x:c r="I82" s="14" t="str">
        <x:v>Ja</x:v>
      </x:c>
      <x:c r="J82" s="51"/>
      <x:c r="K82" s="51"/>
      <x:c r="L82" s="51"/>
      <x:c r="M82" s="51"/>
      <x:c r="N82" s="51"/>
      <x:c r="O82" s="54"/>
      <x:c r="P82" s="51" t="str">
        <x:v>Offen – validierter Benchmark fehlt</x:v>
      </x:c>
      <x:c r="Q82" s="53" t="n">
        <x:v>1</x:v>
      </x:c>
      <x:c r="R82" s="53" t="n">
        <x:v>1.5</x:v>
      </x:c>
      <x:c r="S82" s="53" t="n">
        <x:v>2.5</x:v>
      </x:c>
      <x:c r="T82" s="53" t="str">
        <x:v>default:lower_is_better_abs</x:v>
      </x:c>
      <x:c r="U82" s="14" t="str">
        <x:v>Vor Aktivierung repräsentative Population, Region, Technologieklasse, Statistik, Quelle und Gültigkeitszeitraum dokumentieren.</x:v>
      </x:c>
    </x:row>
    <x:row r="83" ht="42" customHeight="1">
      <x:c r="A83" s="14" t="str">
        <x:v>WOK-G-113</x:v>
      </x:c>
      <x:c r="B83" s="14" t="str">
        <x:v>G47</x:v>
      </x:c>
      <x:c r="C83" s="14" t="str">
        <x:v>Legacy / Migration auf NACE Rev. 2.1 offen</x:v>
      </x:c>
      <x:c r="D83" s="14" t="str">
        <x:v>EU</x:v>
      </x:c>
      <x:c r="E83" s="14"/>
      <x:c r="F83" s="14" t="str">
        <x:v>Fälle/1.000 FTE</x:v>
      </x:c>
      <x:c r="G83" s="14" t="str">
        <x:v>lower_is_better</x:v>
      </x:c>
      <x:c r="H83" s="14" t="str">
        <x:v>R01</x:v>
      </x:c>
      <x:c r="I83" s="14" t="str">
        <x:v>Optional/Nein</x:v>
      </x:c>
      <x:c r="J83" s="51"/>
      <x:c r="K83" s="51"/>
      <x:c r="L83" s="51"/>
      <x:c r="M83" s="51"/>
      <x:c r="N83" s="51"/>
      <x:c r="O83" s="54"/>
      <x:c r="P83" s="51" t="str">
        <x:v>Optional – kein aktiver Benchmark</x:v>
      </x:c>
      <x:c r="Q83" s="53" t="n">
        <x:v>0.5</x:v>
      </x:c>
      <x:c r="R83" s="53" t="n">
        <x:v>0.75</x:v>
      </x:c>
      <x:c r="S83" s="53" t="n">
        <x:v>1.25</x:v>
      </x:c>
      <x:c r="T83" s="53" t="str">
        <x:v>threshold:0-class</x:v>
      </x:c>
      <x:c r="U83" s="14" t="str">
        <x:v>Legacy-Werte bleiben nur als historische Rechenhilfe erhalten und werden nicht für den FinalScore verwendet.</x:v>
      </x:c>
    </x:row>
    <x:row r="84" ht="42" customHeight="1">
      <x:c r="A84" s="14" t="str">
        <x:v>WOK-G-114</x:v>
      </x:c>
      <x:c r="B84" s="14" t="str">
        <x:v>G47</x:v>
      </x:c>
      <x:c r="C84" s="14" t="str">
        <x:v>Legacy / Migration auf NACE Rev. 2.1 offen</x:v>
      </x:c>
      <x:c r="D84" s="14" t="str">
        <x:v>EU</x:v>
      </x:c>
      <x:c r="E84" s="14"/>
      <x:c r="F84" s="14" t="str">
        <x:v>0–1</x:v>
      </x:c>
      <x:c r="G84" s="14" t="str">
        <x:v>higher_is_better</x:v>
      </x:c>
      <x:c r="H84" s="14" t="str">
        <x:v>R16</x:v>
      </x:c>
      <x:c r="I84" s="14" t="str">
        <x:v>Optional/Nein</x:v>
      </x:c>
      <x:c r="J84" s="51"/>
      <x:c r="K84" s="51"/>
      <x:c r="L84" s="51"/>
      <x:c r="M84" s="51"/>
      <x:c r="N84" s="51"/>
      <x:c r="O84" s="54"/>
      <x:c r="P84" s="51" t="str">
        <x:v>Optional – kein aktiver Benchmark</x:v>
      </x:c>
      <x:c r="Q84" s="53" t="n">
        <x:v>0.6699999999999999</x:v>
      </x:c>
      <x:c r="R84" s="53" t="n">
        <x:v>1</x:v>
      </x:c>
      <x:c r="S84" s="53" t="n">
        <x:v>1</x:v>
      </x:c>
      <x:c r="T84" s="53" t="str">
        <x:v>threshold:0-class</x:v>
      </x:c>
      <x:c r="U84" s="14" t="str">
        <x:v>Legacy-Werte bleiben nur als historische Rechenhilfe erhalten und werden nicht für den FinalScore verwendet.</x:v>
      </x:c>
    </x:row>
    <x:row r="85" ht="42" customHeight="1">
      <x:c r="A85" s="14" t="str">
        <x:v>WOK-G-115</x:v>
      </x:c>
      <x:c r="B85" s="14" t="str">
        <x:v>G47</x:v>
      </x:c>
      <x:c r="C85" s="14" t="str">
        <x:v>Legacy / Migration auf NACE Rev. 2.1 offen</x:v>
      </x:c>
      <x:c r="D85" s="14" t="str">
        <x:v>EU</x:v>
      </x:c>
      <x:c r="E85" s="14"/>
      <x:c r="F85" s="14" t="str">
        <x:v>0–1</x:v>
      </x:c>
      <x:c r="G85" s="14" t="str">
        <x:v>higher_is_better</x:v>
      </x:c>
      <x:c r="H85" s="14" t="str">
        <x:v>R08</x:v>
      </x:c>
      <x:c r="I85" s="14" t="str">
        <x:v>Optional/Nein</x:v>
      </x:c>
      <x:c r="J85" s="51"/>
      <x:c r="K85" s="51"/>
      <x:c r="L85" s="51"/>
      <x:c r="M85" s="51"/>
      <x:c r="N85" s="51"/>
      <x:c r="O85" s="54"/>
      <x:c r="P85" s="51" t="str">
        <x:v>Optional – kein aktiver Benchmark</x:v>
      </x:c>
      <x:c r="Q85" s="53" t="n">
        <x:v>0.5</x:v>
      </x:c>
      <x:c r="R85" s="53" t="n">
        <x:v>0.75</x:v>
      </x:c>
      <x:c r="S85" s="53" t="n">
        <x:v>0.9</x:v>
      </x:c>
      <x:c r="T85" s="53" t="str">
        <x:v>default:higher_is_better_abs</x:v>
      </x:c>
      <x:c r="U85" s="14" t="str">
        <x:v>Legacy-Werte bleiben nur als historische Rechenhilfe erhalten und werden nicht für den FinalScore verwendet.</x:v>
      </x:c>
    </x:row>
    <x:row r="86" ht="42" customHeight="1">
      <x:c r="A86" s="14" t="str">
        <x:v>WOK-S-125</x:v>
      </x:c>
      <x:c r="B86" s="14" t="str">
        <x:v>G47</x:v>
      </x:c>
      <x:c r="C86" s="14" t="str">
        <x:v>Legacy / Migration auf NACE Rev. 2.1 offen</x:v>
      </x:c>
      <x:c r="D86" s="14" t="str">
        <x:v>EU</x:v>
      </x:c>
      <x:c r="E86" s="14"/>
      <x:c r="F86" s="14" t="str">
        <x:v>% Beschäftigte</x:v>
      </x:c>
      <x:c r="G86" s="14" t="str">
        <x:v>higher_is_better</x:v>
      </x:c>
      <x:c r="H86" s="14" t="str">
        <x:v>R27</x:v>
      </x:c>
      <x:c r="I86" s="14" t="str">
        <x:v>Optional/Nein</x:v>
      </x:c>
      <x:c r="J86" s="51"/>
      <x:c r="K86" s="51"/>
      <x:c r="L86" s="51"/>
      <x:c r="M86" s="51"/>
      <x:c r="N86" s="51"/>
      <x:c r="O86" s="54"/>
      <x:c r="P86" s="51" t="str">
        <x:v>Optional – kein aktiver Benchmark</x:v>
      </x:c>
      <x:c r="Q86" s="53" t="n">
        <x:v>69.5</x:v>
      </x:c>
      <x:c r="R86" s="53" t="n">
        <x:v>100</x:v>
      </x:c>
      <x:c r="S86" s="53" t="n">
        <x:v>100</x:v>
      </x:c>
      <x:c r="T86" s="53" t="str">
        <x:v>threshold:0-class</x:v>
      </x:c>
      <x:c r="U86" s="14" t="str">
        <x:v>Legacy-Werte bleiben nur als historische Rechenhilfe erhalten und werden nicht für den FinalScore verwendet.</x:v>
      </x:c>
    </x:row>
    <x:row r="87" ht="42" customHeight="1">
      <x:c r="A87" s="14" t="str">
        <x:v>WOK-S-126</x:v>
      </x:c>
      <x:c r="B87" s="14" t="str">
        <x:v>G47</x:v>
      </x:c>
      <x:c r="C87" s="14" t="str">
        <x:v>Legacy / Migration auf NACE Rev. 2.1 offen</x:v>
      </x:c>
      <x:c r="D87" s="14" t="str">
        <x:v>EU</x:v>
      </x:c>
      <x:c r="E87" s="14"/>
      <x:c r="F87" s="14" t="str">
        <x:v>%</x:v>
      </x:c>
      <x:c r="G87" s="14" t="str">
        <x:v>higher_is_better</x:v>
      </x:c>
      <x:c r="H87" s="14" t="str">
        <x:v>R26</x:v>
      </x:c>
      <x:c r="I87" s="14" t="str">
        <x:v>Optional/Nein</x:v>
      </x:c>
      <x:c r="J87" s="51"/>
      <x:c r="K87" s="51"/>
      <x:c r="L87" s="51"/>
      <x:c r="M87" s="51"/>
      <x:c r="N87" s="51"/>
      <x:c r="O87" s="54"/>
      <x:c r="P87" s="51" t="str">
        <x:v>Optional – kein aktiver Benchmark</x:v>
      </x:c>
      <x:c r="Q87" s="53" t="n">
        <x:v>59.5</x:v>
      </x:c>
      <x:c r="R87" s="53" t="n">
        <x:v>89.25</x:v>
      </x:c>
      <x:c r="S87" s="53" t="n">
        <x:v>100</x:v>
      </x:c>
      <x:c r="T87" s="53" t="str">
        <x:v>threshold:0-class</x:v>
      </x:c>
      <x:c r="U87" s="14" t="str">
        <x:v>Legacy-Werte bleiben nur als historische Rechenhilfe erhalten und werden nicht für den FinalScore verwendet.</x:v>
      </x:c>
    </x:row>
    <x:row r="88" ht="42" customHeight="1">
      <x:c r="A88" s="14" t="str">
        <x:v>WOK-S-127</x:v>
      </x:c>
      <x:c r="B88" s="14" t="str">
        <x:v>G47</x:v>
      </x:c>
      <x:c r="C88" s="14" t="str">
        <x:v>Legacy / Migration auf NACE Rev. 2.1 offen</x:v>
      </x:c>
      <x:c r="D88" s="14" t="str">
        <x:v>EU</x:v>
      </x:c>
      <x:c r="E88" s="14"/>
      <x:c r="F88" s="14" t="str">
        <x:v>Unfälle/Mio Std.</x:v>
      </x:c>
      <x:c r="G88" s="14" t="str">
        <x:v>lower_is_better</x:v>
      </x:c>
      <x:c r="H88" s="14" t="str">
        <x:v>R02</x:v>
      </x:c>
      <x:c r="I88" s="14" t="str">
        <x:v>Optional/Nein</x:v>
      </x:c>
      <x:c r="J88" s="51"/>
      <x:c r="K88" s="51"/>
      <x:c r="L88" s="51"/>
      <x:c r="M88" s="51"/>
      <x:c r="N88" s="51"/>
      <x:c r="O88" s="54"/>
      <x:c r="P88" s="51" t="str">
        <x:v>Optional – kein aktiver Benchmark</x:v>
      </x:c>
      <x:c r="Q88" s="53" t="n">
        <x:v>3</x:v>
      </x:c>
      <x:c r="R88" s="53" t="n">
        <x:v>4.5</x:v>
      </x:c>
      <x:c r="S88" s="53" t="n">
        <x:v>7.5</x:v>
      </x:c>
      <x:c r="T88" s="53" t="str">
        <x:v>threshold:0-class</x:v>
      </x:c>
      <x:c r="U88" s="14" t="str">
        <x:v>Legacy-Werte bleiben nur als historische Rechenhilfe erhalten und werden nicht für den FinalScore verwendet.</x:v>
      </x:c>
    </x:row>
    <x:row r="89" ht="42" customHeight="1">
      <x:c r="A89" s="14" t="str">
        <x:v>WOK-S-128</x:v>
      </x:c>
      <x:c r="B89" s="14" t="str">
        <x:v>G47</x:v>
      </x:c>
      <x:c r="C89" s="14" t="str">
        <x:v>Legacy / Migration auf NACE Rev. 2.1 offen</x:v>
      </x:c>
      <x:c r="D89" s="14" t="str">
        <x:v>EU</x:v>
      </x:c>
      <x:c r="E89" s="14"/>
      <x:c r="F89" s="14" t="str">
        <x:v>% Beschäftigte</x:v>
      </x:c>
      <x:c r="G89" s="14" t="str">
        <x:v>higher_is_better</x:v>
      </x:c>
      <x:c r="H89" s="14" t="str">
        <x:v>R27</x:v>
      </x:c>
      <x:c r="I89" s="14" t="str">
        <x:v>Optional/Nein</x:v>
      </x:c>
      <x:c r="J89" s="51"/>
      <x:c r="K89" s="51"/>
      <x:c r="L89" s="51"/>
      <x:c r="M89" s="51"/>
      <x:c r="N89" s="51"/>
      <x:c r="O89" s="54"/>
      <x:c r="P89" s="51" t="str">
        <x:v>Optional – kein aktiver Benchmark</x:v>
      </x:c>
      <x:c r="Q89" s="53" t="n">
        <x:v>69.5</x:v>
      </x:c>
      <x:c r="R89" s="53" t="n">
        <x:v>100</x:v>
      </x:c>
      <x:c r="S89" s="53" t="n">
        <x:v>100</x:v>
      </x:c>
      <x:c r="T89" s="53" t="str">
        <x:v>threshold:0-class</x:v>
      </x:c>
      <x:c r="U89" s="14" t="str">
        <x:v>Legacy-Werte bleiben nur als historische Rechenhilfe erhalten und werden nicht für den FinalScore verwendet.</x:v>
      </x:c>
    </x:row>
    <x:row r="90" ht="42" customHeight="1">
      <x:c r="A90" s="14" t="str">
        <x:v>WOK-S-129</x:v>
      </x:c>
      <x:c r="B90" s="14" t="str">
        <x:v>G47</x:v>
      </x:c>
      <x:c r="C90" s="14" t="str">
        <x:v>Legacy / Migration auf NACE Rev. 2.1 offen</x:v>
      </x:c>
      <x:c r="D90" s="14" t="str">
        <x:v>EU</x:v>
      </x:c>
      <x:c r="E90" s="14"/>
      <x:c r="F90" s="14" t="str">
        <x:v>%</x:v>
      </x:c>
      <x:c r="G90" s="14" t="str">
        <x:v>higher_is_better</x:v>
      </x:c>
      <x:c r="H90" s="14" t="str">
        <x:v>R26</x:v>
      </x:c>
      <x:c r="I90" s="14" t="str">
        <x:v>Optional/Nein</x:v>
      </x:c>
      <x:c r="J90" s="51"/>
      <x:c r="K90" s="51"/>
      <x:c r="L90" s="51"/>
      <x:c r="M90" s="51"/>
      <x:c r="N90" s="51"/>
      <x:c r="O90" s="54"/>
      <x:c r="P90" s="51" t="str">
        <x:v>Optional – kein aktiver Benchmark</x:v>
      </x:c>
      <x:c r="Q90" s="53" t="n">
        <x:v>59.5</x:v>
      </x:c>
      <x:c r="R90" s="53" t="n">
        <x:v>89.25</x:v>
      </x:c>
      <x:c r="S90" s="53" t="n">
        <x:v>100</x:v>
      </x:c>
      <x:c r="T90" s="53" t="str">
        <x:v>threshold:0-class</x:v>
      </x:c>
      <x:c r="U90" s="14" t="str">
        <x:v>Legacy-Werte bleiben nur als historische Rechenhilfe erhalten und werden nicht für den FinalScore verwendet.</x:v>
      </x:c>
    </x:row>
    <x:row r="91" ht="42" customHeight="1">
      <x:c r="A91" s="14" t="str">
        <x:v>WOK-S-130</x:v>
      </x:c>
      <x:c r="B91" s="14" t="str">
        <x:v>G47</x:v>
      </x:c>
      <x:c r="C91" s="14" t="str">
        <x:v>Legacy / Migration auf NACE Rev. 2.1 offen</x:v>
      </x:c>
      <x:c r="D91" s="14" t="str">
        <x:v>EU</x:v>
      </x:c>
      <x:c r="E91" s="14"/>
      <x:c r="F91" s="14" t="str">
        <x:v>Unfälle/Mio Std.</x:v>
      </x:c>
      <x:c r="G91" s="14" t="str">
        <x:v>lower_is_better</x:v>
      </x:c>
      <x:c r="H91" s="14" t="str">
        <x:v>R02</x:v>
      </x:c>
      <x:c r="I91" s="14" t="str">
        <x:v>Optional/Nein</x:v>
      </x:c>
      <x:c r="J91" s="51"/>
      <x:c r="K91" s="51"/>
      <x:c r="L91" s="51"/>
      <x:c r="M91" s="51"/>
      <x:c r="N91" s="51"/>
      <x:c r="O91" s="54"/>
      <x:c r="P91" s="51" t="str">
        <x:v>Optional – kein aktiver Benchmark</x:v>
      </x:c>
      <x:c r="Q91" s="53" t="n">
        <x:v>3</x:v>
      </x:c>
      <x:c r="R91" s="53" t="n">
        <x:v>4.5</x:v>
      </x:c>
      <x:c r="S91" s="53" t="n">
        <x:v>7.5</x:v>
      </x:c>
      <x:c r="T91" s="53" t="str">
        <x:v>threshold:0-class</x:v>
      </x:c>
      <x:c r="U91" s="14" t="str">
        <x:v>Legacy-Werte bleiben nur als historische Rechenhilfe erhalten und werden nicht für den FinalScore verwendet.</x:v>
      </x:c>
    </x:row>
    <x:row r="92" ht="42" customHeight="1">
      <x:c r="A92" s="14" t="str">
        <x:v>WOK-SYS-107</x:v>
      </x:c>
      <x:c r="B92" s="14" t="str">
        <x:v>G47</x:v>
      </x:c>
      <x:c r="C92" s="14" t="str">
        <x:v>Legacy / Migration auf NACE Rev. 2.1 offen</x:v>
      </x:c>
      <x:c r="D92" s="14" t="str">
        <x:v>EU</x:v>
      </x:c>
      <x:c r="E92" s="14"/>
      <x:c r="F92" s="14" t="str">
        <x:v>0–1</x:v>
      </x:c>
      <x:c r="G92" s="14" t="str">
        <x:v>higher_is_better</x:v>
      </x:c>
      <x:c r="H92" s="14" t="str">
        <x:v>R15</x:v>
      </x:c>
      <x:c r="I92" s="14" t="str">
        <x:v>Optional/Nein</x:v>
      </x:c>
      <x:c r="J92" s="51"/>
      <x:c r="K92" s="51"/>
      <x:c r="L92" s="51"/>
      <x:c r="M92" s="51"/>
      <x:c r="N92" s="51"/>
      <x:c r="O92" s="54"/>
      <x:c r="P92" s="51" t="str">
        <x:v>Optional – kein aktiver Benchmark</x:v>
      </x:c>
      <x:c r="Q92" s="53" t="n">
        <x:v>0.645</x:v>
      </x:c>
      <x:c r="R92" s="53" t="n">
        <x:v>0.9675</x:v>
      </x:c>
      <x:c r="S92" s="53" t="n">
        <x:v>1</x:v>
      </x:c>
      <x:c r="T92" s="53" t="str">
        <x:v>threshold:0-class</x:v>
      </x:c>
      <x:c r="U92" s="14" t="str">
        <x:v>Legacy-Werte bleiben nur als historische Rechenhilfe erhalten und werden nicht für den FinalScore verwendet.</x:v>
      </x:c>
    </x:row>
    <x:row r="93" ht="42" customHeight="1">
      <x:c r="A93" s="14" t="str">
        <x:v>WOK-SYS-108</x:v>
      </x:c>
      <x:c r="B93" s="14" t="str">
        <x:v>G47</x:v>
      </x:c>
      <x:c r="C93" s="14" t="str">
        <x:v>Legacy / Migration auf NACE Rev. 2.1 offen</x:v>
      </x:c>
      <x:c r="D93" s="14" t="str">
        <x:v>EU</x:v>
      </x:c>
      <x:c r="E93" s="14"/>
      <x:c r="F93" s="14" t="str">
        <x:v>%</x:v>
      </x:c>
      <x:c r="G93" s="14" t="str">
        <x:v>lower_is_better</x:v>
      </x:c>
      <x:c r="H93" s="14" t="str">
        <x:v>R13</x:v>
      </x:c>
      <x:c r="I93" s="14" t="str">
        <x:v>Optional/Nein</x:v>
      </x:c>
      <x:c r="J93" s="51"/>
      <x:c r="K93" s="51"/>
      <x:c r="L93" s="51"/>
      <x:c r="M93" s="51"/>
      <x:c r="N93" s="51"/>
      <x:c r="O93" s="54"/>
      <x:c r="P93" s="51" t="str">
        <x:v>Optional – kein aktiver Benchmark</x:v>
      </x:c>
      <x:c r="Q93" s="53" t="n">
        <x:v>15.5</x:v>
      </x:c>
      <x:c r="R93" s="53" t="n">
        <x:v>23.25</x:v>
      </x:c>
      <x:c r="S93" s="53" t="n">
        <x:v>38.75</x:v>
      </x:c>
      <x:c r="T93" s="53" t="str">
        <x:v>threshold:0-class</x:v>
      </x:c>
      <x:c r="U93" s="14" t="str">
        <x:v>Legacy-Werte bleiben nur als historische Rechenhilfe erhalten und werden nicht für den FinalScore verwendet.</x:v>
      </x:c>
    </x:row>
    <x:row r="94" ht="42" customHeight="1">
      <x:c r="A94" s="14" t="str">
        <x:v>WOK-SYS-109</x:v>
      </x:c>
      <x:c r="B94" s="14" t="str">
        <x:v>G47</x:v>
      </x:c>
      <x:c r="C94" s="14" t="str">
        <x:v>Legacy / Migration auf NACE Rev. 2.1 offen</x:v>
      </x:c>
      <x:c r="D94" s="14" t="str">
        <x:v>EU</x:v>
      </x:c>
      <x:c r="E94" s="14"/>
      <x:c r="F94" s="14" t="str">
        <x:v>#/Jahr</x:v>
      </x:c>
      <x:c r="G94" s="14" t="str">
        <x:v>higher_is_better</x:v>
      </x:c>
      <x:c r="H94" s="14" t="str">
        <x:v>R20</x:v>
      </x:c>
      <x:c r="I94" s="14" t="str">
        <x:v>Optional/Nein</x:v>
      </x:c>
      <x:c r="J94" s="51"/>
      <x:c r="K94" s="51"/>
      <x:c r="L94" s="51"/>
      <x:c r="M94" s="51"/>
      <x:c r="N94" s="51"/>
      <x:c r="O94" s="54"/>
      <x:c r="P94" s="51" t="str">
        <x:v>Optional – kein aktiver Benchmark</x:v>
      </x:c>
      <x:c r="Q94" s="53" t="n">
        <x:v>1.5</x:v>
      </x:c>
      <x:c r="R94" s="53" t="n">
        <x:v>2.25</x:v>
      </x:c>
      <x:c r="S94" s="53" t="n">
        <x:v>3.75</x:v>
      </x:c>
      <x:c r="T94" s="53" t="str">
        <x:v>threshold:0-class</x:v>
      </x:c>
      <x:c r="U94" s="14" t="str">
        <x:v>Legacy-Werte bleiben nur als historische Rechenhilfe erhalten und werden nicht für den FinalScore verwendet.</x:v>
      </x:c>
    </x:row>
    <x:row r="95" ht="42" customHeight="1">
      <x:c r="A95" s="14" t="str">
        <x:v>WOK-G-116</x:v>
      </x:c>
      <x:c r="B95" s="14" t="str">
        <x:v>G47</x:v>
      </x:c>
      <x:c r="C95" s="14" t="str">
        <x:v>Legacy / Migration auf NACE Rev. 2.1 offen</x:v>
      </x:c>
      <x:c r="D95" s="14" t="str">
        <x:v>EU</x:v>
      </x:c>
      <x:c r="E95" s="14"/>
      <x:c r="F95" s="14" t="str">
        <x:v>Fälle/1.000 FTE</x:v>
      </x:c>
      <x:c r="G95" s="14" t="str">
        <x:v>lower_is_better</x:v>
      </x:c>
      <x:c r="H95" s="14" t="str">
        <x:v>R01</x:v>
      </x:c>
      <x:c r="I95" s="14" t="str">
        <x:v>Optional/Nein</x:v>
      </x:c>
      <x:c r="J95" s="51"/>
      <x:c r="K95" s="51"/>
      <x:c r="L95" s="51"/>
      <x:c r="M95" s="51"/>
      <x:c r="N95" s="51"/>
      <x:c r="O95" s="54"/>
      <x:c r="P95" s="51" t="str">
        <x:v>Optional – kein aktiver Benchmark</x:v>
      </x:c>
      <x:c r="Q95" s="53" t="n">
        <x:v>0.5</x:v>
      </x:c>
      <x:c r="R95" s="53" t="n">
        <x:v>0.75</x:v>
      </x:c>
      <x:c r="S95" s="53" t="n">
        <x:v>1.25</x:v>
      </x:c>
      <x:c r="T95" s="53" t="str">
        <x:v>threshold:0-class</x:v>
      </x:c>
      <x:c r="U95" s="14" t="str">
        <x:v>Legacy-Werte bleiben nur als historische Rechenhilfe erhalten und werden nicht für den FinalScore verwendet.</x:v>
      </x:c>
    </x:row>
    <x:row r="96" ht="42" customHeight="1">
      <x:c r="A96" s="14" t="str">
        <x:v>WOK-G-117</x:v>
      </x:c>
      <x:c r="B96" s="14" t="str">
        <x:v>G47</x:v>
      </x:c>
      <x:c r="C96" s="14" t="str">
        <x:v>Legacy / Migration auf NACE Rev. 2.1 offen</x:v>
      </x:c>
      <x:c r="D96" s="14" t="str">
        <x:v>EU</x:v>
      </x:c>
      <x:c r="E96" s="14"/>
      <x:c r="F96" s="14" t="str">
        <x:v>0–1</x:v>
      </x:c>
      <x:c r="G96" s="14" t="str">
        <x:v>higher_is_better</x:v>
      </x:c>
      <x:c r="H96" s="14" t="str">
        <x:v>R16</x:v>
      </x:c>
      <x:c r="I96" s="14" t="str">
        <x:v>Optional/Nein</x:v>
      </x:c>
      <x:c r="J96" s="51"/>
      <x:c r="K96" s="51"/>
      <x:c r="L96" s="51"/>
      <x:c r="M96" s="51"/>
      <x:c r="N96" s="51"/>
      <x:c r="O96" s="54"/>
      <x:c r="P96" s="51" t="str">
        <x:v>Optional – kein aktiver Benchmark</x:v>
      </x:c>
      <x:c r="Q96" s="53" t="n">
        <x:v>0.6699999999999999</x:v>
      </x:c>
      <x:c r="R96" s="53" t="n">
        <x:v>1</x:v>
      </x:c>
      <x:c r="S96" s="53" t="n">
        <x:v>1</x:v>
      </x:c>
      <x:c r="T96" s="53" t="str">
        <x:v>threshold:0-class</x:v>
      </x:c>
      <x:c r="U96" s="14" t="str">
        <x:v>Legacy-Werte bleiben nur als historische Rechenhilfe erhalten und werden nicht für den FinalScore verwendet.</x:v>
      </x:c>
    </x:row>
    <x:row r="97" ht="42" customHeight="1">
      <x:c r="A97" s="14" t="str">
        <x:v>WOK-G-118</x:v>
      </x:c>
      <x:c r="B97" s="14" t="str">
        <x:v>G47</x:v>
      </x:c>
      <x:c r="C97" s="14" t="str">
        <x:v>Legacy / Migration auf NACE Rev. 2.1 offen</x:v>
      </x:c>
      <x:c r="D97" s="14" t="str">
        <x:v>EU</x:v>
      </x:c>
      <x:c r="E97" s="14"/>
      <x:c r="F97" s="14" t="str">
        <x:v>0–1</x:v>
      </x:c>
      <x:c r="G97" s="14" t="str">
        <x:v>higher_is_better</x:v>
      </x:c>
      <x:c r="H97" s="14" t="str">
        <x:v>R08</x:v>
      </x:c>
      <x:c r="I97" s="14" t="str">
        <x:v>Optional/Nein</x:v>
      </x:c>
      <x:c r="J97" s="51"/>
      <x:c r="K97" s="51"/>
      <x:c r="L97" s="51"/>
      <x:c r="M97" s="51"/>
      <x:c r="N97" s="51"/>
      <x:c r="O97" s="54"/>
      <x:c r="P97" s="51" t="str">
        <x:v>Optional – kein aktiver Benchmark</x:v>
      </x:c>
      <x:c r="Q97" s="53" t="n">
        <x:v>0.5</x:v>
      </x:c>
      <x:c r="R97" s="53" t="n">
        <x:v>0.75</x:v>
      </x:c>
      <x:c r="S97" s="53" t="n">
        <x:v>0.9</x:v>
      </x:c>
      <x:c r="T97" s="53" t="str">
        <x:v>default:higher_is_better_abs</x:v>
      </x:c>
      <x:c r="U97" s="14" t="str">
        <x:v>Legacy-Werte bleiben nur als historische Rechenhilfe erhalten und werden nicht für den FinalScore verwendet.</x:v>
      </x:c>
    </x:row>
    <x:row r="98" ht="42" customHeight="1">
      <x:c r="A98" s="14" t="str">
        <x:v>WOK-RE-104</x:v>
      </x:c>
      <x:c r="B98" s="14" t="str">
        <x:v>L68</x:v>
      </x:c>
      <x:c r="C98" s="14" t="str">
        <x:v>Legacy / Migration auf NACE Rev. 2.1 offen</x:v>
      </x:c>
      <x:c r="D98" s="14" t="str">
        <x:v>EU</x:v>
      </x:c>
      <x:c r="E98" s="14"/>
      <x:c r="F98" s="14" t="str">
        <x:v>kWh/m²a</x:v>
      </x:c>
      <x:c r="G98" s="14" t="str">
        <x:v>lower_is_better</x:v>
      </x:c>
      <x:c r="H98" s="14" t="str">
        <x:v>R05</x:v>
      </x:c>
      <x:c r="I98" s="14" t="str">
        <x:v>Ja</x:v>
      </x:c>
      <x:c r="J98" s="51"/>
      <x:c r="K98" s="51"/>
      <x:c r="L98" s="51"/>
      <x:c r="M98" s="51"/>
      <x:c r="N98" s="51"/>
      <x:c r="O98" s="54"/>
      <x:c r="P98" s="51" t="str">
        <x:v>Offen – validierter Benchmark fehlt</x:v>
      </x:c>
      <x:c r="Q98" s="53" t="n">
        <x:v>1</x:v>
      </x:c>
      <x:c r="R98" s="53" t="n">
        <x:v>1.5</x:v>
      </x:c>
      <x:c r="S98" s="53" t="n">
        <x:v>2.5</x:v>
      </x:c>
      <x:c r="T98" s="53" t="str">
        <x:v>default:lower_is_better_abs</x:v>
      </x:c>
      <x:c r="U98" s="14" t="str">
        <x:v>Vor Aktivierung repräsentative Population, Region, Technologieklasse, Statistik, Quelle und Gültigkeitszeitraum dokumentieren.</x:v>
      </x:c>
    </x:row>
    <x:row r="99" ht="42" customHeight="1">
      <x:c r="A99" s="14" t="str">
        <x:v>WOK-RE-105</x:v>
      </x:c>
      <x:c r="B99" s="14" t="str">
        <x:v>L68</x:v>
      </x:c>
      <x:c r="C99" s="14" t="str">
        <x:v>Legacy / Migration auf NACE Rev. 2.1 offen</x:v>
      </x:c>
      <x:c r="D99" s="14" t="str">
        <x:v>EU</x:v>
      </x:c>
      <x:c r="E99" s="14"/>
      <x:c r="F99" s="14" t="str">
        <x:v>kg CO₂e/m²</x:v>
      </x:c>
      <x:c r="G99" s="14" t="str">
        <x:v>lower_is_better</x:v>
      </x:c>
      <x:c r="H99" s="14" t="str">
        <x:v>R06</x:v>
      </x:c>
      <x:c r="I99" s="14" t="str">
        <x:v>Ja</x:v>
      </x:c>
      <x:c r="J99" s="51"/>
      <x:c r="K99" s="51"/>
      <x:c r="L99" s="51"/>
      <x:c r="M99" s="51"/>
      <x:c r="N99" s="51"/>
      <x:c r="O99" s="54"/>
      <x:c r="P99" s="51" t="str">
        <x:v>Offen – validierter Benchmark fehlt</x:v>
      </x:c>
      <x:c r="Q99" s="53" t="n">
        <x:v>1</x:v>
      </x:c>
      <x:c r="R99" s="53" t="n">
        <x:v>1.5</x:v>
      </x:c>
      <x:c r="S99" s="53" t="n">
        <x:v>2.5</x:v>
      </x:c>
      <x:c r="T99" s="53" t="str">
        <x:v>default:lower_is_better_abs</x:v>
      </x:c>
      <x:c r="U99" s="14" t="str">
        <x:v>Vor Aktivierung repräsentative Population, Region, Technologieklasse, Statistik, Quelle und Gültigkeitszeitraum dokumentieren.</x:v>
      </x:c>
    </x:row>
    <x:row r="100" ht="42" customHeight="1">
      <x:c r="A100" s="14" t="str">
        <x:v>WOK-RE-106</x:v>
      </x:c>
      <x:c r="B100" s="14" t="str">
        <x:v>L68</x:v>
      </x:c>
      <x:c r="C100" s="14" t="str">
        <x:v>Legacy / Migration auf NACE Rev. 2.1 offen</x:v>
      </x:c>
      <x:c r="D100" s="14" t="str">
        <x:v>EU</x:v>
      </x:c>
      <x:c r="E100" s="14"/>
      <x:c r="F100" s="14" t="str">
        <x:v>0–1</x:v>
      </x:c>
      <x:c r="G100" s="14" t="str">
        <x:v>higher_is_better</x:v>
      </x:c>
      <x:c r="H100" s="14" t="str">
        <x:v>R14</x:v>
      </x:c>
      <x:c r="I100" s="14" t="str">
        <x:v>Optional/Nein</x:v>
      </x:c>
      <x:c r="J100" s="51"/>
      <x:c r="K100" s="51"/>
      <x:c r="L100" s="51"/>
      <x:c r="M100" s="51"/>
      <x:c r="N100" s="51"/>
      <x:c r="O100" s="54"/>
      <x:c r="P100" s="51" t="str">
        <x:v>Optional – kein aktiver Benchmark</x:v>
      </x:c>
      <x:c r="Q100" s="53" t="n">
        <x:v>0.495</x:v>
      </x:c>
      <x:c r="R100" s="53" t="n">
        <x:v>0.7424999999999999</x:v>
      </x:c>
      <x:c r="S100" s="53" t="n">
        <x:v>1</x:v>
      </x:c>
      <x:c r="T100" s="53" t="str">
        <x:v>threshold:0-class</x:v>
      </x:c>
      <x:c r="U100" s="14" t="str">
        <x:v>Legacy-Werte bleiben nur als historische Rechenhilfe erhalten und werden nicht für den FinalScore verwendet.</x:v>
      </x:c>
    </x:row>
    <x:row r="101" ht="42" customHeight="1">
      <x:c r="A101" s="14" t="str">
        <x:v>WOK-P-107</x:v>
      </x:c>
      <x:c r="B101" s="14" t="str">
        <x:v>G47</x:v>
      </x:c>
      <x:c r="C101" s="14" t="str">
        <x:v>Legacy / Migration auf NACE Rev. 2.1 offen</x:v>
      </x:c>
      <x:c r="D101" s="14" t="str">
        <x:v>EU</x:v>
      </x:c>
      <x:c r="E101" s="14"/>
      <x:c r="F101" s="14" t="str">
        <x:v>kg CO₂e/Einheit</x:v>
      </x:c>
      <x:c r="G101" s="14" t="str">
        <x:v>lower_is_better</x:v>
      </x:c>
      <x:c r="H101" s="14" t="str">
        <x:v>R07</x:v>
      </x:c>
      <x:c r="I101" s="14" t="str">
        <x:v>Ja</x:v>
      </x:c>
      <x:c r="J101" s="51"/>
      <x:c r="K101" s="51"/>
      <x:c r="L101" s="51"/>
      <x:c r="M101" s="51"/>
      <x:c r="N101" s="51"/>
      <x:c r="O101" s="54"/>
      <x:c r="P101" s="51" t="str">
        <x:v>Offen – validierter Benchmark fehlt</x:v>
      </x:c>
      <x:c r="Q101" s="53" t="n">
        <x:v>1</x:v>
      </x:c>
      <x:c r="R101" s="53" t="n">
        <x:v>1.5</x:v>
      </x:c>
      <x:c r="S101" s="53" t="n">
        <x:v>2.5</x:v>
      </x:c>
      <x:c r="T101" s="53" t="str">
        <x:v>default:lower_is_better_abs</x:v>
      </x:c>
      <x:c r="U101" s="14" t="str">
        <x:v>Vor Aktivierung repräsentative Population, Region, Technologieklasse, Statistik, Quelle und Gültigkeitszeitraum dokumentieren.</x:v>
      </x:c>
    </x:row>
    <x:row r="102" ht="42" customHeight="1">
      <x:c r="A102" s="14" t="str">
        <x:v>WOK-P-108</x:v>
      </x:c>
      <x:c r="B102" s="14" t="str">
        <x:v>G47</x:v>
      </x:c>
      <x:c r="C102" s="14" t="str">
        <x:v>Legacy / Migration auf NACE Rev. 2.1 offen</x:v>
      </x:c>
      <x:c r="D102" s="14" t="str">
        <x:v>EU</x:v>
      </x:c>
      <x:c r="E102" s="14"/>
      <x:c r="F102" s="14" t="str">
        <x:v>Score 0–10</x:v>
      </x:c>
      <x:c r="G102" s="14" t="str">
        <x:v>higher_is_better</x:v>
      </x:c>
      <x:c r="H102" s="14" t="str">
        <x:v>R24</x:v>
      </x:c>
      <x:c r="I102" s="14" t="str">
        <x:v>Optional/Nein</x:v>
      </x:c>
      <x:c r="J102" s="51"/>
      <x:c r="K102" s="51"/>
      <x:c r="L102" s="51"/>
      <x:c r="M102" s="51"/>
      <x:c r="N102" s="51"/>
      <x:c r="O102" s="54"/>
      <x:c r="P102" s="51" t="str">
        <x:v>Optional – kein aktiver Benchmark</x:v>
      </x:c>
      <x:c r="Q102" s="53" t="n">
        <x:v>4.95</x:v>
      </x:c>
      <x:c r="R102" s="53" t="n">
        <x:v>1</x:v>
      </x:c>
      <x:c r="S102" s="53" t="n">
        <x:v>1</x:v>
      </x:c>
      <x:c r="T102" s="53" t="str">
        <x:v>threshold:0-class</x:v>
      </x:c>
      <x:c r="U102" s="14" t="str">
        <x:v>Legacy-Werte bleiben nur als historische Rechenhilfe erhalten und werden nicht für den FinalScore verwendet.</x:v>
      </x:c>
    </x:row>
    <x:row r="103" ht="42" customHeight="1">
      <x:c r="A103" s="14" t="str">
        <x:v>WOK-P-109</x:v>
      </x:c>
      <x:c r="B103" s="14" t="str">
        <x:v>G47</x:v>
      </x:c>
      <x:c r="C103" s="14" t="str">
        <x:v>Legacy / Migration auf NACE Rev. 2.1 offen</x:v>
      </x:c>
      <x:c r="D103" s="14" t="str">
        <x:v>EU</x:v>
      </x:c>
      <x:c r="E103" s="14"/>
      <x:c r="F103" s="14" t="str">
        <x:v>%</x:v>
      </x:c>
      <x:c r="G103" s="14" t="str">
        <x:v>higher_is_better</x:v>
      </x:c>
      <x:c r="H103" s="14" t="str">
        <x:v>R22</x:v>
      </x:c>
      <x:c r="I103" s="14" t="str">
        <x:v>Optional/Nein</x:v>
      </x:c>
      <x:c r="J103" s="51"/>
      <x:c r="K103" s="51"/>
      <x:c r="L103" s="51"/>
      <x:c r="M103" s="51"/>
      <x:c r="N103" s="51"/>
      <x:c r="O103" s="54"/>
      <x:c r="P103" s="51" t="str">
        <x:v>Optional – kein aktiver Benchmark</x:v>
      </x:c>
      <x:c r="Q103" s="53" t="n">
        <x:v>39.5</x:v>
      </x:c>
      <x:c r="R103" s="53" t="n">
        <x:v>59.25</x:v>
      </x:c>
      <x:c r="S103" s="53" t="n">
        <x:v>98.75</x:v>
      </x:c>
      <x:c r="T103" s="53" t="str">
        <x:v>threshold:0-class</x:v>
      </x:c>
      <x:c r="U103" s="14" t="str">
        <x:v>Legacy-Werte bleiben nur als historische Rechenhilfe erhalten und werden nicht für den FinalScore verwendet.</x:v>
      </x:c>
    </x:row>
    <x:row r="104" ht="42" customHeight="1">
      <x:c r="A104" s="14" t="str">
        <x:v>WOK-SYS-110</x:v>
      </x:c>
      <x:c r="B104" s="14" t="str">
        <x:v>G47</x:v>
      </x:c>
      <x:c r="C104" s="14" t="str">
        <x:v>Legacy / Migration auf NACE Rev. 2.1 offen</x:v>
      </x:c>
      <x:c r="D104" s="14" t="str">
        <x:v>EU</x:v>
      </x:c>
      <x:c r="E104" s="14"/>
      <x:c r="F104" s="14" t="str">
        <x:v>0–1</x:v>
      </x:c>
      <x:c r="G104" s="14" t="str">
        <x:v>higher_is_better</x:v>
      </x:c>
      <x:c r="H104" s="14" t="str">
        <x:v>R15</x:v>
      </x:c>
      <x:c r="I104" s="14" t="str">
        <x:v>Optional/Nein</x:v>
      </x:c>
      <x:c r="J104" s="51"/>
      <x:c r="K104" s="51"/>
      <x:c r="L104" s="51"/>
      <x:c r="M104" s="51"/>
      <x:c r="N104" s="51"/>
      <x:c r="O104" s="54"/>
      <x:c r="P104" s="51" t="str">
        <x:v>Optional – kein aktiver Benchmark</x:v>
      </x:c>
      <x:c r="Q104" s="53" t="n">
        <x:v>0.645</x:v>
      </x:c>
      <x:c r="R104" s="53" t="n">
        <x:v>0.9675</x:v>
      </x:c>
      <x:c r="S104" s="53" t="n">
        <x:v>1</x:v>
      </x:c>
      <x:c r="T104" s="53" t="str">
        <x:v>threshold:0-class</x:v>
      </x:c>
      <x:c r="U104" s="14" t="str">
        <x:v>Legacy-Werte bleiben nur als historische Rechenhilfe erhalten und werden nicht für den FinalScore verwendet.</x:v>
      </x:c>
    </x:row>
    <x:row r="105" ht="42" customHeight="1">
      <x:c r="A105" s="14" t="str">
        <x:v>WOK-SYS-111</x:v>
      </x:c>
      <x:c r="B105" s="14" t="str">
        <x:v>G47</x:v>
      </x:c>
      <x:c r="C105" s="14" t="str">
        <x:v>Legacy / Migration auf NACE Rev. 2.1 offen</x:v>
      </x:c>
      <x:c r="D105" s="14" t="str">
        <x:v>EU</x:v>
      </x:c>
      <x:c r="E105" s="14"/>
      <x:c r="F105" s="14" t="str">
        <x:v>%</x:v>
      </x:c>
      <x:c r="G105" s="14" t="str">
        <x:v>lower_is_better</x:v>
      </x:c>
      <x:c r="H105" s="14" t="str">
        <x:v>R13</x:v>
      </x:c>
      <x:c r="I105" s="14" t="str">
        <x:v>Optional/Nein</x:v>
      </x:c>
      <x:c r="J105" s="51"/>
      <x:c r="K105" s="51"/>
      <x:c r="L105" s="51"/>
      <x:c r="M105" s="51"/>
      <x:c r="N105" s="51"/>
      <x:c r="O105" s="54"/>
      <x:c r="P105" s="51" t="str">
        <x:v>Optional – kein aktiver Benchmark</x:v>
      </x:c>
      <x:c r="Q105" s="53" t="n">
        <x:v>15.5</x:v>
      </x:c>
      <x:c r="R105" s="53" t="n">
        <x:v>23.25</x:v>
      </x:c>
      <x:c r="S105" s="53" t="n">
        <x:v>38.75</x:v>
      </x:c>
      <x:c r="T105" s="53" t="str">
        <x:v>threshold:0-class</x:v>
      </x:c>
      <x:c r="U105" s="14" t="str">
        <x:v>Legacy-Werte bleiben nur als historische Rechenhilfe erhalten und werden nicht für den FinalScore verwendet.</x:v>
      </x:c>
    </x:row>
    <x:row r="106" ht="42" customHeight="1">
      <x:c r="A106" s="14" t="str">
        <x:v>WOK-SYS-112</x:v>
      </x:c>
      <x:c r="B106" s="14" t="str">
        <x:v>G47</x:v>
      </x:c>
      <x:c r="C106" s="14" t="str">
        <x:v>Legacy / Migration auf NACE Rev. 2.1 offen</x:v>
      </x:c>
      <x:c r="D106" s="14" t="str">
        <x:v>EU</x:v>
      </x:c>
      <x:c r="E106" s="14"/>
      <x:c r="F106" s="14" t="str">
        <x:v>#/Jahr</x:v>
      </x:c>
      <x:c r="G106" s="14" t="str">
        <x:v>higher_is_better</x:v>
      </x:c>
      <x:c r="H106" s="14" t="str">
        <x:v>R20</x:v>
      </x:c>
      <x:c r="I106" s="14" t="str">
        <x:v>Optional/Nein</x:v>
      </x:c>
      <x:c r="J106" s="51"/>
      <x:c r="K106" s="51"/>
      <x:c r="L106" s="51"/>
      <x:c r="M106" s="51"/>
      <x:c r="N106" s="51"/>
      <x:c r="O106" s="54"/>
      <x:c r="P106" s="51" t="str">
        <x:v>Optional – kein aktiver Benchmark</x:v>
      </x:c>
      <x:c r="Q106" s="53" t="n">
        <x:v>1.5</x:v>
      </x:c>
      <x:c r="R106" s="53" t="n">
        <x:v>2.25</x:v>
      </x:c>
      <x:c r="S106" s="53" t="n">
        <x:v>3.75</x:v>
      </x:c>
      <x:c r="T106" s="53" t="str">
        <x:v>threshold:0-class</x:v>
      </x:c>
      <x:c r="U106" s="14" t="str">
        <x:v>Legacy-Werte bleiben nur als historische Rechenhilfe erhalten und werden nicht für den FinalScore verwendet.</x:v>
      </x:c>
    </x:row>
    <x:row r="107" ht="42" customHeight="1">
      <x:c r="A107" s="14" t="str">
        <x:v>WOK-S-131</x:v>
      </x:c>
      <x:c r="B107" s="14" t="str">
        <x:v>G47</x:v>
      </x:c>
      <x:c r="C107" s="14" t="str">
        <x:v>Legacy / Migration auf NACE Rev. 2.1 offen</x:v>
      </x:c>
      <x:c r="D107" s="14" t="str">
        <x:v>EU</x:v>
      </x:c>
      <x:c r="E107" s="14"/>
      <x:c r="F107" s="14" t="str">
        <x:v>% Beschäftigte</x:v>
      </x:c>
      <x:c r="G107" s="14" t="str">
        <x:v>higher_is_better</x:v>
      </x:c>
      <x:c r="H107" s="14" t="str">
        <x:v>R27</x:v>
      </x:c>
      <x:c r="I107" s="14" t="str">
        <x:v>Optional/Nein</x:v>
      </x:c>
      <x:c r="J107" s="51"/>
      <x:c r="K107" s="51"/>
      <x:c r="L107" s="51"/>
      <x:c r="M107" s="51"/>
      <x:c r="N107" s="51"/>
      <x:c r="O107" s="54"/>
      <x:c r="P107" s="51" t="str">
        <x:v>Optional – kein aktiver Benchmark</x:v>
      </x:c>
      <x:c r="Q107" s="53" t="n">
        <x:v>69.5</x:v>
      </x:c>
      <x:c r="R107" s="53" t="n">
        <x:v>100</x:v>
      </x:c>
      <x:c r="S107" s="53" t="n">
        <x:v>100</x:v>
      </x:c>
      <x:c r="T107" s="53" t="str">
        <x:v>threshold:0-class</x:v>
      </x:c>
      <x:c r="U107" s="14" t="str">
        <x:v>Legacy-Werte bleiben nur als historische Rechenhilfe erhalten und werden nicht für den FinalScore verwendet.</x:v>
      </x:c>
    </x:row>
    <x:row r="108" ht="42" customHeight="1">
      <x:c r="A108" s="14" t="str">
        <x:v>WOK-S-132</x:v>
      </x:c>
      <x:c r="B108" s="14" t="str">
        <x:v>G47</x:v>
      </x:c>
      <x:c r="C108" s="14" t="str">
        <x:v>Legacy / Migration auf NACE Rev. 2.1 offen</x:v>
      </x:c>
      <x:c r="D108" s="14" t="str">
        <x:v>EU</x:v>
      </x:c>
      <x:c r="E108" s="14"/>
      <x:c r="F108" s="14" t="str">
        <x:v>%</x:v>
      </x:c>
      <x:c r="G108" s="14" t="str">
        <x:v>higher_is_better</x:v>
      </x:c>
      <x:c r="H108" s="14" t="str">
        <x:v>R26</x:v>
      </x:c>
      <x:c r="I108" s="14" t="str">
        <x:v>Optional/Nein</x:v>
      </x:c>
      <x:c r="J108" s="51"/>
      <x:c r="K108" s="51"/>
      <x:c r="L108" s="51"/>
      <x:c r="M108" s="51"/>
      <x:c r="N108" s="51"/>
      <x:c r="O108" s="54"/>
      <x:c r="P108" s="51" t="str">
        <x:v>Optional – kein aktiver Benchmark</x:v>
      </x:c>
      <x:c r="Q108" s="53" t="n">
        <x:v>59.5</x:v>
      </x:c>
      <x:c r="R108" s="53" t="n">
        <x:v>89.25</x:v>
      </x:c>
      <x:c r="S108" s="53" t="n">
        <x:v>100</x:v>
      </x:c>
      <x:c r="T108" s="53" t="str">
        <x:v>threshold:0-class</x:v>
      </x:c>
      <x:c r="U108" s="14" t="str">
        <x:v>Legacy-Werte bleiben nur als historische Rechenhilfe erhalten und werden nicht für den FinalScore verwendet.</x:v>
      </x:c>
    </x:row>
    <x:row r="109" ht="42" customHeight="1">
      <x:c r="A109" s="14" t="str">
        <x:v>WOK-S-133</x:v>
      </x:c>
      <x:c r="B109" s="14" t="str">
        <x:v>G47</x:v>
      </x:c>
      <x:c r="C109" s="14" t="str">
        <x:v>Legacy / Migration auf NACE Rev. 2.1 offen</x:v>
      </x:c>
      <x:c r="D109" s="14" t="str">
        <x:v>EU</x:v>
      </x:c>
      <x:c r="E109" s="14"/>
      <x:c r="F109" s="14" t="str">
        <x:v>Unfälle/Mio Std.</x:v>
      </x:c>
      <x:c r="G109" s="14" t="str">
        <x:v>lower_is_better</x:v>
      </x:c>
      <x:c r="H109" s="14" t="str">
        <x:v>R02</x:v>
      </x:c>
      <x:c r="I109" s="14" t="str">
        <x:v>Optional/Nein</x:v>
      </x:c>
      <x:c r="J109" s="51"/>
      <x:c r="K109" s="51"/>
      <x:c r="L109" s="51"/>
      <x:c r="M109" s="51"/>
      <x:c r="N109" s="51"/>
      <x:c r="O109" s="54"/>
      <x:c r="P109" s="51" t="str">
        <x:v>Optional – kein aktiver Benchmark</x:v>
      </x:c>
      <x:c r="Q109" s="53" t="n">
        <x:v>3</x:v>
      </x:c>
      <x:c r="R109" s="53" t="n">
        <x:v>4.5</x:v>
      </x:c>
      <x:c r="S109" s="53" t="n">
        <x:v>7.5</x:v>
      </x:c>
      <x:c r="T109" s="53" t="str">
        <x:v>threshold:0-class</x:v>
      </x:c>
      <x:c r="U109" s="14" t="str">
        <x:v>Legacy-Werte bleiben nur als historische Rechenhilfe erhalten und werden nicht für den FinalScore verwendet.</x:v>
      </x:c>
    </x:row>
    <x:row r="110" ht="42" customHeight="1">
      <x:c r="A110" s="14" t="str">
        <x:v>WOK-G-119</x:v>
      </x:c>
      <x:c r="B110" s="14" t="str">
        <x:v>G47</x:v>
      </x:c>
      <x:c r="C110" s="14" t="str">
        <x:v>Legacy / Migration auf NACE Rev. 2.1 offen</x:v>
      </x:c>
      <x:c r="D110" s="14" t="str">
        <x:v>EU</x:v>
      </x:c>
      <x:c r="E110" s="14"/>
      <x:c r="F110" s="14" t="str">
        <x:v>Fälle/1.000 FTE</x:v>
      </x:c>
      <x:c r="G110" s="14" t="str">
        <x:v>lower_is_better</x:v>
      </x:c>
      <x:c r="H110" s="14" t="str">
        <x:v>R01</x:v>
      </x:c>
      <x:c r="I110" s="14" t="str">
        <x:v>Optional/Nein</x:v>
      </x:c>
      <x:c r="J110" s="51"/>
      <x:c r="K110" s="51"/>
      <x:c r="L110" s="51"/>
      <x:c r="M110" s="51"/>
      <x:c r="N110" s="51"/>
      <x:c r="O110" s="54"/>
      <x:c r="P110" s="51" t="str">
        <x:v>Optional – kein aktiver Benchmark</x:v>
      </x:c>
      <x:c r="Q110" s="53" t="n">
        <x:v>0.5</x:v>
      </x:c>
      <x:c r="R110" s="53" t="n">
        <x:v>0.75</x:v>
      </x:c>
      <x:c r="S110" s="53" t="n">
        <x:v>1.25</x:v>
      </x:c>
      <x:c r="T110" s="53" t="str">
        <x:v>threshold:0-class</x:v>
      </x:c>
      <x:c r="U110" s="14" t="str">
        <x:v>Legacy-Werte bleiben nur als historische Rechenhilfe erhalten und werden nicht für den FinalScore verwendet.</x:v>
      </x:c>
    </x:row>
    <x:row r="111" ht="42" customHeight="1">
      <x:c r="A111" s="14" t="str">
        <x:v>WOK-G-120</x:v>
      </x:c>
      <x:c r="B111" s="14" t="str">
        <x:v>G47</x:v>
      </x:c>
      <x:c r="C111" s="14" t="str">
        <x:v>Legacy / Migration auf NACE Rev. 2.1 offen</x:v>
      </x:c>
      <x:c r="D111" s="14" t="str">
        <x:v>EU</x:v>
      </x:c>
      <x:c r="E111" s="14"/>
      <x:c r="F111" s="14" t="str">
        <x:v>0–1</x:v>
      </x:c>
      <x:c r="G111" s="14" t="str">
        <x:v>higher_is_better</x:v>
      </x:c>
      <x:c r="H111" s="14" t="str">
        <x:v>R16</x:v>
      </x:c>
      <x:c r="I111" s="14" t="str">
        <x:v>Optional/Nein</x:v>
      </x:c>
      <x:c r="J111" s="51"/>
      <x:c r="K111" s="51"/>
      <x:c r="L111" s="51"/>
      <x:c r="M111" s="51"/>
      <x:c r="N111" s="51"/>
      <x:c r="O111" s="54"/>
      <x:c r="P111" s="51" t="str">
        <x:v>Optional – kein aktiver Benchmark</x:v>
      </x:c>
      <x:c r="Q111" s="53" t="n">
        <x:v>0.6699999999999999</x:v>
      </x:c>
      <x:c r="R111" s="53" t="n">
        <x:v>1</x:v>
      </x:c>
      <x:c r="S111" s="53" t="n">
        <x:v>1</x:v>
      </x:c>
      <x:c r="T111" s="53" t="str">
        <x:v>threshold:0-class</x:v>
      </x:c>
      <x:c r="U111" s="14" t="str">
        <x:v>Legacy-Werte bleiben nur als historische Rechenhilfe erhalten und werden nicht für den FinalScore verwendet.</x:v>
      </x:c>
    </x:row>
    <x:row r="112" ht="42" customHeight="1">
      <x:c r="A112" s="14" t="str">
        <x:v>WOK-G-121</x:v>
      </x:c>
      <x:c r="B112" s="14" t="str">
        <x:v>G47</x:v>
      </x:c>
      <x:c r="C112" s="14" t="str">
        <x:v>Legacy / Migration auf NACE Rev. 2.1 offen</x:v>
      </x:c>
      <x:c r="D112" s="14" t="str">
        <x:v>EU</x:v>
      </x:c>
      <x:c r="E112" s="14"/>
      <x:c r="F112" s="14" t="str">
        <x:v>0–1</x:v>
      </x:c>
      <x:c r="G112" s="14" t="str">
        <x:v>higher_is_better</x:v>
      </x:c>
      <x:c r="H112" s="14" t="str">
        <x:v>R08</x:v>
      </x:c>
      <x:c r="I112" s="14" t="str">
        <x:v>Optional/Nein</x:v>
      </x:c>
      <x:c r="J112" s="51"/>
      <x:c r="K112" s="51"/>
      <x:c r="L112" s="51"/>
      <x:c r="M112" s="51"/>
      <x:c r="N112" s="51"/>
      <x:c r="O112" s="54"/>
      <x:c r="P112" s="51" t="str">
        <x:v>Optional – kein aktiver Benchmark</x:v>
      </x:c>
      <x:c r="Q112" s="53" t="n">
        <x:v>0.5</x:v>
      </x:c>
      <x:c r="R112" s="53" t="n">
        <x:v>0.75</x:v>
      </x:c>
      <x:c r="S112" s="53" t="n">
        <x:v>0.9</x:v>
      </x:c>
      <x:c r="T112" s="53" t="str">
        <x:v>default:higher_is_better_abs</x:v>
      </x:c>
      <x:c r="U112" s="14" t="str">
        <x:v>Legacy-Werte bleiben nur als historische Rechenhilfe erhalten und werden nicht für den FinalScore verwendet.</x:v>
      </x:c>
    </x:row>
    <x:row r="113" ht="42" customHeight="1">
      <x:c r="A113" s="14" t="str">
        <x:v>WOK-S-134</x:v>
      </x:c>
      <x:c r="B113" s="14" t="str">
        <x:v>G47</x:v>
      </x:c>
      <x:c r="C113" s="14" t="str">
        <x:v>Legacy / Migration auf NACE Rev. 2.1 offen</x:v>
      </x:c>
      <x:c r="D113" s="14" t="str">
        <x:v>EU</x:v>
      </x:c>
      <x:c r="E113" s="14"/>
      <x:c r="F113" s="14" t="str">
        <x:v>%</x:v>
      </x:c>
      <x:c r="G113" s="14" t="str">
        <x:v>lower_is_better</x:v>
      </x:c>
      <x:c r="H113" s="14" t="str">
        <x:v>R11</x:v>
      </x:c>
      <x:c r="I113" s="14" t="str">
        <x:v>Optional/Nein</x:v>
      </x:c>
      <x:c r="J113" s="51"/>
      <x:c r="K113" s="51"/>
      <x:c r="L113" s="51"/>
      <x:c r="M113" s="51"/>
      <x:c r="N113" s="51"/>
      <x:c r="O113" s="54"/>
      <x:c r="P113" s="51" t="str">
        <x:v>Optional – kein aktiver Benchmark</x:v>
      </x:c>
      <x:c r="Q113" s="53" t="n">
        <x:v>8</x:v>
      </x:c>
      <x:c r="R113" s="53" t="n">
        <x:v>12</x:v>
      </x:c>
      <x:c r="S113" s="53" t="n">
        <x:v>20</x:v>
      </x:c>
      <x:c r="T113" s="53" t="str">
        <x:v>threshold:0-class</x:v>
      </x:c>
      <x:c r="U113" s="14" t="str">
        <x:v>Legacy-Werte bleiben nur als historische Rechenhilfe erhalten und werden nicht für den FinalScore verwendet.</x:v>
      </x:c>
    </x:row>
    <x:row r="114" ht="42" customHeight="1">
      <x:c r="A114" s="14" t="str">
        <x:v>WOK-S-135</x:v>
      </x:c>
      <x:c r="B114" s="14" t="str">
        <x:v>G47</x:v>
      </x:c>
      <x:c r="C114" s="14" t="str">
        <x:v>Legacy / Migration auf NACE Rev. 2.1 offen</x:v>
      </x:c>
      <x:c r="D114" s="14" t="str">
        <x:v>EU</x:v>
      </x:c>
      <x:c r="E114" s="14"/>
      <x:c r="F114" s="14" t="str">
        <x:v>%</x:v>
      </x:c>
      <x:c r="G114" s="14" t="str">
        <x:v>higher_is_better</x:v>
      </x:c>
      <x:c r="H114" s="14" t="str">
        <x:v>R18</x:v>
      </x:c>
      <x:c r="I114" s="14" t="str">
        <x:v>Optional/Nein</x:v>
      </x:c>
      <x:c r="J114" s="51"/>
      <x:c r="K114" s="51"/>
      <x:c r="L114" s="51"/>
      <x:c r="M114" s="51"/>
      <x:c r="N114" s="51"/>
      <x:c r="O114" s="54"/>
      <x:c r="P114" s="51" t="str">
        <x:v>Optional – kein aktiver Benchmark</x:v>
      </x:c>
      <x:c r="Q114" s="53" t="n">
        <x:v>30</x:v>
      </x:c>
      <x:c r="R114" s="53" t="n">
        <x:v>45</x:v>
      </x:c>
      <x:c r="S114" s="53" t="n">
        <x:v>75</x:v>
      </x:c>
      <x:c r="T114" s="53" t="str">
        <x:v>threshold:0-class</x:v>
      </x:c>
      <x:c r="U114" s="14" t="str">
        <x:v>Legacy-Werte bleiben nur als historische Rechenhilfe erhalten und werden nicht für den FinalScore verwendet.</x:v>
      </x:c>
    </x:row>
    <x:row r="115" ht="42" customHeight="1">
      <x:c r="A115" s="14" t="str">
        <x:v>WOK-S-136</x:v>
      </x:c>
      <x:c r="B115" s="14" t="str">
        <x:v>G47</x:v>
      </x:c>
      <x:c r="C115" s="14" t="str">
        <x:v>Legacy / Migration auf NACE Rev. 2.1 offen</x:v>
      </x:c>
      <x:c r="D115" s="14" t="str">
        <x:v>EU</x:v>
      </x:c>
      <x:c r="E115" s="14"/>
      <x:c r="F115" s="14" t="str">
        <x:v>%</x:v>
      </x:c>
      <x:c r="G115" s="14" t="str">
        <x:v>higher_is_better</x:v>
      </x:c>
      <x:c r="H115" s="14" t="str">
        <x:v>R21</x:v>
      </x:c>
      <x:c r="I115" s="14" t="str">
        <x:v>Optional/Nein</x:v>
      </x:c>
      <x:c r="J115" s="51"/>
      <x:c r="K115" s="51"/>
      <x:c r="L115" s="51"/>
      <x:c r="M115" s="51"/>
      <x:c r="N115" s="51"/>
      <x:c r="O115" s="54"/>
      <x:c r="P115" s="51" t="str">
        <x:v>Optional – kein aktiver Benchmark</x:v>
      </x:c>
      <x:c r="Q115" s="53" t="n">
        <x:v>2.95</x:v>
      </x:c>
      <x:c r="R115" s="53" t="n">
        <x:v>4.425000000000001</x:v>
      </x:c>
      <x:c r="S115" s="53" t="n">
        <x:v>7.375</x:v>
      </x:c>
      <x:c r="T115" s="53" t="str">
        <x:v>threshold:0-class</x:v>
      </x:c>
      <x:c r="U115" s="14" t="str">
        <x:v>Legacy-Werte bleiben nur als historische Rechenhilfe erhalten und werden nicht für den FinalScore verwendet.</x:v>
      </x:c>
    </x:row>
    <x:row r="116" ht="42" customHeight="1">
      <x:c r="A116" s="14" t="str">
        <x:v>WOK-G-122</x:v>
      </x:c>
      <x:c r="B116" s="14" t="str">
        <x:v>G47</x:v>
      </x:c>
      <x:c r="C116" s="14" t="str">
        <x:v>Legacy / Migration auf NACE Rev. 2.1 offen</x:v>
      </x:c>
      <x:c r="D116" s="14" t="str">
        <x:v>EU</x:v>
      </x:c>
      <x:c r="E116" s="14"/>
      <x:c r="F116" s="14" t="str">
        <x:v>%</x:v>
      </x:c>
      <x:c r="G116" s="14" t="str">
        <x:v>lower_is_better</x:v>
      </x:c>
      <x:c r="H116" s="14" t="str">
        <x:v>R11</x:v>
      </x:c>
      <x:c r="I116" s="14" t="str">
        <x:v>Optional/Nein</x:v>
      </x:c>
      <x:c r="J116" s="51"/>
      <x:c r="K116" s="51"/>
      <x:c r="L116" s="51"/>
      <x:c r="M116" s="51"/>
      <x:c r="N116" s="51"/>
      <x:c r="O116" s="54"/>
      <x:c r="P116" s="51" t="str">
        <x:v>Optional – kein aktiver Benchmark</x:v>
      </x:c>
      <x:c r="Q116" s="53" t="n">
        <x:v>8</x:v>
      </x:c>
      <x:c r="R116" s="53" t="n">
        <x:v>12</x:v>
      </x:c>
      <x:c r="S116" s="53" t="n">
        <x:v>20</x:v>
      </x:c>
      <x:c r="T116" s="53" t="str">
        <x:v>threshold:0-class</x:v>
      </x:c>
      <x:c r="U116" s="14" t="str">
        <x:v>Legacy-Werte bleiben nur als historische Rechenhilfe erhalten und werden nicht für den FinalScore verwendet.</x:v>
      </x:c>
    </x:row>
    <x:row r="117" ht="42" customHeight="1">
      <x:c r="A117" s="14" t="str">
        <x:v>WOK-G-123</x:v>
      </x:c>
      <x:c r="B117" s="14" t="str">
        <x:v>G47</x:v>
      </x:c>
      <x:c r="C117" s="14" t="str">
        <x:v>Legacy / Migration auf NACE Rev. 2.1 offen</x:v>
      </x:c>
      <x:c r="D117" s="14" t="str">
        <x:v>EU</x:v>
      </x:c>
      <x:c r="E117" s="14"/>
      <x:c r="F117" s="14" t="str">
        <x:v>%</x:v>
      </x:c>
      <x:c r="G117" s="14" t="str">
        <x:v>higher_is_better</x:v>
      </x:c>
      <x:c r="H117" s="14" t="str">
        <x:v>R18</x:v>
      </x:c>
      <x:c r="I117" s="14" t="str">
        <x:v>Optional/Nein</x:v>
      </x:c>
      <x:c r="J117" s="51"/>
      <x:c r="K117" s="51"/>
      <x:c r="L117" s="51"/>
      <x:c r="M117" s="51"/>
      <x:c r="N117" s="51"/>
      <x:c r="O117" s="54"/>
      <x:c r="P117" s="51" t="str">
        <x:v>Optional – kein aktiver Benchmark</x:v>
      </x:c>
      <x:c r="Q117" s="53" t="n">
        <x:v>30</x:v>
      </x:c>
      <x:c r="R117" s="53" t="n">
        <x:v>45</x:v>
      </x:c>
      <x:c r="S117" s="53" t="n">
        <x:v>75</x:v>
      </x:c>
      <x:c r="T117" s="53" t="str">
        <x:v>threshold:0-class</x:v>
      </x:c>
      <x:c r="U117" s="14" t="str">
        <x:v>Legacy-Werte bleiben nur als historische Rechenhilfe erhalten und werden nicht für den FinalScore verwendet.</x:v>
      </x:c>
    </x:row>
    <x:row r="118" ht="42" customHeight="1">
      <x:c r="A118" s="14" t="str">
        <x:v>WOK-G-124</x:v>
      </x:c>
      <x:c r="B118" s="14" t="str">
        <x:v>G47</x:v>
      </x:c>
      <x:c r="C118" s="14" t="str">
        <x:v>Legacy / Migration auf NACE Rev. 2.1 offen</x:v>
      </x:c>
      <x:c r="D118" s="14" t="str">
        <x:v>EU</x:v>
      </x:c>
      <x:c r="E118" s="14"/>
      <x:c r="F118" s="14" t="str">
        <x:v>%</x:v>
      </x:c>
      <x:c r="G118" s="14" t="str">
        <x:v>higher_is_better</x:v>
      </x:c>
      <x:c r="H118" s="14" t="str">
        <x:v>R21</x:v>
      </x:c>
      <x:c r="I118" s="14" t="str">
        <x:v>Optional/Nein</x:v>
      </x:c>
      <x:c r="J118" s="51"/>
      <x:c r="K118" s="51"/>
      <x:c r="L118" s="51"/>
      <x:c r="M118" s="51"/>
      <x:c r="N118" s="51"/>
      <x:c r="O118" s="54"/>
      <x:c r="P118" s="51" t="str">
        <x:v>Optional – kein aktiver Benchmark</x:v>
      </x:c>
      <x:c r="Q118" s="53" t="n">
        <x:v>2.95</x:v>
      </x:c>
      <x:c r="R118" s="53" t="n">
        <x:v>4.425000000000001</x:v>
      </x:c>
      <x:c r="S118" s="53" t="n">
        <x:v>7.375</x:v>
      </x:c>
      <x:c r="T118" s="53" t="str">
        <x:v>threshold:0-class</x:v>
      </x:c>
      <x:c r="U118" s="14" t="str">
        <x:v>Legacy-Werte bleiben nur als historische Rechenhilfe erhalten und werden nicht für den FinalScore verwendet.</x:v>
      </x:c>
    </x:row>
    <x:row r="119" ht="42" customHeight="1">
      <x:c r="A119" s="14" t="str">
        <x:v>WOK-S-137</x:v>
      </x:c>
      <x:c r="B119" s="14" t="str">
        <x:v>G47</x:v>
      </x:c>
      <x:c r="C119" s="14" t="str">
        <x:v>Legacy / Migration auf NACE Rev. 2.1 offen</x:v>
      </x:c>
      <x:c r="D119" s="14" t="str">
        <x:v>EU</x:v>
      </x:c>
      <x:c r="E119" s="14"/>
      <x:c r="F119" s="14" t="str">
        <x:v>%</x:v>
      </x:c>
      <x:c r="G119" s="14" t="str">
        <x:v>lower_is_better</x:v>
      </x:c>
      <x:c r="H119" s="14" t="str">
        <x:v>R11</x:v>
      </x:c>
      <x:c r="I119" s="14" t="str">
        <x:v>Optional/Nein</x:v>
      </x:c>
      <x:c r="J119" s="51"/>
      <x:c r="K119" s="51"/>
      <x:c r="L119" s="51"/>
      <x:c r="M119" s="51"/>
      <x:c r="N119" s="51"/>
      <x:c r="O119" s="54"/>
      <x:c r="P119" s="51" t="str">
        <x:v>Optional – kein aktiver Benchmark</x:v>
      </x:c>
      <x:c r="Q119" s="53" t="n">
        <x:v>8</x:v>
      </x:c>
      <x:c r="R119" s="53" t="n">
        <x:v>12</x:v>
      </x:c>
      <x:c r="S119" s="53" t="n">
        <x:v>20</x:v>
      </x:c>
      <x:c r="T119" s="53" t="str">
        <x:v>threshold:0-class</x:v>
      </x:c>
      <x:c r="U119" s="14" t="str">
        <x:v>Legacy-Werte bleiben nur als historische Rechenhilfe erhalten und werden nicht für den FinalScore verwendet.</x:v>
      </x:c>
    </x:row>
    <x:row r="120" ht="42" customHeight="1">
      <x:c r="A120" s="14" t="str">
        <x:v>WOK-S-138</x:v>
      </x:c>
      <x:c r="B120" s="14" t="str">
        <x:v>G47</x:v>
      </x:c>
      <x:c r="C120" s="14" t="str">
        <x:v>Legacy / Migration auf NACE Rev. 2.1 offen</x:v>
      </x:c>
      <x:c r="D120" s="14" t="str">
        <x:v>EU</x:v>
      </x:c>
      <x:c r="E120" s="14"/>
      <x:c r="F120" s="14" t="str">
        <x:v>%</x:v>
      </x:c>
      <x:c r="G120" s="14" t="str">
        <x:v>higher_is_better</x:v>
      </x:c>
      <x:c r="H120" s="14" t="str">
        <x:v>R18</x:v>
      </x:c>
      <x:c r="I120" s="14" t="str">
        <x:v>Optional/Nein</x:v>
      </x:c>
      <x:c r="J120" s="51"/>
      <x:c r="K120" s="51"/>
      <x:c r="L120" s="51"/>
      <x:c r="M120" s="51"/>
      <x:c r="N120" s="51"/>
      <x:c r="O120" s="54"/>
      <x:c r="P120" s="51" t="str">
        <x:v>Optional – kein aktiver Benchmark</x:v>
      </x:c>
      <x:c r="Q120" s="53" t="n">
        <x:v>30</x:v>
      </x:c>
      <x:c r="R120" s="53" t="n">
        <x:v>45</x:v>
      </x:c>
      <x:c r="S120" s="53" t="n">
        <x:v>75</x:v>
      </x:c>
      <x:c r="T120" s="53" t="str">
        <x:v>threshold:0-class</x:v>
      </x:c>
      <x:c r="U120" s="14" t="str">
        <x:v>Legacy-Werte bleiben nur als historische Rechenhilfe erhalten und werden nicht für den FinalScore verwendet.</x:v>
      </x:c>
    </x:row>
    <x:row r="121" ht="42" customHeight="1">
      <x:c r="A121" s="14" t="str">
        <x:v>WOK-S-139</x:v>
      </x:c>
      <x:c r="B121" s="14" t="str">
        <x:v>G47</x:v>
      </x:c>
      <x:c r="C121" s="14" t="str">
        <x:v>Legacy / Migration auf NACE Rev. 2.1 offen</x:v>
      </x:c>
      <x:c r="D121" s="14" t="str">
        <x:v>EU</x:v>
      </x:c>
      <x:c r="E121" s="14"/>
      <x:c r="F121" s="14" t="str">
        <x:v>%</x:v>
      </x:c>
      <x:c r="G121" s="14" t="str">
        <x:v>higher_is_better</x:v>
      </x:c>
      <x:c r="H121" s="14" t="str">
        <x:v>R21</x:v>
      </x:c>
      <x:c r="I121" s="14" t="str">
        <x:v>Optional/Nein</x:v>
      </x:c>
      <x:c r="J121" s="51"/>
      <x:c r="K121" s="51"/>
      <x:c r="L121" s="51"/>
      <x:c r="M121" s="51"/>
      <x:c r="N121" s="51"/>
      <x:c r="O121" s="54"/>
      <x:c r="P121" s="51" t="str">
        <x:v>Optional – kein aktiver Benchmark</x:v>
      </x:c>
      <x:c r="Q121" s="53" t="n">
        <x:v>2.95</x:v>
      </x:c>
      <x:c r="R121" s="53" t="n">
        <x:v>4.425000000000001</x:v>
      </x:c>
      <x:c r="S121" s="53" t="n">
        <x:v>7.375</x:v>
      </x:c>
      <x:c r="T121" s="53" t="str">
        <x:v>threshold:0-class</x:v>
      </x:c>
      <x:c r="U121" s="14" t="str">
        <x:v>Legacy-Werte bleiben nur als historische Rechenhilfe erhalten und werden nicht für den FinalScore verwendet.</x:v>
      </x:c>
    </x:row>
    <x:row r="122" ht="42" customHeight="1">
      <x:c r="A122" s="14" t="str">
        <x:v>WOK-S-140</x:v>
      </x:c>
      <x:c r="B122" s="14" t="str">
        <x:v>G47</x:v>
      </x:c>
      <x:c r="C122" s="14" t="str">
        <x:v>Legacy / Migration auf NACE Rev. 2.1 offen</x:v>
      </x:c>
      <x:c r="D122" s="14" t="str">
        <x:v>EU</x:v>
      </x:c>
      <x:c r="E122" s="14"/>
      <x:c r="F122" s="14" t="str">
        <x:v>% Beschäftigte</x:v>
      </x:c>
      <x:c r="G122" s="14" t="str">
        <x:v>higher_is_better</x:v>
      </x:c>
      <x:c r="H122" s="14" t="str">
        <x:v>R27</x:v>
      </x:c>
      <x:c r="I122" s="14" t="str">
        <x:v>Optional/Nein</x:v>
      </x:c>
      <x:c r="J122" s="51"/>
      <x:c r="K122" s="51"/>
      <x:c r="L122" s="51"/>
      <x:c r="M122" s="51"/>
      <x:c r="N122" s="51"/>
      <x:c r="O122" s="54"/>
      <x:c r="P122" s="51" t="str">
        <x:v>Optional – kein aktiver Benchmark</x:v>
      </x:c>
      <x:c r="Q122" s="53" t="n">
        <x:v>69.5</x:v>
      </x:c>
      <x:c r="R122" s="53" t="n">
        <x:v>100</x:v>
      </x:c>
      <x:c r="S122" s="53" t="n">
        <x:v>100</x:v>
      </x:c>
      <x:c r="T122" s="53" t="str">
        <x:v>threshold:0-class</x:v>
      </x:c>
      <x:c r="U122" s="14" t="str">
        <x:v>Legacy-Werte bleiben nur als historische Rechenhilfe erhalten und werden nicht für den FinalScore verwendet.</x:v>
      </x:c>
    </x:row>
    <x:row r="123" ht="42" customHeight="1">
      <x:c r="A123" s="14" t="str">
        <x:v>WOK-S-141</x:v>
      </x:c>
      <x:c r="B123" s="14" t="str">
        <x:v>G47</x:v>
      </x:c>
      <x:c r="C123" s="14" t="str">
        <x:v>Legacy / Migration auf NACE Rev. 2.1 offen</x:v>
      </x:c>
      <x:c r="D123" s="14" t="str">
        <x:v>EU</x:v>
      </x:c>
      <x:c r="E123" s="14"/>
      <x:c r="F123" s="14" t="str">
        <x:v>%</x:v>
      </x:c>
      <x:c r="G123" s="14" t="str">
        <x:v>higher_is_better</x:v>
      </x:c>
      <x:c r="H123" s="14" t="str">
        <x:v>R26</x:v>
      </x:c>
      <x:c r="I123" s="14" t="str">
        <x:v>Optional/Nein</x:v>
      </x:c>
      <x:c r="J123" s="51"/>
      <x:c r="K123" s="51"/>
      <x:c r="L123" s="51"/>
      <x:c r="M123" s="51"/>
      <x:c r="N123" s="51"/>
      <x:c r="O123" s="54"/>
      <x:c r="P123" s="51" t="str">
        <x:v>Optional – kein aktiver Benchmark</x:v>
      </x:c>
      <x:c r="Q123" s="53" t="n">
        <x:v>59.5</x:v>
      </x:c>
      <x:c r="R123" s="53" t="n">
        <x:v>89.25</x:v>
      </x:c>
      <x:c r="S123" s="53" t="n">
        <x:v>100</x:v>
      </x:c>
      <x:c r="T123" s="53" t="str">
        <x:v>threshold:0-class</x:v>
      </x:c>
      <x:c r="U123" s="14" t="str">
        <x:v>Legacy-Werte bleiben nur als historische Rechenhilfe erhalten und werden nicht für den FinalScore verwendet.</x:v>
      </x:c>
    </x:row>
    <x:row r="124" ht="42" customHeight="1">
      <x:c r="A124" s="14" t="str">
        <x:v>WOK-S-142</x:v>
      </x:c>
      <x:c r="B124" s="14" t="str">
        <x:v>G47</x:v>
      </x:c>
      <x:c r="C124" s="14" t="str">
        <x:v>Legacy / Migration auf NACE Rev. 2.1 offen</x:v>
      </x:c>
      <x:c r="D124" s="14" t="str">
        <x:v>EU</x:v>
      </x:c>
      <x:c r="E124" s="14"/>
      <x:c r="F124" s="14" t="str">
        <x:v>Unfälle/Mio Std.</x:v>
      </x:c>
      <x:c r="G124" s="14" t="str">
        <x:v>lower_is_better</x:v>
      </x:c>
      <x:c r="H124" s="14" t="str">
        <x:v>R02</x:v>
      </x:c>
      <x:c r="I124" s="14" t="str">
        <x:v>Optional/Nein</x:v>
      </x:c>
      <x:c r="J124" s="51"/>
      <x:c r="K124" s="51"/>
      <x:c r="L124" s="51"/>
      <x:c r="M124" s="51"/>
      <x:c r="N124" s="51"/>
      <x:c r="O124" s="54"/>
      <x:c r="P124" s="51" t="str">
        <x:v>Optional – kein aktiver Benchmark</x:v>
      </x:c>
      <x:c r="Q124" s="53" t="n">
        <x:v>3</x:v>
      </x:c>
      <x:c r="R124" s="53" t="n">
        <x:v>4.5</x:v>
      </x:c>
      <x:c r="S124" s="53" t="n">
        <x:v>7.5</x:v>
      </x:c>
      <x:c r="T124" s="53" t="str">
        <x:v>threshold:0-class</x:v>
      </x:c>
      <x:c r="U124" s="14" t="str">
        <x:v>Legacy-Werte bleiben nur als historische Rechenhilfe erhalten und werden nicht für den FinalScore verwendet.</x:v>
      </x:c>
    </x:row>
    <x:row r="125" ht="42" customHeight="1">
      <x:c r="A125" s="14" t="str">
        <x:v>WOK-SC-107</x:v>
      </x:c>
      <x:c r="B125" s="14" t="str">
        <x:v>C20</x:v>
      </x:c>
      <x:c r="C125" s="14" t="str">
        <x:v>Legacy / Migration auf NACE Rev. 2.1 offen</x:v>
      </x:c>
      <x:c r="D125" s="14" t="str">
        <x:v>EU</x:v>
      </x:c>
      <x:c r="E125" s="14"/>
      <x:c r="F125" s="14" t="str">
        <x:v>%</x:v>
      </x:c>
      <x:c r="G125" s="14" t="str">
        <x:v>higher_is_better</x:v>
      </x:c>
      <x:c r="H125" s="14" t="str">
        <x:v>R26</x:v>
      </x:c>
      <x:c r="I125" s="14" t="str">
        <x:v>Optional/Nein</x:v>
      </x:c>
      <x:c r="J125" s="51"/>
      <x:c r="K125" s="51"/>
      <x:c r="L125" s="51"/>
      <x:c r="M125" s="51"/>
      <x:c r="N125" s="51"/>
      <x:c r="O125" s="54"/>
      <x:c r="P125" s="51" t="str">
        <x:v>Optional – kein aktiver Benchmark</x:v>
      </x:c>
      <x:c r="Q125" s="53" t="n">
        <x:v>59.5</x:v>
      </x:c>
      <x:c r="R125" s="53" t="n">
        <x:v>89.25</x:v>
      </x:c>
      <x:c r="S125" s="53" t="n">
        <x:v>100</x:v>
      </x:c>
      <x:c r="T125" s="53" t="str">
        <x:v>threshold:0-class</x:v>
      </x:c>
      <x:c r="U125" s="14" t="str">
        <x:v>Legacy-Werte bleiben nur als historische Rechenhilfe erhalten und werden nicht für den FinalScore verwendet.</x:v>
      </x:c>
    </x:row>
    <x:row r="126" ht="42" customHeight="1">
      <x:c r="A126" s="14" t="str">
        <x:v>WOK-SC-108</x:v>
      </x:c>
      <x:c r="B126" s="14" t="str">
        <x:v>C20</x:v>
      </x:c>
      <x:c r="C126" s="14" t="str">
        <x:v>Legacy / Migration auf NACE Rev. 2.1 offen</x:v>
      </x:c>
      <x:c r="D126" s="14" t="str">
        <x:v>EU</x:v>
      </x:c>
      <x:c r="E126" s="14"/>
      <x:c r="F126" s="14" t="str">
        <x:v>% Lieferanten</x:v>
      </x:c>
      <x:c r="G126" s="14" t="str">
        <x:v>higher_is_better</x:v>
      </x:c>
      <x:c r="H126" s="14" t="str">
        <x:v>R28</x:v>
      </x:c>
      <x:c r="I126" s="14" t="str">
        <x:v>Optional/Nein</x:v>
      </x:c>
      <x:c r="J126" s="51"/>
      <x:c r="K126" s="51"/>
      <x:c r="L126" s="51"/>
      <x:c r="M126" s="51"/>
      <x:c r="N126" s="51"/>
      <x:c r="O126" s="54"/>
      <x:c r="P126" s="51" t="str">
        <x:v>Optional – kein aktiver Benchmark</x:v>
      </x:c>
      <x:c r="Q126" s="53" t="n">
        <x:v>82</x:v>
      </x:c>
      <x:c r="R126" s="53" t="n">
        <x:v>100</x:v>
      </x:c>
      <x:c r="S126" s="53" t="n">
        <x:v>100</x:v>
      </x:c>
      <x:c r="T126" s="53" t="str">
        <x:v>threshold:0-class</x:v>
      </x:c>
      <x:c r="U126" s="14" t="str">
        <x:v>Legacy-Werte bleiben nur als historische Rechenhilfe erhalten und werden nicht für den FinalScore verwendet.</x:v>
      </x:c>
    </x:row>
    <x:row r="127" ht="42" customHeight="1">
      <x:c r="A127" s="14" t="str">
        <x:v>WOK-SC-109</x:v>
      </x:c>
      <x:c r="B127" s="14" t="str">
        <x:v>C20</x:v>
      </x:c>
      <x:c r="C127" s="14" t="str">
        <x:v>Legacy / Migration auf NACE Rev. 2.1 offen</x:v>
      </x:c>
      <x:c r="D127" s="14" t="str">
        <x:v>EU</x:v>
      </x:c>
      <x:c r="E127" s="14"/>
      <x:c r="F127" s="14" t="str">
        <x:v>% Kategorien</x:v>
      </x:c>
      <x:c r="G127" s="14" t="str">
        <x:v>higher_is_better</x:v>
      </x:c>
      <x:c r="H127" s="14" t="str">
        <x:v>R23</x:v>
      </x:c>
      <x:c r="I127" s="14" t="str">
        <x:v>Optional/Nein</x:v>
      </x:c>
      <x:c r="J127" s="51"/>
      <x:c r="K127" s="51"/>
      <x:c r="L127" s="51"/>
      <x:c r="M127" s="51"/>
      <x:c r="N127" s="51"/>
      <x:c r="O127" s="54"/>
      <x:c r="P127" s="51" t="str">
        <x:v>Optional – kein aktiver Benchmark</x:v>
      </x:c>
      <x:c r="Q127" s="53" t="n">
        <x:v>49.5</x:v>
      </x:c>
      <x:c r="R127" s="53" t="n">
        <x:v>74.25</x:v>
      </x:c>
      <x:c r="S127" s="53" t="n">
        <x:v>100</x:v>
      </x:c>
      <x:c r="T127" s="53" t="str">
        <x:v>threshold:0-class</x:v>
      </x:c>
      <x:c r="U127" s="14" t="str">
        <x:v>Legacy-Werte bleiben nur als historische Rechenhilfe erhalten und werden nicht für den FinalScore verwendet.</x:v>
      </x:c>
    </x:row>
    <x:row r="128" ht="42" customHeight="1">
      <x:c r="A128" s="14" t="str">
        <x:v>WOK-G-125</x:v>
      </x:c>
      <x:c r="B128" s="14" t="str">
        <x:v>G47</x:v>
      </x:c>
      <x:c r="C128" s="14" t="str">
        <x:v>Legacy / Migration auf NACE Rev. 2.1 offen</x:v>
      </x:c>
      <x:c r="D128" s="14" t="str">
        <x:v>EU</x:v>
      </x:c>
      <x:c r="E128" s="14"/>
      <x:c r="F128" s="14" t="str">
        <x:v>Fälle/1.000 FTE</x:v>
      </x:c>
      <x:c r="G128" s="14" t="str">
        <x:v>lower_is_better</x:v>
      </x:c>
      <x:c r="H128" s="14" t="str">
        <x:v>R01</x:v>
      </x:c>
      <x:c r="I128" s="14" t="str">
        <x:v>Optional/Nein</x:v>
      </x:c>
      <x:c r="J128" s="51"/>
      <x:c r="K128" s="51"/>
      <x:c r="L128" s="51"/>
      <x:c r="M128" s="51"/>
      <x:c r="N128" s="51"/>
      <x:c r="O128" s="54"/>
      <x:c r="P128" s="51" t="str">
        <x:v>Optional – kein aktiver Benchmark</x:v>
      </x:c>
      <x:c r="Q128" s="53" t="n">
        <x:v>0.5</x:v>
      </x:c>
      <x:c r="R128" s="53" t="n">
        <x:v>0.75</x:v>
      </x:c>
      <x:c r="S128" s="53" t="n">
        <x:v>1.25</x:v>
      </x:c>
      <x:c r="T128" s="53" t="str">
        <x:v>threshold:0-class</x:v>
      </x:c>
      <x:c r="U128" s="14" t="str">
        <x:v>Legacy-Werte bleiben nur als historische Rechenhilfe erhalten und werden nicht für den FinalScore verwendet.</x:v>
      </x:c>
    </x:row>
    <x:row r="129" ht="42" customHeight="1">
      <x:c r="A129" s="14" t="str">
        <x:v>WOK-G-126</x:v>
      </x:c>
      <x:c r="B129" s="14" t="str">
        <x:v>G47</x:v>
      </x:c>
      <x:c r="C129" s="14" t="str">
        <x:v>Legacy / Migration auf NACE Rev. 2.1 offen</x:v>
      </x:c>
      <x:c r="D129" s="14" t="str">
        <x:v>EU</x:v>
      </x:c>
      <x:c r="E129" s="14"/>
      <x:c r="F129" s="14" t="str">
        <x:v>0–1</x:v>
      </x:c>
      <x:c r="G129" s="14" t="str">
        <x:v>higher_is_better</x:v>
      </x:c>
      <x:c r="H129" s="14" t="str">
        <x:v>R16</x:v>
      </x:c>
      <x:c r="I129" s="14" t="str">
        <x:v>Optional/Nein</x:v>
      </x:c>
      <x:c r="J129" s="51"/>
      <x:c r="K129" s="51"/>
      <x:c r="L129" s="51"/>
      <x:c r="M129" s="51"/>
      <x:c r="N129" s="51"/>
      <x:c r="O129" s="54"/>
      <x:c r="P129" s="51" t="str">
        <x:v>Optional – kein aktiver Benchmark</x:v>
      </x:c>
      <x:c r="Q129" s="53" t="n">
        <x:v>0.6699999999999999</x:v>
      </x:c>
      <x:c r="R129" s="53" t="n">
        <x:v>1</x:v>
      </x:c>
      <x:c r="S129" s="53" t="n">
        <x:v>1</x:v>
      </x:c>
      <x:c r="T129" s="53" t="str">
        <x:v>threshold:0-class</x:v>
      </x:c>
      <x:c r="U129" s="14" t="str">
        <x:v>Legacy-Werte bleiben nur als historische Rechenhilfe erhalten und werden nicht für den FinalScore verwendet.</x:v>
      </x:c>
    </x:row>
    <x:row r="130" ht="42" customHeight="1">
      <x:c r="A130" s="14" t="str">
        <x:v>WOK-G-127</x:v>
      </x:c>
      <x:c r="B130" s="14" t="str">
        <x:v>G47</x:v>
      </x:c>
      <x:c r="C130" s="14" t="str">
        <x:v>Legacy / Migration auf NACE Rev. 2.1 offen</x:v>
      </x:c>
      <x:c r="D130" s="14" t="str">
        <x:v>EU</x:v>
      </x:c>
      <x:c r="E130" s="14"/>
      <x:c r="F130" s="14" t="str">
        <x:v>0–1</x:v>
      </x:c>
      <x:c r="G130" s="14" t="str">
        <x:v>higher_is_better</x:v>
      </x:c>
      <x:c r="H130" s="14" t="str">
        <x:v>R08</x:v>
      </x:c>
      <x:c r="I130" s="14" t="str">
        <x:v>Optional/Nein</x:v>
      </x:c>
      <x:c r="J130" s="51"/>
      <x:c r="K130" s="51"/>
      <x:c r="L130" s="51"/>
      <x:c r="M130" s="51"/>
      <x:c r="N130" s="51"/>
      <x:c r="O130" s="54"/>
      <x:c r="P130" s="51" t="str">
        <x:v>Optional – kein aktiver Benchmark</x:v>
      </x:c>
      <x:c r="Q130" s="53" t="n">
        <x:v>0.5</x:v>
      </x:c>
      <x:c r="R130" s="53" t="n">
        <x:v>0.75</x:v>
      </x:c>
      <x:c r="S130" s="53" t="n">
        <x:v>0.9</x:v>
      </x:c>
      <x:c r="T130" s="53" t="str">
        <x:v>default:higher_is_better_abs</x:v>
      </x:c>
      <x:c r="U130" s="14" t="str">
        <x:v>Legacy-Werte bleiben nur als historische Rechenhilfe erhalten und werden nicht für den FinalScore verwendet.</x:v>
      </x:c>
    </x:row>
    <x:row r="131" ht="42" customHeight="1">
      <x:c r="A131" s="14" t="str">
        <x:v>WOK-SYS-113</x:v>
      </x:c>
      <x:c r="B131" s="14" t="str">
        <x:v>G47</x:v>
      </x:c>
      <x:c r="C131" s="14" t="str">
        <x:v>Legacy / Migration auf NACE Rev. 2.1 offen</x:v>
      </x:c>
      <x:c r="D131" s="14" t="str">
        <x:v>EU</x:v>
      </x:c>
      <x:c r="E131" s="14"/>
      <x:c r="F131" s="14" t="str">
        <x:v>0–1</x:v>
      </x:c>
      <x:c r="G131" s="14" t="str">
        <x:v>higher_is_better</x:v>
      </x:c>
      <x:c r="H131" s="14" t="str">
        <x:v>R15</x:v>
      </x:c>
      <x:c r="I131" s="14" t="str">
        <x:v>Optional/Nein</x:v>
      </x:c>
      <x:c r="J131" s="51"/>
      <x:c r="K131" s="51"/>
      <x:c r="L131" s="51"/>
      <x:c r="M131" s="51"/>
      <x:c r="N131" s="51"/>
      <x:c r="O131" s="54"/>
      <x:c r="P131" s="51" t="str">
        <x:v>Optional – kein aktiver Benchmark</x:v>
      </x:c>
      <x:c r="Q131" s="53" t="n">
        <x:v>0.645</x:v>
      </x:c>
      <x:c r="R131" s="53" t="n">
        <x:v>0.9675</x:v>
      </x:c>
      <x:c r="S131" s="53" t="n">
        <x:v>1</x:v>
      </x:c>
      <x:c r="T131" s="53" t="str">
        <x:v>threshold:0-class</x:v>
      </x:c>
      <x:c r="U131" s="14" t="str">
        <x:v>Legacy-Werte bleiben nur als historische Rechenhilfe erhalten und werden nicht für den FinalScore verwendet.</x:v>
      </x:c>
    </x:row>
    <x:row r="132" ht="42" customHeight="1">
      <x:c r="A132" s="14" t="str">
        <x:v>WOK-SYS-114</x:v>
      </x:c>
      <x:c r="B132" s="14" t="str">
        <x:v>G47</x:v>
      </x:c>
      <x:c r="C132" s="14" t="str">
        <x:v>Legacy / Migration auf NACE Rev. 2.1 offen</x:v>
      </x:c>
      <x:c r="D132" s="14" t="str">
        <x:v>EU</x:v>
      </x:c>
      <x:c r="E132" s="14"/>
      <x:c r="F132" s="14" t="str">
        <x:v>%</x:v>
      </x:c>
      <x:c r="G132" s="14" t="str">
        <x:v>lower_is_better</x:v>
      </x:c>
      <x:c r="H132" s="14" t="str">
        <x:v>R13</x:v>
      </x:c>
      <x:c r="I132" s="14" t="str">
        <x:v>Optional/Nein</x:v>
      </x:c>
      <x:c r="J132" s="51"/>
      <x:c r="K132" s="51"/>
      <x:c r="L132" s="51"/>
      <x:c r="M132" s="51"/>
      <x:c r="N132" s="51"/>
      <x:c r="O132" s="54"/>
      <x:c r="P132" s="51" t="str">
        <x:v>Optional – kein aktiver Benchmark</x:v>
      </x:c>
      <x:c r="Q132" s="53" t="n">
        <x:v>15.5</x:v>
      </x:c>
      <x:c r="R132" s="53" t="n">
        <x:v>23.25</x:v>
      </x:c>
      <x:c r="S132" s="53" t="n">
        <x:v>38.75</x:v>
      </x:c>
      <x:c r="T132" s="53" t="str">
        <x:v>threshold:0-class</x:v>
      </x:c>
      <x:c r="U132" s="14" t="str">
        <x:v>Legacy-Werte bleiben nur als historische Rechenhilfe erhalten und werden nicht für den FinalScore verwendet.</x:v>
      </x:c>
    </x:row>
    <x:row r="133" ht="42" customHeight="1">
      <x:c r="A133" s="14" t="str">
        <x:v>WOK-SYS-115</x:v>
      </x:c>
      <x:c r="B133" s="14" t="str">
        <x:v>G47</x:v>
      </x:c>
      <x:c r="C133" s="14" t="str">
        <x:v>Legacy / Migration auf NACE Rev. 2.1 offen</x:v>
      </x:c>
      <x:c r="D133" s="14" t="str">
        <x:v>EU</x:v>
      </x:c>
      <x:c r="E133" s="14"/>
      <x:c r="F133" s="14" t="str">
        <x:v>#/Jahr</x:v>
      </x:c>
      <x:c r="G133" s="14" t="str">
        <x:v>higher_is_better</x:v>
      </x:c>
      <x:c r="H133" s="14" t="str">
        <x:v>R20</x:v>
      </x:c>
      <x:c r="I133" s="14" t="str">
        <x:v>Optional/Nein</x:v>
      </x:c>
      <x:c r="J133" s="51"/>
      <x:c r="K133" s="51"/>
      <x:c r="L133" s="51"/>
      <x:c r="M133" s="51"/>
      <x:c r="N133" s="51"/>
      <x:c r="O133" s="54"/>
      <x:c r="P133" s="51" t="str">
        <x:v>Optional – kein aktiver Benchmark</x:v>
      </x:c>
      <x:c r="Q133" s="53" t="n">
        <x:v>1.5</x:v>
      </x:c>
      <x:c r="R133" s="53" t="n">
        <x:v>2.25</x:v>
      </x:c>
      <x:c r="S133" s="53" t="n">
        <x:v>3.75</x:v>
      </x:c>
      <x:c r="T133" s="53" t="str">
        <x:v>threshold:0-class</x:v>
      </x:c>
      <x:c r="U133" s="14" t="str">
        <x:v>Legacy-Werte bleiben nur als historische Rechenhilfe erhalten und werden nicht für den FinalScore verwendet.</x:v>
      </x:c>
    </x:row>
    <x:row r="134" ht="42" customHeight="1">
      <x:c r="A134" s="14" t="str">
        <x:v>WOK-S-143</x:v>
      </x:c>
      <x:c r="B134" s="14" t="str">
        <x:v>G47</x:v>
      </x:c>
      <x:c r="C134" s="14" t="str">
        <x:v>Legacy / Migration auf NACE Rev. 2.1 offen</x:v>
      </x:c>
      <x:c r="D134" s="14" t="str">
        <x:v>EU</x:v>
      </x:c>
      <x:c r="E134" s="14"/>
      <x:c r="F134" s="14" t="str">
        <x:v>% Beschäftigte</x:v>
      </x:c>
      <x:c r="G134" s="14" t="str">
        <x:v>higher_is_better</x:v>
      </x:c>
      <x:c r="H134" s="14" t="str">
        <x:v>R27</x:v>
      </x:c>
      <x:c r="I134" s="14" t="str">
        <x:v>Optional/Nein</x:v>
      </x:c>
      <x:c r="J134" s="51"/>
      <x:c r="K134" s="51"/>
      <x:c r="L134" s="51"/>
      <x:c r="M134" s="51"/>
      <x:c r="N134" s="51"/>
      <x:c r="O134" s="54"/>
      <x:c r="P134" s="51" t="str">
        <x:v>Optional – kein aktiver Benchmark</x:v>
      </x:c>
      <x:c r="Q134" s="53" t="n">
        <x:v>69.5</x:v>
      </x:c>
      <x:c r="R134" s="53" t="n">
        <x:v>100</x:v>
      </x:c>
      <x:c r="S134" s="53" t="n">
        <x:v>100</x:v>
      </x:c>
      <x:c r="T134" s="53" t="str">
        <x:v>threshold:0-class</x:v>
      </x:c>
      <x:c r="U134" s="14" t="str">
        <x:v>Legacy-Werte bleiben nur als historische Rechenhilfe erhalten und werden nicht für den FinalScore verwendet.</x:v>
      </x:c>
    </x:row>
    <x:row r="135" ht="42" customHeight="1">
      <x:c r="A135" s="14" t="str">
        <x:v>WOK-S-144</x:v>
      </x:c>
      <x:c r="B135" s="14" t="str">
        <x:v>G47</x:v>
      </x:c>
      <x:c r="C135" s="14" t="str">
        <x:v>Legacy / Migration auf NACE Rev. 2.1 offen</x:v>
      </x:c>
      <x:c r="D135" s="14" t="str">
        <x:v>EU</x:v>
      </x:c>
      <x:c r="E135" s="14"/>
      <x:c r="F135" s="14" t="str">
        <x:v>%</x:v>
      </x:c>
      <x:c r="G135" s="14" t="str">
        <x:v>higher_is_better</x:v>
      </x:c>
      <x:c r="H135" s="14" t="str">
        <x:v>R26</x:v>
      </x:c>
      <x:c r="I135" s="14" t="str">
        <x:v>Optional/Nein</x:v>
      </x:c>
      <x:c r="J135" s="51"/>
      <x:c r="K135" s="51"/>
      <x:c r="L135" s="51"/>
      <x:c r="M135" s="51"/>
      <x:c r="N135" s="51"/>
      <x:c r="O135" s="54"/>
      <x:c r="P135" s="51" t="str">
        <x:v>Optional – kein aktiver Benchmark</x:v>
      </x:c>
      <x:c r="Q135" s="53" t="n">
        <x:v>59.5</x:v>
      </x:c>
      <x:c r="R135" s="53" t="n">
        <x:v>89.25</x:v>
      </x:c>
      <x:c r="S135" s="53" t="n">
        <x:v>100</x:v>
      </x:c>
      <x:c r="T135" s="53" t="str">
        <x:v>threshold:0-class</x:v>
      </x:c>
      <x:c r="U135" s="14" t="str">
        <x:v>Legacy-Werte bleiben nur als historische Rechenhilfe erhalten und werden nicht für den FinalScore verwendet.</x:v>
      </x:c>
    </x:row>
    <x:row r="136" ht="42" customHeight="1">
      <x:c r="A136" s="14" t="str">
        <x:v>WOK-S-145</x:v>
      </x:c>
      <x:c r="B136" s="14" t="str">
        <x:v>G47</x:v>
      </x:c>
      <x:c r="C136" s="14" t="str">
        <x:v>Legacy / Migration auf NACE Rev. 2.1 offen</x:v>
      </x:c>
      <x:c r="D136" s="14" t="str">
        <x:v>EU</x:v>
      </x:c>
      <x:c r="E136" s="14"/>
      <x:c r="F136" s="14" t="str">
        <x:v>Unfälle/Mio Std.</x:v>
      </x:c>
      <x:c r="G136" s="14" t="str">
        <x:v>lower_is_better</x:v>
      </x:c>
      <x:c r="H136" s="14" t="str">
        <x:v>R02</x:v>
      </x:c>
      <x:c r="I136" s="14" t="str">
        <x:v>Optional/Nein</x:v>
      </x:c>
      <x:c r="J136" s="51"/>
      <x:c r="K136" s="51"/>
      <x:c r="L136" s="51"/>
      <x:c r="M136" s="51"/>
      <x:c r="N136" s="51"/>
      <x:c r="O136" s="54"/>
      <x:c r="P136" s="51" t="str">
        <x:v>Optional – kein aktiver Benchmark</x:v>
      </x:c>
      <x:c r="Q136" s="53" t="n">
        <x:v>3</x:v>
      </x:c>
      <x:c r="R136" s="53" t="n">
        <x:v>4.5</x:v>
      </x:c>
      <x:c r="S136" s="53" t="n">
        <x:v>7.5</x:v>
      </x:c>
      <x:c r="T136" s="53" t="str">
        <x:v>threshold:0-class</x:v>
      </x:c>
      <x:c r="U136" s="14" t="str">
        <x:v>Legacy-Werte bleiben nur als historische Rechenhilfe erhalten und werden nicht für den FinalScore verwendet.</x:v>
      </x:c>
    </x:row>
    <x:row r="137" ht="42" customHeight="1">
      <x:c r="A137" s="14" t="str">
        <x:v>WOK-G-128</x:v>
      </x:c>
      <x:c r="B137" s="14" t="str">
        <x:v>G47</x:v>
      </x:c>
      <x:c r="C137" s="14" t="str">
        <x:v>Legacy / Migration auf NACE Rev. 2.1 offen</x:v>
      </x:c>
      <x:c r="D137" s="14" t="str">
        <x:v>EU</x:v>
      </x:c>
      <x:c r="E137" s="14"/>
      <x:c r="F137" s="14" t="str">
        <x:v>Fälle/1.000 FTE</x:v>
      </x:c>
      <x:c r="G137" s="14" t="str">
        <x:v>lower_is_better</x:v>
      </x:c>
      <x:c r="H137" s="14" t="str">
        <x:v>R01</x:v>
      </x:c>
      <x:c r="I137" s="14" t="str">
        <x:v>Optional/Nein</x:v>
      </x:c>
      <x:c r="J137" s="51"/>
      <x:c r="K137" s="51"/>
      <x:c r="L137" s="51"/>
      <x:c r="M137" s="51"/>
      <x:c r="N137" s="51"/>
      <x:c r="O137" s="54"/>
      <x:c r="P137" s="51" t="str">
        <x:v>Optional – kein aktiver Benchmark</x:v>
      </x:c>
      <x:c r="Q137" s="53" t="n">
        <x:v>0.5</x:v>
      </x:c>
      <x:c r="R137" s="53" t="n">
        <x:v>0.75</x:v>
      </x:c>
      <x:c r="S137" s="53" t="n">
        <x:v>1.25</x:v>
      </x:c>
      <x:c r="T137" s="53" t="str">
        <x:v>threshold:0-class</x:v>
      </x:c>
      <x:c r="U137" s="14" t="str">
        <x:v>Legacy-Werte bleiben nur als historische Rechenhilfe erhalten und werden nicht für den FinalScore verwendet.</x:v>
      </x:c>
    </x:row>
    <x:row r="138" ht="42" customHeight="1">
      <x:c r="A138" s="14" t="str">
        <x:v>WOK-G-129</x:v>
      </x:c>
      <x:c r="B138" s="14" t="str">
        <x:v>G47</x:v>
      </x:c>
      <x:c r="C138" s="14" t="str">
        <x:v>Legacy / Migration auf NACE Rev. 2.1 offen</x:v>
      </x:c>
      <x:c r="D138" s="14" t="str">
        <x:v>EU</x:v>
      </x:c>
      <x:c r="E138" s="14"/>
      <x:c r="F138" s="14" t="str">
        <x:v>0–1</x:v>
      </x:c>
      <x:c r="G138" s="14" t="str">
        <x:v>higher_is_better</x:v>
      </x:c>
      <x:c r="H138" s="14" t="str">
        <x:v>R16</x:v>
      </x:c>
      <x:c r="I138" s="14" t="str">
        <x:v>Optional/Nein</x:v>
      </x:c>
      <x:c r="J138" s="51"/>
      <x:c r="K138" s="51"/>
      <x:c r="L138" s="51"/>
      <x:c r="M138" s="51"/>
      <x:c r="N138" s="51"/>
      <x:c r="O138" s="54"/>
      <x:c r="P138" s="51" t="str">
        <x:v>Optional – kein aktiver Benchmark</x:v>
      </x:c>
      <x:c r="Q138" s="53" t="n">
        <x:v>0.6699999999999999</x:v>
      </x:c>
      <x:c r="R138" s="53" t="n">
        <x:v>1</x:v>
      </x:c>
      <x:c r="S138" s="53" t="n">
        <x:v>1</x:v>
      </x:c>
      <x:c r="T138" s="53" t="str">
        <x:v>threshold:0-class</x:v>
      </x:c>
      <x:c r="U138" s="14" t="str">
        <x:v>Legacy-Werte bleiben nur als historische Rechenhilfe erhalten und werden nicht für den FinalScore verwendet.</x:v>
      </x:c>
    </x:row>
    <x:row r="139" ht="42" customHeight="1">
      <x:c r="A139" s="14" t="str">
        <x:v>WOK-G-130</x:v>
      </x:c>
      <x:c r="B139" s="14" t="str">
        <x:v>G47</x:v>
      </x:c>
      <x:c r="C139" s="14" t="str">
        <x:v>Legacy / Migration auf NACE Rev. 2.1 offen</x:v>
      </x:c>
      <x:c r="D139" s="14" t="str">
        <x:v>EU</x:v>
      </x:c>
      <x:c r="E139" s="14"/>
      <x:c r="F139" s="14" t="str">
        <x:v>0–1</x:v>
      </x:c>
      <x:c r="G139" s="14" t="str">
        <x:v>higher_is_better</x:v>
      </x:c>
      <x:c r="H139" s="14" t="str">
        <x:v>R08</x:v>
      </x:c>
      <x:c r="I139" s="14" t="str">
        <x:v>Optional/Nein</x:v>
      </x:c>
      <x:c r="J139" s="51"/>
      <x:c r="K139" s="51"/>
      <x:c r="L139" s="51"/>
      <x:c r="M139" s="51"/>
      <x:c r="N139" s="51"/>
      <x:c r="O139" s="54"/>
      <x:c r="P139" s="51" t="str">
        <x:v>Optional – kein aktiver Benchmark</x:v>
      </x:c>
      <x:c r="Q139" s="53" t="n">
        <x:v>0.5</x:v>
      </x:c>
      <x:c r="R139" s="53" t="n">
        <x:v>0.75</x:v>
      </x:c>
      <x:c r="S139" s="53" t="n">
        <x:v>0.9</x:v>
      </x:c>
      <x:c r="T139" s="53" t="str">
        <x:v>default:higher_is_better_abs</x:v>
      </x:c>
      <x:c r="U139" s="14" t="str">
        <x:v>Legacy-Werte bleiben nur als historische Rechenhilfe erhalten und werden nicht für den FinalScore verwendet.</x:v>
      </x:c>
    </x:row>
    <x:row r="140" ht="42" customHeight="1">
      <x:c r="A140" s="14" t="str">
        <x:v>WOK-E-122</x:v>
      </x:c>
      <x:c r="B140" s="14" t="str">
        <x:v>C20</x:v>
      </x:c>
      <x:c r="C140" s="14" t="str">
        <x:v>Legacy / Migration auf NACE Rev. 2.1 offen</x:v>
      </x:c>
      <x:c r="D140" s="14" t="str">
        <x:v>EU</x:v>
      </x:c>
      <x:c r="E140" s="14"/>
      <x:c r="F140" s="14" t="str">
        <x:v>m³*WSI</x:v>
      </x:c>
      <x:c r="G140" s="14" t="str">
        <x:v>lower_is_better</x:v>
      </x:c>
      <x:c r="H140" s="14" t="str">
        <x:v>R06</x:v>
      </x:c>
      <x:c r="I140" s="14" t="str">
        <x:v>Ja</x:v>
      </x:c>
      <x:c r="J140" s="51"/>
      <x:c r="K140" s="51"/>
      <x:c r="L140" s="51"/>
      <x:c r="M140" s="51"/>
      <x:c r="N140" s="51"/>
      <x:c r="O140" s="54"/>
      <x:c r="P140" s="51" t="str">
        <x:v>Offen – validierter Benchmark fehlt</x:v>
      </x:c>
      <x:c r="Q140" s="53" t="n">
        <x:v>1</x:v>
      </x:c>
      <x:c r="R140" s="53" t="n">
        <x:v>1.5</x:v>
      </x:c>
      <x:c r="S140" s="53" t="n">
        <x:v>2.5</x:v>
      </x:c>
      <x:c r="T140" s="53" t="str">
        <x:v>default:lower_is_better_abs</x:v>
      </x:c>
      <x:c r="U140" s="14" t="str">
        <x:v>Vor Aktivierung repräsentative Population, Region, Technologieklasse, Statistik, Quelle und Gültigkeitszeitraum dokumentieren.</x:v>
      </x:c>
    </x:row>
    <x:row r="141" ht="42" customHeight="1">
      <x:c r="A141" s="14" t="str">
        <x:v>WOK-E-123</x:v>
      </x:c>
      <x:c r="B141" s="14" t="str">
        <x:v>C20</x:v>
      </x:c>
      <x:c r="C141" s="14" t="str">
        <x:v>Legacy / Migration auf NACE Rev. 2.1 offen</x:v>
      </x:c>
      <x:c r="D141" s="14" t="str">
        <x:v>EU</x:v>
      </x:c>
      <x:c r="E141" s="14"/>
      <x:c r="F141" s="14" t="str">
        <x:v>%</x:v>
      </x:c>
      <x:c r="G141" s="14" t="str">
        <x:v>higher_is_better</x:v>
      </x:c>
      <x:c r="H141" s="14" t="str">
        <x:v>R25</x:v>
      </x:c>
      <x:c r="I141" s="14" t="str">
        <x:v>Optional/Nein</x:v>
      </x:c>
      <x:c r="J141" s="51"/>
      <x:c r="K141" s="51"/>
      <x:c r="L141" s="51"/>
      <x:c r="M141" s="51"/>
      <x:c r="N141" s="51"/>
      <x:c r="O141" s="54"/>
      <x:c r="P141" s="51" t="str">
        <x:v>Optional – kein aktiver Benchmark</x:v>
      </x:c>
      <x:c r="Q141" s="53" t="n">
        <x:v>50</x:v>
      </x:c>
      <x:c r="R141" s="53" t="n">
        <x:v>75</x:v>
      </x:c>
      <x:c r="S141" s="53" t="n">
        <x:v>100</x:v>
      </x:c>
      <x:c r="T141" s="53" t="str">
        <x:v>default:higher_is_better_pct</x:v>
      </x:c>
      <x:c r="U141" s="14" t="str">
        <x:v>Legacy-Werte bleiben nur als historische Rechenhilfe erhalten und werden nicht für den FinalScore verwendet.</x:v>
      </x:c>
    </x:row>
    <x:row r="142" ht="42" customHeight="1">
      <x:c r="A142" s="14" t="str">
        <x:v>WOK-E-124</x:v>
      </x:c>
      <x:c r="B142" s="14" t="str">
        <x:v>C20</x:v>
      </x:c>
      <x:c r="C142" s="14" t="str">
        <x:v>Legacy / Migration auf NACE Rev. 2.1 offen</x:v>
      </x:c>
      <x:c r="D142" s="14" t="str">
        <x:v>EU</x:v>
      </x:c>
      <x:c r="E142" s="14"/>
      <x:c r="F142" s="14" t="str">
        <x:v>%</x:v>
      </x:c>
      <x:c r="G142" s="14" t="str">
        <x:v>lower_is_better</x:v>
      </x:c>
      <x:c r="H142" s="14" t="str">
        <x:v>R12</x:v>
      </x:c>
      <x:c r="I142" s="14" t="str">
        <x:v>Optional/Nein</x:v>
      </x:c>
      <x:c r="J142" s="51"/>
      <x:c r="K142" s="51"/>
      <x:c r="L142" s="51"/>
      <x:c r="M142" s="51"/>
      <x:c r="N142" s="51"/>
      <x:c r="O142" s="54"/>
      <x:c r="P142" s="51" t="str">
        <x:v>Optional – kein aktiver Benchmark</x:v>
      </x:c>
      <x:c r="Q142" s="53" t="n">
        <x:v>1</x:v>
      </x:c>
      <x:c r="R142" s="53" t="n">
        <x:v>1.2</x:v>
      </x:c>
      <x:c r="S142" s="53" t="n">
        <x:v>1.5</x:v>
      </x:c>
      <x:c r="T142" s="53" t="str">
        <x:v>default:reg_limit</x:v>
      </x:c>
      <x:c r="U142" s="14" t="str">
        <x:v>Legacy-Werte bleiben nur als historische Rechenhilfe erhalten und werden nicht für den FinalScore verwendet.</x:v>
      </x:c>
    </x:row>
    <x:row r="143" ht="42" customHeight="1">
      <x:c r="A143" s="14" t="str">
        <x:v>WOK-E-125</x:v>
      </x:c>
      <x:c r="B143" s="14" t="str">
        <x:v>C20</x:v>
      </x:c>
      <x:c r="C143" s="14" t="str">
        <x:v>Legacy / Migration auf NACE Rev. 2.1 offen</x:v>
      </x:c>
      <x:c r="D143" s="14" t="str">
        <x:v>EU</x:v>
      </x:c>
      <x:c r="E143" s="14"/>
      <x:c r="F143" s="14" t="str">
        <x:v>m³*WSI</x:v>
      </x:c>
      <x:c r="G143" s="14" t="str">
        <x:v>lower_is_better</x:v>
      </x:c>
      <x:c r="H143" s="14" t="str">
        <x:v>R06</x:v>
      </x:c>
      <x:c r="I143" s="14" t="str">
        <x:v>Ja</x:v>
      </x:c>
      <x:c r="J143" s="51"/>
      <x:c r="K143" s="51"/>
      <x:c r="L143" s="51"/>
      <x:c r="M143" s="51"/>
      <x:c r="N143" s="51"/>
      <x:c r="O143" s="54"/>
      <x:c r="P143" s="51" t="str">
        <x:v>Offen – validierter Benchmark fehlt</x:v>
      </x:c>
      <x:c r="Q143" s="53" t="n">
        <x:v>1</x:v>
      </x:c>
      <x:c r="R143" s="53" t="n">
        <x:v>1.2</x:v>
      </x:c>
      <x:c r="S143" s="53" t="n">
        <x:v>1.5</x:v>
      </x:c>
      <x:c r="T143" s="53" t="str">
        <x:v>default:reg_limit</x:v>
      </x:c>
      <x:c r="U143" s="14" t="str">
        <x:v>Vor Aktivierung repräsentative Population, Region, Technologieklasse, Statistik, Quelle und Gültigkeitszeitraum dokumentieren.</x:v>
      </x:c>
    </x:row>
    <x:row r="144" ht="42" customHeight="1">
      <x:c r="A144" s="14" t="str">
        <x:v>WOK-E-126</x:v>
      </x:c>
      <x:c r="B144" s="14" t="str">
        <x:v>C20</x:v>
      </x:c>
      <x:c r="C144" s="14" t="str">
        <x:v>Legacy / Migration auf NACE Rev. 2.1 offen</x:v>
      </x:c>
      <x:c r="D144" s="14" t="str">
        <x:v>EU</x:v>
      </x:c>
      <x:c r="E144" s="14"/>
      <x:c r="F144" s="14" t="str">
        <x:v>%</x:v>
      </x:c>
      <x:c r="G144" s="14" t="str">
        <x:v>higher_is_better</x:v>
      </x:c>
      <x:c r="H144" s="14" t="str">
        <x:v>R25</x:v>
      </x:c>
      <x:c r="I144" s="14" t="str">
        <x:v>Optional/Nein</x:v>
      </x:c>
      <x:c r="J144" s="51"/>
      <x:c r="K144" s="51"/>
      <x:c r="L144" s="51"/>
      <x:c r="M144" s="51"/>
      <x:c r="N144" s="51"/>
      <x:c r="O144" s="54"/>
      <x:c r="P144" s="51" t="str">
        <x:v>Optional – kein aktiver Benchmark</x:v>
      </x:c>
      <x:c r="Q144" s="53" t="n">
        <x:v>50</x:v>
      </x:c>
      <x:c r="R144" s="53" t="n">
        <x:v>75</x:v>
      </x:c>
      <x:c r="S144" s="53" t="n">
        <x:v>100</x:v>
      </x:c>
      <x:c r="T144" s="53" t="str">
        <x:v>default:higher_is_better_pct</x:v>
      </x:c>
      <x:c r="U144" s="14" t="str">
        <x:v>Legacy-Werte bleiben nur als historische Rechenhilfe erhalten und werden nicht für den FinalScore verwendet.</x:v>
      </x:c>
    </x:row>
    <x:row r="145" ht="42" customHeight="1">
      <x:c r="A145" s="14" t="str">
        <x:v>WOK-E-127</x:v>
      </x:c>
      <x:c r="B145" s="14" t="str">
        <x:v>C20</x:v>
      </x:c>
      <x:c r="C145" s="14" t="str">
        <x:v>Legacy / Migration auf NACE Rev. 2.1 offen</x:v>
      </x:c>
      <x:c r="D145" s="14" t="str">
        <x:v>EU</x:v>
      </x:c>
      <x:c r="E145" s="14"/>
      <x:c r="F145" s="14" t="str">
        <x:v>%</x:v>
      </x:c>
      <x:c r="G145" s="14" t="str">
        <x:v>lower_is_better</x:v>
      </x:c>
      <x:c r="H145" s="14" t="str">
        <x:v>R12</x:v>
      </x:c>
      <x:c r="I145" s="14" t="str">
        <x:v>Optional/Nein</x:v>
      </x:c>
      <x:c r="J145" s="51"/>
      <x:c r="K145" s="51"/>
      <x:c r="L145" s="51"/>
      <x:c r="M145" s="51"/>
      <x:c r="N145" s="51"/>
      <x:c r="O145" s="54"/>
      <x:c r="P145" s="51" t="str">
        <x:v>Optional – kein aktiver Benchmark</x:v>
      </x:c>
      <x:c r="Q145" s="53" t="n">
        <x:v>1</x:v>
      </x:c>
      <x:c r="R145" s="53" t="n">
        <x:v>1.2</x:v>
      </x:c>
      <x:c r="S145" s="53" t="n">
        <x:v>1.5</x:v>
      </x:c>
      <x:c r="T145" s="53" t="str">
        <x:v>default:reg_limit</x:v>
      </x:c>
      <x:c r="U145" s="14" t="str">
        <x:v>Legacy-Werte bleiben nur als historische Rechenhilfe erhalten und werden nicht für den FinalScore verwendet.</x:v>
      </x:c>
    </x:row>
    <x:row r="146" ht="42" customHeight="1">
      <x:c r="A146" s="14" t="str">
        <x:v>WOK-E-128</x:v>
      </x:c>
      <x:c r="B146" s="14" t="str">
        <x:v>C20</x:v>
      </x:c>
      <x:c r="C146" s="14" t="str">
        <x:v>Legacy / Migration auf NACE Rev. 2.1 offen</x:v>
      </x:c>
      <x:c r="D146" s="14" t="str">
        <x:v>EU</x:v>
      </x:c>
      <x:c r="E146" s="14"/>
      <x:c r="F146" s="14" t="str">
        <x:v>m³*WSI</x:v>
      </x:c>
      <x:c r="G146" s="14" t="str">
        <x:v>lower_is_better</x:v>
      </x:c>
      <x:c r="H146" s="14" t="str">
        <x:v>R06</x:v>
      </x:c>
      <x:c r="I146" s="14" t="str">
        <x:v>Ja</x:v>
      </x:c>
      <x:c r="J146" s="51"/>
      <x:c r="K146" s="51"/>
      <x:c r="L146" s="51"/>
      <x:c r="M146" s="51"/>
      <x:c r="N146" s="51"/>
      <x:c r="O146" s="54"/>
      <x:c r="P146" s="51" t="str">
        <x:v>Offen – validierter Benchmark fehlt</x:v>
      </x:c>
      <x:c r="Q146" s="53" t="n">
        <x:v>1</x:v>
      </x:c>
      <x:c r="R146" s="53" t="n">
        <x:v>1.5</x:v>
      </x:c>
      <x:c r="S146" s="53" t="n">
        <x:v>2.5</x:v>
      </x:c>
      <x:c r="T146" s="53" t="str">
        <x:v>default:lower_is_better_abs</x:v>
      </x:c>
      <x:c r="U146" s="14" t="str">
        <x:v>Vor Aktivierung repräsentative Population, Region, Technologieklasse, Statistik, Quelle und Gültigkeitszeitraum dokumentieren.</x:v>
      </x:c>
    </x:row>
    <x:row r="147" ht="42" customHeight="1">
      <x:c r="A147" s="14" t="str">
        <x:v>WOK-E-129</x:v>
      </x:c>
      <x:c r="B147" s="14" t="str">
        <x:v>C20</x:v>
      </x:c>
      <x:c r="C147" s="14" t="str">
        <x:v>Legacy / Migration auf NACE Rev. 2.1 offen</x:v>
      </x:c>
      <x:c r="D147" s="14" t="str">
        <x:v>EU</x:v>
      </x:c>
      <x:c r="E147" s="14"/>
      <x:c r="F147" s="14" t="str">
        <x:v>%</x:v>
      </x:c>
      <x:c r="G147" s="14" t="str">
        <x:v>higher_is_better</x:v>
      </x:c>
      <x:c r="H147" s="14" t="str">
        <x:v>R25</x:v>
      </x:c>
      <x:c r="I147" s="14" t="str">
        <x:v>Optional/Nein</x:v>
      </x:c>
      <x:c r="J147" s="51"/>
      <x:c r="K147" s="51"/>
      <x:c r="L147" s="51"/>
      <x:c r="M147" s="51"/>
      <x:c r="N147" s="51"/>
      <x:c r="O147" s="54"/>
      <x:c r="P147" s="51" t="str">
        <x:v>Optional – kein aktiver Benchmark</x:v>
      </x:c>
      <x:c r="Q147" s="53" t="n">
        <x:v>50</x:v>
      </x:c>
      <x:c r="R147" s="53" t="n">
        <x:v>75</x:v>
      </x:c>
      <x:c r="S147" s="53" t="n">
        <x:v>100</x:v>
      </x:c>
      <x:c r="T147" s="53" t="str">
        <x:v>default:higher_is_better_pct</x:v>
      </x:c>
      <x:c r="U147" s="14" t="str">
        <x:v>Legacy-Werte bleiben nur als historische Rechenhilfe erhalten und werden nicht für den FinalScore verwendet.</x:v>
      </x:c>
    </x:row>
    <x:row r="148" ht="42" customHeight="1">
      <x:c r="A148" s="14" t="str">
        <x:v>WOK-E-130</x:v>
      </x:c>
      <x:c r="B148" s="14" t="str">
        <x:v>C20</x:v>
      </x:c>
      <x:c r="C148" s="14" t="str">
        <x:v>Legacy / Migration auf NACE Rev. 2.1 offen</x:v>
      </x:c>
      <x:c r="D148" s="14" t="str">
        <x:v>EU</x:v>
      </x:c>
      <x:c r="E148" s="14"/>
      <x:c r="F148" s="14" t="str">
        <x:v>%</x:v>
      </x:c>
      <x:c r="G148" s="14" t="str">
        <x:v>lower_is_better</x:v>
      </x:c>
      <x:c r="H148" s="14" t="str">
        <x:v>R12</x:v>
      </x:c>
      <x:c r="I148" s="14" t="str">
        <x:v>Optional/Nein</x:v>
      </x:c>
      <x:c r="J148" s="51"/>
      <x:c r="K148" s="51"/>
      <x:c r="L148" s="51"/>
      <x:c r="M148" s="51"/>
      <x:c r="N148" s="51"/>
      <x:c r="O148" s="54"/>
      <x:c r="P148" s="51" t="str">
        <x:v>Optional – kein aktiver Benchmark</x:v>
      </x:c>
      <x:c r="Q148" s="53" t="n">
        <x:v>1</x:v>
      </x:c>
      <x:c r="R148" s="53" t="n">
        <x:v>1.2</x:v>
      </x:c>
      <x:c r="S148" s="53" t="n">
        <x:v>1.5</x:v>
      </x:c>
      <x:c r="T148" s="53" t="str">
        <x:v>default:reg_limit</x:v>
      </x:c>
      <x:c r="U148" s="14" t="str">
        <x:v>Legacy-Werte bleiben nur als historische Rechenhilfe erhalten und werden nicht für den FinalScore verwendet.</x:v>
      </x:c>
    </x:row>
    <x:row r="149" ht="42" customHeight="1">
      <x:c r="A149" s="14" t="str">
        <x:v>WOK-SC-110</x:v>
      </x:c>
      <x:c r="B149" s="14" t="str">
        <x:v>C20</x:v>
      </x:c>
      <x:c r="C149" s="14" t="str">
        <x:v>Legacy / Migration auf NACE Rev. 2.1 offen</x:v>
      </x:c>
      <x:c r="D149" s="14" t="str">
        <x:v>EU</x:v>
      </x:c>
      <x:c r="E149" s="14"/>
      <x:c r="F149" s="14" t="str">
        <x:v>%</x:v>
      </x:c>
      <x:c r="G149" s="14" t="str">
        <x:v>higher_is_better</x:v>
      </x:c>
      <x:c r="H149" s="14" t="str">
        <x:v>R26</x:v>
      </x:c>
      <x:c r="I149" s="14" t="str">
        <x:v>Optional/Nein</x:v>
      </x:c>
      <x:c r="J149" s="51"/>
      <x:c r="K149" s="51"/>
      <x:c r="L149" s="51"/>
      <x:c r="M149" s="51"/>
      <x:c r="N149" s="51"/>
      <x:c r="O149" s="54"/>
      <x:c r="P149" s="51" t="str">
        <x:v>Optional – kein aktiver Benchmark</x:v>
      </x:c>
      <x:c r="Q149" s="53" t="n">
        <x:v>59.5</x:v>
      </x:c>
      <x:c r="R149" s="53" t="n">
        <x:v>89.25</x:v>
      </x:c>
      <x:c r="S149" s="53" t="n">
        <x:v>100</x:v>
      </x:c>
      <x:c r="T149" s="53" t="str">
        <x:v>threshold:0-class</x:v>
      </x:c>
      <x:c r="U149" s="14" t="str">
        <x:v>Legacy-Werte bleiben nur als historische Rechenhilfe erhalten und werden nicht für den FinalScore verwendet.</x:v>
      </x:c>
    </x:row>
    <x:row r="150" ht="42" customHeight="1">
      <x:c r="A150" s="14" t="str">
        <x:v>WOK-SC-111</x:v>
      </x:c>
      <x:c r="B150" s="14" t="str">
        <x:v>C20</x:v>
      </x:c>
      <x:c r="C150" s="14" t="str">
        <x:v>Legacy / Migration auf NACE Rev. 2.1 offen</x:v>
      </x:c>
      <x:c r="D150" s="14" t="str">
        <x:v>EU</x:v>
      </x:c>
      <x:c r="E150" s="14"/>
      <x:c r="F150" s="14" t="str">
        <x:v>% Lieferanten</x:v>
      </x:c>
      <x:c r="G150" s="14" t="str">
        <x:v>higher_is_better</x:v>
      </x:c>
      <x:c r="H150" s="14" t="str">
        <x:v>R28</x:v>
      </x:c>
      <x:c r="I150" s="14" t="str">
        <x:v>Optional/Nein</x:v>
      </x:c>
      <x:c r="J150" s="51"/>
      <x:c r="K150" s="51"/>
      <x:c r="L150" s="51"/>
      <x:c r="M150" s="51"/>
      <x:c r="N150" s="51"/>
      <x:c r="O150" s="54"/>
      <x:c r="P150" s="51" t="str">
        <x:v>Optional – kein aktiver Benchmark</x:v>
      </x:c>
      <x:c r="Q150" s="53" t="n">
        <x:v>82</x:v>
      </x:c>
      <x:c r="R150" s="53" t="n">
        <x:v>100</x:v>
      </x:c>
      <x:c r="S150" s="53" t="n">
        <x:v>100</x:v>
      </x:c>
      <x:c r="T150" s="53" t="str">
        <x:v>threshold:0-class</x:v>
      </x:c>
      <x:c r="U150" s="14" t="str">
        <x:v>Legacy-Werte bleiben nur als historische Rechenhilfe erhalten und werden nicht für den FinalScore verwendet.</x:v>
      </x:c>
    </x:row>
    <x:row r="151" ht="42" customHeight="1">
      <x:c r="A151" s="14" t="str">
        <x:v>WOK-SC-112</x:v>
      </x:c>
      <x:c r="B151" s="14" t="str">
        <x:v>C20</x:v>
      </x:c>
      <x:c r="C151" s="14" t="str">
        <x:v>Legacy / Migration auf NACE Rev. 2.1 offen</x:v>
      </x:c>
      <x:c r="D151" s="14" t="str">
        <x:v>EU</x:v>
      </x:c>
      <x:c r="E151" s="14"/>
      <x:c r="F151" s="14" t="str">
        <x:v>% Kategorien</x:v>
      </x:c>
      <x:c r="G151" s="14" t="str">
        <x:v>higher_is_better</x:v>
      </x:c>
      <x:c r="H151" s="14" t="str">
        <x:v>R23</x:v>
      </x:c>
      <x:c r="I151" s="14" t="str">
        <x:v>Optional/Nein</x:v>
      </x:c>
      <x:c r="J151" s="51"/>
      <x:c r="K151" s="51"/>
      <x:c r="L151" s="51"/>
      <x:c r="M151" s="51"/>
      <x:c r="N151" s="51"/>
      <x:c r="O151" s="54"/>
      <x:c r="P151" s="51" t="str">
        <x:v>Optional – kein aktiver Benchmark</x:v>
      </x:c>
      <x:c r="Q151" s="53" t="n">
        <x:v>49.5</x:v>
      </x:c>
      <x:c r="R151" s="53" t="n">
        <x:v>74.25</x:v>
      </x:c>
      <x:c r="S151" s="53" t="n">
        <x:v>100</x:v>
      </x:c>
      <x:c r="T151" s="53" t="str">
        <x:v>threshold:0-class</x:v>
      </x:c>
      <x:c r="U151" s="14" t="str">
        <x:v>Legacy-Werte bleiben nur als historische Rechenhilfe erhalten und werden nicht für den FinalScore verwendet.</x:v>
      </x:c>
    </x:row>
    <x:row r="152" ht="42" customHeight="1">
      <x:c r="A152" s="14" t="str">
        <x:v>WOK-RE-107</x:v>
      </x:c>
      <x:c r="B152" s="14" t="str">
        <x:v>L68</x:v>
      </x:c>
      <x:c r="C152" s="14" t="str">
        <x:v>Legacy / Migration auf NACE Rev. 2.1 offen</x:v>
      </x:c>
      <x:c r="D152" s="14" t="str">
        <x:v>EU</x:v>
      </x:c>
      <x:c r="E152" s="14"/>
      <x:c r="F152" s="14" t="str">
        <x:v>kWh/m²a</x:v>
      </x:c>
      <x:c r="G152" s="14" t="str">
        <x:v>lower_is_better</x:v>
      </x:c>
      <x:c r="H152" s="14" t="str">
        <x:v>R05</x:v>
      </x:c>
      <x:c r="I152" s="14" t="str">
        <x:v>Ja</x:v>
      </x:c>
      <x:c r="J152" s="51"/>
      <x:c r="K152" s="51"/>
      <x:c r="L152" s="51"/>
      <x:c r="M152" s="51"/>
      <x:c r="N152" s="51"/>
      <x:c r="O152" s="54"/>
      <x:c r="P152" s="51" t="str">
        <x:v>Offen – validierter Benchmark fehlt</x:v>
      </x:c>
      <x:c r="Q152" s="53" t="n">
        <x:v>1</x:v>
      </x:c>
      <x:c r="R152" s="53" t="n">
        <x:v>1.5</x:v>
      </x:c>
      <x:c r="S152" s="53" t="n">
        <x:v>2.5</x:v>
      </x:c>
      <x:c r="T152" s="53" t="str">
        <x:v>default:lower_is_better_abs</x:v>
      </x:c>
      <x:c r="U152" s="14" t="str">
        <x:v>Vor Aktivierung repräsentative Population, Region, Technologieklasse, Statistik, Quelle und Gültigkeitszeitraum dokumentieren.</x:v>
      </x:c>
    </x:row>
    <x:row r="153" ht="42" customHeight="1">
      <x:c r="A153" s="14" t="str">
        <x:v>WOK-RE-108</x:v>
      </x:c>
      <x:c r="B153" s="14" t="str">
        <x:v>L68</x:v>
      </x:c>
      <x:c r="C153" s="14" t="str">
        <x:v>Legacy / Migration auf NACE Rev. 2.1 offen</x:v>
      </x:c>
      <x:c r="D153" s="14" t="str">
        <x:v>EU</x:v>
      </x:c>
      <x:c r="E153" s="14"/>
      <x:c r="F153" s="14" t="str">
        <x:v>kg CO₂e/m²</x:v>
      </x:c>
      <x:c r="G153" s="14" t="str">
        <x:v>lower_is_better</x:v>
      </x:c>
      <x:c r="H153" s="14" t="str">
        <x:v>R06</x:v>
      </x:c>
      <x:c r="I153" s="14" t="str">
        <x:v>Ja</x:v>
      </x:c>
      <x:c r="J153" s="51"/>
      <x:c r="K153" s="51"/>
      <x:c r="L153" s="51"/>
      <x:c r="M153" s="51"/>
      <x:c r="N153" s="51"/>
      <x:c r="O153" s="54"/>
      <x:c r="P153" s="51" t="str">
        <x:v>Offen – validierter Benchmark fehlt</x:v>
      </x:c>
      <x:c r="Q153" s="53" t="n">
        <x:v>1</x:v>
      </x:c>
      <x:c r="R153" s="53" t="n">
        <x:v>1.5</x:v>
      </x:c>
      <x:c r="S153" s="53" t="n">
        <x:v>2.5</x:v>
      </x:c>
      <x:c r="T153" s="53" t="str">
        <x:v>default:lower_is_better_abs</x:v>
      </x:c>
      <x:c r="U153" s="14" t="str">
        <x:v>Vor Aktivierung repräsentative Population, Region, Technologieklasse, Statistik, Quelle und Gültigkeitszeitraum dokumentieren.</x:v>
      </x:c>
    </x:row>
    <x:row r="154" ht="42" customHeight="1">
      <x:c r="A154" s="14" t="str">
        <x:v>WOK-RE-109</x:v>
      </x:c>
      <x:c r="B154" s="14" t="str">
        <x:v>L68</x:v>
      </x:c>
      <x:c r="C154" s="14" t="str">
        <x:v>Legacy / Migration auf NACE Rev. 2.1 offen</x:v>
      </x:c>
      <x:c r="D154" s="14" t="str">
        <x:v>EU</x:v>
      </x:c>
      <x:c r="E154" s="14"/>
      <x:c r="F154" s="14" t="str">
        <x:v>0–1</x:v>
      </x:c>
      <x:c r="G154" s="14" t="str">
        <x:v>higher_is_better</x:v>
      </x:c>
      <x:c r="H154" s="14" t="str">
        <x:v>R14</x:v>
      </x:c>
      <x:c r="I154" s="14" t="str">
        <x:v>Optional/Nein</x:v>
      </x:c>
      <x:c r="J154" s="51"/>
      <x:c r="K154" s="51"/>
      <x:c r="L154" s="51"/>
      <x:c r="M154" s="51"/>
      <x:c r="N154" s="51"/>
      <x:c r="O154" s="54"/>
      <x:c r="P154" s="51" t="str">
        <x:v>Optional – kein aktiver Benchmark</x:v>
      </x:c>
      <x:c r="Q154" s="53" t="n">
        <x:v>0.495</x:v>
      </x:c>
      <x:c r="R154" s="53" t="n">
        <x:v>0.7424999999999999</x:v>
      </x:c>
      <x:c r="S154" s="53" t="n">
        <x:v>1</x:v>
      </x:c>
      <x:c r="T154" s="53" t="str">
        <x:v>threshold:0-class</x:v>
      </x:c>
      <x:c r="U154" s="14" t="str">
        <x:v>Legacy-Werte bleiben nur als historische Rechenhilfe erhalten und werden nicht für den FinalScore verwendet.</x:v>
      </x:c>
    </x:row>
    <x:row r="155" ht="42" customHeight="1">
      <x:c r="A155" s="14" t="str">
        <x:v>WOK-P-110</x:v>
      </x:c>
      <x:c r="B155" s="14" t="str">
        <x:v>C20</x:v>
      </x:c>
      <x:c r="C155" s="14" t="str">
        <x:v>Legacy / Migration auf NACE Rev. 2.1 offen</x:v>
      </x:c>
      <x:c r="D155" s="14" t="str">
        <x:v>EU</x:v>
      </x:c>
      <x:c r="E155" s="14"/>
      <x:c r="F155" s="14" t="str">
        <x:v>kg CO₂e/Einheit</x:v>
      </x:c>
      <x:c r="G155" s="14" t="str">
        <x:v>lower_is_better</x:v>
      </x:c>
      <x:c r="H155" s="14" t="str">
        <x:v>R07</x:v>
      </x:c>
      <x:c r="I155" s="14" t="str">
        <x:v>Ja</x:v>
      </x:c>
      <x:c r="J155" s="51"/>
      <x:c r="K155" s="51"/>
      <x:c r="L155" s="51"/>
      <x:c r="M155" s="51"/>
      <x:c r="N155" s="51"/>
      <x:c r="O155" s="54"/>
      <x:c r="P155" s="51" t="str">
        <x:v>Offen – validierter Benchmark fehlt</x:v>
      </x:c>
      <x:c r="Q155" s="53" t="n">
        <x:v>1</x:v>
      </x:c>
      <x:c r="R155" s="53" t="n">
        <x:v>1.5</x:v>
      </x:c>
      <x:c r="S155" s="53" t="n">
        <x:v>2.5</x:v>
      </x:c>
      <x:c r="T155" s="53" t="str">
        <x:v>default:lower_is_better_abs</x:v>
      </x:c>
      <x:c r="U155" s="14" t="str">
        <x:v>Vor Aktivierung repräsentative Population, Region, Technologieklasse, Statistik, Quelle und Gültigkeitszeitraum dokumentieren.</x:v>
      </x:c>
    </x:row>
    <x:row r="156" ht="42" customHeight="1">
      <x:c r="A156" s="14" t="str">
        <x:v>WOK-P-111</x:v>
      </x:c>
      <x:c r="B156" s="14" t="str">
        <x:v>C20</x:v>
      </x:c>
      <x:c r="C156" s="14" t="str">
        <x:v>Legacy / Migration auf NACE Rev. 2.1 offen</x:v>
      </x:c>
      <x:c r="D156" s="14" t="str">
        <x:v>EU</x:v>
      </x:c>
      <x:c r="E156" s="14"/>
      <x:c r="F156" s="14" t="str">
        <x:v>Score 0–10</x:v>
      </x:c>
      <x:c r="G156" s="14" t="str">
        <x:v>higher_is_better</x:v>
      </x:c>
      <x:c r="H156" s="14" t="str">
        <x:v>R24</x:v>
      </x:c>
      <x:c r="I156" s="14" t="str">
        <x:v>Optional/Nein</x:v>
      </x:c>
      <x:c r="J156" s="51"/>
      <x:c r="K156" s="51"/>
      <x:c r="L156" s="51"/>
      <x:c r="M156" s="51"/>
      <x:c r="N156" s="51"/>
      <x:c r="O156" s="54"/>
      <x:c r="P156" s="51" t="str">
        <x:v>Optional – kein aktiver Benchmark</x:v>
      </x:c>
      <x:c r="Q156" s="53" t="n">
        <x:v>4.95</x:v>
      </x:c>
      <x:c r="R156" s="53" t="n">
        <x:v>1</x:v>
      </x:c>
      <x:c r="S156" s="53" t="n">
        <x:v>1</x:v>
      </x:c>
      <x:c r="T156" s="53" t="str">
        <x:v>threshold:0-class</x:v>
      </x:c>
      <x:c r="U156" s="14" t="str">
        <x:v>Legacy-Werte bleiben nur als historische Rechenhilfe erhalten und werden nicht für den FinalScore verwendet.</x:v>
      </x:c>
    </x:row>
    <x:row r="157" ht="42" customHeight="1">
      <x:c r="A157" s="14" t="str">
        <x:v>WOK-P-112</x:v>
      </x:c>
      <x:c r="B157" s="14" t="str">
        <x:v>C20</x:v>
      </x:c>
      <x:c r="C157" s="14" t="str">
        <x:v>Legacy / Migration auf NACE Rev. 2.1 offen</x:v>
      </x:c>
      <x:c r="D157" s="14" t="str">
        <x:v>EU</x:v>
      </x:c>
      <x:c r="E157" s="14"/>
      <x:c r="F157" s="14" t="str">
        <x:v>%</x:v>
      </x:c>
      <x:c r="G157" s="14" t="str">
        <x:v>higher_is_better</x:v>
      </x:c>
      <x:c r="H157" s="14" t="str">
        <x:v>R22</x:v>
      </x:c>
      <x:c r="I157" s="14" t="str">
        <x:v>Optional/Nein</x:v>
      </x:c>
      <x:c r="J157" s="51"/>
      <x:c r="K157" s="51"/>
      <x:c r="L157" s="51"/>
      <x:c r="M157" s="51"/>
      <x:c r="N157" s="51"/>
      <x:c r="O157" s="54"/>
      <x:c r="P157" s="51" t="str">
        <x:v>Optional – kein aktiver Benchmark</x:v>
      </x:c>
      <x:c r="Q157" s="53" t="n">
        <x:v>39.5</x:v>
      </x:c>
      <x:c r="R157" s="53" t="n">
        <x:v>59.25</x:v>
      </x:c>
      <x:c r="S157" s="53" t="n">
        <x:v>98.75</x:v>
      </x:c>
      <x:c r="T157" s="53" t="str">
        <x:v>threshold:0-class</x:v>
      </x:c>
      <x:c r="U157" s="14" t="str">
        <x:v>Legacy-Werte bleiben nur als historische Rechenhilfe erhalten und werden nicht für den FinalScore verwendet.</x:v>
      </x:c>
    </x:row>
    <x:row r="158" ht="42" customHeight="1">
      <x:c r="A158" s="14" t="str">
        <x:v>WOK-E-131</x:v>
      </x:c>
      <x:c r="B158" s="14" t="str">
        <x:v>C20</x:v>
      </x:c>
      <x:c r="C158" s="14" t="str">
        <x:v>Legacy / Migration auf NACE Rev. 2.1 offen</x:v>
      </x:c>
      <x:c r="D158" s="14" t="str">
        <x:v>EU</x:v>
      </x:c>
      <x:c r="E158" s="14"/>
      <x:c r="F158" s="14" t="str">
        <x:v>m³*WSI</x:v>
      </x:c>
      <x:c r="G158" s="14" t="str">
        <x:v>lower_is_better</x:v>
      </x:c>
      <x:c r="H158" s="14" t="str">
        <x:v>R06</x:v>
      </x:c>
      <x:c r="I158" s="14" t="str">
        <x:v>Ja</x:v>
      </x:c>
      <x:c r="J158" s="51"/>
      <x:c r="K158" s="51"/>
      <x:c r="L158" s="51"/>
      <x:c r="M158" s="51"/>
      <x:c r="N158" s="51"/>
      <x:c r="O158" s="54"/>
      <x:c r="P158" s="51" t="str">
        <x:v>Offen – validierter Benchmark fehlt</x:v>
      </x:c>
      <x:c r="Q158" s="53" t="n">
        <x:v>1</x:v>
      </x:c>
      <x:c r="R158" s="53" t="n">
        <x:v>1.5</x:v>
      </x:c>
      <x:c r="S158" s="53" t="n">
        <x:v>2.5</x:v>
      </x:c>
      <x:c r="T158" s="53" t="str">
        <x:v>default:lower_is_better_abs</x:v>
      </x:c>
      <x:c r="U158" s="14" t="str">
        <x:v>Vor Aktivierung repräsentative Population, Region, Technologieklasse, Statistik, Quelle und Gültigkeitszeitraum dokumentieren.</x:v>
      </x:c>
    </x:row>
    <x:row r="159" ht="42" customHeight="1">
      <x:c r="A159" s="14" t="str">
        <x:v>WOK-E-132</x:v>
      </x:c>
      <x:c r="B159" s="14" t="str">
        <x:v>C20</x:v>
      </x:c>
      <x:c r="C159" s="14" t="str">
        <x:v>Legacy / Migration auf NACE Rev. 2.1 offen</x:v>
      </x:c>
      <x:c r="D159" s="14" t="str">
        <x:v>EU</x:v>
      </x:c>
      <x:c r="E159" s="14"/>
      <x:c r="F159" s="14" t="str">
        <x:v>%</x:v>
      </x:c>
      <x:c r="G159" s="14" t="str">
        <x:v>higher_is_better</x:v>
      </x:c>
      <x:c r="H159" s="14" t="str">
        <x:v>R25</x:v>
      </x:c>
      <x:c r="I159" s="14" t="str">
        <x:v>Optional/Nein</x:v>
      </x:c>
      <x:c r="J159" s="51"/>
      <x:c r="K159" s="51"/>
      <x:c r="L159" s="51"/>
      <x:c r="M159" s="51"/>
      <x:c r="N159" s="51"/>
      <x:c r="O159" s="54"/>
      <x:c r="P159" s="51" t="str">
        <x:v>Optional – kein aktiver Benchmark</x:v>
      </x:c>
      <x:c r="Q159" s="53" t="n">
        <x:v>50</x:v>
      </x:c>
      <x:c r="R159" s="53" t="n">
        <x:v>75</x:v>
      </x:c>
      <x:c r="S159" s="53" t="n">
        <x:v>100</x:v>
      </x:c>
      <x:c r="T159" s="53" t="str">
        <x:v>default:higher_is_better_pct</x:v>
      </x:c>
      <x:c r="U159" s="14" t="str">
        <x:v>Legacy-Werte bleiben nur als historische Rechenhilfe erhalten und werden nicht für den FinalScore verwendet.</x:v>
      </x:c>
    </x:row>
    <x:row r="160" ht="42" customHeight="1">
      <x:c r="A160" s="14" t="str">
        <x:v>WOK-E-133</x:v>
      </x:c>
      <x:c r="B160" s="14" t="str">
        <x:v>C20</x:v>
      </x:c>
      <x:c r="C160" s="14" t="str">
        <x:v>Legacy / Migration auf NACE Rev. 2.1 offen</x:v>
      </x:c>
      <x:c r="D160" s="14" t="str">
        <x:v>EU</x:v>
      </x:c>
      <x:c r="E160" s="14"/>
      <x:c r="F160" s="14" t="str">
        <x:v>%</x:v>
      </x:c>
      <x:c r="G160" s="14" t="str">
        <x:v>lower_is_better</x:v>
      </x:c>
      <x:c r="H160" s="14" t="str">
        <x:v>R12</x:v>
      </x:c>
      <x:c r="I160" s="14" t="str">
        <x:v>Optional/Nein</x:v>
      </x:c>
      <x:c r="J160" s="51"/>
      <x:c r="K160" s="51"/>
      <x:c r="L160" s="51"/>
      <x:c r="M160" s="51"/>
      <x:c r="N160" s="51"/>
      <x:c r="O160" s="54"/>
      <x:c r="P160" s="51" t="str">
        <x:v>Optional – kein aktiver Benchmark</x:v>
      </x:c>
      <x:c r="Q160" s="53" t="n">
        <x:v>1</x:v>
      </x:c>
      <x:c r="R160" s="53" t="n">
        <x:v>1.2</x:v>
      </x:c>
      <x:c r="S160" s="53" t="n">
        <x:v>1.5</x:v>
      </x:c>
      <x:c r="T160" s="53" t="str">
        <x:v>default:reg_limit</x:v>
      </x:c>
      <x:c r="U160" s="14" t="str">
        <x:v>Legacy-Werte bleiben nur als historische Rechenhilfe erhalten und werden nicht für den FinalScore verwendet.</x:v>
      </x:c>
    </x:row>
    <x:row r="161" ht="42" customHeight="1">
      <x:c r="A161" s="14" t="str">
        <x:v>WOK-E-134</x:v>
      </x:c>
      <x:c r="B161" s="14" t="str">
        <x:v>C20</x:v>
      </x:c>
      <x:c r="C161" s="14" t="str">
        <x:v>Legacy / Migration auf NACE Rev. 2.1 offen</x:v>
      </x:c>
      <x:c r="D161" s="14" t="str">
        <x:v>EU</x:v>
      </x:c>
      <x:c r="E161" s="14"/>
      <x:c r="F161" s="14" t="str">
        <x:v>m³*WSI</x:v>
      </x:c>
      <x:c r="G161" s="14" t="str">
        <x:v>lower_is_better</x:v>
      </x:c>
      <x:c r="H161" s="14" t="str">
        <x:v>R06</x:v>
      </x:c>
      <x:c r="I161" s="14" t="str">
        <x:v>Ja</x:v>
      </x:c>
      <x:c r="J161" s="51"/>
      <x:c r="K161" s="51"/>
      <x:c r="L161" s="51"/>
      <x:c r="M161" s="51"/>
      <x:c r="N161" s="51"/>
      <x:c r="O161" s="54"/>
      <x:c r="P161" s="51" t="str">
        <x:v>Offen – validierter Benchmark fehlt</x:v>
      </x:c>
      <x:c r="Q161" s="53" t="n">
        <x:v>1</x:v>
      </x:c>
      <x:c r="R161" s="53" t="n">
        <x:v>1.5</x:v>
      </x:c>
      <x:c r="S161" s="53" t="n">
        <x:v>2.5</x:v>
      </x:c>
      <x:c r="T161" s="53" t="str">
        <x:v>default:lower_is_better_abs</x:v>
      </x:c>
      <x:c r="U161" s="14" t="str">
        <x:v>Vor Aktivierung repräsentative Population, Region, Technologieklasse, Statistik, Quelle und Gültigkeitszeitraum dokumentieren.</x:v>
      </x:c>
    </x:row>
    <x:row r="162" ht="42" customHeight="1">
      <x:c r="A162" s="14" t="str">
        <x:v>WOK-E-135</x:v>
      </x:c>
      <x:c r="B162" s="14" t="str">
        <x:v>C20</x:v>
      </x:c>
      <x:c r="C162" s="14" t="str">
        <x:v>Legacy / Migration auf NACE Rev. 2.1 offen</x:v>
      </x:c>
      <x:c r="D162" s="14" t="str">
        <x:v>EU</x:v>
      </x:c>
      <x:c r="E162" s="14"/>
      <x:c r="F162" s="14" t="str">
        <x:v>%</x:v>
      </x:c>
      <x:c r="G162" s="14" t="str">
        <x:v>higher_is_better</x:v>
      </x:c>
      <x:c r="H162" s="14" t="str">
        <x:v>R25</x:v>
      </x:c>
      <x:c r="I162" s="14" t="str">
        <x:v>Optional/Nein</x:v>
      </x:c>
      <x:c r="J162" s="51"/>
      <x:c r="K162" s="51"/>
      <x:c r="L162" s="51"/>
      <x:c r="M162" s="51"/>
      <x:c r="N162" s="51"/>
      <x:c r="O162" s="54"/>
      <x:c r="P162" s="51" t="str">
        <x:v>Optional – kein aktiver Benchmark</x:v>
      </x:c>
      <x:c r="Q162" s="53" t="n">
        <x:v>50</x:v>
      </x:c>
      <x:c r="R162" s="53" t="n">
        <x:v>75</x:v>
      </x:c>
      <x:c r="S162" s="53" t="n">
        <x:v>100</x:v>
      </x:c>
      <x:c r="T162" s="53" t="str">
        <x:v>default:higher_is_better_pct</x:v>
      </x:c>
      <x:c r="U162" s="14" t="str">
        <x:v>Legacy-Werte bleiben nur als historische Rechenhilfe erhalten und werden nicht für den FinalScore verwendet.</x:v>
      </x:c>
    </x:row>
    <x:row r="163" ht="42" customHeight="1">
      <x:c r="A163" s="14" t="str">
        <x:v>WOK-E-136</x:v>
      </x:c>
      <x:c r="B163" s="14" t="str">
        <x:v>C20</x:v>
      </x:c>
      <x:c r="C163" s="14" t="str">
        <x:v>Legacy / Migration auf NACE Rev. 2.1 offen</x:v>
      </x:c>
      <x:c r="D163" s="14" t="str">
        <x:v>EU</x:v>
      </x:c>
      <x:c r="E163" s="14"/>
      <x:c r="F163" s="14" t="str">
        <x:v>%</x:v>
      </x:c>
      <x:c r="G163" s="14" t="str">
        <x:v>lower_is_better</x:v>
      </x:c>
      <x:c r="H163" s="14" t="str">
        <x:v>R12</x:v>
      </x:c>
      <x:c r="I163" s="14" t="str">
        <x:v>Optional/Nein</x:v>
      </x:c>
      <x:c r="J163" s="51"/>
      <x:c r="K163" s="51"/>
      <x:c r="L163" s="51"/>
      <x:c r="M163" s="51"/>
      <x:c r="N163" s="51"/>
      <x:c r="O163" s="54"/>
      <x:c r="P163" s="51" t="str">
        <x:v>Optional – kein aktiver Benchmark</x:v>
      </x:c>
      <x:c r="Q163" s="53" t="n">
        <x:v>1</x:v>
      </x:c>
      <x:c r="R163" s="53" t="n">
        <x:v>1.2</x:v>
      </x:c>
      <x:c r="S163" s="53" t="n">
        <x:v>1.5</x:v>
      </x:c>
      <x:c r="T163" s="53" t="str">
        <x:v>default:reg_limit</x:v>
      </x:c>
      <x:c r="U163" s="14" t="str">
        <x:v>Legacy-Werte bleiben nur als historische Rechenhilfe erhalten und werden nicht für den FinalScore verwendet.</x:v>
      </x:c>
    </x:row>
    <x:row r="164" ht="42" customHeight="1">
      <x:c r="A164" s="14" t="str">
        <x:v>WOK-G-131</x:v>
      </x:c>
      <x:c r="B164" s="14" t="str">
        <x:v>G47</x:v>
      </x:c>
      <x:c r="C164" s="14" t="str">
        <x:v>Legacy / Migration auf NACE Rev. 2.1 offen</x:v>
      </x:c>
      <x:c r="D164" s="14" t="str">
        <x:v>EU</x:v>
      </x:c>
      <x:c r="E164" s="14"/>
      <x:c r="F164" s="14" t="str">
        <x:v>Fälle/1.000 FTE</x:v>
      </x:c>
      <x:c r="G164" s="14" t="str">
        <x:v>lower_is_better</x:v>
      </x:c>
      <x:c r="H164" s="14" t="str">
        <x:v>R01</x:v>
      </x:c>
      <x:c r="I164" s="14" t="str">
        <x:v>Optional/Nein</x:v>
      </x:c>
      <x:c r="J164" s="51"/>
      <x:c r="K164" s="51"/>
      <x:c r="L164" s="51"/>
      <x:c r="M164" s="51"/>
      <x:c r="N164" s="51"/>
      <x:c r="O164" s="54"/>
      <x:c r="P164" s="51" t="str">
        <x:v>Optional – kein aktiver Benchmark</x:v>
      </x:c>
      <x:c r="Q164" s="53" t="n">
        <x:v>0.5</x:v>
      </x:c>
      <x:c r="R164" s="53" t="n">
        <x:v>0.75</x:v>
      </x:c>
      <x:c r="S164" s="53" t="n">
        <x:v>1.25</x:v>
      </x:c>
      <x:c r="T164" s="53" t="str">
        <x:v>threshold:0-class</x:v>
      </x:c>
      <x:c r="U164" s="14" t="str">
        <x:v>Legacy-Werte bleiben nur als historische Rechenhilfe erhalten und werden nicht für den FinalScore verwendet.</x:v>
      </x:c>
    </x:row>
    <x:row r="165" ht="42" customHeight="1">
      <x:c r="A165" s="14" t="str">
        <x:v>WOK-G-132</x:v>
      </x:c>
      <x:c r="B165" s="14" t="str">
        <x:v>G47</x:v>
      </x:c>
      <x:c r="C165" s="14" t="str">
        <x:v>Legacy / Migration auf NACE Rev. 2.1 offen</x:v>
      </x:c>
      <x:c r="D165" s="14" t="str">
        <x:v>EU</x:v>
      </x:c>
      <x:c r="E165" s="14"/>
      <x:c r="F165" s="14" t="str">
        <x:v>0–1</x:v>
      </x:c>
      <x:c r="G165" s="14" t="str">
        <x:v>higher_is_better</x:v>
      </x:c>
      <x:c r="H165" s="14" t="str">
        <x:v>R16</x:v>
      </x:c>
      <x:c r="I165" s="14" t="str">
        <x:v>Optional/Nein</x:v>
      </x:c>
      <x:c r="J165" s="51"/>
      <x:c r="K165" s="51"/>
      <x:c r="L165" s="51"/>
      <x:c r="M165" s="51"/>
      <x:c r="N165" s="51"/>
      <x:c r="O165" s="54"/>
      <x:c r="P165" s="51" t="str">
        <x:v>Optional – kein aktiver Benchmark</x:v>
      </x:c>
      <x:c r="Q165" s="53" t="n">
        <x:v>0.6699999999999999</x:v>
      </x:c>
      <x:c r="R165" s="53" t="n">
        <x:v>1</x:v>
      </x:c>
      <x:c r="S165" s="53" t="n">
        <x:v>1</x:v>
      </x:c>
      <x:c r="T165" s="53" t="str">
        <x:v>threshold:0-class</x:v>
      </x:c>
      <x:c r="U165" s="14" t="str">
        <x:v>Legacy-Werte bleiben nur als historische Rechenhilfe erhalten und werden nicht für den FinalScore verwendet.</x:v>
      </x:c>
    </x:row>
    <x:row r="166" ht="42" customHeight="1">
      <x:c r="A166" s="14" t="str">
        <x:v>WOK-G-133</x:v>
      </x:c>
      <x:c r="B166" s="14" t="str">
        <x:v>G47</x:v>
      </x:c>
      <x:c r="C166" s="14" t="str">
        <x:v>Legacy / Migration auf NACE Rev. 2.1 offen</x:v>
      </x:c>
      <x:c r="D166" s="14" t="str">
        <x:v>EU</x:v>
      </x:c>
      <x:c r="E166" s="14"/>
      <x:c r="F166" s="14" t="str">
        <x:v>0–1</x:v>
      </x:c>
      <x:c r="G166" s="14" t="str">
        <x:v>higher_is_better</x:v>
      </x:c>
      <x:c r="H166" s="14" t="str">
        <x:v>R08</x:v>
      </x:c>
      <x:c r="I166" s="14" t="str">
        <x:v>Optional/Nein</x:v>
      </x:c>
      <x:c r="J166" s="51"/>
      <x:c r="K166" s="51"/>
      <x:c r="L166" s="51"/>
      <x:c r="M166" s="51"/>
      <x:c r="N166" s="51"/>
      <x:c r="O166" s="54"/>
      <x:c r="P166" s="51" t="str">
        <x:v>Optional – kein aktiver Benchmark</x:v>
      </x:c>
      <x:c r="Q166" s="53" t="n">
        <x:v>0.5</x:v>
      </x:c>
      <x:c r="R166" s="53" t="n">
        <x:v>0.75</x:v>
      </x:c>
      <x:c r="S166" s="53" t="n">
        <x:v>0.9</x:v>
      </x:c>
      <x:c r="T166" s="53" t="str">
        <x:v>default:higher_is_better_abs</x:v>
      </x:c>
      <x:c r="U166" s="14" t="str">
        <x:v>Legacy-Werte bleiben nur als historische Rechenhilfe erhalten und werden nicht für den FinalScore verwendet.</x:v>
      </x:c>
    </x:row>
    <x:row r="167" ht="42" customHeight="1">
      <x:c r="A167" s="14" t="str">
        <x:v>WOK-E-137</x:v>
      </x:c>
      <x:c r="B167" s="14" t="str">
        <x:v>C20</x:v>
      </x:c>
      <x:c r="C167" s="14" t="str">
        <x:v>Legacy / Migration auf NACE Rev. 2.1 offen</x:v>
      </x:c>
      <x:c r="D167" s="14" t="str">
        <x:v>EU</x:v>
      </x:c>
      <x:c r="E167" s="14"/>
      <x:c r="F167" s="14" t="str">
        <x:v>%</x:v>
      </x:c>
      <x:c r="G167" s="14" t="str">
        <x:v>higher_is_better</x:v>
      </x:c>
      <x:c r="H167" s="14" t="str">
        <x:v>R25</x:v>
      </x:c>
      <x:c r="I167" s="14" t="str">
        <x:v>Optional/Nein</x:v>
      </x:c>
      <x:c r="J167" s="51"/>
      <x:c r="K167" s="51"/>
      <x:c r="L167" s="51"/>
      <x:c r="M167" s="51"/>
      <x:c r="N167" s="51"/>
      <x:c r="O167" s="54"/>
      <x:c r="P167" s="51" t="str">
        <x:v>Optional – kein aktiver Benchmark</x:v>
      </x:c>
      <x:c r="Q167" s="53" t="n">
        <x:v>50</x:v>
      </x:c>
      <x:c r="R167" s="53" t="n">
        <x:v>75</x:v>
      </x:c>
      <x:c r="S167" s="53" t="n">
        <x:v>100</x:v>
      </x:c>
      <x:c r="T167" s="53" t="str">
        <x:v>default:higher_is_better_pct</x:v>
      </x:c>
      <x:c r="U167" s="14" t="str">
        <x:v>Legacy-Werte bleiben nur als historische Rechenhilfe erhalten und werden nicht für den FinalScore verwendet.</x:v>
      </x:c>
    </x:row>
    <x:row r="168" ht="42" customHeight="1">
      <x:c r="A168" s="14" t="str">
        <x:v>WOK-E-138</x:v>
      </x:c>
      <x:c r="B168" s="14" t="str">
        <x:v>C20</x:v>
      </x:c>
      <x:c r="C168" s="14" t="str">
        <x:v>Legacy / Migration auf NACE Rev. 2.1 offen</x:v>
      </x:c>
      <x:c r="D168" s="14" t="str">
        <x:v>EU</x:v>
      </x:c>
      <x:c r="E168" s="14"/>
      <x:c r="F168" s="14" t="str">
        <x:v>kWh/€ Mio bzw. kWh/t</x:v>
      </x:c>
      <x:c r="G168" s="14" t="str">
        <x:v>lower_is_better</x:v>
      </x:c>
      <x:c r="H168" s="14" t="str">
        <x:v>R06</x:v>
      </x:c>
      <x:c r="I168" s="14" t="str">
        <x:v>Ja</x:v>
      </x:c>
      <x:c r="J168" s="51"/>
      <x:c r="K168" s="51"/>
      <x:c r="L168" s="51"/>
      <x:c r="M168" s="51"/>
      <x:c r="N168" s="51"/>
      <x:c r="O168" s="54"/>
      <x:c r="P168" s="51" t="str">
        <x:v>Offen – validierter Benchmark fehlt</x:v>
      </x:c>
      <x:c r="Q168" s="53" t="n">
        <x:v>1</x:v>
      </x:c>
      <x:c r="R168" s="53" t="n">
        <x:v>1.5</x:v>
      </x:c>
      <x:c r="S168" s="53" t="n">
        <x:v>2.5</x:v>
      </x:c>
      <x:c r="T168" s="53" t="str">
        <x:v>default:lower_is_better_abs</x:v>
      </x:c>
      <x:c r="U168" s="14" t="str">
        <x:v>Vor Aktivierung repräsentative Population, Region, Technologieklasse, Statistik, Quelle und Gültigkeitszeitraum dokumentieren.</x:v>
      </x:c>
    </x:row>
    <x:row r="169" ht="42" customHeight="1">
      <x:c r="A169" s="14" t="str">
        <x:v>WOK-E-139</x:v>
      </x:c>
      <x:c r="B169" s="14" t="str">
        <x:v>C20</x:v>
      </x:c>
      <x:c r="C169" s="14" t="str">
        <x:v>Legacy / Migration auf NACE Rev. 2.1 offen</x:v>
      </x:c>
      <x:c r="D169" s="14" t="str">
        <x:v>EU</x:v>
      </x:c>
      <x:c r="E169" s="14"/>
      <x:c r="F169" s="14" t="str">
        <x:v>PUE</x:v>
      </x:c>
      <x:c r="G169" s="14" t="str">
        <x:v>lower_is_better</x:v>
      </x:c>
      <x:c r="H169" s="14" t="str">
        <x:v>R09</x:v>
      </x:c>
      <x:c r="I169" s="14" t="str">
        <x:v>Optional/Nein</x:v>
      </x:c>
      <x:c r="J169" s="51"/>
      <x:c r="K169" s="51"/>
      <x:c r="L169" s="51"/>
      <x:c r="M169" s="51"/>
      <x:c r="N169" s="51"/>
      <x:c r="O169" s="54"/>
      <x:c r="P169" s="51" t="str">
        <x:v>Optional – kein aktiver Benchmark</x:v>
      </x:c>
      <x:c r="Q169" s="53" t="n">
        <x:v>1.505</x:v>
      </x:c>
      <x:c r="R169" s="53" t="n">
        <x:v>2.2575</x:v>
      </x:c>
      <x:c r="S169" s="53" t="n">
        <x:v>3.7625</x:v>
      </x:c>
      <x:c r="T169" s="53" t="str">
        <x:v>threshold:0-class</x:v>
      </x:c>
      <x:c r="U169" s="14" t="str">
        <x:v>Legacy-Werte bleiben nur als historische Rechenhilfe erhalten und werden nicht für den FinalScore verwendet.</x:v>
      </x:c>
    </x:row>
    <x:row r="170" ht="42" customHeight="1">
      <x:c r="A170" s="14" t="str">
        <x:v>WOK-E-140</x:v>
      </x:c>
      <x:c r="B170" s="14" t="str">
        <x:v>C20</x:v>
      </x:c>
      <x:c r="C170" s="14" t="str">
        <x:v>Legacy / Migration auf NACE Rev. 2.1 offen</x:v>
      </x:c>
      <x:c r="D170" s="14" t="str">
        <x:v>EU</x:v>
      </x:c>
      <x:c r="E170" s="14"/>
      <x:c r="F170" s="14" t="str">
        <x:v>%</x:v>
      </x:c>
      <x:c r="G170" s="14" t="str">
        <x:v>higher_is_better</x:v>
      </x:c>
      <x:c r="H170" s="14" t="str">
        <x:v>R25</x:v>
      </x:c>
      <x:c r="I170" s="14" t="str">
        <x:v>Optional/Nein</x:v>
      </x:c>
      <x:c r="J170" s="51"/>
      <x:c r="K170" s="51"/>
      <x:c r="L170" s="51"/>
      <x:c r="M170" s="51"/>
      <x:c r="N170" s="51"/>
      <x:c r="O170" s="54"/>
      <x:c r="P170" s="51" t="str">
        <x:v>Optional – kein aktiver Benchmark</x:v>
      </x:c>
      <x:c r="Q170" s="53" t="n">
        <x:v>50</x:v>
      </x:c>
      <x:c r="R170" s="53" t="n">
        <x:v>75</x:v>
      </x:c>
      <x:c r="S170" s="53" t="n">
        <x:v>100</x:v>
      </x:c>
      <x:c r="T170" s="53" t="str">
        <x:v>default:higher_is_better_pct</x:v>
      </x:c>
      <x:c r="U170" s="14" t="str">
        <x:v>Legacy-Werte bleiben nur als historische Rechenhilfe erhalten und werden nicht für den FinalScore verwendet.</x:v>
      </x:c>
    </x:row>
    <x:row r="171" ht="42" customHeight="1">
      <x:c r="A171" s="14" t="str">
        <x:v>WOK-E-141</x:v>
      </x:c>
      <x:c r="B171" s="14" t="str">
        <x:v>C20</x:v>
      </x:c>
      <x:c r="C171" s="14" t="str">
        <x:v>Legacy / Migration auf NACE Rev. 2.1 offen</x:v>
      </x:c>
      <x:c r="D171" s="14" t="str">
        <x:v>EU</x:v>
      </x:c>
      <x:c r="E171" s="14"/>
      <x:c r="F171" s="14" t="str">
        <x:v>kWh/€ Mio bzw. kWh/t</x:v>
      </x:c>
      <x:c r="G171" s="14" t="str">
        <x:v>lower_is_better</x:v>
      </x:c>
      <x:c r="H171" s="14" t="str">
        <x:v>R06</x:v>
      </x:c>
      <x:c r="I171" s="14" t="str">
        <x:v>Ja</x:v>
      </x:c>
      <x:c r="J171" s="51"/>
      <x:c r="K171" s="51"/>
      <x:c r="L171" s="51"/>
      <x:c r="M171" s="51"/>
      <x:c r="N171" s="51"/>
      <x:c r="O171" s="54"/>
      <x:c r="P171" s="51" t="str">
        <x:v>Offen – validierter Benchmark fehlt</x:v>
      </x:c>
      <x:c r="Q171" s="53" t="n">
        <x:v>1</x:v>
      </x:c>
      <x:c r="R171" s="53" t="n">
        <x:v>1.5</x:v>
      </x:c>
      <x:c r="S171" s="53" t="n">
        <x:v>2.5</x:v>
      </x:c>
      <x:c r="T171" s="53" t="str">
        <x:v>default:lower_is_better_abs</x:v>
      </x:c>
      <x:c r="U171" s="14" t="str">
        <x:v>Vor Aktivierung repräsentative Population, Region, Technologieklasse, Statistik, Quelle und Gültigkeitszeitraum dokumentieren.</x:v>
      </x:c>
    </x:row>
    <x:row r="172" ht="42" customHeight="1">
      <x:c r="A172" s="14" t="str">
        <x:v>WOK-E-142</x:v>
      </x:c>
      <x:c r="B172" s="14" t="str">
        <x:v>C20</x:v>
      </x:c>
      <x:c r="C172" s="14" t="str">
        <x:v>Legacy / Migration auf NACE Rev. 2.1 offen</x:v>
      </x:c>
      <x:c r="D172" s="14" t="str">
        <x:v>EU</x:v>
      </x:c>
      <x:c r="E172" s="14"/>
      <x:c r="F172" s="14" t="str">
        <x:v>PUE</x:v>
      </x:c>
      <x:c r="G172" s="14" t="str">
        <x:v>lower_is_better</x:v>
      </x:c>
      <x:c r="H172" s="14" t="str">
        <x:v>R09</x:v>
      </x:c>
      <x:c r="I172" s="14" t="str">
        <x:v>Optional/Nein</x:v>
      </x:c>
      <x:c r="J172" s="51"/>
      <x:c r="K172" s="51"/>
      <x:c r="L172" s="51"/>
      <x:c r="M172" s="51"/>
      <x:c r="N172" s="51"/>
      <x:c r="O172" s="54"/>
      <x:c r="P172" s="51" t="str">
        <x:v>Optional – kein aktiver Benchmark</x:v>
      </x:c>
      <x:c r="Q172" s="53" t="n">
        <x:v>1.505</x:v>
      </x:c>
      <x:c r="R172" s="53" t="n">
        <x:v>2.2575</x:v>
      </x:c>
      <x:c r="S172" s="53" t="n">
        <x:v>3.7625</x:v>
      </x:c>
      <x:c r="T172" s="53" t="str">
        <x:v>threshold:0-class</x:v>
      </x:c>
      <x:c r="U172" s="14" t="str">
        <x:v>Legacy-Werte bleiben nur als historische Rechenhilfe erhalten und werden nicht für den FinalScore verwendet.</x:v>
      </x:c>
    </x:row>
    <x:row r="173" ht="42" customHeight="1">
      <x:c r="A173" s="14" t="str">
        <x:v>WOK-POL-101</x:v>
      </x:c>
      <x:c r="B173" s="14" t="str">
        <x:v>D35</x:v>
      </x:c>
      <x:c r="C173" s="14" t="str">
        <x:v>Legacy / Migration auf NACE Rev. 2.1 offen</x:v>
      </x:c>
      <x:c r="D173" s="14" t="str">
        <x:v>EU</x:v>
      </x:c>
      <x:c r="E173" s="14"/>
      <x:c r="F173" s="14" t="str">
        <x:v>g CO₂e/kWh</x:v>
      </x:c>
      <x:c r="G173" s="14" t="str">
        <x:v>lower_is_better</x:v>
      </x:c>
      <x:c r="H173" s="14" t="str">
        <x:v>R10</x:v>
      </x:c>
      <x:c r="I173" s="14" t="str">
        <x:v>Optional/Nein</x:v>
      </x:c>
      <x:c r="J173" s="51"/>
      <x:c r="K173" s="51"/>
      <x:c r="L173" s="51"/>
      <x:c r="M173" s="51"/>
      <x:c r="N173" s="51"/>
      <x:c r="O173" s="54"/>
      <x:c r="P173" s="51" t="str">
        <x:v>Optional – kein aktiver Benchmark</x:v>
      </x:c>
      <x:c r="Q173" s="53" t="n">
        <x:v>175.5</x:v>
      </x:c>
      <x:c r="R173" s="53" t="n">
        <x:v>263.25</x:v>
      </x:c>
      <x:c r="S173" s="53" t="n">
        <x:v>438.75</x:v>
      </x:c>
      <x:c r="T173" s="53" t="str">
        <x:v>threshold:0-class</x:v>
      </x:c>
      <x:c r="U173" s="14" t="str">
        <x:v>Legacy-Werte bleiben nur als historische Rechenhilfe erhalten und werden nicht für den FinalScore verwendet.</x:v>
      </x:c>
    </x:row>
    <x:row r="174" ht="42" customHeight="1">
      <x:c r="A174" s="14" t="str">
        <x:v>WOK-POL-102</x:v>
      </x:c>
      <x:c r="B174" s="14" t="str">
        <x:v>D35</x:v>
      </x:c>
      <x:c r="C174" s="14" t="str">
        <x:v>Legacy / Migration auf NACE Rev. 2.1 offen</x:v>
      </x:c>
      <x:c r="D174" s="14" t="str">
        <x:v>EU</x:v>
      </x:c>
      <x:c r="E174" s="14"/>
      <x:c r="F174" s="14" t="str">
        <x:v>% Aktivitäten</x:v>
      </x:c>
      <x:c r="G174" s="14" t="str">
        <x:v>higher_is_better</x:v>
      </x:c>
      <x:c r="H174" s="14" t="str">
        <x:v>R25</x:v>
      </x:c>
      <x:c r="I174" s="14" t="str">
        <x:v>Optional/Nein</x:v>
      </x:c>
      <x:c r="J174" s="51"/>
      <x:c r="K174" s="51"/>
      <x:c r="L174" s="51"/>
      <x:c r="M174" s="51"/>
      <x:c r="N174" s="51"/>
      <x:c r="O174" s="54"/>
      <x:c r="P174" s="51" t="str">
        <x:v>Optional – kein aktiver Benchmark</x:v>
      </x:c>
      <x:c r="Q174" s="53" t="n">
        <x:v>50</x:v>
      </x:c>
      <x:c r="R174" s="53" t="n">
        <x:v>75</x:v>
      </x:c>
      <x:c r="S174" s="53" t="n">
        <x:v>100</x:v>
      </x:c>
      <x:c r="T174" s="53" t="str">
        <x:v>default:higher_is_better_pct</x:v>
      </x:c>
      <x:c r="U174" s="14" t="str">
        <x:v>Legacy-Werte bleiben nur als historische Rechenhilfe erhalten und werden nicht für den FinalScore verwendet.</x:v>
      </x:c>
    </x:row>
    <x:row r="175" ht="42" customHeight="1">
      <x:c r="A175" s="14" t="str">
        <x:v>WOK-POL-103</x:v>
      </x:c>
      <x:c r="B175" s="14" t="str">
        <x:v>D35</x:v>
      </x:c>
      <x:c r="C175" s="14" t="str">
        <x:v>Legacy / Migration auf NACE Rev. 2.1 offen</x:v>
      </x:c>
      <x:c r="D175" s="14" t="str">
        <x:v>EU</x:v>
      </x:c>
      <x:c r="E175" s="14"/>
      <x:c r="F175" s="14" t="str">
        <x:v>% Aktivitäten</x:v>
      </x:c>
      <x:c r="G175" s="14" t="str">
        <x:v>higher_is_better</x:v>
      </x:c>
      <x:c r="H175" s="14" t="str">
        <x:v>R25</x:v>
      </x:c>
      <x:c r="I175" s="14" t="str">
        <x:v>Optional/Nein</x:v>
      </x:c>
      <x:c r="J175" s="51"/>
      <x:c r="K175" s="51"/>
      <x:c r="L175" s="51"/>
      <x:c r="M175" s="51"/>
      <x:c r="N175" s="51"/>
      <x:c r="O175" s="54"/>
      <x:c r="P175" s="51" t="str">
        <x:v>Optional – kein aktiver Benchmark</x:v>
      </x:c>
      <x:c r="Q175" s="53" t="n">
        <x:v>50</x:v>
      </x:c>
      <x:c r="R175" s="53" t="n">
        <x:v>75</x:v>
      </x:c>
      <x:c r="S175" s="53" t="n">
        <x:v>100</x:v>
      </x:c>
      <x:c r="T175" s="53" t="str">
        <x:v>default:higher_is_better_pct</x:v>
      </x:c>
      <x:c r="U175" s="14" t="str">
        <x:v>Legacy-Werte bleiben nur als historische Rechenhilfe erhalten und werden nicht für den FinalScore verwendet.</x:v>
      </x:c>
    </x:row>
    <x:row r="176" ht="42" customHeight="1">
      <x:c r="A176" s="14" t="str">
        <x:v>WOK-P-113</x:v>
      </x:c>
      <x:c r="B176" s="14" t="str">
        <x:v>C20</x:v>
      </x:c>
      <x:c r="C176" s="14" t="str">
        <x:v>Legacy / Migration auf NACE Rev. 2.1 offen</x:v>
      </x:c>
      <x:c r="D176" s="14" t="str">
        <x:v>EU</x:v>
      </x:c>
      <x:c r="E176" s="14"/>
      <x:c r="F176" s="14" t="str">
        <x:v>kg CO₂e/Einheit</x:v>
      </x:c>
      <x:c r="G176" s="14" t="str">
        <x:v>lower_is_better</x:v>
      </x:c>
      <x:c r="H176" s="14" t="str">
        <x:v>R07</x:v>
      </x:c>
      <x:c r="I176" s="14" t="str">
        <x:v>Ja</x:v>
      </x:c>
      <x:c r="J176" s="51"/>
      <x:c r="K176" s="51"/>
      <x:c r="L176" s="51"/>
      <x:c r="M176" s="51"/>
      <x:c r="N176" s="51"/>
      <x:c r="O176" s="54"/>
      <x:c r="P176" s="51" t="str">
        <x:v>Offen – validierter Benchmark fehlt</x:v>
      </x:c>
      <x:c r="Q176" s="53" t="n">
        <x:v>1</x:v>
      </x:c>
      <x:c r="R176" s="53" t="n">
        <x:v>1.5</x:v>
      </x:c>
      <x:c r="S176" s="53" t="n">
        <x:v>2.5</x:v>
      </x:c>
      <x:c r="T176" s="53" t="str">
        <x:v>default:lower_is_better_abs</x:v>
      </x:c>
      <x:c r="U176" s="14" t="str">
        <x:v>Vor Aktivierung repräsentative Population, Region, Technologieklasse, Statistik, Quelle und Gültigkeitszeitraum dokumentieren.</x:v>
      </x:c>
    </x:row>
    <x:row r="177" ht="42" customHeight="1">
      <x:c r="A177" s="14" t="str">
        <x:v>WOK-P-114</x:v>
      </x:c>
      <x:c r="B177" s="14" t="str">
        <x:v>C20</x:v>
      </x:c>
      <x:c r="C177" s="14" t="str">
        <x:v>Legacy / Migration auf NACE Rev. 2.1 offen</x:v>
      </x:c>
      <x:c r="D177" s="14" t="str">
        <x:v>EU</x:v>
      </x:c>
      <x:c r="E177" s="14"/>
      <x:c r="F177" s="14" t="str">
        <x:v>Score 0–10</x:v>
      </x:c>
      <x:c r="G177" s="14" t="str">
        <x:v>higher_is_better</x:v>
      </x:c>
      <x:c r="H177" s="14" t="str">
        <x:v>R24</x:v>
      </x:c>
      <x:c r="I177" s="14" t="str">
        <x:v>Optional/Nein</x:v>
      </x:c>
      <x:c r="J177" s="51"/>
      <x:c r="K177" s="51"/>
      <x:c r="L177" s="51"/>
      <x:c r="M177" s="51"/>
      <x:c r="N177" s="51"/>
      <x:c r="O177" s="54"/>
      <x:c r="P177" s="51" t="str">
        <x:v>Optional – kein aktiver Benchmark</x:v>
      </x:c>
      <x:c r="Q177" s="53" t="n">
        <x:v>4.95</x:v>
      </x:c>
      <x:c r="R177" s="53" t="n">
        <x:v>1</x:v>
      </x:c>
      <x:c r="S177" s="53" t="n">
        <x:v>1</x:v>
      </x:c>
      <x:c r="T177" s="53" t="str">
        <x:v>threshold:0-class</x:v>
      </x:c>
      <x:c r="U177" s="14" t="str">
        <x:v>Legacy-Werte bleiben nur als historische Rechenhilfe erhalten und werden nicht für den FinalScore verwendet.</x:v>
      </x:c>
    </x:row>
    <x:row r="178" ht="42" customHeight="1">
      <x:c r="A178" s="14" t="str">
        <x:v>WOK-P-115</x:v>
      </x:c>
      <x:c r="B178" s="14" t="str">
        <x:v>C20</x:v>
      </x:c>
      <x:c r="C178" s="14" t="str">
        <x:v>Legacy / Migration auf NACE Rev. 2.1 offen</x:v>
      </x:c>
      <x:c r="D178" s="14" t="str">
        <x:v>EU</x:v>
      </x:c>
      <x:c r="E178" s="14"/>
      <x:c r="F178" s="14" t="str">
        <x:v>%</x:v>
      </x:c>
      <x:c r="G178" s="14" t="str">
        <x:v>higher_is_better</x:v>
      </x:c>
      <x:c r="H178" s="14" t="str">
        <x:v>R22</x:v>
      </x:c>
      <x:c r="I178" s="14" t="str">
        <x:v>Optional/Nein</x:v>
      </x:c>
      <x:c r="J178" s="51"/>
      <x:c r="K178" s="51"/>
      <x:c r="L178" s="51"/>
      <x:c r="M178" s="51"/>
      <x:c r="N178" s="51"/>
      <x:c r="O178" s="54"/>
      <x:c r="P178" s="51" t="str">
        <x:v>Optional – kein aktiver Benchmark</x:v>
      </x:c>
      <x:c r="Q178" s="53" t="n">
        <x:v>39.5</x:v>
      </x:c>
      <x:c r="R178" s="53" t="n">
        <x:v>59.25</x:v>
      </x:c>
      <x:c r="S178" s="53" t="n">
        <x:v>98.75</x:v>
      </x:c>
      <x:c r="T178" s="53" t="str">
        <x:v>threshold:0-class</x:v>
      </x:c>
      <x:c r="U178" s="14" t="str">
        <x:v>Legacy-Werte bleiben nur als historische Rechenhilfe erhalten und werden nicht für den FinalScore verwendet.</x:v>
      </x:c>
    </x:row>
    <x:row r="179" ht="42" customHeight="1">
      <x:c r="A179" s="14" t="str">
        <x:v>WOK-RE-110</x:v>
      </x:c>
      <x:c r="B179" s="14" t="str">
        <x:v>L68</x:v>
      </x:c>
      <x:c r="C179" s="14" t="str">
        <x:v>Legacy / Migration auf NACE Rev. 2.1 offen</x:v>
      </x:c>
      <x:c r="D179" s="14" t="str">
        <x:v>EU</x:v>
      </x:c>
      <x:c r="E179" s="14"/>
      <x:c r="F179" s="14" t="str">
        <x:v>kWh/m²a</x:v>
      </x:c>
      <x:c r="G179" s="14" t="str">
        <x:v>lower_is_better</x:v>
      </x:c>
      <x:c r="H179" s="14" t="str">
        <x:v>R05</x:v>
      </x:c>
      <x:c r="I179" s="14" t="str">
        <x:v>Ja</x:v>
      </x:c>
      <x:c r="J179" s="51"/>
      <x:c r="K179" s="51"/>
      <x:c r="L179" s="51"/>
      <x:c r="M179" s="51"/>
      <x:c r="N179" s="51"/>
      <x:c r="O179" s="54"/>
      <x:c r="P179" s="51" t="str">
        <x:v>Offen – validierter Benchmark fehlt</x:v>
      </x:c>
      <x:c r="Q179" s="53" t="n">
        <x:v>1</x:v>
      </x:c>
      <x:c r="R179" s="53" t="n">
        <x:v>1.5</x:v>
      </x:c>
      <x:c r="S179" s="53" t="n">
        <x:v>2.5</x:v>
      </x:c>
      <x:c r="T179" s="53" t="str">
        <x:v>default:lower_is_better_abs</x:v>
      </x:c>
      <x:c r="U179" s="14" t="str">
        <x:v>Vor Aktivierung repräsentative Population, Region, Technologieklasse, Statistik, Quelle und Gültigkeitszeitraum dokumentieren.</x:v>
      </x:c>
    </x:row>
    <x:row r="180" ht="42" customHeight="1">
      <x:c r="A180" s="14" t="str">
        <x:v>WOK-RE-111</x:v>
      </x:c>
      <x:c r="B180" s="14" t="str">
        <x:v>L68</x:v>
      </x:c>
      <x:c r="C180" s="14" t="str">
        <x:v>Legacy / Migration auf NACE Rev. 2.1 offen</x:v>
      </x:c>
      <x:c r="D180" s="14" t="str">
        <x:v>EU</x:v>
      </x:c>
      <x:c r="E180" s="14"/>
      <x:c r="F180" s="14" t="str">
        <x:v>kg CO₂e/m²</x:v>
      </x:c>
      <x:c r="G180" s="14" t="str">
        <x:v>lower_is_better</x:v>
      </x:c>
      <x:c r="H180" s="14" t="str">
        <x:v>R06</x:v>
      </x:c>
      <x:c r="I180" s="14" t="str">
        <x:v>Ja</x:v>
      </x:c>
      <x:c r="J180" s="51"/>
      <x:c r="K180" s="51"/>
      <x:c r="L180" s="51"/>
      <x:c r="M180" s="51"/>
      <x:c r="N180" s="51"/>
      <x:c r="O180" s="54"/>
      <x:c r="P180" s="51" t="str">
        <x:v>Offen – validierter Benchmark fehlt</x:v>
      </x:c>
      <x:c r="Q180" s="53" t="n">
        <x:v>1</x:v>
      </x:c>
      <x:c r="R180" s="53" t="n">
        <x:v>1.5</x:v>
      </x:c>
      <x:c r="S180" s="53" t="n">
        <x:v>2.5</x:v>
      </x:c>
      <x:c r="T180" s="53" t="str">
        <x:v>default:lower_is_better_abs</x:v>
      </x:c>
      <x:c r="U180" s="14" t="str">
        <x:v>Vor Aktivierung repräsentative Population, Region, Technologieklasse, Statistik, Quelle und Gültigkeitszeitraum dokumentieren.</x:v>
      </x:c>
    </x:row>
    <x:row r="181" ht="42" customHeight="1">
      <x:c r="A181" s="14" t="str">
        <x:v>WOK-RE-112</x:v>
      </x:c>
      <x:c r="B181" s="14" t="str">
        <x:v>L68</x:v>
      </x:c>
      <x:c r="C181" s="14" t="str">
        <x:v>Legacy / Migration auf NACE Rev. 2.1 offen</x:v>
      </x:c>
      <x:c r="D181" s="14" t="str">
        <x:v>EU</x:v>
      </x:c>
      <x:c r="E181" s="14"/>
      <x:c r="F181" s="14" t="str">
        <x:v>0–1</x:v>
      </x:c>
      <x:c r="G181" s="14" t="str">
        <x:v>higher_is_better</x:v>
      </x:c>
      <x:c r="H181" s="14" t="str">
        <x:v>R14</x:v>
      </x:c>
      <x:c r="I181" s="14" t="str">
        <x:v>Optional/Nein</x:v>
      </x:c>
      <x:c r="J181" s="51"/>
      <x:c r="K181" s="51"/>
      <x:c r="L181" s="51"/>
      <x:c r="M181" s="51"/>
      <x:c r="N181" s="51"/>
      <x:c r="O181" s="54"/>
      <x:c r="P181" s="51" t="str">
        <x:v>Optional – kein aktiver Benchmark</x:v>
      </x:c>
      <x:c r="Q181" s="53" t="n">
        <x:v>0.495</x:v>
      </x:c>
      <x:c r="R181" s="53" t="n">
        <x:v>0.7424999999999999</x:v>
      </x:c>
      <x:c r="S181" s="53" t="n">
        <x:v>1</x:v>
      </x:c>
      <x:c r="T181" s="53" t="str">
        <x:v>threshold:0-class</x:v>
      </x:c>
      <x:c r="U181" s="14" t="str">
        <x:v>Legacy-Werte bleiben nur als historische Rechenhilfe erhalten und werden nicht für den FinalScore verwendet.</x:v>
      </x:c>
    </x:row>
    <x:row r="182" ht="42" customHeight="1">
      <x:c r="A182" s="14" t="str">
        <x:v>WOK-SYS-116</x:v>
      </x:c>
      <x:c r="B182" s="14" t="str">
        <x:v>G47</x:v>
      </x:c>
      <x:c r="C182" s="14" t="str">
        <x:v>Legacy / Migration auf NACE Rev. 2.1 offen</x:v>
      </x:c>
      <x:c r="D182" s="14" t="str">
        <x:v>EU</x:v>
      </x:c>
      <x:c r="E182" s="14"/>
      <x:c r="F182" s="14" t="str">
        <x:v>0–1</x:v>
      </x:c>
      <x:c r="G182" s="14" t="str">
        <x:v>higher_is_better</x:v>
      </x:c>
      <x:c r="H182" s="14" t="str">
        <x:v>R15</x:v>
      </x:c>
      <x:c r="I182" s="14" t="str">
        <x:v>Optional/Nein</x:v>
      </x:c>
      <x:c r="J182" s="51"/>
      <x:c r="K182" s="51"/>
      <x:c r="L182" s="51"/>
      <x:c r="M182" s="51"/>
      <x:c r="N182" s="51"/>
      <x:c r="O182" s="54"/>
      <x:c r="P182" s="51" t="str">
        <x:v>Optional – kein aktiver Benchmark</x:v>
      </x:c>
      <x:c r="Q182" s="53" t="n">
        <x:v>0.645</x:v>
      </x:c>
      <x:c r="R182" s="53" t="n">
        <x:v>0.9675</x:v>
      </x:c>
      <x:c r="S182" s="53" t="n">
        <x:v>1</x:v>
      </x:c>
      <x:c r="T182" s="53" t="str">
        <x:v>threshold:0-class</x:v>
      </x:c>
      <x:c r="U182" s="14" t="str">
        <x:v>Legacy-Werte bleiben nur als historische Rechenhilfe erhalten und werden nicht für den FinalScore verwendet.</x:v>
      </x:c>
    </x:row>
    <x:row r="183" ht="42" customHeight="1">
      <x:c r="A183" s="14" t="str">
        <x:v>WOK-SYS-117</x:v>
      </x:c>
      <x:c r="B183" s="14" t="str">
        <x:v>G47</x:v>
      </x:c>
      <x:c r="C183" s="14" t="str">
        <x:v>Legacy / Migration auf NACE Rev. 2.1 offen</x:v>
      </x:c>
      <x:c r="D183" s="14" t="str">
        <x:v>EU</x:v>
      </x:c>
      <x:c r="E183" s="14"/>
      <x:c r="F183" s="14" t="str">
        <x:v>%</x:v>
      </x:c>
      <x:c r="G183" s="14" t="str">
        <x:v>lower_is_better</x:v>
      </x:c>
      <x:c r="H183" s="14" t="str">
        <x:v>R13</x:v>
      </x:c>
      <x:c r="I183" s="14" t="str">
        <x:v>Optional/Nein</x:v>
      </x:c>
      <x:c r="J183" s="51"/>
      <x:c r="K183" s="51"/>
      <x:c r="L183" s="51"/>
      <x:c r="M183" s="51"/>
      <x:c r="N183" s="51"/>
      <x:c r="O183" s="54"/>
      <x:c r="P183" s="51" t="str">
        <x:v>Optional – kein aktiver Benchmark</x:v>
      </x:c>
      <x:c r="Q183" s="53" t="n">
        <x:v>15.5</x:v>
      </x:c>
      <x:c r="R183" s="53" t="n">
        <x:v>23.25</x:v>
      </x:c>
      <x:c r="S183" s="53" t="n">
        <x:v>38.75</x:v>
      </x:c>
      <x:c r="T183" s="53" t="str">
        <x:v>threshold:0-class</x:v>
      </x:c>
      <x:c r="U183" s="14" t="str">
        <x:v>Legacy-Werte bleiben nur als historische Rechenhilfe erhalten und werden nicht für den FinalScore verwendet.</x:v>
      </x:c>
    </x:row>
    <x:row r="184" ht="42" customHeight="1">
      <x:c r="A184" s="14" t="str">
        <x:v>WOK-SYS-118</x:v>
      </x:c>
      <x:c r="B184" s="14" t="str">
        <x:v>G47</x:v>
      </x:c>
      <x:c r="C184" s="14" t="str">
        <x:v>Legacy / Migration auf NACE Rev. 2.1 offen</x:v>
      </x:c>
      <x:c r="D184" s="14" t="str">
        <x:v>EU</x:v>
      </x:c>
      <x:c r="E184" s="14"/>
      <x:c r="F184" s="14" t="str">
        <x:v>#/Jahr</x:v>
      </x:c>
      <x:c r="G184" s="14" t="str">
        <x:v>higher_is_better</x:v>
      </x:c>
      <x:c r="H184" s="14" t="str">
        <x:v>R20</x:v>
      </x:c>
      <x:c r="I184" s="14" t="str">
        <x:v>Optional/Nein</x:v>
      </x:c>
      <x:c r="J184" s="51"/>
      <x:c r="K184" s="51"/>
      <x:c r="L184" s="51"/>
      <x:c r="M184" s="51"/>
      <x:c r="N184" s="51"/>
      <x:c r="O184" s="54"/>
      <x:c r="P184" s="51" t="str">
        <x:v>Optional – kein aktiver Benchmark</x:v>
      </x:c>
      <x:c r="Q184" s="53" t="n">
        <x:v>1.5</x:v>
      </x:c>
      <x:c r="R184" s="53" t="n">
        <x:v>2.25</x:v>
      </x:c>
      <x:c r="S184" s="53" t="n">
        <x:v>3.75</x:v>
      </x:c>
      <x:c r="T184" s="53" t="str">
        <x:v>threshold:0-class</x:v>
      </x:c>
      <x:c r="U184" s="14" t="str">
        <x:v>Legacy-Werte bleiben nur als historische Rechenhilfe erhalten und werden nicht für den FinalScore verwendet.</x:v>
      </x:c>
    </x:row>
    <x:row r="185" ht="42" customHeight="1">
      <x:c r="A185" s="14" t="str">
        <x:v>WOK-E-143</x:v>
      </x:c>
      <x:c r="B185" s="14" t="str">
        <x:v>J61</x:v>
      </x:c>
      <x:c r="C185" s="14" t="str">
        <x:v>Legacy / Migration auf NACE Rev. 2.1 offen</x:v>
      </x:c>
      <x:c r="D185" s="14" t="str">
        <x:v>EU</x:v>
      </x:c>
      <x:c r="E185" s="14"/>
      <x:c r="F185" s="14" t="str">
        <x:v>%</x:v>
      </x:c>
      <x:c r="G185" s="14" t="str">
        <x:v>higher_is_better</x:v>
      </x:c>
      <x:c r="H185" s="14" t="str">
        <x:v>R25</x:v>
      </x:c>
      <x:c r="I185" s="14" t="str">
        <x:v>Optional/Nein</x:v>
      </x:c>
      <x:c r="J185" s="51"/>
      <x:c r="K185" s="51"/>
      <x:c r="L185" s="51"/>
      <x:c r="M185" s="51"/>
      <x:c r="N185" s="51"/>
      <x:c r="O185" s="54"/>
      <x:c r="P185" s="51" t="str">
        <x:v>Optional – kein aktiver Benchmark</x:v>
      </x:c>
      <x:c r="Q185" s="53" t="n">
        <x:v>50</x:v>
      </x:c>
      <x:c r="R185" s="53" t="n">
        <x:v>75</x:v>
      </x:c>
      <x:c r="S185" s="53" t="n">
        <x:v>100</x:v>
      </x:c>
      <x:c r="T185" s="53" t="str">
        <x:v>default:higher_is_better_pct</x:v>
      </x:c>
      <x:c r="U185" s="14" t="str">
        <x:v>Legacy-Werte bleiben nur als historische Rechenhilfe erhalten und werden nicht für den FinalScore verwendet.</x:v>
      </x:c>
    </x:row>
    <x:row r="186" ht="42" customHeight="1">
      <x:c r="A186" s="14" t="str">
        <x:v>WOK-E-144</x:v>
      </x:c>
      <x:c r="B186" s="14" t="str">
        <x:v>J61</x:v>
      </x:c>
      <x:c r="C186" s="14" t="str">
        <x:v>Legacy / Migration auf NACE Rev. 2.1 offen</x:v>
      </x:c>
      <x:c r="D186" s="14" t="str">
        <x:v>EU</x:v>
      </x:c>
      <x:c r="E186" s="14"/>
      <x:c r="F186" s="14" t="str">
        <x:v>kWh/€ Mio bzw. kWh/t</x:v>
      </x:c>
      <x:c r="G186" s="14" t="str">
        <x:v>lower_is_better</x:v>
      </x:c>
      <x:c r="H186" s="14" t="str">
        <x:v>R06</x:v>
      </x:c>
      <x:c r="I186" s="14" t="str">
        <x:v>Ja</x:v>
      </x:c>
      <x:c r="J186" s="51"/>
      <x:c r="K186" s="51"/>
      <x:c r="L186" s="51"/>
      <x:c r="M186" s="51"/>
      <x:c r="N186" s="51"/>
      <x:c r="O186" s="54"/>
      <x:c r="P186" s="51" t="str">
        <x:v>Offen – validierter Benchmark fehlt</x:v>
      </x:c>
      <x:c r="Q186" s="53" t="n">
        <x:v>1</x:v>
      </x:c>
      <x:c r="R186" s="53" t="n">
        <x:v>1.5</x:v>
      </x:c>
      <x:c r="S186" s="53" t="n">
        <x:v>2.5</x:v>
      </x:c>
      <x:c r="T186" s="53" t="str">
        <x:v>default:lower_is_better_abs</x:v>
      </x:c>
      <x:c r="U186" s="14" t="str">
        <x:v>Vor Aktivierung repräsentative Population, Region, Technologieklasse, Statistik, Quelle und Gültigkeitszeitraum dokumentieren.</x:v>
      </x:c>
    </x:row>
    <x:row r="187" ht="42" customHeight="1">
      <x:c r="A187" s="14" t="str">
        <x:v>WOK-E-145</x:v>
      </x:c>
      <x:c r="B187" s="14" t="str">
        <x:v>J61</x:v>
      </x:c>
      <x:c r="C187" s="14" t="str">
        <x:v>Legacy / Migration auf NACE Rev. 2.1 offen</x:v>
      </x:c>
      <x:c r="D187" s="14" t="str">
        <x:v>EU</x:v>
      </x:c>
      <x:c r="E187" s="14"/>
      <x:c r="F187" s="14" t="str">
        <x:v>PUE</x:v>
      </x:c>
      <x:c r="G187" s="14" t="str">
        <x:v>lower_is_better</x:v>
      </x:c>
      <x:c r="H187" s="14" t="str">
        <x:v>R09</x:v>
      </x:c>
      <x:c r="I187" s="14" t="str">
        <x:v>Optional/Nein</x:v>
      </x:c>
      <x:c r="J187" s="51"/>
      <x:c r="K187" s="51"/>
      <x:c r="L187" s="51"/>
      <x:c r="M187" s="51"/>
      <x:c r="N187" s="51"/>
      <x:c r="O187" s="54"/>
      <x:c r="P187" s="51" t="str">
        <x:v>Optional – kein aktiver Benchmark</x:v>
      </x:c>
      <x:c r="Q187" s="53" t="n">
        <x:v>1.505</x:v>
      </x:c>
      <x:c r="R187" s="53" t="n">
        <x:v>2.2575</x:v>
      </x:c>
      <x:c r="S187" s="53" t="n">
        <x:v>3.7625</x:v>
      </x:c>
      <x:c r="T187" s="53" t="str">
        <x:v>threshold:0-class</x:v>
      </x:c>
      <x:c r="U187" s="14" t="str">
        <x:v>Legacy-Werte bleiben nur als historische Rechenhilfe erhalten und werden nicht für den FinalScore verwendet.</x:v>
      </x:c>
    </x:row>
    <x:row r="188" ht="42" customHeight="1">
      <x:c r="A188" s="14" t="str">
        <x:v>WOK-SC-113</x:v>
      </x:c>
      <x:c r="B188" s="14" t="str">
        <x:v>C20</x:v>
      </x:c>
      <x:c r="C188" s="14" t="str">
        <x:v>Legacy / Migration auf NACE Rev. 2.1 offen</x:v>
      </x:c>
      <x:c r="D188" s="14" t="str">
        <x:v>EU</x:v>
      </x:c>
      <x:c r="E188" s="14"/>
      <x:c r="F188" s="14" t="str">
        <x:v>%</x:v>
      </x:c>
      <x:c r="G188" s="14" t="str">
        <x:v>higher_is_better</x:v>
      </x:c>
      <x:c r="H188" s="14" t="str">
        <x:v>R26</x:v>
      </x:c>
      <x:c r="I188" s="14" t="str">
        <x:v>Optional/Nein</x:v>
      </x:c>
      <x:c r="J188" s="51"/>
      <x:c r="K188" s="51"/>
      <x:c r="L188" s="51"/>
      <x:c r="M188" s="51"/>
      <x:c r="N188" s="51"/>
      <x:c r="O188" s="54"/>
      <x:c r="P188" s="51" t="str">
        <x:v>Optional – kein aktiver Benchmark</x:v>
      </x:c>
      <x:c r="Q188" s="53" t="n">
        <x:v>59.5</x:v>
      </x:c>
      <x:c r="R188" s="53" t="n">
        <x:v>89.25</x:v>
      </x:c>
      <x:c r="S188" s="53" t="n">
        <x:v>100</x:v>
      </x:c>
      <x:c r="T188" s="53" t="str">
        <x:v>threshold:0-class</x:v>
      </x:c>
      <x:c r="U188" s="14" t="str">
        <x:v>Legacy-Werte bleiben nur als historische Rechenhilfe erhalten und werden nicht für den FinalScore verwendet.</x:v>
      </x:c>
    </x:row>
    <x:row r="189" ht="42" customHeight="1">
      <x:c r="A189" s="14" t="str">
        <x:v>WOK-SC-114</x:v>
      </x:c>
      <x:c r="B189" s="14" t="str">
        <x:v>C20</x:v>
      </x:c>
      <x:c r="C189" s="14" t="str">
        <x:v>Legacy / Migration auf NACE Rev. 2.1 offen</x:v>
      </x:c>
      <x:c r="D189" s="14" t="str">
        <x:v>EU</x:v>
      </x:c>
      <x:c r="E189" s="14"/>
      <x:c r="F189" s="14" t="str">
        <x:v>% Lieferanten</x:v>
      </x:c>
      <x:c r="G189" s="14" t="str">
        <x:v>higher_is_better</x:v>
      </x:c>
      <x:c r="H189" s="14" t="str">
        <x:v>R28</x:v>
      </x:c>
      <x:c r="I189" s="14" t="str">
        <x:v>Optional/Nein</x:v>
      </x:c>
      <x:c r="J189" s="51"/>
      <x:c r="K189" s="51"/>
      <x:c r="L189" s="51"/>
      <x:c r="M189" s="51"/>
      <x:c r="N189" s="51"/>
      <x:c r="O189" s="54"/>
      <x:c r="P189" s="51" t="str">
        <x:v>Optional – kein aktiver Benchmark</x:v>
      </x:c>
      <x:c r="Q189" s="53" t="n">
        <x:v>82</x:v>
      </x:c>
      <x:c r="R189" s="53" t="n">
        <x:v>100</x:v>
      </x:c>
      <x:c r="S189" s="53" t="n">
        <x:v>100</x:v>
      </x:c>
      <x:c r="T189" s="53" t="str">
        <x:v>threshold:0-class</x:v>
      </x:c>
      <x:c r="U189" s="14" t="str">
        <x:v>Legacy-Werte bleiben nur als historische Rechenhilfe erhalten und werden nicht für den FinalScore verwendet.</x:v>
      </x:c>
    </x:row>
    <x:row r="190" ht="42" customHeight="1">
      <x:c r="A190" s="14" t="str">
        <x:v>WOK-SC-115</x:v>
      </x:c>
      <x:c r="B190" s="14" t="str">
        <x:v>C20</x:v>
      </x:c>
      <x:c r="C190" s="14" t="str">
        <x:v>Legacy / Migration auf NACE Rev. 2.1 offen</x:v>
      </x:c>
      <x:c r="D190" s="14" t="str">
        <x:v>EU</x:v>
      </x:c>
      <x:c r="E190" s="14"/>
      <x:c r="F190" s="14" t="str">
        <x:v>% Kategorien</x:v>
      </x:c>
      <x:c r="G190" s="14" t="str">
        <x:v>higher_is_better</x:v>
      </x:c>
      <x:c r="H190" s="14" t="str">
        <x:v>R23</x:v>
      </x:c>
      <x:c r="I190" s="14" t="str">
        <x:v>Optional/Nein</x:v>
      </x:c>
      <x:c r="J190" s="51"/>
      <x:c r="K190" s="51"/>
      <x:c r="L190" s="51"/>
      <x:c r="M190" s="51"/>
      <x:c r="N190" s="51"/>
      <x:c r="O190" s="54"/>
      <x:c r="P190" s="51" t="str">
        <x:v>Optional – kein aktiver Benchmark</x:v>
      </x:c>
      <x:c r="Q190" s="53" t="n">
        <x:v>49.5</x:v>
      </x:c>
      <x:c r="R190" s="53" t="n">
        <x:v>74.25</x:v>
      </x:c>
      <x:c r="S190" s="53" t="n">
        <x:v>100</x:v>
      </x:c>
      <x:c r="T190" s="53" t="str">
        <x:v>threshold:0-class</x:v>
      </x:c>
      <x:c r="U190" s="14" t="str">
        <x:v>Legacy-Werte bleiben nur als historische Rechenhilfe erhalten und werden nicht für den FinalScore verwendet.</x:v>
      </x:c>
    </x:row>
    <x:row r="191" ht="42" customHeight="1">
      <x:c r="A191" s="14" t="str">
        <x:v>WOK-G-134</x:v>
      </x:c>
      <x:c r="B191" s="14" t="str">
        <x:v>D35</x:v>
      </x:c>
      <x:c r="C191" s="14" t="str">
        <x:v>Legacy / Migration auf NACE Rev. 2.1 offen</x:v>
      </x:c>
      <x:c r="D191" s="14" t="str">
        <x:v>EU</x:v>
      </x:c>
      <x:c r="E191" s="14"/>
      <x:c r="F191" s="14" t="str">
        <x:v>Fälle/1.000 FTE</x:v>
      </x:c>
      <x:c r="G191" s="14" t="str">
        <x:v>lower_is_better</x:v>
      </x:c>
      <x:c r="H191" s="14" t="str">
        <x:v>R01</x:v>
      </x:c>
      <x:c r="I191" s="14" t="str">
        <x:v>Optional/Nein</x:v>
      </x:c>
      <x:c r="J191" s="51"/>
      <x:c r="K191" s="51"/>
      <x:c r="L191" s="51"/>
      <x:c r="M191" s="51"/>
      <x:c r="N191" s="51"/>
      <x:c r="O191" s="54"/>
      <x:c r="P191" s="51" t="str">
        <x:v>Optional – kein aktiver Benchmark</x:v>
      </x:c>
      <x:c r="Q191" s="53" t="n">
        <x:v>0.5</x:v>
      </x:c>
      <x:c r="R191" s="53" t="n">
        <x:v>0.75</x:v>
      </x:c>
      <x:c r="S191" s="53" t="n">
        <x:v>1.25</x:v>
      </x:c>
      <x:c r="T191" s="53" t="str">
        <x:v>threshold:0-class</x:v>
      </x:c>
      <x:c r="U191" s="14" t="str">
        <x:v>Legacy-Werte bleiben nur als historische Rechenhilfe erhalten und werden nicht für den FinalScore verwendet.</x:v>
      </x:c>
    </x:row>
    <x:row r="192" ht="42" customHeight="1">
      <x:c r="A192" s="14" t="str">
        <x:v>WOK-G-135</x:v>
      </x:c>
      <x:c r="B192" s="14" t="str">
        <x:v>D35</x:v>
      </x:c>
      <x:c r="C192" s="14" t="str">
        <x:v>Legacy / Migration auf NACE Rev. 2.1 offen</x:v>
      </x:c>
      <x:c r="D192" s="14" t="str">
        <x:v>EU</x:v>
      </x:c>
      <x:c r="E192" s="14"/>
      <x:c r="F192" s="14" t="str">
        <x:v>0–1</x:v>
      </x:c>
      <x:c r="G192" s="14" t="str">
        <x:v>higher_is_better</x:v>
      </x:c>
      <x:c r="H192" s="14" t="str">
        <x:v>R16</x:v>
      </x:c>
      <x:c r="I192" s="14" t="str">
        <x:v>Optional/Nein</x:v>
      </x:c>
      <x:c r="J192" s="51"/>
      <x:c r="K192" s="51"/>
      <x:c r="L192" s="51"/>
      <x:c r="M192" s="51"/>
      <x:c r="N192" s="51"/>
      <x:c r="O192" s="54"/>
      <x:c r="P192" s="51" t="str">
        <x:v>Optional – kein aktiver Benchmark</x:v>
      </x:c>
      <x:c r="Q192" s="53" t="n">
        <x:v>0.6699999999999999</x:v>
      </x:c>
      <x:c r="R192" s="53" t="n">
        <x:v>1</x:v>
      </x:c>
      <x:c r="S192" s="53" t="n">
        <x:v>1</x:v>
      </x:c>
      <x:c r="T192" s="53" t="str">
        <x:v>threshold:0-class</x:v>
      </x:c>
      <x:c r="U192" s="14" t="str">
        <x:v>Legacy-Werte bleiben nur als historische Rechenhilfe erhalten und werden nicht für den FinalScore verwendet.</x:v>
      </x:c>
    </x:row>
    <x:row r="193" ht="42" customHeight="1">
      <x:c r="A193" s="14" t="str">
        <x:v>WOK-G-136</x:v>
      </x:c>
      <x:c r="B193" s="14" t="str">
        <x:v>D35</x:v>
      </x:c>
      <x:c r="C193" s="14" t="str">
        <x:v>Legacy / Migration auf NACE Rev. 2.1 offen</x:v>
      </x:c>
      <x:c r="D193" s="14" t="str">
        <x:v>EU</x:v>
      </x:c>
      <x:c r="E193" s="14"/>
      <x:c r="F193" s="14" t="str">
        <x:v>0–1</x:v>
      </x:c>
      <x:c r="G193" s="14" t="str">
        <x:v>higher_is_better</x:v>
      </x:c>
      <x:c r="H193" s="14" t="str">
        <x:v>R08</x:v>
      </x:c>
      <x:c r="I193" s="14" t="str">
        <x:v>Optional/Nein</x:v>
      </x:c>
      <x:c r="J193" s="51"/>
      <x:c r="K193" s="51"/>
      <x:c r="L193" s="51"/>
      <x:c r="M193" s="51"/>
      <x:c r="N193" s="51"/>
      <x:c r="O193" s="54"/>
      <x:c r="P193" s="51" t="str">
        <x:v>Optional – kein aktiver Benchmark</x:v>
      </x:c>
      <x:c r="Q193" s="53" t="n">
        <x:v>0.5</x:v>
      </x:c>
      <x:c r="R193" s="53" t="n">
        <x:v>0.75</x:v>
      </x:c>
      <x:c r="S193" s="53" t="n">
        <x:v>0.9</x:v>
      </x:c>
      <x:c r="T193" s="53" t="str">
        <x:v>default:higher_is_better_abs</x:v>
      </x:c>
      <x:c r="U193" s="14" t="str">
        <x:v>Legacy-Werte bleiben nur als historische Rechenhilfe erhalten und werden nicht für den FinalScore verwendet.</x:v>
      </x:c>
    </x:row>
    <x:row r="194" ht="42" customHeight="1">
      <x:c r="A194" s="14" t="str">
        <x:v>WOK-S-146</x:v>
      </x:c>
      <x:c r="B194" s="14" t="str">
        <x:v>C20</x:v>
      </x:c>
      <x:c r="C194" s="14" t="str">
        <x:v>Legacy / Migration auf NACE Rev. 2.1 offen</x:v>
      </x:c>
      <x:c r="D194" s="14" t="str">
        <x:v>EU</x:v>
      </x:c>
      <x:c r="E194" s="14"/>
      <x:c r="F194" s="14" t="str">
        <x:v>% Beschäftigte</x:v>
      </x:c>
      <x:c r="G194" s="14" t="str">
        <x:v>higher_is_better</x:v>
      </x:c>
      <x:c r="H194" s="14" t="str">
        <x:v>R27</x:v>
      </x:c>
      <x:c r="I194" s="14" t="str">
        <x:v>Optional/Nein</x:v>
      </x:c>
      <x:c r="J194" s="51"/>
      <x:c r="K194" s="51"/>
      <x:c r="L194" s="51"/>
      <x:c r="M194" s="51"/>
      <x:c r="N194" s="51"/>
      <x:c r="O194" s="54"/>
      <x:c r="P194" s="51" t="str">
        <x:v>Optional – kein aktiver Benchmark</x:v>
      </x:c>
      <x:c r="Q194" s="53" t="n">
        <x:v>69.5</x:v>
      </x:c>
      <x:c r="R194" s="53" t="n">
        <x:v>100</x:v>
      </x:c>
      <x:c r="S194" s="53" t="n">
        <x:v>100</x:v>
      </x:c>
      <x:c r="T194" s="53" t="str">
        <x:v>threshold:0-class</x:v>
      </x:c>
      <x:c r="U194" s="14" t="str">
        <x:v>Legacy-Werte bleiben nur als historische Rechenhilfe erhalten und werden nicht für den FinalScore verwendet.</x:v>
      </x:c>
    </x:row>
    <x:row r="195" ht="42" customHeight="1">
      <x:c r="A195" s="14" t="str">
        <x:v>WOK-S-147</x:v>
      </x:c>
      <x:c r="B195" s="14" t="str">
        <x:v>C20</x:v>
      </x:c>
      <x:c r="C195" s="14" t="str">
        <x:v>Legacy / Migration auf NACE Rev. 2.1 offen</x:v>
      </x:c>
      <x:c r="D195" s="14" t="str">
        <x:v>EU</x:v>
      </x:c>
      <x:c r="E195" s="14"/>
      <x:c r="F195" s="14" t="str">
        <x:v>%</x:v>
      </x:c>
      <x:c r="G195" s="14" t="str">
        <x:v>higher_is_better</x:v>
      </x:c>
      <x:c r="H195" s="14" t="str">
        <x:v>R26</x:v>
      </x:c>
      <x:c r="I195" s="14" t="str">
        <x:v>Optional/Nein</x:v>
      </x:c>
      <x:c r="J195" s="51"/>
      <x:c r="K195" s="51"/>
      <x:c r="L195" s="51"/>
      <x:c r="M195" s="51"/>
      <x:c r="N195" s="51"/>
      <x:c r="O195" s="54"/>
      <x:c r="P195" s="51" t="str">
        <x:v>Optional – kein aktiver Benchmark</x:v>
      </x:c>
      <x:c r="Q195" s="53" t="n">
        <x:v>59.5</x:v>
      </x:c>
      <x:c r="R195" s="53" t="n">
        <x:v>89.25</x:v>
      </x:c>
      <x:c r="S195" s="53" t="n">
        <x:v>100</x:v>
      </x:c>
      <x:c r="T195" s="53" t="str">
        <x:v>threshold:0-class</x:v>
      </x:c>
      <x:c r="U195" s="14" t="str">
        <x:v>Legacy-Werte bleiben nur als historische Rechenhilfe erhalten und werden nicht für den FinalScore verwendet.</x:v>
      </x:c>
    </x:row>
    <x:row r="196" ht="42" customHeight="1">
      <x:c r="A196" s="14" t="str">
        <x:v>WOK-S-148</x:v>
      </x:c>
      <x:c r="B196" s="14" t="str">
        <x:v>C20</x:v>
      </x:c>
      <x:c r="C196" s="14" t="str">
        <x:v>Legacy / Migration auf NACE Rev. 2.1 offen</x:v>
      </x:c>
      <x:c r="D196" s="14" t="str">
        <x:v>EU</x:v>
      </x:c>
      <x:c r="E196" s="14"/>
      <x:c r="F196" s="14" t="str">
        <x:v>Unfälle/Mio Std.</x:v>
      </x:c>
      <x:c r="G196" s="14" t="str">
        <x:v>lower_is_better</x:v>
      </x:c>
      <x:c r="H196" s="14" t="str">
        <x:v>R02</x:v>
      </x:c>
      <x:c r="I196" s="14" t="str">
        <x:v>Optional/Nein</x:v>
      </x:c>
      <x:c r="J196" s="51"/>
      <x:c r="K196" s="51"/>
      <x:c r="L196" s="51"/>
      <x:c r="M196" s="51"/>
      <x:c r="N196" s="51"/>
      <x:c r="O196" s="54"/>
      <x:c r="P196" s="51" t="str">
        <x:v>Optional – kein aktiver Benchmark</x:v>
      </x:c>
      <x:c r="Q196" s="53" t="n">
        <x:v>3</x:v>
      </x:c>
      <x:c r="R196" s="53" t="n">
        <x:v>4.5</x:v>
      </x:c>
      <x:c r="S196" s="53" t="n">
        <x:v>7.5</x:v>
      </x:c>
      <x:c r="T196" s="53" t="str">
        <x:v>threshold:0-class</x:v>
      </x:c>
      <x:c r="U196" s="14" t="str">
        <x:v>Legacy-Werte bleiben nur als historische Rechenhilfe erhalten und werden nicht für den FinalScore verwendet.</x:v>
      </x:c>
    </x:row>
    <x:row r="197" ht="42" customHeight="1">
      <x:c r="A197" s="14" t="str">
        <x:v>WOK-S-149</x:v>
      </x:c>
      <x:c r="B197" s="14" t="str">
        <x:v>C20</x:v>
      </x:c>
      <x:c r="C197" s="14" t="str">
        <x:v>Legacy / Migration auf NACE Rev. 2.1 offen</x:v>
      </x:c>
      <x:c r="D197" s="14" t="str">
        <x:v>EU</x:v>
      </x:c>
      <x:c r="E197" s="14"/>
      <x:c r="F197" s="14" t="str">
        <x:v>% Beschäftigte</x:v>
      </x:c>
      <x:c r="G197" s="14" t="str">
        <x:v>higher_is_better</x:v>
      </x:c>
      <x:c r="H197" s="14" t="str">
        <x:v>R27</x:v>
      </x:c>
      <x:c r="I197" s="14" t="str">
        <x:v>Optional/Nein</x:v>
      </x:c>
      <x:c r="J197" s="51"/>
      <x:c r="K197" s="51"/>
      <x:c r="L197" s="51"/>
      <x:c r="M197" s="51"/>
      <x:c r="N197" s="51"/>
      <x:c r="O197" s="54"/>
      <x:c r="P197" s="51" t="str">
        <x:v>Optional – kein aktiver Benchmark</x:v>
      </x:c>
      <x:c r="Q197" s="53" t="n">
        <x:v>69.5</x:v>
      </x:c>
      <x:c r="R197" s="53" t="n">
        <x:v>100</x:v>
      </x:c>
      <x:c r="S197" s="53" t="n">
        <x:v>100</x:v>
      </x:c>
      <x:c r="T197" s="53" t="str">
        <x:v>threshold:0-class</x:v>
      </x:c>
      <x:c r="U197" s="14" t="str">
        <x:v>Legacy-Werte bleiben nur als historische Rechenhilfe erhalten und werden nicht für den FinalScore verwendet.</x:v>
      </x:c>
    </x:row>
    <x:row r="198" ht="42" customHeight="1">
      <x:c r="A198" s="14" t="str">
        <x:v>WOK-S-150</x:v>
      </x:c>
      <x:c r="B198" s="14" t="str">
        <x:v>C20</x:v>
      </x:c>
      <x:c r="C198" s="14" t="str">
        <x:v>Legacy / Migration auf NACE Rev. 2.1 offen</x:v>
      </x:c>
      <x:c r="D198" s="14" t="str">
        <x:v>EU</x:v>
      </x:c>
      <x:c r="E198" s="14"/>
      <x:c r="F198" s="14" t="str">
        <x:v>%</x:v>
      </x:c>
      <x:c r="G198" s="14" t="str">
        <x:v>higher_is_better</x:v>
      </x:c>
      <x:c r="H198" s="14" t="str">
        <x:v>R26</x:v>
      </x:c>
      <x:c r="I198" s="14" t="str">
        <x:v>Optional/Nein</x:v>
      </x:c>
      <x:c r="J198" s="51"/>
      <x:c r="K198" s="51"/>
      <x:c r="L198" s="51"/>
      <x:c r="M198" s="51"/>
      <x:c r="N198" s="51"/>
      <x:c r="O198" s="54"/>
      <x:c r="P198" s="51" t="str">
        <x:v>Optional – kein aktiver Benchmark</x:v>
      </x:c>
      <x:c r="Q198" s="53" t="n">
        <x:v>59.5</x:v>
      </x:c>
      <x:c r="R198" s="53" t="n">
        <x:v>89.25</x:v>
      </x:c>
      <x:c r="S198" s="53" t="n">
        <x:v>100</x:v>
      </x:c>
      <x:c r="T198" s="53" t="str">
        <x:v>threshold:0-class</x:v>
      </x:c>
      <x:c r="U198" s="14" t="str">
        <x:v>Legacy-Werte bleiben nur als historische Rechenhilfe erhalten und werden nicht für den FinalScore verwendet.</x:v>
      </x:c>
    </x:row>
    <x:row r="199" ht="42" customHeight="1">
      <x:c r="A199" s="14" t="str">
        <x:v>WOK-S-151</x:v>
      </x:c>
      <x:c r="B199" s="14" t="str">
        <x:v>C20</x:v>
      </x:c>
      <x:c r="C199" s="14" t="str">
        <x:v>Legacy / Migration auf NACE Rev. 2.1 offen</x:v>
      </x:c>
      <x:c r="D199" s="14" t="str">
        <x:v>EU</x:v>
      </x:c>
      <x:c r="E199" s="14"/>
      <x:c r="F199" s="14" t="str">
        <x:v>Unfälle/Mio Std.</x:v>
      </x:c>
      <x:c r="G199" s="14" t="str">
        <x:v>lower_is_better</x:v>
      </x:c>
      <x:c r="H199" s="14" t="str">
        <x:v>R02</x:v>
      </x:c>
      <x:c r="I199" s="14" t="str">
        <x:v>Optional/Nein</x:v>
      </x:c>
      <x:c r="J199" s="51"/>
      <x:c r="K199" s="51"/>
      <x:c r="L199" s="51"/>
      <x:c r="M199" s="51"/>
      <x:c r="N199" s="51"/>
      <x:c r="O199" s="54"/>
      <x:c r="P199" s="51" t="str">
        <x:v>Optional – kein aktiver Benchmark</x:v>
      </x:c>
      <x:c r="Q199" s="53" t="n">
        <x:v>3</x:v>
      </x:c>
      <x:c r="R199" s="53" t="n">
        <x:v>4.5</x:v>
      </x:c>
      <x:c r="S199" s="53" t="n">
        <x:v>7.5</x:v>
      </x:c>
      <x:c r="T199" s="53" t="str">
        <x:v>threshold:0-class</x:v>
      </x:c>
      <x:c r="U199" s="14" t="str">
        <x:v>Legacy-Werte bleiben nur als historische Rechenhilfe erhalten und werden nicht für den FinalScore verwendet.</x:v>
      </x:c>
    </x:row>
    <x:row r="200" ht="42" customHeight="1">
      <x:c r="A200" s="14" t="str">
        <x:v>WOK-S-152</x:v>
      </x:c>
      <x:c r="B200" s="14" t="str">
        <x:v>G47</x:v>
      </x:c>
      <x:c r="C200" s="14" t="str">
        <x:v>Legacy / Migration auf NACE Rev. 2.1 offen</x:v>
      </x:c>
      <x:c r="D200" s="14" t="str">
        <x:v>EU</x:v>
      </x:c>
      <x:c r="E200" s="14"/>
      <x:c r="F200" s="14" t="str">
        <x:v>% Beschäftigte</x:v>
      </x:c>
      <x:c r="G200" s="14" t="str">
        <x:v>higher_is_better</x:v>
      </x:c>
      <x:c r="H200" s="14" t="str">
        <x:v>R27</x:v>
      </x:c>
      <x:c r="I200" s="14" t="str">
        <x:v>Optional/Nein</x:v>
      </x:c>
      <x:c r="J200" s="51"/>
      <x:c r="K200" s="51"/>
      <x:c r="L200" s="51"/>
      <x:c r="M200" s="51"/>
      <x:c r="N200" s="51"/>
      <x:c r="O200" s="54"/>
      <x:c r="P200" s="51" t="str">
        <x:v>Optional – kein aktiver Benchmark</x:v>
      </x:c>
      <x:c r="Q200" s="53" t="n">
        <x:v>69.5</x:v>
      </x:c>
      <x:c r="R200" s="53" t="n">
        <x:v>100</x:v>
      </x:c>
      <x:c r="S200" s="53" t="n">
        <x:v>100</x:v>
      </x:c>
      <x:c r="T200" s="53" t="str">
        <x:v>threshold:0-class</x:v>
      </x:c>
      <x:c r="U200" s="14" t="str">
        <x:v>Legacy-Werte bleiben nur als historische Rechenhilfe erhalten und werden nicht für den FinalScore verwendet.</x:v>
      </x:c>
    </x:row>
    <x:row r="201" ht="42" customHeight="1">
      <x:c r="A201" s="14" t="str">
        <x:v>WOK-S-153</x:v>
      </x:c>
      <x:c r="B201" s="14" t="str">
        <x:v>G47</x:v>
      </x:c>
      <x:c r="C201" s="14" t="str">
        <x:v>Legacy / Migration auf NACE Rev. 2.1 offen</x:v>
      </x:c>
      <x:c r="D201" s="14" t="str">
        <x:v>EU</x:v>
      </x:c>
      <x:c r="E201" s="14"/>
      <x:c r="F201" s="14" t="str">
        <x:v>%</x:v>
      </x:c>
      <x:c r="G201" s="14" t="str">
        <x:v>higher_is_better</x:v>
      </x:c>
      <x:c r="H201" s="14" t="str">
        <x:v>R26</x:v>
      </x:c>
      <x:c r="I201" s="14" t="str">
        <x:v>Optional/Nein</x:v>
      </x:c>
      <x:c r="J201" s="51"/>
      <x:c r="K201" s="51"/>
      <x:c r="L201" s="51"/>
      <x:c r="M201" s="51"/>
      <x:c r="N201" s="51"/>
      <x:c r="O201" s="54"/>
      <x:c r="P201" s="51" t="str">
        <x:v>Optional – kein aktiver Benchmark</x:v>
      </x:c>
      <x:c r="Q201" s="53" t="n">
        <x:v>59.5</x:v>
      </x:c>
      <x:c r="R201" s="53" t="n">
        <x:v>89.25</x:v>
      </x:c>
      <x:c r="S201" s="53" t="n">
        <x:v>100</x:v>
      </x:c>
      <x:c r="T201" s="53" t="str">
        <x:v>threshold:0-class</x:v>
      </x:c>
      <x:c r="U201" s="14" t="str">
        <x:v>Legacy-Werte bleiben nur als historische Rechenhilfe erhalten und werden nicht für den FinalScore verwendet.</x:v>
      </x:c>
    </x:row>
    <x:row r="202" ht="42" customHeight="1">
      <x:c r="A202" s="14" t="str">
        <x:v>WOK-S-154</x:v>
      </x:c>
      <x:c r="B202" s="14" t="str">
        <x:v>G47</x:v>
      </x:c>
      <x:c r="C202" s="14" t="str">
        <x:v>Legacy / Migration auf NACE Rev. 2.1 offen</x:v>
      </x:c>
      <x:c r="D202" s="14" t="str">
        <x:v>EU</x:v>
      </x:c>
      <x:c r="E202" s="14"/>
      <x:c r="F202" s="14" t="str">
        <x:v>Unfälle/Mio Std.</x:v>
      </x:c>
      <x:c r="G202" s="14" t="str">
        <x:v>lower_is_better</x:v>
      </x:c>
      <x:c r="H202" s="14" t="str">
        <x:v>R02</x:v>
      </x:c>
      <x:c r="I202" s="14" t="str">
        <x:v>Optional/Nein</x:v>
      </x:c>
      <x:c r="J202" s="51"/>
      <x:c r="K202" s="51"/>
      <x:c r="L202" s="51"/>
      <x:c r="M202" s="51"/>
      <x:c r="N202" s="51"/>
      <x:c r="O202" s="54"/>
      <x:c r="P202" s="51" t="str">
        <x:v>Optional – kein aktiver Benchmark</x:v>
      </x:c>
      <x:c r="Q202" s="53" t="n">
        <x:v>3</x:v>
      </x:c>
      <x:c r="R202" s="53" t="n">
        <x:v>4.5</x:v>
      </x:c>
      <x:c r="S202" s="53" t="n">
        <x:v>7.5</x:v>
      </x:c>
      <x:c r="T202" s="53" t="str">
        <x:v>threshold:0-class</x:v>
      </x:c>
      <x:c r="U202" s="14" t="str">
        <x:v>Legacy-Werte bleiben nur als historische Rechenhilfe erhalten und werden nicht für den FinalScore verwendet.</x:v>
      </x:c>
    </x:row>
    <x:row r="203" ht="42" customHeight="1">
      <x:c r="A203" s="14" t="str">
        <x:v>WOK-G-137</x:v>
      </x:c>
      <x:c r="B203" s="14" t="str">
        <x:v>G47</x:v>
      </x:c>
      <x:c r="C203" s="14" t="str">
        <x:v>Legacy / Migration auf NACE Rev. 2.1 offen</x:v>
      </x:c>
      <x:c r="D203" s="14" t="str">
        <x:v>EU</x:v>
      </x:c>
      <x:c r="E203" s="14"/>
      <x:c r="F203" s="14" t="str">
        <x:v>Fälle/1.000 FTE</x:v>
      </x:c>
      <x:c r="G203" s="14" t="str">
        <x:v>lower_is_better</x:v>
      </x:c>
      <x:c r="H203" s="14" t="str">
        <x:v>R01</x:v>
      </x:c>
      <x:c r="I203" s="14" t="str">
        <x:v>Optional/Nein</x:v>
      </x:c>
      <x:c r="J203" s="51"/>
      <x:c r="K203" s="51"/>
      <x:c r="L203" s="51"/>
      <x:c r="M203" s="51"/>
      <x:c r="N203" s="51"/>
      <x:c r="O203" s="54"/>
      <x:c r="P203" s="51" t="str">
        <x:v>Optional – kein aktiver Benchmark</x:v>
      </x:c>
      <x:c r="Q203" s="53" t="n">
        <x:v>0.5</x:v>
      </x:c>
      <x:c r="R203" s="53" t="n">
        <x:v>0.75</x:v>
      </x:c>
      <x:c r="S203" s="53" t="n">
        <x:v>1.25</x:v>
      </x:c>
      <x:c r="T203" s="53" t="str">
        <x:v>threshold:0-class</x:v>
      </x:c>
      <x:c r="U203" s="14" t="str">
        <x:v>Legacy-Werte bleiben nur als historische Rechenhilfe erhalten und werden nicht für den FinalScore verwendet.</x:v>
      </x:c>
    </x:row>
    <x:row r="204" ht="42" customHeight="1">
      <x:c r="A204" s="14" t="str">
        <x:v>WOK-G-138</x:v>
      </x:c>
      <x:c r="B204" s="14" t="str">
        <x:v>G47</x:v>
      </x:c>
      <x:c r="C204" s="14" t="str">
        <x:v>Legacy / Migration auf NACE Rev. 2.1 offen</x:v>
      </x:c>
      <x:c r="D204" s="14" t="str">
        <x:v>EU</x:v>
      </x:c>
      <x:c r="E204" s="14"/>
      <x:c r="F204" s="14" t="str">
        <x:v>0–1</x:v>
      </x:c>
      <x:c r="G204" s="14" t="str">
        <x:v>higher_is_better</x:v>
      </x:c>
      <x:c r="H204" s="14" t="str">
        <x:v>R16</x:v>
      </x:c>
      <x:c r="I204" s="14" t="str">
        <x:v>Optional/Nein</x:v>
      </x:c>
      <x:c r="J204" s="51"/>
      <x:c r="K204" s="51"/>
      <x:c r="L204" s="51"/>
      <x:c r="M204" s="51"/>
      <x:c r="N204" s="51"/>
      <x:c r="O204" s="54"/>
      <x:c r="P204" s="51" t="str">
        <x:v>Optional – kein aktiver Benchmark</x:v>
      </x:c>
      <x:c r="Q204" s="53" t="n">
        <x:v>0.6699999999999999</x:v>
      </x:c>
      <x:c r="R204" s="53" t="n">
        <x:v>1</x:v>
      </x:c>
      <x:c r="S204" s="53" t="n">
        <x:v>1</x:v>
      </x:c>
      <x:c r="T204" s="53" t="str">
        <x:v>threshold:0-class</x:v>
      </x:c>
      <x:c r="U204" s="14" t="str">
        <x:v>Legacy-Werte bleiben nur als historische Rechenhilfe erhalten und werden nicht für den FinalScore verwendet.</x:v>
      </x:c>
    </x:row>
    <x:row r="205" ht="42" customHeight="1">
      <x:c r="A205" s="14" t="str">
        <x:v>WOK-G-139</x:v>
      </x:c>
      <x:c r="B205" s="14" t="str">
        <x:v>G47</x:v>
      </x:c>
      <x:c r="C205" s="14" t="str">
        <x:v>Legacy / Migration auf NACE Rev. 2.1 offen</x:v>
      </x:c>
      <x:c r="D205" s="14" t="str">
        <x:v>EU</x:v>
      </x:c>
      <x:c r="E205" s="14"/>
      <x:c r="F205" s="14" t="str">
        <x:v>0–1</x:v>
      </x:c>
      <x:c r="G205" s="14" t="str">
        <x:v>higher_is_better</x:v>
      </x:c>
      <x:c r="H205" s="14" t="str">
        <x:v>R08</x:v>
      </x:c>
      <x:c r="I205" s="14" t="str">
        <x:v>Optional/Nein</x:v>
      </x:c>
      <x:c r="J205" s="51"/>
      <x:c r="K205" s="51"/>
      <x:c r="L205" s="51"/>
      <x:c r="M205" s="51"/>
      <x:c r="N205" s="51"/>
      <x:c r="O205" s="54"/>
      <x:c r="P205" s="51" t="str">
        <x:v>Optional – kein aktiver Benchmark</x:v>
      </x:c>
      <x:c r="Q205" s="53" t="n">
        <x:v>0.5</x:v>
      </x:c>
      <x:c r="R205" s="53" t="n">
        <x:v>0.75</x:v>
      </x:c>
      <x:c r="S205" s="53" t="n">
        <x:v>0.9</x:v>
      </x:c>
      <x:c r="T205" s="53" t="str">
        <x:v>default:higher_is_better_abs</x:v>
      </x:c>
      <x:c r="U205" s="14" t="str">
        <x:v>Legacy-Werte bleiben nur als historische Rechenhilfe erhalten und werden nicht für den FinalScore verwendet.</x:v>
      </x:c>
    </x:row>
    <x:row r="206" ht="42" customHeight="1">
      <x:c r="A206" s="14" t="str">
        <x:v>WOK-SC-116</x:v>
      </x:c>
      <x:c r="B206" s="14" t="str">
        <x:v>C20</x:v>
      </x:c>
      <x:c r="C206" s="14" t="str">
        <x:v>Legacy / Migration auf NACE Rev. 2.1 offen</x:v>
      </x:c>
      <x:c r="D206" s="14" t="str">
        <x:v>EU</x:v>
      </x:c>
      <x:c r="E206" s="14"/>
      <x:c r="F206" s="14" t="str">
        <x:v>%</x:v>
      </x:c>
      <x:c r="G206" s="14" t="str">
        <x:v>higher_is_better</x:v>
      </x:c>
      <x:c r="H206" s="14" t="str">
        <x:v>R26</x:v>
      </x:c>
      <x:c r="I206" s="14" t="str">
        <x:v>Optional/Nein</x:v>
      </x:c>
      <x:c r="J206" s="51"/>
      <x:c r="K206" s="51"/>
      <x:c r="L206" s="51"/>
      <x:c r="M206" s="51"/>
      <x:c r="N206" s="51"/>
      <x:c r="O206" s="54"/>
      <x:c r="P206" s="51" t="str">
        <x:v>Optional – kein aktiver Benchmark</x:v>
      </x:c>
      <x:c r="Q206" s="53" t="n">
        <x:v>59.5</x:v>
      </x:c>
      <x:c r="R206" s="53" t="n">
        <x:v>89.25</x:v>
      </x:c>
      <x:c r="S206" s="53" t="n">
        <x:v>100</x:v>
      </x:c>
      <x:c r="T206" s="53" t="str">
        <x:v>threshold:0-class</x:v>
      </x:c>
      <x:c r="U206" s="14" t="str">
        <x:v>Legacy-Werte bleiben nur als historische Rechenhilfe erhalten und werden nicht für den FinalScore verwendet.</x:v>
      </x:c>
    </x:row>
    <x:row r="207" ht="42" customHeight="1">
      <x:c r="A207" s="14" t="str">
        <x:v>WOK-SC-117</x:v>
      </x:c>
      <x:c r="B207" s="14" t="str">
        <x:v>C20</x:v>
      </x:c>
      <x:c r="C207" s="14" t="str">
        <x:v>Legacy / Migration auf NACE Rev. 2.1 offen</x:v>
      </x:c>
      <x:c r="D207" s="14" t="str">
        <x:v>EU</x:v>
      </x:c>
      <x:c r="E207" s="14"/>
      <x:c r="F207" s="14" t="str">
        <x:v>% Lieferanten</x:v>
      </x:c>
      <x:c r="G207" s="14" t="str">
        <x:v>higher_is_better</x:v>
      </x:c>
      <x:c r="H207" s="14" t="str">
        <x:v>R28</x:v>
      </x:c>
      <x:c r="I207" s="14" t="str">
        <x:v>Optional/Nein</x:v>
      </x:c>
      <x:c r="J207" s="51"/>
      <x:c r="K207" s="51"/>
      <x:c r="L207" s="51"/>
      <x:c r="M207" s="51"/>
      <x:c r="N207" s="51"/>
      <x:c r="O207" s="54"/>
      <x:c r="P207" s="51" t="str">
        <x:v>Optional – kein aktiver Benchmark</x:v>
      </x:c>
      <x:c r="Q207" s="53" t="n">
        <x:v>82</x:v>
      </x:c>
      <x:c r="R207" s="53" t="n">
        <x:v>100</x:v>
      </x:c>
      <x:c r="S207" s="53" t="n">
        <x:v>100</x:v>
      </x:c>
      <x:c r="T207" s="53" t="str">
        <x:v>threshold:0-class</x:v>
      </x:c>
      <x:c r="U207" s="14" t="str">
        <x:v>Legacy-Werte bleiben nur als historische Rechenhilfe erhalten und werden nicht für den FinalScore verwendet.</x:v>
      </x:c>
    </x:row>
    <x:row r="208" ht="42" customHeight="1">
      <x:c r="A208" s="14" t="str">
        <x:v>WOK-SC-118</x:v>
      </x:c>
      <x:c r="B208" s="14" t="str">
        <x:v>C20</x:v>
      </x:c>
      <x:c r="C208" s="14" t="str">
        <x:v>Legacy / Migration auf NACE Rev. 2.1 offen</x:v>
      </x:c>
      <x:c r="D208" s="14" t="str">
        <x:v>EU</x:v>
      </x:c>
      <x:c r="E208" s="14"/>
      <x:c r="F208" s="14" t="str">
        <x:v>% Kategorien</x:v>
      </x:c>
      <x:c r="G208" s="14" t="str">
        <x:v>higher_is_better</x:v>
      </x:c>
      <x:c r="H208" s="14" t="str">
        <x:v>R23</x:v>
      </x:c>
      <x:c r="I208" s="14" t="str">
        <x:v>Optional/Nein</x:v>
      </x:c>
      <x:c r="J208" s="51"/>
      <x:c r="K208" s="51"/>
      <x:c r="L208" s="51"/>
      <x:c r="M208" s="51"/>
      <x:c r="N208" s="51"/>
      <x:c r="O208" s="54"/>
      <x:c r="P208" s="51" t="str">
        <x:v>Optional – kein aktiver Benchmark</x:v>
      </x:c>
      <x:c r="Q208" s="53" t="n">
        <x:v>49.5</x:v>
      </x:c>
      <x:c r="R208" s="53" t="n">
        <x:v>74.25</x:v>
      </x:c>
      <x:c r="S208" s="53" t="n">
        <x:v>100</x:v>
      </x:c>
      <x:c r="T208" s="53" t="str">
        <x:v>threshold:0-class</x:v>
      </x:c>
      <x:c r="U208" s="14" t="str">
        <x:v>Legacy-Werte bleiben nur als historische Rechenhilfe erhalten und werden nicht für den FinalScore verwendet.</x:v>
      </x:c>
    </x:row>
    <x:row r="209" ht="42" customHeight="1">
      <x:c r="A209" s="14" t="str">
        <x:v>WOK-SYS-119</x:v>
      </x:c>
      <x:c r="B209" s="14" t="str">
        <x:v>G47</x:v>
      </x:c>
      <x:c r="C209" s="14" t="str">
        <x:v>Legacy / Migration auf NACE Rev. 2.1 offen</x:v>
      </x:c>
      <x:c r="D209" s="14" t="str">
        <x:v>EU</x:v>
      </x:c>
      <x:c r="E209" s="14"/>
      <x:c r="F209" s="14" t="str">
        <x:v>0–1</x:v>
      </x:c>
      <x:c r="G209" s="14" t="str">
        <x:v>higher_is_better</x:v>
      </x:c>
      <x:c r="H209" s="14" t="str">
        <x:v>R15</x:v>
      </x:c>
      <x:c r="I209" s="14" t="str">
        <x:v>Optional/Nein</x:v>
      </x:c>
      <x:c r="J209" s="51"/>
      <x:c r="K209" s="51"/>
      <x:c r="L209" s="51"/>
      <x:c r="M209" s="51"/>
      <x:c r="N209" s="51"/>
      <x:c r="O209" s="54"/>
      <x:c r="P209" s="51" t="str">
        <x:v>Optional – kein aktiver Benchmark</x:v>
      </x:c>
      <x:c r="Q209" s="53" t="n">
        <x:v>0.645</x:v>
      </x:c>
      <x:c r="R209" s="53" t="n">
        <x:v>0.9675</x:v>
      </x:c>
      <x:c r="S209" s="53" t="n">
        <x:v>1</x:v>
      </x:c>
      <x:c r="T209" s="53" t="str">
        <x:v>threshold:0-class</x:v>
      </x:c>
      <x:c r="U209" s="14" t="str">
        <x:v>Legacy-Werte bleiben nur als historische Rechenhilfe erhalten und werden nicht für den FinalScore verwendet.</x:v>
      </x:c>
    </x:row>
    <x:row r="210" ht="42" customHeight="1">
      <x:c r="A210" s="14" t="str">
        <x:v>WOK-SYS-120</x:v>
      </x:c>
      <x:c r="B210" s="14" t="str">
        <x:v>G47</x:v>
      </x:c>
      <x:c r="C210" s="14" t="str">
        <x:v>Legacy / Migration auf NACE Rev. 2.1 offen</x:v>
      </x:c>
      <x:c r="D210" s="14" t="str">
        <x:v>EU</x:v>
      </x:c>
      <x:c r="E210" s="14"/>
      <x:c r="F210" s="14" t="str">
        <x:v>%</x:v>
      </x:c>
      <x:c r="G210" s="14" t="str">
        <x:v>lower_is_better</x:v>
      </x:c>
      <x:c r="H210" s="14" t="str">
        <x:v>R13</x:v>
      </x:c>
      <x:c r="I210" s="14" t="str">
        <x:v>Optional/Nein</x:v>
      </x:c>
      <x:c r="J210" s="51"/>
      <x:c r="K210" s="51"/>
      <x:c r="L210" s="51"/>
      <x:c r="M210" s="51"/>
      <x:c r="N210" s="51"/>
      <x:c r="O210" s="54"/>
      <x:c r="P210" s="51" t="str">
        <x:v>Optional – kein aktiver Benchmark</x:v>
      </x:c>
      <x:c r="Q210" s="53" t="n">
        <x:v>15.5</x:v>
      </x:c>
      <x:c r="R210" s="53" t="n">
        <x:v>23.25</x:v>
      </x:c>
      <x:c r="S210" s="53" t="n">
        <x:v>38.75</x:v>
      </x:c>
      <x:c r="T210" s="53" t="str">
        <x:v>threshold:0-class</x:v>
      </x:c>
      <x:c r="U210" s="14" t="str">
        <x:v>Legacy-Werte bleiben nur als historische Rechenhilfe erhalten und werden nicht für den FinalScore verwendet.</x:v>
      </x:c>
    </x:row>
    <x:row r="211" ht="42" customHeight="1">
      <x:c r="A211" s="14" t="str">
        <x:v>WOK-SYS-121</x:v>
      </x:c>
      <x:c r="B211" s="14" t="str">
        <x:v>G47</x:v>
      </x:c>
      <x:c r="C211" s="14" t="str">
        <x:v>Legacy / Migration auf NACE Rev. 2.1 offen</x:v>
      </x:c>
      <x:c r="D211" s="14" t="str">
        <x:v>EU</x:v>
      </x:c>
      <x:c r="E211" s="14"/>
      <x:c r="F211" s="14" t="str">
        <x:v>#/Jahr</x:v>
      </x:c>
      <x:c r="G211" s="14" t="str">
        <x:v>higher_is_better</x:v>
      </x:c>
      <x:c r="H211" s="14" t="str">
        <x:v>R20</x:v>
      </x:c>
      <x:c r="I211" s="14" t="str">
        <x:v>Optional/Nein</x:v>
      </x:c>
      <x:c r="J211" s="51"/>
      <x:c r="K211" s="51"/>
      <x:c r="L211" s="51"/>
      <x:c r="M211" s="51"/>
      <x:c r="N211" s="51"/>
      <x:c r="O211" s="54"/>
      <x:c r="P211" s="51" t="str">
        <x:v>Optional – kein aktiver Benchmark</x:v>
      </x:c>
      <x:c r="Q211" s="53" t="n">
        <x:v>1.5</x:v>
      </x:c>
      <x:c r="R211" s="53" t="n">
        <x:v>2.25</x:v>
      </x:c>
      <x:c r="S211" s="53" t="n">
        <x:v>3.75</x:v>
      </x:c>
      <x:c r="T211" s="53" t="str">
        <x:v>threshold:0-class</x:v>
      </x:c>
      <x:c r="U211" s="14" t="str">
        <x:v>Legacy-Werte bleiben nur als historische Rechenhilfe erhalten und werden nicht für den FinalScore verwendet.</x:v>
      </x:c>
    </x:row>
    <x:row r="212" ht="42" customHeight="1">
      <x:c r="A212" s="14" t="str">
        <x:v>WOK-S-155</x:v>
      </x:c>
      <x:c r="B212" s="14" t="str">
        <x:v>G47</x:v>
      </x:c>
      <x:c r="C212" s="14" t="str">
        <x:v>Legacy / Migration auf NACE Rev. 2.1 offen</x:v>
      </x:c>
      <x:c r="D212" s="14" t="str">
        <x:v>EU</x:v>
      </x:c>
      <x:c r="E212" s="14"/>
      <x:c r="F212" s="14" t="str">
        <x:v>% Beschäftigte</x:v>
      </x:c>
      <x:c r="G212" s="14" t="str">
        <x:v>higher_is_better</x:v>
      </x:c>
      <x:c r="H212" s="14" t="str">
        <x:v>R27</x:v>
      </x:c>
      <x:c r="I212" s="14" t="str">
        <x:v>Optional/Nein</x:v>
      </x:c>
      <x:c r="J212" s="51"/>
      <x:c r="K212" s="51"/>
      <x:c r="L212" s="51"/>
      <x:c r="M212" s="51"/>
      <x:c r="N212" s="51"/>
      <x:c r="O212" s="54"/>
      <x:c r="P212" s="51" t="str">
        <x:v>Optional – kein aktiver Benchmark</x:v>
      </x:c>
      <x:c r="Q212" s="53" t="n">
        <x:v>69.5</x:v>
      </x:c>
      <x:c r="R212" s="53" t="n">
        <x:v>100</x:v>
      </x:c>
      <x:c r="S212" s="53" t="n">
        <x:v>100</x:v>
      </x:c>
      <x:c r="T212" s="53" t="str">
        <x:v>threshold:0-class</x:v>
      </x:c>
      <x:c r="U212" s="14" t="str">
        <x:v>Legacy-Werte bleiben nur als historische Rechenhilfe erhalten und werden nicht für den FinalScore verwendet.</x:v>
      </x:c>
    </x:row>
    <x:row r="213" ht="42" customHeight="1">
      <x:c r="A213" s="14" t="str">
        <x:v>WOK-S-156</x:v>
      </x:c>
      <x:c r="B213" s="14" t="str">
        <x:v>G47</x:v>
      </x:c>
      <x:c r="C213" s="14" t="str">
        <x:v>Legacy / Migration auf NACE Rev. 2.1 offen</x:v>
      </x:c>
      <x:c r="D213" s="14" t="str">
        <x:v>EU</x:v>
      </x:c>
      <x:c r="E213" s="14"/>
      <x:c r="F213" s="14" t="str">
        <x:v>%</x:v>
      </x:c>
      <x:c r="G213" s="14" t="str">
        <x:v>higher_is_better</x:v>
      </x:c>
      <x:c r="H213" s="14" t="str">
        <x:v>R26</x:v>
      </x:c>
      <x:c r="I213" s="14" t="str">
        <x:v>Optional/Nein</x:v>
      </x:c>
      <x:c r="J213" s="51"/>
      <x:c r="K213" s="51"/>
      <x:c r="L213" s="51"/>
      <x:c r="M213" s="51"/>
      <x:c r="N213" s="51"/>
      <x:c r="O213" s="54"/>
      <x:c r="P213" s="51" t="str">
        <x:v>Optional – kein aktiver Benchmark</x:v>
      </x:c>
      <x:c r="Q213" s="53" t="n">
        <x:v>59.5</x:v>
      </x:c>
      <x:c r="R213" s="53" t="n">
        <x:v>89.25</x:v>
      </x:c>
      <x:c r="S213" s="53" t="n">
        <x:v>100</x:v>
      </x:c>
      <x:c r="T213" s="53" t="str">
        <x:v>threshold:0-class</x:v>
      </x:c>
      <x:c r="U213" s="14" t="str">
        <x:v>Legacy-Werte bleiben nur als historische Rechenhilfe erhalten und werden nicht für den FinalScore verwendet.</x:v>
      </x:c>
    </x:row>
    <x:row r="214" ht="42" customHeight="1">
      <x:c r="A214" s="14" t="str">
        <x:v>WOK-S-157</x:v>
      </x:c>
      <x:c r="B214" s="14" t="str">
        <x:v>G47</x:v>
      </x:c>
      <x:c r="C214" s="14" t="str">
        <x:v>Legacy / Migration auf NACE Rev. 2.1 offen</x:v>
      </x:c>
      <x:c r="D214" s="14" t="str">
        <x:v>EU</x:v>
      </x:c>
      <x:c r="E214" s="14"/>
      <x:c r="F214" s="14" t="str">
        <x:v>Unfälle/Mio Std.</x:v>
      </x:c>
      <x:c r="G214" s="14" t="str">
        <x:v>lower_is_better</x:v>
      </x:c>
      <x:c r="H214" s="14" t="str">
        <x:v>R02</x:v>
      </x:c>
      <x:c r="I214" s="14" t="str">
        <x:v>Optional/Nein</x:v>
      </x:c>
      <x:c r="J214" s="51"/>
      <x:c r="K214" s="51"/>
      <x:c r="L214" s="51"/>
      <x:c r="M214" s="51"/>
      <x:c r="N214" s="51"/>
      <x:c r="O214" s="54"/>
      <x:c r="P214" s="51" t="str">
        <x:v>Optional – kein aktiver Benchmark</x:v>
      </x:c>
      <x:c r="Q214" s="53" t="n">
        <x:v>3</x:v>
      </x:c>
      <x:c r="R214" s="53" t="n">
        <x:v>4.5</x:v>
      </x:c>
      <x:c r="S214" s="53" t="n">
        <x:v>7.5</x:v>
      </x:c>
      <x:c r="T214" s="53" t="str">
        <x:v>threshold:0-class</x:v>
      </x:c>
      <x:c r="U214" s="14" t="str">
        <x:v>Legacy-Werte bleiben nur als historische Rechenhilfe erhalten und werden nicht für den FinalScore verwendet.</x:v>
      </x:c>
    </x:row>
    <x:row r="215" ht="42" customHeight="1">
      <x:c r="A215" s="14" t="str">
        <x:v>WOK-G-140</x:v>
      </x:c>
      <x:c r="B215" s="14" t="str">
        <x:v>G47</x:v>
      </x:c>
      <x:c r="C215" s="14" t="str">
        <x:v>Legacy / Migration auf NACE Rev. 2.1 offen</x:v>
      </x:c>
      <x:c r="D215" s="14" t="str">
        <x:v>EU</x:v>
      </x:c>
      <x:c r="E215" s="14"/>
      <x:c r="F215" s="14" t="str">
        <x:v>Fälle/1.000 FTE</x:v>
      </x:c>
      <x:c r="G215" s="14" t="str">
        <x:v>lower_is_better</x:v>
      </x:c>
      <x:c r="H215" s="14" t="str">
        <x:v>R01</x:v>
      </x:c>
      <x:c r="I215" s="14" t="str">
        <x:v>Optional/Nein</x:v>
      </x:c>
      <x:c r="J215" s="51"/>
      <x:c r="K215" s="51"/>
      <x:c r="L215" s="51"/>
      <x:c r="M215" s="51"/>
      <x:c r="N215" s="51"/>
      <x:c r="O215" s="54"/>
      <x:c r="P215" s="51" t="str">
        <x:v>Optional – kein aktiver Benchmark</x:v>
      </x:c>
      <x:c r="Q215" s="53" t="n">
        <x:v>0.5</x:v>
      </x:c>
      <x:c r="R215" s="53" t="n">
        <x:v>0.75</x:v>
      </x:c>
      <x:c r="S215" s="53" t="n">
        <x:v>1.25</x:v>
      </x:c>
      <x:c r="T215" s="53" t="str">
        <x:v>threshold:0-class</x:v>
      </x:c>
      <x:c r="U215" s="14" t="str">
        <x:v>Legacy-Werte bleiben nur als historische Rechenhilfe erhalten und werden nicht für den FinalScore verwendet.</x:v>
      </x:c>
    </x:row>
    <x:row r="216" ht="42" customHeight="1">
      <x:c r="A216" s="14" t="str">
        <x:v>WOK-G-141</x:v>
      </x:c>
      <x:c r="B216" s="14" t="str">
        <x:v>G47</x:v>
      </x:c>
      <x:c r="C216" s="14" t="str">
        <x:v>Legacy / Migration auf NACE Rev. 2.1 offen</x:v>
      </x:c>
      <x:c r="D216" s="14" t="str">
        <x:v>EU</x:v>
      </x:c>
      <x:c r="E216" s="14"/>
      <x:c r="F216" s="14" t="str">
        <x:v>0–1</x:v>
      </x:c>
      <x:c r="G216" s="14" t="str">
        <x:v>higher_is_better</x:v>
      </x:c>
      <x:c r="H216" s="14" t="str">
        <x:v>R16</x:v>
      </x:c>
      <x:c r="I216" s="14" t="str">
        <x:v>Optional/Nein</x:v>
      </x:c>
      <x:c r="J216" s="51"/>
      <x:c r="K216" s="51"/>
      <x:c r="L216" s="51"/>
      <x:c r="M216" s="51"/>
      <x:c r="N216" s="51"/>
      <x:c r="O216" s="54"/>
      <x:c r="P216" s="51" t="str">
        <x:v>Optional – kein aktiver Benchmark</x:v>
      </x:c>
      <x:c r="Q216" s="53" t="n">
        <x:v>0.6699999999999999</x:v>
      </x:c>
      <x:c r="R216" s="53" t="n">
        <x:v>1</x:v>
      </x:c>
      <x:c r="S216" s="53" t="n">
        <x:v>1</x:v>
      </x:c>
      <x:c r="T216" s="53" t="str">
        <x:v>threshold:0-class</x:v>
      </x:c>
      <x:c r="U216" s="14" t="str">
        <x:v>Legacy-Werte bleiben nur als historische Rechenhilfe erhalten und werden nicht für den FinalScore verwendet.</x:v>
      </x:c>
    </x:row>
    <x:row r="217" ht="42" customHeight="1">
      <x:c r="A217" s="14" t="str">
        <x:v>WOK-G-142</x:v>
      </x:c>
      <x:c r="B217" s="14" t="str">
        <x:v>G47</x:v>
      </x:c>
      <x:c r="C217" s="14" t="str">
        <x:v>Legacy / Migration auf NACE Rev. 2.1 offen</x:v>
      </x:c>
      <x:c r="D217" s="14" t="str">
        <x:v>EU</x:v>
      </x:c>
      <x:c r="E217" s="14"/>
      <x:c r="F217" s="14" t="str">
        <x:v>0–1</x:v>
      </x:c>
      <x:c r="G217" s="14" t="str">
        <x:v>higher_is_better</x:v>
      </x:c>
      <x:c r="H217" s="14" t="str">
        <x:v>R08</x:v>
      </x:c>
      <x:c r="I217" s="14" t="str">
        <x:v>Optional/Nein</x:v>
      </x:c>
      <x:c r="J217" s="51"/>
      <x:c r="K217" s="51"/>
      <x:c r="L217" s="51"/>
      <x:c r="M217" s="51"/>
      <x:c r="N217" s="51"/>
      <x:c r="O217" s="54"/>
      <x:c r="P217" s="51" t="str">
        <x:v>Optional – kein aktiver Benchmark</x:v>
      </x:c>
      <x:c r="Q217" s="53" t="n">
        <x:v>0.5</x:v>
      </x:c>
      <x:c r="R217" s="53" t="n">
        <x:v>0.75</x:v>
      </x:c>
      <x:c r="S217" s="53" t="n">
        <x:v>0.9</x:v>
      </x:c>
      <x:c r="T217" s="53" t="str">
        <x:v>default:higher_is_better_abs</x:v>
      </x:c>
      <x:c r="U217" s="14" t="str">
        <x:v>Legacy-Werte bleiben nur als historische Rechenhilfe erhalten und werden nicht für den FinalScore verwendet.</x:v>
      </x:c>
    </x:row>
    <x:row r="218" ht="42" customHeight="1">
      <x:c r="A218" s="14" t="str">
        <x:v>WOK-S-158</x:v>
      </x:c>
      <x:c r="B218" s="14" t="str">
        <x:v>G47</x:v>
      </x:c>
      <x:c r="C218" s="14" t="str">
        <x:v>Legacy / Migration auf NACE Rev. 2.1 offen</x:v>
      </x:c>
      <x:c r="D218" s="14" t="str">
        <x:v>EU</x:v>
      </x:c>
      <x:c r="E218" s="14"/>
      <x:c r="F218" s="14" t="str">
        <x:v>% Beschäftigte</x:v>
      </x:c>
      <x:c r="G218" s="14" t="str">
        <x:v>higher_is_better</x:v>
      </x:c>
      <x:c r="H218" s="14" t="str">
        <x:v>R27</x:v>
      </x:c>
      <x:c r="I218" s="14" t="str">
        <x:v>Optional/Nein</x:v>
      </x:c>
      <x:c r="J218" s="51"/>
      <x:c r="K218" s="51"/>
      <x:c r="L218" s="51"/>
      <x:c r="M218" s="51"/>
      <x:c r="N218" s="51"/>
      <x:c r="O218" s="54"/>
      <x:c r="P218" s="51" t="str">
        <x:v>Optional – kein aktiver Benchmark</x:v>
      </x:c>
      <x:c r="Q218" s="53" t="n">
        <x:v>69.5</x:v>
      </x:c>
      <x:c r="R218" s="53" t="n">
        <x:v>100</x:v>
      </x:c>
      <x:c r="S218" s="53" t="n">
        <x:v>100</x:v>
      </x:c>
      <x:c r="T218" s="53" t="str">
        <x:v>threshold:0-class</x:v>
      </x:c>
      <x:c r="U218" s="14" t="str">
        <x:v>Legacy-Werte bleiben nur als historische Rechenhilfe erhalten und werden nicht für den FinalScore verwendet.</x:v>
      </x:c>
    </x:row>
    <x:row r="219" ht="42" customHeight="1">
      <x:c r="A219" s="14" t="str">
        <x:v>WOK-S-159</x:v>
      </x:c>
      <x:c r="B219" s="14" t="str">
        <x:v>G47</x:v>
      </x:c>
      <x:c r="C219" s="14" t="str">
        <x:v>Legacy / Migration auf NACE Rev. 2.1 offen</x:v>
      </x:c>
      <x:c r="D219" s="14" t="str">
        <x:v>EU</x:v>
      </x:c>
      <x:c r="E219" s="14"/>
      <x:c r="F219" s="14" t="str">
        <x:v>%</x:v>
      </x:c>
      <x:c r="G219" s="14" t="str">
        <x:v>higher_is_better</x:v>
      </x:c>
      <x:c r="H219" s="14" t="str">
        <x:v>R26</x:v>
      </x:c>
      <x:c r="I219" s="14" t="str">
        <x:v>Optional/Nein</x:v>
      </x:c>
      <x:c r="J219" s="51"/>
      <x:c r="K219" s="51"/>
      <x:c r="L219" s="51"/>
      <x:c r="M219" s="51"/>
      <x:c r="N219" s="51"/>
      <x:c r="O219" s="54"/>
      <x:c r="P219" s="51" t="str">
        <x:v>Optional – kein aktiver Benchmark</x:v>
      </x:c>
      <x:c r="Q219" s="53" t="n">
        <x:v>59.5</x:v>
      </x:c>
      <x:c r="R219" s="53" t="n">
        <x:v>89.25</x:v>
      </x:c>
      <x:c r="S219" s="53" t="n">
        <x:v>100</x:v>
      </x:c>
      <x:c r="T219" s="53" t="str">
        <x:v>threshold:0-class</x:v>
      </x:c>
      <x:c r="U219" s="14" t="str">
        <x:v>Legacy-Werte bleiben nur als historische Rechenhilfe erhalten und werden nicht für den FinalScore verwendet.</x:v>
      </x:c>
    </x:row>
    <x:row r="220" ht="42" customHeight="1">
      <x:c r="A220" s="14" t="str">
        <x:v>WOK-S-160</x:v>
      </x:c>
      <x:c r="B220" s="14" t="str">
        <x:v>G47</x:v>
      </x:c>
      <x:c r="C220" s="14" t="str">
        <x:v>Legacy / Migration auf NACE Rev. 2.1 offen</x:v>
      </x:c>
      <x:c r="D220" s="14" t="str">
        <x:v>EU</x:v>
      </x:c>
      <x:c r="E220" s="14"/>
      <x:c r="F220" s="14" t="str">
        <x:v>Unfälle/Mio Std.</x:v>
      </x:c>
      <x:c r="G220" s="14" t="str">
        <x:v>lower_is_better</x:v>
      </x:c>
      <x:c r="H220" s="14" t="str">
        <x:v>R02</x:v>
      </x:c>
      <x:c r="I220" s="14" t="str">
        <x:v>Optional/Nein</x:v>
      </x:c>
      <x:c r="J220" s="51"/>
      <x:c r="K220" s="51"/>
      <x:c r="L220" s="51"/>
      <x:c r="M220" s="51"/>
      <x:c r="N220" s="51"/>
      <x:c r="O220" s="54"/>
      <x:c r="P220" s="51" t="str">
        <x:v>Optional – kein aktiver Benchmark</x:v>
      </x:c>
      <x:c r="Q220" s="53" t="n">
        <x:v>3</x:v>
      </x:c>
      <x:c r="R220" s="53" t="n">
        <x:v>4.5</x:v>
      </x:c>
      <x:c r="S220" s="53" t="n">
        <x:v>7.5</x:v>
      </x:c>
      <x:c r="T220" s="53" t="str">
        <x:v>threshold:0-class</x:v>
      </x:c>
      <x:c r="U220" s="14" t="str">
        <x:v>Legacy-Werte bleiben nur als historische Rechenhilfe erhalten und werden nicht für den FinalScore verwendet.</x:v>
      </x:c>
    </x:row>
    <x:row r="221" ht="42" customHeight="1">
      <x:c r="A221" s="14" t="str">
        <x:v>WOK-E-146</x:v>
      </x:c>
      <x:c r="B221" s="14" t="str">
        <x:v>C20</x:v>
      </x:c>
      <x:c r="C221" s="14" t="str">
        <x:v>Legacy / Migration auf NACE Rev. 2.1 offen</x:v>
      </x:c>
      <x:c r="D221" s="14" t="str">
        <x:v>EU</x:v>
      </x:c>
      <x:c r="E221" s="14"/>
      <x:c r="F221" s="14" t="str">
        <x:v>% Umsatz</x:v>
      </x:c>
      <x:c r="G221" s="14" t="str">
        <x:v>higher_is_better</x:v>
      </x:c>
      <x:c r="H221" s="14" t="str">
        <x:v>R19</x:v>
      </x:c>
      <x:c r="I221" s="14" t="str">
        <x:v>Optional/Nein</x:v>
      </x:c>
      <x:c r="J221" s="51"/>
      <x:c r="K221" s="51"/>
      <x:c r="L221" s="51"/>
      <x:c r="M221" s="51"/>
      <x:c r="N221" s="51"/>
      <x:c r="O221" s="54"/>
      <x:c r="P221" s="51" t="str">
        <x:v>Optional – kein aktiver Benchmark</x:v>
      </x:c>
      <x:c r="Q221" s="53" t="n">
        <x:v>1.95</x:v>
      </x:c>
      <x:c r="R221" s="53" t="n">
        <x:v>2.925</x:v>
      </x:c>
      <x:c r="S221" s="53" t="n">
        <x:v>4.875</x:v>
      </x:c>
      <x:c r="T221" s="53" t="str">
        <x:v>threshold:0-class</x:v>
      </x:c>
      <x:c r="U221" s="14" t="str">
        <x:v>Legacy-Werte bleiben nur als historische Rechenhilfe erhalten und werden nicht für den FinalScore verwendet.</x:v>
      </x:c>
    </x:row>
    <x:row r="222" ht="42" customHeight="1">
      <x:c r="A222" s="14" t="str">
        <x:v>WOK-E-147</x:v>
      </x:c>
      <x:c r="B222" s="14" t="str">
        <x:v>C20</x:v>
      </x:c>
      <x:c r="C222" s="14" t="str">
        <x:v>Legacy / Migration auf NACE Rev. 2.1 offen</x:v>
      </x:c>
      <x:c r="D222" s="14" t="str">
        <x:v>EU</x:v>
      </x:c>
      <x:c r="E222" s="14"/>
      <x:c r="F222" s="14" t="str">
        <x:v>%</x:v>
      </x:c>
      <x:c r="G222" s="14" t="str">
        <x:v>higher_is_better</x:v>
      </x:c>
      <x:c r="H222" s="14" t="str">
        <x:v>R17</x:v>
      </x:c>
      <x:c r="I222" s="14" t="str">
        <x:v>Optional/Nein</x:v>
      </x:c>
      <x:c r="J222" s="51"/>
      <x:c r="K222" s="51"/>
      <x:c r="L222" s="51"/>
      <x:c r="M222" s="51"/>
      <x:c r="N222" s="51"/>
      <x:c r="O222" s="54"/>
      <x:c r="P222" s="51" t="str">
        <x:v>Optional – kein aktiver Benchmark</x:v>
      </x:c>
      <x:c r="Q222" s="53" t="n">
        <x:v>17</x:v>
      </x:c>
      <x:c r="R222" s="53" t="n">
        <x:v>25.5</x:v>
      </x:c>
      <x:c r="S222" s="53" t="n">
        <x:v>42.5</x:v>
      </x:c>
      <x:c r="T222" s="53" t="str">
        <x:v>threshold:0-class</x:v>
      </x:c>
      <x:c r="U222" s="14" t="str">
        <x:v>Legacy-Werte bleiben nur als historische Rechenhilfe erhalten und werden nicht für den FinalScore verwendet.</x:v>
      </x:c>
    </x:row>
    <x:row r="223" ht="42" customHeight="1">
      <x:c r="A223" s="14" t="str">
        <x:v>WOK-E-148</x:v>
      </x:c>
      <x:c r="B223" s="14" t="str">
        <x:v>C20</x:v>
      </x:c>
      <x:c r="C223" s="14" t="str">
        <x:v>Legacy / Migration auf NACE Rev. 2.1 offen</x:v>
      </x:c>
      <x:c r="D223" s="14" t="str">
        <x:v>EU</x:v>
      </x:c>
      <x:c r="E223" s="14"/>
      <x:c r="F223" s="14" t="str">
        <x:v>kWh/t bzw. t CO₂e/t</x:v>
      </x:c>
      <x:c r="G223" s="14" t="str">
        <x:v>lower_is_better</x:v>
      </x:c>
      <x:c r="H223" s="14" t="str">
        <x:v>R06</x:v>
      </x:c>
      <x:c r="I223" s="14" t="str">
        <x:v>Ja</x:v>
      </x:c>
      <x:c r="J223" s="51"/>
      <x:c r="K223" s="51"/>
      <x:c r="L223" s="51"/>
      <x:c r="M223" s="51"/>
      <x:c r="N223" s="51"/>
      <x:c r="O223" s="54"/>
      <x:c r="P223" s="51" t="str">
        <x:v>Offen – validierter Benchmark fehlt</x:v>
      </x:c>
      <x:c r="Q223" s="53" t="n">
        <x:v>1</x:v>
      </x:c>
      <x:c r="R223" s="53" t="n">
        <x:v>1.5</x:v>
      </x:c>
      <x:c r="S223" s="53" t="n">
        <x:v>2.5</x:v>
      </x:c>
      <x:c r="T223" s="53" t="str">
        <x:v>default:lower_is_better_abs</x:v>
      </x:c>
      <x:c r="U223" s="14" t="str">
        <x:v>Vor Aktivierung repräsentative Population, Region, Technologieklasse, Statistik, Quelle und Gültigkeitszeitraum dokumentieren.</x:v>
      </x:c>
    </x:row>
    <x:row r="224" ht="42" customHeight="1">
      <x:c r="A224" s="14" t="str">
        <x:v>WOK-G-143</x:v>
      </x:c>
      <x:c r="B224" s="14" t="str">
        <x:v>C20</x:v>
      </x:c>
      <x:c r="C224" s="14" t="str">
        <x:v>Legacy / Migration auf NACE Rev. 2.1 offen</x:v>
      </x:c>
      <x:c r="D224" s="14" t="str">
        <x:v>EU</x:v>
      </x:c>
      <x:c r="E224" s="14"/>
      <x:c r="F224" s="14" t="str">
        <x:v>% Umsatz</x:v>
      </x:c>
      <x:c r="G224" s="14" t="str">
        <x:v>higher_is_better</x:v>
      </x:c>
      <x:c r="H224" s="14" t="str">
        <x:v>R19</x:v>
      </x:c>
      <x:c r="I224" s="14" t="str">
        <x:v>Optional/Nein</x:v>
      </x:c>
      <x:c r="J224" s="51"/>
      <x:c r="K224" s="51"/>
      <x:c r="L224" s="51"/>
      <x:c r="M224" s="51"/>
      <x:c r="N224" s="51"/>
      <x:c r="O224" s="54"/>
      <x:c r="P224" s="51" t="str">
        <x:v>Optional – kein aktiver Benchmark</x:v>
      </x:c>
      <x:c r="Q224" s="53" t="n">
        <x:v>1.95</x:v>
      </x:c>
      <x:c r="R224" s="53" t="n">
        <x:v>2.925</x:v>
      </x:c>
      <x:c r="S224" s="53" t="n">
        <x:v>4.875</x:v>
      </x:c>
      <x:c r="T224" s="53" t="str">
        <x:v>threshold:0-class</x:v>
      </x:c>
      <x:c r="U224" s="14" t="str">
        <x:v>Legacy-Werte bleiben nur als historische Rechenhilfe erhalten und werden nicht für den FinalScore verwendet.</x:v>
      </x:c>
    </x:row>
    <x:row r="225" ht="42" customHeight="1">
      <x:c r="A225" s="14" t="str">
        <x:v>WOK-G-144</x:v>
      </x:c>
      <x:c r="B225" s="14" t="str">
        <x:v>C20</x:v>
      </x:c>
      <x:c r="C225" s="14" t="str">
        <x:v>Legacy / Migration auf NACE Rev. 2.1 offen</x:v>
      </x:c>
      <x:c r="D225" s="14" t="str">
        <x:v>EU</x:v>
      </x:c>
      <x:c r="E225" s="14"/>
      <x:c r="F225" s="14" t="str">
        <x:v>%</x:v>
      </x:c>
      <x:c r="G225" s="14" t="str">
        <x:v>higher_is_better</x:v>
      </x:c>
      <x:c r="H225" s="14" t="str">
        <x:v>R17</x:v>
      </x:c>
      <x:c r="I225" s="14" t="str">
        <x:v>Optional/Nein</x:v>
      </x:c>
      <x:c r="J225" s="51"/>
      <x:c r="K225" s="51"/>
      <x:c r="L225" s="51"/>
      <x:c r="M225" s="51"/>
      <x:c r="N225" s="51"/>
      <x:c r="O225" s="54"/>
      <x:c r="P225" s="51" t="str">
        <x:v>Optional – kein aktiver Benchmark</x:v>
      </x:c>
      <x:c r="Q225" s="53" t="n">
        <x:v>17</x:v>
      </x:c>
      <x:c r="R225" s="53" t="n">
        <x:v>25.5</x:v>
      </x:c>
      <x:c r="S225" s="53" t="n">
        <x:v>42.5</x:v>
      </x:c>
      <x:c r="T225" s="53" t="str">
        <x:v>threshold:0-class</x:v>
      </x:c>
      <x:c r="U225" s="14" t="str">
        <x:v>Legacy-Werte bleiben nur als historische Rechenhilfe erhalten und werden nicht für den FinalScore verwendet.</x:v>
      </x:c>
    </x:row>
    <x:row r="226" ht="42" customHeight="1">
      <x:c r="A226" s="14" t="str">
        <x:v>WOK-G-145</x:v>
      </x:c>
      <x:c r="B226" s="14" t="str">
        <x:v>C20</x:v>
      </x:c>
      <x:c r="C226" s="14" t="str">
        <x:v>Legacy / Migration auf NACE Rev. 2.1 offen</x:v>
      </x:c>
      <x:c r="D226" s="14" t="str">
        <x:v>EU</x:v>
      </x:c>
      <x:c r="E226" s="14"/>
      <x:c r="F226" s="14" t="str">
        <x:v>kWh/t bzw. t CO₂e/t</x:v>
      </x:c>
      <x:c r="G226" s="14" t="str">
        <x:v>lower_is_better</x:v>
      </x:c>
      <x:c r="H226" s="14" t="str">
        <x:v>R06</x:v>
      </x:c>
      <x:c r="I226" s="14" t="str">
        <x:v>Ja</x:v>
      </x:c>
      <x:c r="J226" s="51"/>
      <x:c r="K226" s="51"/>
      <x:c r="L226" s="51"/>
      <x:c r="M226" s="51"/>
      <x:c r="N226" s="51"/>
      <x:c r="O226" s="54"/>
      <x:c r="P226" s="51" t="str">
        <x:v>Offen – validierter Benchmark fehlt</x:v>
      </x:c>
      <x:c r="Q226" s="53" t="n">
        <x:v>1</x:v>
      </x:c>
      <x:c r="R226" s="53" t="n">
        <x:v>1.5</x:v>
      </x:c>
      <x:c r="S226" s="53" t="n">
        <x:v>2.5</x:v>
      </x:c>
      <x:c r="T226" s="53" t="str">
        <x:v>default:lower_is_better_abs</x:v>
      </x:c>
      <x:c r="U226" s="14" t="str">
        <x:v>Vor Aktivierung repräsentative Population, Region, Technologieklasse, Statistik, Quelle und Gültigkeitszeitraum dokumentieren.</x:v>
      </x:c>
    </x:row>
    <x:row r="227" ht="42" customHeight="1">
      <x:c r="A227" s="14" t="str">
        <x:v>WOK-RE-113</x:v>
      </x:c>
      <x:c r="B227" s="14" t="str">
        <x:v>H49</x:v>
      </x:c>
      <x:c r="C227" s="14" t="str">
        <x:v>Legacy / Migration auf NACE Rev. 2.1 offen</x:v>
      </x:c>
      <x:c r="D227" s="14" t="str">
        <x:v>EU</x:v>
      </x:c>
      <x:c r="E227" s="14"/>
      <x:c r="F227" s="14" t="str">
        <x:v>kWh/m²a</x:v>
      </x:c>
      <x:c r="G227" s="14" t="str">
        <x:v>lower_is_better</x:v>
      </x:c>
      <x:c r="H227" s="14" t="str">
        <x:v>R05</x:v>
      </x:c>
      <x:c r="I227" s="14" t="str">
        <x:v>Ja</x:v>
      </x:c>
      <x:c r="J227" s="51"/>
      <x:c r="K227" s="51"/>
      <x:c r="L227" s="51"/>
      <x:c r="M227" s="51"/>
      <x:c r="N227" s="51"/>
      <x:c r="O227" s="54"/>
      <x:c r="P227" s="51" t="str">
        <x:v>Offen – validierter Benchmark fehlt</x:v>
      </x:c>
      <x:c r="Q227" s="53" t="n">
        <x:v>1</x:v>
      </x:c>
      <x:c r="R227" s="53" t="n">
        <x:v>1.5</x:v>
      </x:c>
      <x:c r="S227" s="53" t="n">
        <x:v>2.5</x:v>
      </x:c>
      <x:c r="T227" s="53" t="str">
        <x:v>default:lower_is_better_abs</x:v>
      </x:c>
      <x:c r="U227" s="14" t="str">
        <x:v>Vor Aktivierung repräsentative Population, Region, Technologieklasse, Statistik, Quelle und Gültigkeitszeitraum dokumentieren.</x:v>
      </x:c>
    </x:row>
    <x:row r="228" ht="42" customHeight="1">
      <x:c r="A228" s="14" t="str">
        <x:v>WOK-RE-114</x:v>
      </x:c>
      <x:c r="B228" s="14" t="str">
        <x:v>H49</x:v>
      </x:c>
      <x:c r="C228" s="14" t="str">
        <x:v>Legacy / Migration auf NACE Rev. 2.1 offen</x:v>
      </x:c>
      <x:c r="D228" s="14" t="str">
        <x:v>EU</x:v>
      </x:c>
      <x:c r="E228" s="14"/>
      <x:c r="F228" s="14" t="str">
        <x:v>kg CO₂e/m²</x:v>
      </x:c>
      <x:c r="G228" s="14" t="str">
        <x:v>lower_is_better</x:v>
      </x:c>
      <x:c r="H228" s="14" t="str">
        <x:v>R06</x:v>
      </x:c>
      <x:c r="I228" s="14" t="str">
        <x:v>Ja</x:v>
      </x:c>
      <x:c r="J228" s="51"/>
      <x:c r="K228" s="51"/>
      <x:c r="L228" s="51"/>
      <x:c r="M228" s="51"/>
      <x:c r="N228" s="51"/>
      <x:c r="O228" s="54"/>
      <x:c r="P228" s="51" t="str">
        <x:v>Offen – validierter Benchmark fehlt</x:v>
      </x:c>
      <x:c r="Q228" s="53" t="n">
        <x:v>1</x:v>
      </x:c>
      <x:c r="R228" s="53" t="n">
        <x:v>1.5</x:v>
      </x:c>
      <x:c r="S228" s="53" t="n">
        <x:v>2.5</x:v>
      </x:c>
      <x:c r="T228" s="53" t="str">
        <x:v>default:lower_is_better_abs</x:v>
      </x:c>
      <x:c r="U228" s="14" t="str">
        <x:v>Vor Aktivierung repräsentative Population, Region, Technologieklasse, Statistik, Quelle und Gültigkeitszeitraum dokumentieren.</x:v>
      </x:c>
    </x:row>
    <x:row r="229" ht="42" customHeight="1">
      <x:c r="A229" s="14" t="str">
        <x:v>WOK-RE-115</x:v>
      </x:c>
      <x:c r="B229" s="14" t="str">
        <x:v>H49</x:v>
      </x:c>
      <x:c r="C229" s="14" t="str">
        <x:v>Legacy / Migration auf NACE Rev. 2.1 offen</x:v>
      </x:c>
      <x:c r="D229" s="14" t="str">
        <x:v>EU</x:v>
      </x:c>
      <x:c r="E229" s="14"/>
      <x:c r="F229" s="14" t="str">
        <x:v>0–1</x:v>
      </x:c>
      <x:c r="G229" s="14" t="str">
        <x:v>higher_is_better</x:v>
      </x:c>
      <x:c r="H229" s="14" t="str">
        <x:v>R14</x:v>
      </x:c>
      <x:c r="I229" s="14" t="str">
        <x:v>Optional/Nein</x:v>
      </x:c>
      <x:c r="J229" s="51"/>
      <x:c r="K229" s="51"/>
      <x:c r="L229" s="51"/>
      <x:c r="M229" s="51"/>
      <x:c r="N229" s="51"/>
      <x:c r="O229" s="54"/>
      <x:c r="P229" s="51" t="str">
        <x:v>Optional – kein aktiver Benchmark</x:v>
      </x:c>
      <x:c r="Q229" s="53" t="n">
        <x:v>0.495</x:v>
      </x:c>
      <x:c r="R229" s="53" t="n">
        <x:v>0.7424999999999999</x:v>
      </x:c>
      <x:c r="S229" s="53" t="n">
        <x:v>1</x:v>
      </x:c>
      <x:c r="T229" s="53" t="str">
        <x:v>threshold:0-class</x:v>
      </x:c>
      <x:c r="U229" s="14" t="str">
        <x:v>Legacy-Werte bleiben nur als historische Rechenhilfe erhalten und werden nicht für den FinalScore verwendet.</x:v>
      </x:c>
    </x:row>
    <x:row r="230" ht="42" customHeight="1">
      <x:c r="A230" s="14" t="str">
        <x:v>WOK-P-116</x:v>
      </x:c>
      <x:c r="B230" s="14" t="str">
        <x:v>C20</x:v>
      </x:c>
      <x:c r="C230" s="14" t="str">
        <x:v>Legacy / Migration auf NACE Rev. 2.1 offen</x:v>
      </x:c>
      <x:c r="D230" s="14" t="str">
        <x:v>EU</x:v>
      </x:c>
      <x:c r="E230" s="14"/>
      <x:c r="F230" s="14" t="str">
        <x:v>kg CO₂e/Einheit</x:v>
      </x:c>
      <x:c r="G230" s="14" t="str">
        <x:v>lower_is_better</x:v>
      </x:c>
      <x:c r="H230" s="14" t="str">
        <x:v>R07</x:v>
      </x:c>
      <x:c r="I230" s="14" t="str">
        <x:v>Ja</x:v>
      </x:c>
      <x:c r="J230" s="51"/>
      <x:c r="K230" s="51"/>
      <x:c r="L230" s="51"/>
      <x:c r="M230" s="51"/>
      <x:c r="N230" s="51"/>
      <x:c r="O230" s="54"/>
      <x:c r="P230" s="51" t="str">
        <x:v>Offen – validierter Benchmark fehlt</x:v>
      </x:c>
      <x:c r="Q230" s="53" t="n">
        <x:v>1</x:v>
      </x:c>
      <x:c r="R230" s="53" t="n">
        <x:v>1.5</x:v>
      </x:c>
      <x:c r="S230" s="53" t="n">
        <x:v>2.5</x:v>
      </x:c>
      <x:c r="T230" s="53" t="str">
        <x:v>default:lower_is_better_abs</x:v>
      </x:c>
      <x:c r="U230" s="14" t="str">
        <x:v>Vor Aktivierung repräsentative Population, Region, Technologieklasse, Statistik, Quelle und Gültigkeitszeitraum dokumentieren.</x:v>
      </x:c>
    </x:row>
    <x:row r="231" ht="42" customHeight="1">
      <x:c r="A231" s="14" t="str">
        <x:v>WOK-P-117</x:v>
      </x:c>
      <x:c r="B231" s="14" t="str">
        <x:v>C20</x:v>
      </x:c>
      <x:c r="C231" s="14" t="str">
        <x:v>Legacy / Migration auf NACE Rev. 2.1 offen</x:v>
      </x:c>
      <x:c r="D231" s="14" t="str">
        <x:v>EU</x:v>
      </x:c>
      <x:c r="E231" s="14"/>
      <x:c r="F231" s="14" t="str">
        <x:v>Score 0–10</x:v>
      </x:c>
      <x:c r="G231" s="14" t="str">
        <x:v>higher_is_better</x:v>
      </x:c>
      <x:c r="H231" s="14" t="str">
        <x:v>R24</x:v>
      </x:c>
      <x:c r="I231" s="14" t="str">
        <x:v>Optional/Nein</x:v>
      </x:c>
      <x:c r="J231" s="51"/>
      <x:c r="K231" s="51"/>
      <x:c r="L231" s="51"/>
      <x:c r="M231" s="51"/>
      <x:c r="N231" s="51"/>
      <x:c r="O231" s="54"/>
      <x:c r="P231" s="51" t="str">
        <x:v>Optional – kein aktiver Benchmark</x:v>
      </x:c>
      <x:c r="Q231" s="53" t="n">
        <x:v>4.95</x:v>
      </x:c>
      <x:c r="R231" s="53" t="n">
        <x:v>1</x:v>
      </x:c>
      <x:c r="S231" s="53" t="n">
        <x:v>1</x:v>
      </x:c>
      <x:c r="T231" s="53" t="str">
        <x:v>threshold:0-class</x:v>
      </x:c>
      <x:c r="U231" s="14" t="str">
        <x:v>Legacy-Werte bleiben nur als historische Rechenhilfe erhalten und werden nicht für den FinalScore verwendet.</x:v>
      </x:c>
    </x:row>
    <x:row r="232" ht="42" customHeight="1">
      <x:c r="A232" s="14" t="str">
        <x:v>WOK-P-118</x:v>
      </x:c>
      <x:c r="B232" s="14" t="str">
        <x:v>C20</x:v>
      </x:c>
      <x:c r="C232" s="14" t="str">
        <x:v>Legacy / Migration auf NACE Rev. 2.1 offen</x:v>
      </x:c>
      <x:c r="D232" s="14" t="str">
        <x:v>EU</x:v>
      </x:c>
      <x:c r="E232" s="14"/>
      <x:c r="F232" s="14" t="str">
        <x:v>%</x:v>
      </x:c>
      <x:c r="G232" s="14" t="str">
        <x:v>higher_is_better</x:v>
      </x:c>
      <x:c r="H232" s="14" t="str">
        <x:v>R22</x:v>
      </x:c>
      <x:c r="I232" s="14" t="str">
        <x:v>Optional/Nein</x:v>
      </x:c>
      <x:c r="J232" s="51"/>
      <x:c r="K232" s="51"/>
      <x:c r="L232" s="51"/>
      <x:c r="M232" s="51"/>
      <x:c r="N232" s="51"/>
      <x:c r="O232" s="54"/>
      <x:c r="P232" s="51" t="str">
        <x:v>Optional – kein aktiver Benchmark</x:v>
      </x:c>
      <x:c r="Q232" s="53" t="n">
        <x:v>39.5</x:v>
      </x:c>
      <x:c r="R232" s="53" t="n">
        <x:v>59.25</x:v>
      </x:c>
      <x:c r="S232" s="53" t="n">
        <x:v>98.75</x:v>
      </x:c>
      <x:c r="T232" s="53" t="str">
        <x:v>threshold:0-class</x:v>
      </x:c>
      <x:c r="U232" s="14" t="str">
        <x:v>Legacy-Werte bleiben nur als historische Rechenhilfe erhalten und werden nicht für den FinalScore verwendet.</x:v>
      </x:c>
    </x:row>
    <x:row r="233" ht="42" customHeight="1">
      <x:c r="A233" s="14" t="str">
        <x:v>WOK-SC-119</x:v>
      </x:c>
      <x:c r="B233" s="14" t="str">
        <x:v>C20</x:v>
      </x:c>
      <x:c r="C233" s="14" t="str">
        <x:v>Legacy / Migration auf NACE Rev. 2.1 offen</x:v>
      </x:c>
      <x:c r="D233" s="14" t="str">
        <x:v>EU</x:v>
      </x:c>
      <x:c r="E233" s="14"/>
      <x:c r="F233" s="14" t="str">
        <x:v>%</x:v>
      </x:c>
      <x:c r="G233" s="14" t="str">
        <x:v>higher_is_better</x:v>
      </x:c>
      <x:c r="H233" s="14" t="str">
        <x:v>R26</x:v>
      </x:c>
      <x:c r="I233" s="14" t="str">
        <x:v>Optional/Nein</x:v>
      </x:c>
      <x:c r="J233" s="51"/>
      <x:c r="K233" s="51"/>
      <x:c r="L233" s="51"/>
      <x:c r="M233" s="51"/>
      <x:c r="N233" s="51"/>
      <x:c r="O233" s="54"/>
      <x:c r="P233" s="51" t="str">
        <x:v>Optional – kein aktiver Benchmark</x:v>
      </x:c>
      <x:c r="Q233" s="53" t="n">
        <x:v>59.5</x:v>
      </x:c>
      <x:c r="R233" s="53" t="n">
        <x:v>89.25</x:v>
      </x:c>
      <x:c r="S233" s="53" t="n">
        <x:v>100</x:v>
      </x:c>
      <x:c r="T233" s="53" t="str">
        <x:v>threshold:0-class</x:v>
      </x:c>
      <x:c r="U233" s="14" t="str">
        <x:v>Legacy-Werte bleiben nur als historische Rechenhilfe erhalten und werden nicht für den FinalScore verwendet.</x:v>
      </x:c>
    </x:row>
    <x:row r="234" ht="42" customHeight="1">
      <x:c r="A234" s="14" t="str">
        <x:v>WOK-SC-120</x:v>
      </x:c>
      <x:c r="B234" s="14" t="str">
        <x:v>C20</x:v>
      </x:c>
      <x:c r="C234" s="14" t="str">
        <x:v>Legacy / Migration auf NACE Rev. 2.1 offen</x:v>
      </x:c>
      <x:c r="D234" s="14" t="str">
        <x:v>EU</x:v>
      </x:c>
      <x:c r="E234" s="14"/>
      <x:c r="F234" s="14" t="str">
        <x:v>% Lieferanten</x:v>
      </x:c>
      <x:c r="G234" s="14" t="str">
        <x:v>higher_is_better</x:v>
      </x:c>
      <x:c r="H234" s="14" t="str">
        <x:v>R28</x:v>
      </x:c>
      <x:c r="I234" s="14" t="str">
        <x:v>Optional/Nein</x:v>
      </x:c>
      <x:c r="J234" s="51"/>
      <x:c r="K234" s="51"/>
      <x:c r="L234" s="51"/>
      <x:c r="M234" s="51"/>
      <x:c r="N234" s="51"/>
      <x:c r="O234" s="54"/>
      <x:c r="P234" s="51" t="str">
        <x:v>Optional – kein aktiver Benchmark</x:v>
      </x:c>
      <x:c r="Q234" s="53" t="n">
        <x:v>82</x:v>
      </x:c>
      <x:c r="R234" s="53" t="n">
        <x:v>100</x:v>
      </x:c>
      <x:c r="S234" s="53" t="n">
        <x:v>100</x:v>
      </x:c>
      <x:c r="T234" s="53" t="str">
        <x:v>threshold:0-class</x:v>
      </x:c>
      <x:c r="U234" s="14" t="str">
        <x:v>Legacy-Werte bleiben nur als historische Rechenhilfe erhalten und werden nicht für den FinalScore verwendet.</x:v>
      </x:c>
    </x:row>
    <x:row r="235" ht="42" customHeight="1">
      <x:c r="A235" s="14" t="str">
        <x:v>WOK-SC-121</x:v>
      </x:c>
      <x:c r="B235" s="14" t="str">
        <x:v>C20</x:v>
      </x:c>
      <x:c r="C235" s="14" t="str">
        <x:v>Legacy / Migration auf NACE Rev. 2.1 offen</x:v>
      </x:c>
      <x:c r="D235" s="14" t="str">
        <x:v>EU</x:v>
      </x:c>
      <x:c r="E235" s="14"/>
      <x:c r="F235" s="14" t="str">
        <x:v>% Kategorien</x:v>
      </x:c>
      <x:c r="G235" s="14" t="str">
        <x:v>higher_is_better</x:v>
      </x:c>
      <x:c r="H235" s="14" t="str">
        <x:v>R23</x:v>
      </x:c>
      <x:c r="I235" s="14" t="str">
        <x:v>Optional/Nein</x:v>
      </x:c>
      <x:c r="J235" s="51"/>
      <x:c r="K235" s="51"/>
      <x:c r="L235" s="51"/>
      <x:c r="M235" s="51"/>
      <x:c r="N235" s="51"/>
      <x:c r="O235" s="54"/>
      <x:c r="P235" s="51" t="str">
        <x:v>Optional – kein aktiver Benchmark</x:v>
      </x:c>
      <x:c r="Q235" s="53" t="n">
        <x:v>49.5</x:v>
      </x:c>
      <x:c r="R235" s="53" t="n">
        <x:v>74.25</x:v>
      </x:c>
      <x:c r="S235" s="53" t="n">
        <x:v>100</x:v>
      </x:c>
      <x:c r="T235" s="53" t="str">
        <x:v>threshold:0-class</x:v>
      </x:c>
      <x:c r="U235" s="14" t="str">
        <x:v>Legacy-Werte bleiben nur als historische Rechenhilfe erhalten und werden nicht für den FinalScore verwendet.</x:v>
      </x:c>
    </x:row>
    <x:row r="236" ht="42" customHeight="1">
      <x:c r="A236" s="14" t="str">
        <x:v>WOK-E-149</x:v>
      </x:c>
      <x:c r="B236" s="14" t="str">
        <x:v>C20</x:v>
      </x:c>
      <x:c r="C236" s="14" t="str">
        <x:v>Legacy / Migration auf NACE Rev. 2.1 offen</x:v>
      </x:c>
      <x:c r="D236" s="14" t="str">
        <x:v>EU</x:v>
      </x:c>
      <x:c r="E236" s="14"/>
      <x:c r="F236" s="14" t="str">
        <x:v>kg/t</x:v>
      </x:c>
      <x:c r="G236" s="14" t="str">
        <x:v>lower_is_better</x:v>
      </x:c>
      <x:c r="H236" s="14" t="str">
        <x:v>R06</x:v>
      </x:c>
      <x:c r="I236" s="14" t="str">
        <x:v>Ja</x:v>
      </x:c>
      <x:c r="J236" s="51"/>
      <x:c r="K236" s="51"/>
      <x:c r="L236" s="51"/>
      <x:c r="M236" s="51"/>
      <x:c r="N236" s="51"/>
      <x:c r="O236" s="54"/>
      <x:c r="P236" s="51" t="str">
        <x:v>Offen – validierter Benchmark fehlt</x:v>
      </x:c>
      <x:c r="Q236" s="53" t="n">
        <x:v>1</x:v>
      </x:c>
      <x:c r="R236" s="53" t="n">
        <x:v>1.5</x:v>
      </x:c>
      <x:c r="S236" s="53" t="n">
        <x:v>2.5</x:v>
      </x:c>
      <x:c r="T236" s="53" t="str">
        <x:v>default:lower_is_better_abs</x:v>
      </x:c>
      <x:c r="U236" s="14" t="str">
        <x:v>Vor Aktivierung repräsentative Population, Region, Technologieklasse, Statistik, Quelle und Gültigkeitszeitraum dokumentieren.</x:v>
      </x:c>
    </x:row>
    <x:row r="237" ht="42" customHeight="1">
      <x:c r="A237" s="14" t="str">
        <x:v>WOK-E-150</x:v>
      </x:c>
      <x:c r="B237" s="14" t="str">
        <x:v>C20</x:v>
      </x:c>
      <x:c r="C237" s="14" t="str">
        <x:v>Legacy / Migration auf NACE Rev. 2.1 offen</x:v>
      </x:c>
      <x:c r="D237" s="14" t="str">
        <x:v>EU</x:v>
      </x:c>
      <x:c r="E237" s="14"/>
      <x:c r="F237" s="14" t="str">
        <x:v>%</x:v>
      </x:c>
      <x:c r="G237" s="14" t="str">
        <x:v>higher_is_better</x:v>
      </x:c>
      <x:c r="H237" s="14" t="str">
        <x:v>R25</x:v>
      </x:c>
      <x:c r="I237" s="14" t="str">
        <x:v>Optional/Nein</x:v>
      </x:c>
      <x:c r="J237" s="51"/>
      <x:c r="K237" s="51"/>
      <x:c r="L237" s="51"/>
      <x:c r="M237" s="51"/>
      <x:c r="N237" s="51"/>
      <x:c r="O237" s="54"/>
      <x:c r="P237" s="51" t="str">
        <x:v>Optional – kein aktiver Benchmark</x:v>
      </x:c>
      <x:c r="Q237" s="53" t="n">
        <x:v>50</x:v>
      </x:c>
      <x:c r="R237" s="53" t="n">
        <x:v>75</x:v>
      </x:c>
      <x:c r="S237" s="53" t="n">
        <x:v>100</x:v>
      </x:c>
      <x:c r="T237" s="53" t="str">
        <x:v>default:higher_is_better_pct</x:v>
      </x:c>
      <x:c r="U237" s="14" t="str">
        <x:v>Legacy-Werte bleiben nur als historische Rechenhilfe erhalten und werden nicht für den FinalScore verwendet.</x:v>
      </x:c>
    </x:row>
    <x:row r="238" ht="42" customHeight="1">
      <x:c r="A238" s="14" t="str">
        <x:v>WOK-E-151</x:v>
      </x:c>
      <x:c r="B238" s="14" t="str">
        <x:v>C20</x:v>
      </x:c>
      <x:c r="C238" s="14" t="str">
        <x:v>Legacy / Migration auf NACE Rev. 2.1 offen</x:v>
      </x:c>
      <x:c r="D238" s="14" t="str">
        <x:v>EU</x:v>
      </x:c>
      <x:c r="E238" s="14"/>
      <x:c r="F238" s="14" t="str">
        <x:v>kg/t</x:v>
      </x:c>
      <x:c r="G238" s="14" t="str">
        <x:v>lower_is_better</x:v>
      </x:c>
      <x:c r="H238" s="14" t="str">
        <x:v>R06</x:v>
      </x:c>
      <x:c r="I238" s="14" t="str">
        <x:v>Ja</x:v>
      </x:c>
      <x:c r="J238" s="51"/>
      <x:c r="K238" s="51"/>
      <x:c r="L238" s="51"/>
      <x:c r="M238" s="51"/>
      <x:c r="N238" s="51"/>
      <x:c r="O238" s="54"/>
      <x:c r="P238" s="51" t="str">
        <x:v>Offen – validierter Benchmark fehlt</x:v>
      </x:c>
      <x:c r="Q238" s="53" t="n">
        <x:v>1</x:v>
      </x:c>
      <x:c r="R238" s="53" t="n">
        <x:v>1.5</x:v>
      </x:c>
      <x:c r="S238" s="53" t="n">
        <x:v>2.5</x:v>
      </x:c>
      <x:c r="T238" s="53" t="str">
        <x:v>default:lower_is_better_abs</x:v>
      </x:c>
      <x:c r="U238" s="14" t="str">
        <x:v>Vor Aktivierung repräsentative Population, Region, Technologieklasse, Statistik, Quelle und Gültigkeitszeitraum dokumentieren.</x:v>
      </x:c>
    </x:row>
    <x:row r="239" ht="42" customHeight="1">
      <x:c r="A239" s="14" t="str">
        <x:v>WOK-SYS-122</x:v>
      </x:c>
      <x:c r="B239" s="14" t="str">
        <x:v>C20</x:v>
      </x:c>
      <x:c r="C239" s="14" t="str">
        <x:v>Legacy / Migration auf NACE Rev. 2.1 offen</x:v>
      </x:c>
      <x:c r="D239" s="14" t="str">
        <x:v>EU</x:v>
      </x:c>
      <x:c r="E239" s="14"/>
      <x:c r="F239" s="14" t="str">
        <x:v>0–1</x:v>
      </x:c>
      <x:c r="G239" s="14" t="str">
        <x:v>higher_is_better</x:v>
      </x:c>
      <x:c r="H239" s="14" t="str">
        <x:v>R15</x:v>
      </x:c>
      <x:c r="I239" s="14" t="str">
        <x:v>Optional/Nein</x:v>
      </x:c>
      <x:c r="J239" s="51"/>
      <x:c r="K239" s="51"/>
      <x:c r="L239" s="51"/>
      <x:c r="M239" s="51"/>
      <x:c r="N239" s="51"/>
      <x:c r="O239" s="54"/>
      <x:c r="P239" s="51" t="str">
        <x:v>Optional – kein aktiver Benchmark</x:v>
      </x:c>
      <x:c r="Q239" s="53" t="n">
        <x:v>0.645</x:v>
      </x:c>
      <x:c r="R239" s="53" t="n">
        <x:v>0.9675</x:v>
      </x:c>
      <x:c r="S239" s="53" t="n">
        <x:v>1</x:v>
      </x:c>
      <x:c r="T239" s="53" t="str">
        <x:v>threshold:0-class</x:v>
      </x:c>
      <x:c r="U239" s="14" t="str">
        <x:v>Legacy-Werte bleiben nur als historische Rechenhilfe erhalten und werden nicht für den FinalScore verwendet.</x:v>
      </x:c>
    </x:row>
    <x:row r="240" ht="42" customHeight="1">
      <x:c r="A240" s="14" t="str">
        <x:v>WOK-SYS-123</x:v>
      </x:c>
      <x:c r="B240" s="14" t="str">
        <x:v>C20</x:v>
      </x:c>
      <x:c r="C240" s="14" t="str">
        <x:v>Legacy / Migration auf NACE Rev. 2.1 offen</x:v>
      </x:c>
      <x:c r="D240" s="14" t="str">
        <x:v>EU</x:v>
      </x:c>
      <x:c r="E240" s="14"/>
      <x:c r="F240" s="14" t="str">
        <x:v>%</x:v>
      </x:c>
      <x:c r="G240" s="14" t="str">
        <x:v>lower_is_better</x:v>
      </x:c>
      <x:c r="H240" s="14" t="str">
        <x:v>R13</x:v>
      </x:c>
      <x:c r="I240" s="14" t="str">
        <x:v>Optional/Nein</x:v>
      </x:c>
      <x:c r="J240" s="51"/>
      <x:c r="K240" s="51"/>
      <x:c r="L240" s="51"/>
      <x:c r="M240" s="51"/>
      <x:c r="N240" s="51"/>
      <x:c r="O240" s="54"/>
      <x:c r="P240" s="51" t="str">
        <x:v>Optional – kein aktiver Benchmark</x:v>
      </x:c>
      <x:c r="Q240" s="53" t="n">
        <x:v>15.5</x:v>
      </x:c>
      <x:c r="R240" s="53" t="n">
        <x:v>23.25</x:v>
      </x:c>
      <x:c r="S240" s="53" t="n">
        <x:v>38.75</x:v>
      </x:c>
      <x:c r="T240" s="53" t="str">
        <x:v>threshold:0-class</x:v>
      </x:c>
      <x:c r="U240" s="14" t="str">
        <x:v>Legacy-Werte bleiben nur als historische Rechenhilfe erhalten und werden nicht für den FinalScore verwendet.</x:v>
      </x:c>
    </x:row>
    <x:row r="241" ht="42" customHeight="1">
      <x:c r="A241" s="14" t="str">
        <x:v>WOK-SYS-124</x:v>
      </x:c>
      <x:c r="B241" s="14" t="str">
        <x:v>C20</x:v>
      </x:c>
      <x:c r="C241" s="14" t="str">
        <x:v>Legacy / Migration auf NACE Rev. 2.1 offen</x:v>
      </x:c>
      <x:c r="D241" s="14" t="str">
        <x:v>EU</x:v>
      </x:c>
      <x:c r="E241" s="14"/>
      <x:c r="F241" s="14" t="str">
        <x:v>#/Jahr</x:v>
      </x:c>
      <x:c r="G241" s="14" t="str">
        <x:v>higher_is_better</x:v>
      </x:c>
      <x:c r="H241" s="14" t="str">
        <x:v>R20</x:v>
      </x:c>
      <x:c r="I241" s="14" t="str">
        <x:v>Optional/Nein</x:v>
      </x:c>
      <x:c r="J241" s="51"/>
      <x:c r="K241" s="51"/>
      <x:c r="L241" s="51"/>
      <x:c r="M241" s="51"/>
      <x:c r="N241" s="51"/>
      <x:c r="O241" s="54"/>
      <x:c r="P241" s="51" t="str">
        <x:v>Optional – kein aktiver Benchmark</x:v>
      </x:c>
      <x:c r="Q241" s="53" t="n">
        <x:v>1.5</x:v>
      </x:c>
      <x:c r="R241" s="53" t="n">
        <x:v>2.25</x:v>
      </x:c>
      <x:c r="S241" s="53" t="n">
        <x:v>3.75</x:v>
      </x:c>
      <x:c r="T241" s="53" t="str">
        <x:v>threshold:0-class</x:v>
      </x:c>
      <x:c r="U241" s="14" t="str">
        <x:v>Legacy-Werte bleiben nur als historische Rechenhilfe erhalten und werden nicht für den FinalScore verwendet.</x:v>
      </x:c>
    </x:row>
    <x:row r="242" ht="42" customHeight="1">
      <x:c r="A242" s="14" t="str">
        <x:v>WOK-E-152</x:v>
      </x:c>
      <x:c r="B242" s="14" t="str">
        <x:v>C20</x:v>
      </x:c>
      <x:c r="C242" s="14" t="str">
        <x:v>Legacy / Migration auf NACE Rev. 2.1 offen</x:v>
      </x:c>
      <x:c r="D242" s="14" t="str">
        <x:v>EU</x:v>
      </x:c>
      <x:c r="E242" s="14"/>
      <x:c r="F242" s="14" t="str">
        <x:v>%</x:v>
      </x:c>
      <x:c r="G242" s="14" t="str">
        <x:v>higher_is_better</x:v>
      </x:c>
      <x:c r="H242" s="14" t="str">
        <x:v>R25</x:v>
      </x:c>
      <x:c r="I242" s="14" t="str">
        <x:v>Optional/Nein</x:v>
      </x:c>
      <x:c r="J242" s="51"/>
      <x:c r="K242" s="51"/>
      <x:c r="L242" s="51"/>
      <x:c r="M242" s="51"/>
      <x:c r="N242" s="51"/>
      <x:c r="O242" s="54"/>
      <x:c r="P242" s="51" t="str">
        <x:v>Optional – kein aktiver Benchmark</x:v>
      </x:c>
      <x:c r="Q242" s="53" t="n">
        <x:v>50</x:v>
      </x:c>
      <x:c r="R242" s="53" t="n">
        <x:v>75</x:v>
      </x:c>
      <x:c r="S242" s="53" t="n">
        <x:v>100</x:v>
      </x:c>
      <x:c r="T242" s="53" t="str">
        <x:v>default:higher_is_better_pct</x:v>
      </x:c>
      <x:c r="U242" s="14" t="str">
        <x:v>Legacy-Werte bleiben nur als historische Rechenhilfe erhalten und werden nicht für den FinalScore verwendet.</x:v>
      </x:c>
    </x:row>
    <x:row r="243" ht="42" customHeight="1">
      <x:c r="A243" s="14" t="str">
        <x:v>WOK-E-153</x:v>
      </x:c>
      <x:c r="B243" s="14" t="str">
        <x:v>C20</x:v>
      </x:c>
      <x:c r="C243" s="14" t="str">
        <x:v>Legacy / Migration auf NACE Rev. 2.1 offen</x:v>
      </x:c>
      <x:c r="D243" s="14" t="str">
        <x:v>EU</x:v>
      </x:c>
      <x:c r="E243" s="14"/>
      <x:c r="F243" s="14" t="str">
        <x:v>kWh/€ Mio bzw. kWh/t</x:v>
      </x:c>
      <x:c r="G243" s="14" t="str">
        <x:v>lower_is_better</x:v>
      </x:c>
      <x:c r="H243" s="14" t="str">
        <x:v>R06</x:v>
      </x:c>
      <x:c r="I243" s="14" t="str">
        <x:v>Ja</x:v>
      </x:c>
      <x:c r="J243" s="51"/>
      <x:c r="K243" s="51"/>
      <x:c r="L243" s="51"/>
      <x:c r="M243" s="51"/>
      <x:c r="N243" s="51"/>
      <x:c r="O243" s="54"/>
      <x:c r="P243" s="51" t="str">
        <x:v>Offen – validierter Benchmark fehlt</x:v>
      </x:c>
      <x:c r="Q243" s="53" t="n">
        <x:v>1</x:v>
      </x:c>
      <x:c r="R243" s="53" t="n">
        <x:v>1.5</x:v>
      </x:c>
      <x:c r="S243" s="53" t="n">
        <x:v>2.5</x:v>
      </x:c>
      <x:c r="T243" s="53" t="str">
        <x:v>default:lower_is_better_abs</x:v>
      </x:c>
      <x:c r="U243" s="14" t="str">
        <x:v>Vor Aktivierung repräsentative Population, Region, Technologieklasse, Statistik, Quelle und Gültigkeitszeitraum dokumentieren.</x:v>
      </x:c>
    </x:row>
    <x:row r="244" ht="42" customHeight="1">
      <x:c r="A244" s="14" t="str">
        <x:v>WOK-E-154</x:v>
      </x:c>
      <x:c r="B244" s="14" t="str">
        <x:v>C20</x:v>
      </x:c>
      <x:c r="C244" s="14" t="str">
        <x:v>Legacy / Migration auf NACE Rev. 2.1 offen</x:v>
      </x:c>
      <x:c r="D244" s="14" t="str">
        <x:v>EU</x:v>
      </x:c>
      <x:c r="E244" s="14"/>
      <x:c r="F244" s="14" t="str">
        <x:v>PUE</x:v>
      </x:c>
      <x:c r="G244" s="14" t="str">
        <x:v>lower_is_better</x:v>
      </x:c>
      <x:c r="H244" s="14" t="str">
        <x:v>R09</x:v>
      </x:c>
      <x:c r="I244" s="14" t="str">
        <x:v>Optional/Nein</x:v>
      </x:c>
      <x:c r="J244" s="51"/>
      <x:c r="K244" s="51"/>
      <x:c r="L244" s="51"/>
      <x:c r="M244" s="51"/>
      <x:c r="N244" s="51"/>
      <x:c r="O244" s="54"/>
      <x:c r="P244" s="51" t="str">
        <x:v>Optional – kein aktiver Benchmark</x:v>
      </x:c>
      <x:c r="Q244" s="53" t="n">
        <x:v>1.505</x:v>
      </x:c>
      <x:c r="R244" s="53" t="n">
        <x:v>2.2575</x:v>
      </x:c>
      <x:c r="S244" s="53" t="n">
        <x:v>3.7625</x:v>
      </x:c>
      <x:c r="T244" s="53" t="str">
        <x:v>threshold:0-class</x:v>
      </x:c>
      <x:c r="U244" s="14" t="str">
        <x:v>Legacy-Werte bleiben nur als historische Rechenhilfe erhalten und werden nicht für den FinalScore verwendet.</x:v>
      </x:c>
    </x:row>
    <x:row r="245" ht="42" customHeight="1">
      <x:c r="A245" s="14" t="str">
        <x:v>WOK-G-146</x:v>
      </x:c>
      <x:c r="B245" s="14" t="str">
        <x:v>G47</x:v>
      </x:c>
      <x:c r="C245" s="14" t="str">
        <x:v>Legacy / Migration auf NACE Rev. 2.1 offen</x:v>
      </x:c>
      <x:c r="D245" s="14" t="str">
        <x:v>EU</x:v>
      </x:c>
      <x:c r="E245" s="14"/>
      <x:c r="F245" s="14" t="str">
        <x:v>Fälle/1.000 FTE</x:v>
      </x:c>
      <x:c r="G245" s="14" t="str">
        <x:v>lower_is_better</x:v>
      </x:c>
      <x:c r="H245" s="14" t="str">
        <x:v>R01</x:v>
      </x:c>
      <x:c r="I245" s="14" t="str">
        <x:v>Optional/Nein</x:v>
      </x:c>
      <x:c r="J245" s="51"/>
      <x:c r="K245" s="51"/>
      <x:c r="L245" s="51"/>
      <x:c r="M245" s="51"/>
      <x:c r="N245" s="51"/>
      <x:c r="O245" s="54"/>
      <x:c r="P245" s="51" t="str">
        <x:v>Optional – kein aktiver Benchmark</x:v>
      </x:c>
      <x:c r="Q245" s="53" t="n">
        <x:v>0.5</x:v>
      </x:c>
      <x:c r="R245" s="53" t="n">
        <x:v>0.75</x:v>
      </x:c>
      <x:c r="S245" s="53" t="n">
        <x:v>1.25</x:v>
      </x:c>
      <x:c r="T245" s="53" t="str">
        <x:v>threshold:0-class</x:v>
      </x:c>
      <x:c r="U245" s="14" t="str">
        <x:v>Legacy-Werte bleiben nur als historische Rechenhilfe erhalten und werden nicht für den FinalScore verwendet.</x:v>
      </x:c>
    </x:row>
    <x:row r="246" ht="42" customHeight="1">
      <x:c r="A246" s="14" t="str">
        <x:v>WOK-G-147</x:v>
      </x:c>
      <x:c r="B246" s="14" t="str">
        <x:v>G47</x:v>
      </x:c>
      <x:c r="C246" s="14" t="str">
        <x:v>Legacy / Migration auf NACE Rev. 2.1 offen</x:v>
      </x:c>
      <x:c r="D246" s="14" t="str">
        <x:v>EU</x:v>
      </x:c>
      <x:c r="E246" s="14"/>
      <x:c r="F246" s="14" t="str">
        <x:v>0–1</x:v>
      </x:c>
      <x:c r="G246" s="14" t="str">
        <x:v>higher_is_better</x:v>
      </x:c>
      <x:c r="H246" s="14" t="str">
        <x:v>R16</x:v>
      </x:c>
      <x:c r="I246" s="14" t="str">
        <x:v>Optional/Nein</x:v>
      </x:c>
      <x:c r="J246" s="51"/>
      <x:c r="K246" s="51"/>
      <x:c r="L246" s="51"/>
      <x:c r="M246" s="51"/>
      <x:c r="N246" s="51"/>
      <x:c r="O246" s="54"/>
      <x:c r="P246" s="51" t="str">
        <x:v>Optional – kein aktiver Benchmark</x:v>
      </x:c>
      <x:c r="Q246" s="53" t="n">
        <x:v>0.6699999999999999</x:v>
      </x:c>
      <x:c r="R246" s="53" t="n">
        <x:v>1</x:v>
      </x:c>
      <x:c r="S246" s="53" t="n">
        <x:v>1</x:v>
      </x:c>
      <x:c r="T246" s="53" t="str">
        <x:v>threshold:0-class</x:v>
      </x:c>
      <x:c r="U246" s="14" t="str">
        <x:v>Legacy-Werte bleiben nur als historische Rechenhilfe erhalten und werden nicht für den FinalScore verwendet.</x:v>
      </x:c>
    </x:row>
    <x:row r="247" ht="42" customHeight="1">
      <x:c r="A247" s="14" t="str">
        <x:v>WOK-G-148</x:v>
      </x:c>
      <x:c r="B247" s="14" t="str">
        <x:v>G47</x:v>
      </x:c>
      <x:c r="C247" s="14" t="str">
        <x:v>Legacy / Migration auf NACE Rev. 2.1 offen</x:v>
      </x:c>
      <x:c r="D247" s="14" t="str">
        <x:v>EU</x:v>
      </x:c>
      <x:c r="E247" s="14"/>
      <x:c r="F247" s="14" t="str">
        <x:v>0–1</x:v>
      </x:c>
      <x:c r="G247" s="14" t="str">
        <x:v>higher_is_better</x:v>
      </x:c>
      <x:c r="H247" s="14" t="str">
        <x:v>R08</x:v>
      </x:c>
      <x:c r="I247" s="14" t="str">
        <x:v>Optional/Nein</x:v>
      </x:c>
      <x:c r="J247" s="51"/>
      <x:c r="K247" s="51"/>
      <x:c r="L247" s="51"/>
      <x:c r="M247" s="51"/>
      <x:c r="N247" s="51"/>
      <x:c r="O247" s="54"/>
      <x:c r="P247" s="51" t="str">
        <x:v>Optional – kein aktiver Benchmark</x:v>
      </x:c>
      <x:c r="Q247" s="53" t="n">
        <x:v>0.5</x:v>
      </x:c>
      <x:c r="R247" s="53" t="n">
        <x:v>0.75</x:v>
      </x:c>
      <x:c r="S247" s="53" t="n">
        <x:v>0.9</x:v>
      </x:c>
      <x:c r="T247" s="53" t="str">
        <x:v>default:higher_is_better_abs</x:v>
      </x:c>
      <x:c r="U247" s="14" t="str">
        <x:v>Legacy-Werte bleiben nur als historische Rechenhilfe erhalten und werden nicht für den FinalScore verwendet.</x:v>
      </x:c>
    </x:row>
    <x:row r="248" ht="42" customHeight="1">
      <x:c r="A248" s="14" t="str">
        <x:v>WOK-G-149</x:v>
      </x:c>
      <x:c r="B248" s="14" t="str">
        <x:v>G47</x:v>
      </x:c>
      <x:c r="C248" s="14" t="str">
        <x:v>Legacy / Migration auf NACE Rev. 2.1 offen</x:v>
      </x:c>
      <x:c r="D248" s="14" t="str">
        <x:v>EU</x:v>
      </x:c>
      <x:c r="E248" s="14"/>
      <x:c r="F248" s="14" t="str">
        <x:v>Fälle/1.000 FTE</x:v>
      </x:c>
      <x:c r="G248" s="14" t="str">
        <x:v>lower_is_better</x:v>
      </x:c>
      <x:c r="H248" s="14" t="str">
        <x:v>R01</x:v>
      </x:c>
      <x:c r="I248" s="14" t="str">
        <x:v>Optional/Nein</x:v>
      </x:c>
      <x:c r="J248" s="51"/>
      <x:c r="K248" s="51"/>
      <x:c r="L248" s="51"/>
      <x:c r="M248" s="51"/>
      <x:c r="N248" s="51"/>
      <x:c r="O248" s="54"/>
      <x:c r="P248" s="51" t="str">
        <x:v>Optional – kein aktiver Benchmark</x:v>
      </x:c>
      <x:c r="Q248" s="53" t="n">
        <x:v>0.5</x:v>
      </x:c>
      <x:c r="R248" s="53" t="n">
        <x:v>0.75</x:v>
      </x:c>
      <x:c r="S248" s="53" t="n">
        <x:v>1.25</x:v>
      </x:c>
      <x:c r="T248" s="53" t="str">
        <x:v>threshold:0-class</x:v>
      </x:c>
      <x:c r="U248" s="14" t="str">
        <x:v>Legacy-Werte bleiben nur als historische Rechenhilfe erhalten und werden nicht für den FinalScore verwendet.</x:v>
      </x:c>
    </x:row>
    <x:row r="249" ht="42" customHeight="1">
      <x:c r="A249" s="14" t="str">
        <x:v>WOK-G-150</x:v>
      </x:c>
      <x:c r="B249" s="14" t="str">
        <x:v>G47</x:v>
      </x:c>
      <x:c r="C249" s="14" t="str">
        <x:v>Legacy / Migration auf NACE Rev. 2.1 offen</x:v>
      </x:c>
      <x:c r="D249" s="14" t="str">
        <x:v>EU</x:v>
      </x:c>
      <x:c r="E249" s="14"/>
      <x:c r="F249" s="14" t="str">
        <x:v>0–1</x:v>
      </x:c>
      <x:c r="G249" s="14" t="str">
        <x:v>higher_is_better</x:v>
      </x:c>
      <x:c r="H249" s="14" t="str">
        <x:v>R16</x:v>
      </x:c>
      <x:c r="I249" s="14" t="str">
        <x:v>Optional/Nein</x:v>
      </x:c>
      <x:c r="J249" s="51"/>
      <x:c r="K249" s="51"/>
      <x:c r="L249" s="51"/>
      <x:c r="M249" s="51"/>
      <x:c r="N249" s="51"/>
      <x:c r="O249" s="54"/>
      <x:c r="P249" s="51" t="str">
        <x:v>Optional – kein aktiver Benchmark</x:v>
      </x:c>
      <x:c r="Q249" s="53" t="n">
        <x:v>0.6699999999999999</x:v>
      </x:c>
      <x:c r="R249" s="53" t="n">
        <x:v>1</x:v>
      </x:c>
      <x:c r="S249" s="53" t="n">
        <x:v>1</x:v>
      </x:c>
      <x:c r="T249" s="53" t="str">
        <x:v>threshold:0-class</x:v>
      </x:c>
      <x:c r="U249" s="14" t="str">
        <x:v>Legacy-Werte bleiben nur als historische Rechenhilfe erhalten und werden nicht für den FinalScore verwendet.</x:v>
      </x:c>
    </x:row>
    <x:row r="250" ht="42" customHeight="1">
      <x:c r="A250" s="14" t="str">
        <x:v>WOK-G-151</x:v>
      </x:c>
      <x:c r="B250" s="14" t="str">
        <x:v>G47</x:v>
      </x:c>
      <x:c r="C250" s="14" t="str">
        <x:v>Legacy / Migration auf NACE Rev. 2.1 offen</x:v>
      </x:c>
      <x:c r="D250" s="14" t="str">
        <x:v>EU</x:v>
      </x:c>
      <x:c r="E250" s="14"/>
      <x:c r="F250" s="14" t="str">
        <x:v>0–1</x:v>
      </x:c>
      <x:c r="G250" s="14" t="str">
        <x:v>higher_is_better</x:v>
      </x:c>
      <x:c r="H250" s="14" t="str">
        <x:v>R08</x:v>
      </x:c>
      <x:c r="I250" s="14" t="str">
        <x:v>Optional/Nein</x:v>
      </x:c>
      <x:c r="J250" s="51"/>
      <x:c r="K250" s="51"/>
      <x:c r="L250" s="51"/>
      <x:c r="M250" s="51"/>
      <x:c r="N250" s="51"/>
      <x:c r="O250" s="54"/>
      <x:c r="P250" s="51" t="str">
        <x:v>Optional – kein aktiver Benchmark</x:v>
      </x:c>
      <x:c r="Q250" s="53" t="n">
        <x:v>0.5</x:v>
      </x:c>
      <x:c r="R250" s="53" t="n">
        <x:v>0.75</x:v>
      </x:c>
      <x:c r="S250" s="53" t="n">
        <x:v>0.9</x:v>
      </x:c>
      <x:c r="T250" s="53" t="str">
        <x:v>default:higher_is_better_abs</x:v>
      </x:c>
      <x:c r="U250" s="14" t="str">
        <x:v>Legacy-Werte bleiben nur als historische Rechenhilfe erhalten und werden nicht für den FinalScore verwendet.</x:v>
      </x:c>
    </x:row>
    <x:row r="251" ht="42" customHeight="1">
      <x:c r="A251" s="14" t="str">
        <x:v>WOK-S-161</x:v>
      </x:c>
      <x:c r="B251" s="14" t="str">
        <x:v>G47</x:v>
      </x:c>
      <x:c r="C251" s="14" t="str">
        <x:v>Legacy / Migration auf NACE Rev. 2.1 offen</x:v>
      </x:c>
      <x:c r="D251" s="14" t="str">
        <x:v>EU</x:v>
      </x:c>
      <x:c r="E251" s="14"/>
      <x:c r="F251" s="14" t="str">
        <x:v>%</x:v>
      </x:c>
      <x:c r="G251" s="14" t="str">
        <x:v>lower_is_better</x:v>
      </x:c>
      <x:c r="H251" s="14" t="str">
        <x:v>R11</x:v>
      </x:c>
      <x:c r="I251" s="14" t="str">
        <x:v>Optional/Nein</x:v>
      </x:c>
      <x:c r="J251" s="51"/>
      <x:c r="K251" s="51"/>
      <x:c r="L251" s="51"/>
      <x:c r="M251" s="51"/>
      <x:c r="N251" s="51"/>
      <x:c r="O251" s="54"/>
      <x:c r="P251" s="51" t="str">
        <x:v>Optional – kein aktiver Benchmark</x:v>
      </x:c>
      <x:c r="Q251" s="53" t="n">
        <x:v>8</x:v>
      </x:c>
      <x:c r="R251" s="53" t="n">
        <x:v>12</x:v>
      </x:c>
      <x:c r="S251" s="53" t="n">
        <x:v>20</x:v>
      </x:c>
      <x:c r="T251" s="53" t="str">
        <x:v>threshold:0-class</x:v>
      </x:c>
      <x:c r="U251" s="14" t="str">
        <x:v>Legacy-Werte bleiben nur als historische Rechenhilfe erhalten und werden nicht für den FinalScore verwendet.</x:v>
      </x:c>
    </x:row>
    <x:row r="252" ht="42" customHeight="1">
      <x:c r="A252" s="14" t="str">
        <x:v>WOK-S-162</x:v>
      </x:c>
      <x:c r="B252" s="14" t="str">
        <x:v>G47</x:v>
      </x:c>
      <x:c r="C252" s="14" t="str">
        <x:v>Legacy / Migration auf NACE Rev. 2.1 offen</x:v>
      </x:c>
      <x:c r="D252" s="14" t="str">
        <x:v>EU</x:v>
      </x:c>
      <x:c r="E252" s="14"/>
      <x:c r="F252" s="14" t="str">
        <x:v>%</x:v>
      </x:c>
      <x:c r="G252" s="14" t="str">
        <x:v>higher_is_better</x:v>
      </x:c>
      <x:c r="H252" s="14" t="str">
        <x:v>R18</x:v>
      </x:c>
      <x:c r="I252" s="14" t="str">
        <x:v>Optional/Nein</x:v>
      </x:c>
      <x:c r="J252" s="51"/>
      <x:c r="K252" s="51"/>
      <x:c r="L252" s="51"/>
      <x:c r="M252" s="51"/>
      <x:c r="N252" s="51"/>
      <x:c r="O252" s="54"/>
      <x:c r="P252" s="51" t="str">
        <x:v>Optional – kein aktiver Benchmark</x:v>
      </x:c>
      <x:c r="Q252" s="53" t="n">
        <x:v>30</x:v>
      </x:c>
      <x:c r="R252" s="53" t="n">
        <x:v>45</x:v>
      </x:c>
      <x:c r="S252" s="53" t="n">
        <x:v>75</x:v>
      </x:c>
      <x:c r="T252" s="53" t="str">
        <x:v>threshold:0-class</x:v>
      </x:c>
      <x:c r="U252" s="14" t="str">
        <x:v>Legacy-Werte bleiben nur als historische Rechenhilfe erhalten und werden nicht für den FinalScore verwendet.</x:v>
      </x:c>
    </x:row>
    <x:row r="253" ht="42" customHeight="1">
      <x:c r="A253" s="14" t="str">
        <x:v>WOK-S-163</x:v>
      </x:c>
      <x:c r="B253" s="14" t="str">
        <x:v>G47</x:v>
      </x:c>
      <x:c r="C253" s="14" t="str">
        <x:v>Legacy / Migration auf NACE Rev. 2.1 offen</x:v>
      </x:c>
      <x:c r="D253" s="14" t="str">
        <x:v>EU</x:v>
      </x:c>
      <x:c r="E253" s="14"/>
      <x:c r="F253" s="14" t="str">
        <x:v>%</x:v>
      </x:c>
      <x:c r="G253" s="14" t="str">
        <x:v>higher_is_better</x:v>
      </x:c>
      <x:c r="H253" s="14" t="str">
        <x:v>R21</x:v>
      </x:c>
      <x:c r="I253" s="14" t="str">
        <x:v>Optional/Nein</x:v>
      </x:c>
      <x:c r="J253" s="51"/>
      <x:c r="K253" s="51"/>
      <x:c r="L253" s="51"/>
      <x:c r="M253" s="51"/>
      <x:c r="N253" s="51"/>
      <x:c r="O253" s="54"/>
      <x:c r="P253" s="51" t="str">
        <x:v>Optional – kein aktiver Benchmark</x:v>
      </x:c>
      <x:c r="Q253" s="53" t="n">
        <x:v>2.95</x:v>
      </x:c>
      <x:c r="R253" s="53" t="n">
        <x:v>4.425000000000001</x:v>
      </x:c>
      <x:c r="S253" s="53" t="n">
        <x:v>7.375</x:v>
      </x:c>
      <x:c r="T253" s="53" t="str">
        <x:v>threshold:0-class</x:v>
      </x:c>
      <x:c r="U253" s="14" t="str">
        <x:v>Legacy-Werte bleiben nur als historische Rechenhilfe erhalten und werden nicht für den FinalScore verwendet.</x:v>
      </x:c>
    </x:row>
    <x:row r="254" ht="42" customHeight="1">
      <x:c r="A254" s="14" t="str">
        <x:v>WOK-S-164</x:v>
      </x:c>
      <x:c r="B254" s="14" t="str">
        <x:v>G47</x:v>
      </x:c>
      <x:c r="C254" s="14" t="str">
        <x:v>Legacy / Migration auf NACE Rev. 2.1 offen</x:v>
      </x:c>
      <x:c r="D254" s="14" t="str">
        <x:v>EU</x:v>
      </x:c>
      <x:c r="E254" s="14"/>
      <x:c r="F254" s="14" t="str">
        <x:v>%</x:v>
      </x:c>
      <x:c r="G254" s="14" t="str">
        <x:v>lower_is_better</x:v>
      </x:c>
      <x:c r="H254" s="14" t="str">
        <x:v>R11</x:v>
      </x:c>
      <x:c r="I254" s="14" t="str">
        <x:v>Optional/Nein</x:v>
      </x:c>
      <x:c r="J254" s="51"/>
      <x:c r="K254" s="51"/>
      <x:c r="L254" s="51"/>
      <x:c r="M254" s="51"/>
      <x:c r="N254" s="51"/>
      <x:c r="O254" s="54"/>
      <x:c r="P254" s="51" t="str">
        <x:v>Optional – kein aktiver Benchmark</x:v>
      </x:c>
      <x:c r="Q254" s="53" t="n">
        <x:v>8</x:v>
      </x:c>
      <x:c r="R254" s="53" t="n">
        <x:v>12</x:v>
      </x:c>
      <x:c r="S254" s="53" t="n">
        <x:v>20</x:v>
      </x:c>
      <x:c r="T254" s="53" t="str">
        <x:v>threshold:0-class</x:v>
      </x:c>
      <x:c r="U254" s="14" t="str">
        <x:v>Legacy-Werte bleiben nur als historische Rechenhilfe erhalten und werden nicht für den FinalScore verwendet.</x:v>
      </x:c>
    </x:row>
    <x:row r="255" ht="42" customHeight="1">
      <x:c r="A255" s="14" t="str">
        <x:v>WOK-S-165</x:v>
      </x:c>
      <x:c r="B255" s="14" t="str">
        <x:v>G47</x:v>
      </x:c>
      <x:c r="C255" s="14" t="str">
        <x:v>Legacy / Migration auf NACE Rev. 2.1 offen</x:v>
      </x:c>
      <x:c r="D255" s="14" t="str">
        <x:v>EU</x:v>
      </x:c>
      <x:c r="E255" s="14"/>
      <x:c r="F255" s="14" t="str">
        <x:v>%</x:v>
      </x:c>
      <x:c r="G255" s="14" t="str">
        <x:v>higher_is_better</x:v>
      </x:c>
      <x:c r="H255" s="14" t="str">
        <x:v>R18</x:v>
      </x:c>
      <x:c r="I255" s="14" t="str">
        <x:v>Optional/Nein</x:v>
      </x:c>
      <x:c r="J255" s="51"/>
      <x:c r="K255" s="51"/>
      <x:c r="L255" s="51"/>
      <x:c r="M255" s="51"/>
      <x:c r="N255" s="51"/>
      <x:c r="O255" s="54"/>
      <x:c r="P255" s="51" t="str">
        <x:v>Optional – kein aktiver Benchmark</x:v>
      </x:c>
      <x:c r="Q255" s="53" t="n">
        <x:v>30</x:v>
      </x:c>
      <x:c r="R255" s="53" t="n">
        <x:v>45</x:v>
      </x:c>
      <x:c r="S255" s="53" t="n">
        <x:v>75</x:v>
      </x:c>
      <x:c r="T255" s="53" t="str">
        <x:v>threshold:0-class</x:v>
      </x:c>
      <x:c r="U255" s="14" t="str">
        <x:v>Legacy-Werte bleiben nur als historische Rechenhilfe erhalten und werden nicht für den FinalScore verwendet.</x:v>
      </x:c>
    </x:row>
    <x:row r="256" ht="42" customHeight="1">
      <x:c r="A256" s="14" t="str">
        <x:v>WOK-S-166</x:v>
      </x:c>
      <x:c r="B256" s="14" t="str">
        <x:v>G47</x:v>
      </x:c>
      <x:c r="C256" s="14" t="str">
        <x:v>Legacy / Migration auf NACE Rev. 2.1 offen</x:v>
      </x:c>
      <x:c r="D256" s="14" t="str">
        <x:v>EU</x:v>
      </x:c>
      <x:c r="E256" s="14"/>
      <x:c r="F256" s="14" t="str">
        <x:v>%</x:v>
      </x:c>
      <x:c r="G256" s="14" t="str">
        <x:v>higher_is_better</x:v>
      </x:c>
      <x:c r="H256" s="14" t="str">
        <x:v>R21</x:v>
      </x:c>
      <x:c r="I256" s="14" t="str">
        <x:v>Optional/Nein</x:v>
      </x:c>
      <x:c r="J256" s="51"/>
      <x:c r="K256" s="51"/>
      <x:c r="L256" s="51"/>
      <x:c r="M256" s="51"/>
      <x:c r="N256" s="51"/>
      <x:c r="O256" s="54"/>
      <x:c r="P256" s="51" t="str">
        <x:v>Optional – kein aktiver Benchmark</x:v>
      </x:c>
      <x:c r="Q256" s="53" t="n">
        <x:v>2.95</x:v>
      </x:c>
      <x:c r="R256" s="53" t="n">
        <x:v>4.425000000000001</x:v>
      </x:c>
      <x:c r="S256" s="53" t="n">
        <x:v>7.375</x:v>
      </x:c>
      <x:c r="T256" s="53" t="str">
        <x:v>threshold:0-class</x:v>
      </x:c>
      <x:c r="U256" s="14" t="str">
        <x:v>Legacy-Werte bleiben nur als historische Rechenhilfe erhalten und werden nicht für den FinalScore verwendet.</x:v>
      </x:c>
    </x:row>
    <x:row r="257" ht="42" customHeight="1">
      <x:c r="A257" s="14" t="str">
        <x:v>WOK-SYS-125</x:v>
      </x:c>
      <x:c r="B257" s="14" t="str">
        <x:v>G47</x:v>
      </x:c>
      <x:c r="C257" s="14" t="str">
        <x:v>Legacy / Migration auf NACE Rev. 2.1 offen</x:v>
      </x:c>
      <x:c r="D257" s="14" t="str">
        <x:v>EU</x:v>
      </x:c>
      <x:c r="E257" s="14"/>
      <x:c r="F257" s="14" t="str">
        <x:v>0–1</x:v>
      </x:c>
      <x:c r="G257" s="14" t="str">
        <x:v>higher_is_better</x:v>
      </x:c>
      <x:c r="H257" s="14" t="str">
        <x:v>R15</x:v>
      </x:c>
      <x:c r="I257" s="14" t="str">
        <x:v>Optional/Nein</x:v>
      </x:c>
      <x:c r="J257" s="51"/>
      <x:c r="K257" s="51"/>
      <x:c r="L257" s="51"/>
      <x:c r="M257" s="51"/>
      <x:c r="N257" s="51"/>
      <x:c r="O257" s="54"/>
      <x:c r="P257" s="51" t="str">
        <x:v>Optional – kein aktiver Benchmark</x:v>
      </x:c>
      <x:c r="Q257" s="53" t="n">
        <x:v>0.645</x:v>
      </x:c>
      <x:c r="R257" s="53" t="n">
        <x:v>0.9675</x:v>
      </x:c>
      <x:c r="S257" s="53" t="n">
        <x:v>1</x:v>
      </x:c>
      <x:c r="T257" s="53" t="str">
        <x:v>threshold:0-class</x:v>
      </x:c>
      <x:c r="U257" s="14" t="str">
        <x:v>Legacy-Werte bleiben nur als historische Rechenhilfe erhalten und werden nicht für den FinalScore verwendet.</x:v>
      </x:c>
    </x:row>
    <x:row r="258" ht="42" customHeight="1">
      <x:c r="A258" s="14" t="str">
        <x:v>WOK-SYS-126</x:v>
      </x:c>
      <x:c r="B258" s="14" t="str">
        <x:v>G47</x:v>
      </x:c>
      <x:c r="C258" s="14" t="str">
        <x:v>Legacy / Migration auf NACE Rev. 2.1 offen</x:v>
      </x:c>
      <x:c r="D258" s="14" t="str">
        <x:v>EU</x:v>
      </x:c>
      <x:c r="E258" s="14"/>
      <x:c r="F258" s="14" t="str">
        <x:v>%</x:v>
      </x:c>
      <x:c r="G258" s="14" t="str">
        <x:v>lower_is_better</x:v>
      </x:c>
      <x:c r="H258" s="14" t="str">
        <x:v>R13</x:v>
      </x:c>
      <x:c r="I258" s="14" t="str">
        <x:v>Optional/Nein</x:v>
      </x:c>
      <x:c r="J258" s="51"/>
      <x:c r="K258" s="51"/>
      <x:c r="L258" s="51"/>
      <x:c r="M258" s="51"/>
      <x:c r="N258" s="51"/>
      <x:c r="O258" s="54"/>
      <x:c r="P258" s="51" t="str">
        <x:v>Optional – kein aktiver Benchmark</x:v>
      </x:c>
      <x:c r="Q258" s="53" t="n">
        <x:v>15.5</x:v>
      </x:c>
      <x:c r="R258" s="53" t="n">
        <x:v>23.25</x:v>
      </x:c>
      <x:c r="S258" s="53" t="n">
        <x:v>38.75</x:v>
      </x:c>
      <x:c r="T258" s="53" t="str">
        <x:v>threshold:0-class</x:v>
      </x:c>
      <x:c r="U258" s="14" t="str">
        <x:v>Legacy-Werte bleiben nur als historische Rechenhilfe erhalten und werden nicht für den FinalScore verwendet.</x:v>
      </x:c>
    </x:row>
    <x:row r="259" ht="42" customHeight="1">
      <x:c r="A259" s="14" t="str">
        <x:v>WOK-SYS-127</x:v>
      </x:c>
      <x:c r="B259" s="14" t="str">
        <x:v>G47</x:v>
      </x:c>
      <x:c r="C259" s="14" t="str">
        <x:v>Legacy / Migration auf NACE Rev. 2.1 offen</x:v>
      </x:c>
      <x:c r="D259" s="14" t="str">
        <x:v>EU</x:v>
      </x:c>
      <x:c r="E259" s="14"/>
      <x:c r="F259" s="14" t="str">
        <x:v>#/Jahr</x:v>
      </x:c>
      <x:c r="G259" s="14" t="str">
        <x:v>higher_is_better</x:v>
      </x:c>
      <x:c r="H259" s="14" t="str">
        <x:v>R20</x:v>
      </x:c>
      <x:c r="I259" s="14" t="str">
        <x:v>Optional/Nein</x:v>
      </x:c>
      <x:c r="J259" s="51"/>
      <x:c r="K259" s="51"/>
      <x:c r="L259" s="51"/>
      <x:c r="M259" s="51"/>
      <x:c r="N259" s="51"/>
      <x:c r="O259" s="54"/>
      <x:c r="P259" s="51" t="str">
        <x:v>Optional – kein aktiver Benchmark</x:v>
      </x:c>
      <x:c r="Q259" s="53" t="n">
        <x:v>1.5</x:v>
      </x:c>
      <x:c r="R259" s="53" t="n">
        <x:v>2.25</x:v>
      </x:c>
      <x:c r="S259" s="53" t="n">
        <x:v>3.75</x:v>
      </x:c>
      <x:c r="T259" s="53" t="str">
        <x:v>threshold:0-class</x:v>
      </x:c>
      <x:c r="U259" s="14" t="str">
        <x:v>Legacy-Werte bleiben nur als historische Rechenhilfe erhalten und werden nicht für den FinalScore verwendet.</x:v>
      </x:c>
    </x:row>
    <x:row r="260" ht="42" customHeight="1">
      <x:c r="A260" s="14" t="str">
        <x:v>WOK-G-152</x:v>
      </x:c>
      <x:c r="B260" s="14" t="str">
        <x:v>G47</x:v>
      </x:c>
      <x:c r="C260" s="14" t="str">
        <x:v>Legacy / Migration auf NACE Rev. 2.1 offen</x:v>
      </x:c>
      <x:c r="D260" s="14" t="str">
        <x:v>EU</x:v>
      </x:c>
      <x:c r="E260" s="14"/>
      <x:c r="F260" s="14" t="str">
        <x:v>Fälle/1.000 FTE</x:v>
      </x:c>
      <x:c r="G260" s="14" t="str">
        <x:v>lower_is_better</x:v>
      </x:c>
      <x:c r="H260" s="14" t="str">
        <x:v>R01</x:v>
      </x:c>
      <x:c r="I260" s="14" t="str">
        <x:v>Optional/Nein</x:v>
      </x:c>
      <x:c r="J260" s="51"/>
      <x:c r="K260" s="51"/>
      <x:c r="L260" s="51"/>
      <x:c r="M260" s="51"/>
      <x:c r="N260" s="51"/>
      <x:c r="O260" s="54"/>
      <x:c r="P260" s="51" t="str">
        <x:v>Optional – kein aktiver Benchmark</x:v>
      </x:c>
      <x:c r="Q260" s="53" t="n">
        <x:v>0.5</x:v>
      </x:c>
      <x:c r="R260" s="53" t="n">
        <x:v>0.75</x:v>
      </x:c>
      <x:c r="S260" s="53" t="n">
        <x:v>1.25</x:v>
      </x:c>
      <x:c r="T260" s="53" t="str">
        <x:v>threshold:0-class</x:v>
      </x:c>
      <x:c r="U260" s="14" t="str">
        <x:v>Legacy-Werte bleiben nur als historische Rechenhilfe erhalten und werden nicht für den FinalScore verwendet.</x:v>
      </x:c>
    </x:row>
    <x:row r="261" ht="42" customHeight="1">
      <x:c r="A261" s="14" t="str">
        <x:v>WOK-G-153</x:v>
      </x:c>
      <x:c r="B261" s="14" t="str">
        <x:v>G47</x:v>
      </x:c>
      <x:c r="C261" s="14" t="str">
        <x:v>Legacy / Migration auf NACE Rev. 2.1 offen</x:v>
      </x:c>
      <x:c r="D261" s="14" t="str">
        <x:v>EU</x:v>
      </x:c>
      <x:c r="E261" s="14"/>
      <x:c r="F261" s="14" t="str">
        <x:v>0–1</x:v>
      </x:c>
      <x:c r="G261" s="14" t="str">
        <x:v>higher_is_better</x:v>
      </x:c>
      <x:c r="H261" s="14" t="str">
        <x:v>R16</x:v>
      </x:c>
      <x:c r="I261" s="14" t="str">
        <x:v>Optional/Nein</x:v>
      </x:c>
      <x:c r="J261" s="51"/>
      <x:c r="K261" s="51"/>
      <x:c r="L261" s="51"/>
      <x:c r="M261" s="51"/>
      <x:c r="N261" s="51"/>
      <x:c r="O261" s="54"/>
      <x:c r="P261" s="51" t="str">
        <x:v>Optional – kein aktiver Benchmark</x:v>
      </x:c>
      <x:c r="Q261" s="53" t="n">
        <x:v>0.6699999999999999</x:v>
      </x:c>
      <x:c r="R261" s="53" t="n">
        <x:v>1</x:v>
      </x:c>
      <x:c r="S261" s="53" t="n">
        <x:v>1</x:v>
      </x:c>
      <x:c r="T261" s="53" t="str">
        <x:v>threshold:0-class</x:v>
      </x:c>
      <x:c r="U261" s="14" t="str">
        <x:v>Legacy-Werte bleiben nur als historische Rechenhilfe erhalten und werden nicht für den FinalScore verwendet.</x:v>
      </x:c>
    </x:row>
    <x:row r="262" ht="42" customHeight="1">
      <x:c r="A262" s="14" t="str">
        <x:v>WOK-G-154</x:v>
      </x:c>
      <x:c r="B262" s="14" t="str">
        <x:v>G47</x:v>
      </x:c>
      <x:c r="C262" s="14" t="str">
        <x:v>Legacy / Migration auf NACE Rev. 2.1 offen</x:v>
      </x:c>
      <x:c r="D262" s="14" t="str">
        <x:v>EU</x:v>
      </x:c>
      <x:c r="E262" s="14"/>
      <x:c r="F262" s="14" t="str">
        <x:v>0–1</x:v>
      </x:c>
      <x:c r="G262" s="14" t="str">
        <x:v>higher_is_better</x:v>
      </x:c>
      <x:c r="H262" s="14" t="str">
        <x:v>R08</x:v>
      </x:c>
      <x:c r="I262" s="14" t="str">
        <x:v>Optional/Nein</x:v>
      </x:c>
      <x:c r="J262" s="51"/>
      <x:c r="K262" s="51"/>
      <x:c r="L262" s="51"/>
      <x:c r="M262" s="51"/>
      <x:c r="N262" s="51"/>
      <x:c r="O262" s="54"/>
      <x:c r="P262" s="51" t="str">
        <x:v>Optional – kein aktiver Benchmark</x:v>
      </x:c>
      <x:c r="Q262" s="53" t="n">
        <x:v>0.5</x:v>
      </x:c>
      <x:c r="R262" s="53" t="n">
        <x:v>0.75</x:v>
      </x:c>
      <x:c r="S262" s="53" t="n">
        <x:v>0.9</x:v>
      </x:c>
      <x:c r="T262" s="53" t="str">
        <x:v>default:higher_is_better_abs</x:v>
      </x:c>
      <x:c r="U262" s="14" t="str">
        <x:v>Legacy-Werte bleiben nur als historische Rechenhilfe erhalten und werden nicht für den FinalScore verwendet.</x:v>
      </x:c>
    </x:row>
    <x:row r="263" ht="42" customHeight="1">
      <x:c r="A263" s="14" t="str">
        <x:v>WOK-S-167</x:v>
      </x:c>
      <x:c r="B263" s="14" t="str">
        <x:v>G47</x:v>
      </x:c>
      <x:c r="C263" s="14" t="str">
        <x:v>Legacy / Migration auf NACE Rev. 2.1 offen</x:v>
      </x:c>
      <x:c r="D263" s="14" t="str">
        <x:v>EU</x:v>
      </x:c>
      <x:c r="E263" s="14"/>
      <x:c r="F263" s="14" t="str">
        <x:v>% Beschäftigte</x:v>
      </x:c>
      <x:c r="G263" s="14" t="str">
        <x:v>higher_is_better</x:v>
      </x:c>
      <x:c r="H263" s="14" t="str">
        <x:v>R27</x:v>
      </x:c>
      <x:c r="I263" s="14" t="str">
        <x:v>Optional/Nein</x:v>
      </x:c>
      <x:c r="J263" s="51"/>
      <x:c r="K263" s="51"/>
      <x:c r="L263" s="51"/>
      <x:c r="M263" s="51"/>
      <x:c r="N263" s="51"/>
      <x:c r="O263" s="54"/>
      <x:c r="P263" s="51" t="str">
        <x:v>Optional – kein aktiver Benchmark</x:v>
      </x:c>
      <x:c r="Q263" s="53" t="n">
        <x:v>69.5</x:v>
      </x:c>
      <x:c r="R263" s="53" t="n">
        <x:v>100</x:v>
      </x:c>
      <x:c r="S263" s="53" t="n">
        <x:v>100</x:v>
      </x:c>
      <x:c r="T263" s="53" t="str">
        <x:v>threshold:0-class</x:v>
      </x:c>
      <x:c r="U263" s="14" t="str">
        <x:v>Legacy-Werte bleiben nur als historische Rechenhilfe erhalten und werden nicht für den FinalScore verwendet.</x:v>
      </x:c>
    </x:row>
    <x:row r="264" ht="42" customHeight="1">
      <x:c r="A264" s="14" t="str">
        <x:v>WOK-S-168</x:v>
      </x:c>
      <x:c r="B264" s="14" t="str">
        <x:v>G47</x:v>
      </x:c>
      <x:c r="C264" s="14" t="str">
        <x:v>Legacy / Migration auf NACE Rev. 2.1 offen</x:v>
      </x:c>
      <x:c r="D264" s="14" t="str">
        <x:v>EU</x:v>
      </x:c>
      <x:c r="E264" s="14"/>
      <x:c r="F264" s="14" t="str">
        <x:v>%</x:v>
      </x:c>
      <x:c r="G264" s="14" t="str">
        <x:v>higher_is_better</x:v>
      </x:c>
      <x:c r="H264" s="14" t="str">
        <x:v>R26</x:v>
      </x:c>
      <x:c r="I264" s="14" t="str">
        <x:v>Optional/Nein</x:v>
      </x:c>
      <x:c r="J264" s="51"/>
      <x:c r="K264" s="51"/>
      <x:c r="L264" s="51"/>
      <x:c r="M264" s="51"/>
      <x:c r="N264" s="51"/>
      <x:c r="O264" s="54"/>
      <x:c r="P264" s="51" t="str">
        <x:v>Optional – kein aktiver Benchmark</x:v>
      </x:c>
      <x:c r="Q264" s="53" t="n">
        <x:v>59.5</x:v>
      </x:c>
      <x:c r="R264" s="53" t="n">
        <x:v>89.25</x:v>
      </x:c>
      <x:c r="S264" s="53" t="n">
        <x:v>100</x:v>
      </x:c>
      <x:c r="T264" s="53" t="str">
        <x:v>threshold:0-class</x:v>
      </x:c>
      <x:c r="U264" s="14" t="str">
        <x:v>Legacy-Werte bleiben nur als historische Rechenhilfe erhalten und werden nicht für den FinalScore verwendet.</x:v>
      </x:c>
    </x:row>
    <x:row r="265" ht="42" customHeight="1">
      <x:c r="A265" s="14" t="str">
        <x:v>WOK-S-169</x:v>
      </x:c>
      <x:c r="B265" s="14" t="str">
        <x:v>G47</x:v>
      </x:c>
      <x:c r="C265" s="14" t="str">
        <x:v>Legacy / Migration auf NACE Rev. 2.1 offen</x:v>
      </x:c>
      <x:c r="D265" s="14" t="str">
        <x:v>EU</x:v>
      </x:c>
      <x:c r="E265" s="14"/>
      <x:c r="F265" s="14" t="str">
        <x:v>Unfälle/Mio Std.</x:v>
      </x:c>
      <x:c r="G265" s="14" t="str">
        <x:v>lower_is_better</x:v>
      </x:c>
      <x:c r="H265" s="14" t="str">
        <x:v>R02</x:v>
      </x:c>
      <x:c r="I265" s="14" t="str">
        <x:v>Optional/Nein</x:v>
      </x:c>
      <x:c r="J265" s="51"/>
      <x:c r="K265" s="51"/>
      <x:c r="L265" s="51"/>
      <x:c r="M265" s="51"/>
      <x:c r="N265" s="51"/>
      <x:c r="O265" s="54"/>
      <x:c r="P265" s="51" t="str">
        <x:v>Optional – kein aktiver Benchmark</x:v>
      </x:c>
      <x:c r="Q265" s="53" t="n">
        <x:v>3</x:v>
      </x:c>
      <x:c r="R265" s="53" t="n">
        <x:v>4.5</x:v>
      </x:c>
      <x:c r="S265" s="53" t="n">
        <x:v>7.5</x:v>
      </x:c>
      <x:c r="T265" s="53" t="str">
        <x:v>threshold:0-class</x:v>
      </x:c>
      <x:c r="U265" s="14" t="str">
        <x:v>Legacy-Werte bleiben nur als historische Rechenhilfe erhalten und werden nicht für den FinalScore verwendet.</x:v>
      </x:c>
    </x:row>
    <x:row r="266" ht="42" customHeight="1">
      <x:c r="A266" s="14" t="str">
        <x:v>WOK-SC-122</x:v>
      </x:c>
      <x:c r="B266" s="14" t="str">
        <x:v>G47</x:v>
      </x:c>
      <x:c r="C266" s="14" t="str">
        <x:v>Legacy / Migration auf NACE Rev. 2.1 offen</x:v>
      </x:c>
      <x:c r="D266" s="14" t="str">
        <x:v>EU</x:v>
      </x:c>
      <x:c r="E266" s="14"/>
      <x:c r="F266" s="14" t="str">
        <x:v>%</x:v>
      </x:c>
      <x:c r="G266" s="14" t="str">
        <x:v>higher_is_better</x:v>
      </x:c>
      <x:c r="H266" s="14" t="str">
        <x:v>R26</x:v>
      </x:c>
      <x:c r="I266" s="14" t="str">
        <x:v>Optional/Nein</x:v>
      </x:c>
      <x:c r="J266" s="51"/>
      <x:c r="K266" s="51"/>
      <x:c r="L266" s="51"/>
      <x:c r="M266" s="51"/>
      <x:c r="N266" s="51"/>
      <x:c r="O266" s="54"/>
      <x:c r="P266" s="51" t="str">
        <x:v>Optional – kein aktiver Benchmark</x:v>
      </x:c>
      <x:c r="Q266" s="53" t="n">
        <x:v>59.5</x:v>
      </x:c>
      <x:c r="R266" s="53" t="n">
        <x:v>89.25</x:v>
      </x:c>
      <x:c r="S266" s="53" t="n">
        <x:v>100</x:v>
      </x:c>
      <x:c r="T266" s="53" t="str">
        <x:v>threshold:0-class</x:v>
      </x:c>
      <x:c r="U266" s="14" t="str">
        <x:v>Legacy-Werte bleiben nur als historische Rechenhilfe erhalten und werden nicht für den FinalScore verwendet.</x:v>
      </x:c>
    </x:row>
    <x:row r="267" ht="42" customHeight="1">
      <x:c r="A267" s="14" t="str">
        <x:v>WOK-SC-123</x:v>
      </x:c>
      <x:c r="B267" s="14" t="str">
        <x:v>G47</x:v>
      </x:c>
      <x:c r="C267" s="14" t="str">
        <x:v>Legacy / Migration auf NACE Rev. 2.1 offen</x:v>
      </x:c>
      <x:c r="D267" s="14" t="str">
        <x:v>EU</x:v>
      </x:c>
      <x:c r="E267" s="14"/>
      <x:c r="F267" s="14" t="str">
        <x:v>% Lieferanten</x:v>
      </x:c>
      <x:c r="G267" s="14" t="str">
        <x:v>higher_is_better</x:v>
      </x:c>
      <x:c r="H267" s="14" t="str">
        <x:v>R28</x:v>
      </x:c>
      <x:c r="I267" s="14" t="str">
        <x:v>Optional/Nein</x:v>
      </x:c>
      <x:c r="J267" s="51"/>
      <x:c r="K267" s="51"/>
      <x:c r="L267" s="51"/>
      <x:c r="M267" s="51"/>
      <x:c r="N267" s="51"/>
      <x:c r="O267" s="54"/>
      <x:c r="P267" s="51" t="str">
        <x:v>Optional – kein aktiver Benchmark</x:v>
      </x:c>
      <x:c r="Q267" s="53" t="n">
        <x:v>82</x:v>
      </x:c>
      <x:c r="R267" s="53" t="n">
        <x:v>100</x:v>
      </x:c>
      <x:c r="S267" s="53" t="n">
        <x:v>100</x:v>
      </x:c>
      <x:c r="T267" s="53" t="str">
        <x:v>threshold:0-class</x:v>
      </x:c>
      <x:c r="U267" s="14" t="str">
        <x:v>Legacy-Werte bleiben nur als historische Rechenhilfe erhalten und werden nicht für den FinalScore verwendet.</x:v>
      </x:c>
    </x:row>
    <x:row r="268" ht="42" customHeight="1">
      <x:c r="A268" s="14" t="str">
        <x:v>WOK-SC-124</x:v>
      </x:c>
      <x:c r="B268" s="14" t="str">
        <x:v>G47</x:v>
      </x:c>
      <x:c r="C268" s="14" t="str">
        <x:v>Legacy / Migration auf NACE Rev. 2.1 offen</x:v>
      </x:c>
      <x:c r="D268" s="14" t="str">
        <x:v>EU</x:v>
      </x:c>
      <x:c r="E268" s="14"/>
      <x:c r="F268" s="14" t="str">
        <x:v>% Kategorien</x:v>
      </x:c>
      <x:c r="G268" s="14" t="str">
        <x:v>higher_is_better</x:v>
      </x:c>
      <x:c r="H268" s="14" t="str">
        <x:v>R23</x:v>
      </x:c>
      <x:c r="I268" s="14" t="str">
        <x:v>Optional/Nein</x:v>
      </x:c>
      <x:c r="J268" s="51"/>
      <x:c r="K268" s="51"/>
      <x:c r="L268" s="51"/>
      <x:c r="M268" s="51"/>
      <x:c r="N268" s="51"/>
      <x:c r="O268" s="54"/>
      <x:c r="P268" s="51" t="str">
        <x:v>Optional – kein aktiver Benchmark</x:v>
      </x:c>
      <x:c r="Q268" s="53" t="n">
        <x:v>49.5</x:v>
      </x:c>
      <x:c r="R268" s="53" t="n">
        <x:v>74.25</x:v>
      </x:c>
      <x:c r="S268" s="53" t="n">
        <x:v>100</x:v>
      </x:c>
      <x:c r="T268" s="53" t="str">
        <x:v>threshold:0-class</x:v>
      </x:c>
      <x:c r="U268" s="14" t="str">
        <x:v>Legacy-Werte bleiben nur als historische Rechenhilfe erhalten und werden nicht für den FinalScore verwendet.</x:v>
      </x:c>
    </x:row>
    <x:row r="269" ht="42" customHeight="1">
      <x:c r="A269" s="14" t="str">
        <x:v>WOK-SYS-128</x:v>
      </x:c>
      <x:c r="B269" s="14" t="str">
        <x:v>G47</x:v>
      </x:c>
      <x:c r="C269" s="14" t="str">
        <x:v>Legacy / Migration auf NACE Rev. 2.1 offen</x:v>
      </x:c>
      <x:c r="D269" s="14" t="str">
        <x:v>EU</x:v>
      </x:c>
      <x:c r="E269" s="14"/>
      <x:c r="F269" s="14" t="str">
        <x:v>0–1</x:v>
      </x:c>
      <x:c r="G269" s="14" t="str">
        <x:v>higher_is_better</x:v>
      </x:c>
      <x:c r="H269" s="14" t="str">
        <x:v>R15</x:v>
      </x:c>
      <x:c r="I269" s="14" t="str">
        <x:v>Optional/Nein</x:v>
      </x:c>
      <x:c r="J269" s="51"/>
      <x:c r="K269" s="51"/>
      <x:c r="L269" s="51"/>
      <x:c r="M269" s="51"/>
      <x:c r="N269" s="51"/>
      <x:c r="O269" s="54"/>
      <x:c r="P269" s="51" t="str">
        <x:v>Optional – kein aktiver Benchmark</x:v>
      </x:c>
      <x:c r="Q269" s="53" t="n">
        <x:v>0.645</x:v>
      </x:c>
      <x:c r="R269" s="53" t="n">
        <x:v>0.9675</x:v>
      </x:c>
      <x:c r="S269" s="53" t="n">
        <x:v>1</x:v>
      </x:c>
      <x:c r="T269" s="53" t="str">
        <x:v>threshold:0-class</x:v>
      </x:c>
      <x:c r="U269" s="14" t="str">
        <x:v>Legacy-Werte bleiben nur als historische Rechenhilfe erhalten und werden nicht für den FinalScore verwendet.</x:v>
      </x:c>
    </x:row>
    <x:row r="270" ht="42" customHeight="1">
      <x:c r="A270" s="14" t="str">
        <x:v>WOK-SYS-129</x:v>
      </x:c>
      <x:c r="B270" s="14" t="str">
        <x:v>G47</x:v>
      </x:c>
      <x:c r="C270" s="14" t="str">
        <x:v>Legacy / Migration auf NACE Rev. 2.1 offen</x:v>
      </x:c>
      <x:c r="D270" s="14" t="str">
        <x:v>EU</x:v>
      </x:c>
      <x:c r="E270" s="14"/>
      <x:c r="F270" s="14" t="str">
        <x:v>%</x:v>
      </x:c>
      <x:c r="G270" s="14" t="str">
        <x:v>lower_is_better</x:v>
      </x:c>
      <x:c r="H270" s="14" t="str">
        <x:v>R13</x:v>
      </x:c>
      <x:c r="I270" s="14" t="str">
        <x:v>Optional/Nein</x:v>
      </x:c>
      <x:c r="J270" s="51"/>
      <x:c r="K270" s="51"/>
      <x:c r="L270" s="51"/>
      <x:c r="M270" s="51"/>
      <x:c r="N270" s="51"/>
      <x:c r="O270" s="54"/>
      <x:c r="P270" s="51" t="str">
        <x:v>Optional – kein aktiver Benchmark</x:v>
      </x:c>
      <x:c r="Q270" s="53" t="n">
        <x:v>15.5</x:v>
      </x:c>
      <x:c r="R270" s="53" t="n">
        <x:v>23.25</x:v>
      </x:c>
      <x:c r="S270" s="53" t="n">
        <x:v>38.75</x:v>
      </x:c>
      <x:c r="T270" s="53" t="str">
        <x:v>threshold:0-class</x:v>
      </x:c>
      <x:c r="U270" s="14" t="str">
        <x:v>Legacy-Werte bleiben nur als historische Rechenhilfe erhalten und werden nicht für den FinalScore verwendet.</x:v>
      </x:c>
    </x:row>
    <x:row r="271" ht="42" customHeight="1">
      <x:c r="A271" s="14" t="str">
        <x:v>WOK-SYS-130</x:v>
      </x:c>
      <x:c r="B271" s="14" t="str">
        <x:v>G47</x:v>
      </x:c>
      <x:c r="C271" s="14" t="str">
        <x:v>Legacy / Migration auf NACE Rev. 2.1 offen</x:v>
      </x:c>
      <x:c r="D271" s="14" t="str">
        <x:v>EU</x:v>
      </x:c>
      <x:c r="E271" s="14"/>
      <x:c r="F271" s="14" t="str">
        <x:v>#/Jahr</x:v>
      </x:c>
      <x:c r="G271" s="14" t="str">
        <x:v>higher_is_better</x:v>
      </x:c>
      <x:c r="H271" s="14" t="str">
        <x:v>R20</x:v>
      </x:c>
      <x:c r="I271" s="14" t="str">
        <x:v>Optional/Nein</x:v>
      </x:c>
      <x:c r="J271" s="51"/>
      <x:c r="K271" s="51"/>
      <x:c r="L271" s="51"/>
      <x:c r="M271" s="51"/>
      <x:c r="N271" s="51"/>
      <x:c r="O271" s="54"/>
      <x:c r="P271" s="51" t="str">
        <x:v>Optional – kein aktiver Benchmark</x:v>
      </x:c>
      <x:c r="Q271" s="53" t="n">
        <x:v>1.5</x:v>
      </x:c>
      <x:c r="R271" s="53" t="n">
        <x:v>2.25</x:v>
      </x:c>
      <x:c r="S271" s="53" t="n">
        <x:v>3.75</x:v>
      </x:c>
      <x:c r="T271" s="53" t="str">
        <x:v>threshold:0-class</x:v>
      </x:c>
      <x:c r="U271" s="14" t="str">
        <x:v>Legacy-Werte bleiben nur als historische Rechenhilfe erhalten und werden nicht für den FinalScore verwendet.</x:v>
      </x:c>
    </x:row>
    <x:row r="272" ht="42" customHeight="1">
      <x:c r="A272" s="14" t="str">
        <x:v>WOK-G-155</x:v>
      </x:c>
      <x:c r="B272" s="14" t="str">
        <x:v>J58</x:v>
      </x:c>
      <x:c r="C272" s="14" t="str">
        <x:v>Legacy / Migration auf NACE Rev. 2.1 offen</x:v>
      </x:c>
      <x:c r="D272" s="14" t="str">
        <x:v>EU</x:v>
      </x:c>
      <x:c r="E272" s="14"/>
      <x:c r="F272" s="14" t="str">
        <x:v>Fälle/1.000 FTE</x:v>
      </x:c>
      <x:c r="G272" s="14" t="str">
        <x:v>lower_is_better</x:v>
      </x:c>
      <x:c r="H272" s="14" t="str">
        <x:v>R01</x:v>
      </x:c>
      <x:c r="I272" s="14" t="str">
        <x:v>Optional/Nein</x:v>
      </x:c>
      <x:c r="J272" s="51"/>
      <x:c r="K272" s="51"/>
      <x:c r="L272" s="51"/>
      <x:c r="M272" s="51"/>
      <x:c r="N272" s="51"/>
      <x:c r="O272" s="54"/>
      <x:c r="P272" s="51" t="str">
        <x:v>Optional – kein aktiver Benchmark</x:v>
      </x:c>
      <x:c r="Q272" s="53" t="n">
        <x:v>0.5</x:v>
      </x:c>
      <x:c r="R272" s="53" t="n">
        <x:v>0.75</x:v>
      </x:c>
      <x:c r="S272" s="53" t="n">
        <x:v>1.25</x:v>
      </x:c>
      <x:c r="T272" s="53" t="str">
        <x:v>threshold:0-class</x:v>
      </x:c>
      <x:c r="U272" s="14" t="str">
        <x:v>Legacy-Werte bleiben nur als historische Rechenhilfe erhalten und werden nicht für den FinalScore verwendet.</x:v>
      </x:c>
    </x:row>
    <x:row r="273" ht="42" customHeight="1">
      <x:c r="A273" s="14" t="str">
        <x:v>WOK-G-156</x:v>
      </x:c>
      <x:c r="B273" s="14" t="str">
        <x:v>J58</x:v>
      </x:c>
      <x:c r="C273" s="14" t="str">
        <x:v>Legacy / Migration auf NACE Rev. 2.1 offen</x:v>
      </x:c>
      <x:c r="D273" s="14" t="str">
        <x:v>EU</x:v>
      </x:c>
      <x:c r="E273" s="14"/>
      <x:c r="F273" s="14" t="str">
        <x:v>0–1</x:v>
      </x:c>
      <x:c r="G273" s="14" t="str">
        <x:v>higher_is_better</x:v>
      </x:c>
      <x:c r="H273" s="14" t="str">
        <x:v>R16</x:v>
      </x:c>
      <x:c r="I273" s="14" t="str">
        <x:v>Optional/Nein</x:v>
      </x:c>
      <x:c r="J273" s="51"/>
      <x:c r="K273" s="51"/>
      <x:c r="L273" s="51"/>
      <x:c r="M273" s="51"/>
      <x:c r="N273" s="51"/>
      <x:c r="O273" s="54"/>
      <x:c r="P273" s="51" t="str">
        <x:v>Optional – kein aktiver Benchmark</x:v>
      </x:c>
      <x:c r="Q273" s="53" t="n">
        <x:v>0.6699999999999999</x:v>
      </x:c>
      <x:c r="R273" s="53" t="n">
        <x:v>1</x:v>
      </x:c>
      <x:c r="S273" s="53" t="n">
        <x:v>1</x:v>
      </x:c>
      <x:c r="T273" s="53" t="str">
        <x:v>threshold:0-class</x:v>
      </x:c>
      <x:c r="U273" s="14" t="str">
        <x:v>Legacy-Werte bleiben nur als historische Rechenhilfe erhalten und werden nicht für den FinalScore verwendet.</x:v>
      </x:c>
    </x:row>
    <x:row r="274" ht="42" customHeight="1">
      <x:c r="A274" s="14" t="str">
        <x:v>WOK-G-157</x:v>
      </x:c>
      <x:c r="B274" s="14" t="str">
        <x:v>J58</x:v>
      </x:c>
      <x:c r="C274" s="14" t="str">
        <x:v>Legacy / Migration auf NACE Rev. 2.1 offen</x:v>
      </x:c>
      <x:c r="D274" s="14" t="str">
        <x:v>EU</x:v>
      </x:c>
      <x:c r="E274" s="14"/>
      <x:c r="F274" s="14" t="str">
        <x:v>0–1</x:v>
      </x:c>
      <x:c r="G274" s="14" t="str">
        <x:v>higher_is_better</x:v>
      </x:c>
      <x:c r="H274" s="14" t="str">
        <x:v>R08</x:v>
      </x:c>
      <x:c r="I274" s="14" t="str">
        <x:v>Optional/Nein</x:v>
      </x:c>
      <x:c r="J274" s="51"/>
      <x:c r="K274" s="51"/>
      <x:c r="L274" s="51"/>
      <x:c r="M274" s="51"/>
      <x:c r="N274" s="51"/>
      <x:c r="O274" s="54"/>
      <x:c r="P274" s="51" t="str">
        <x:v>Optional – kein aktiver Benchmark</x:v>
      </x:c>
      <x:c r="Q274" s="53" t="n">
        <x:v>0.5</x:v>
      </x:c>
      <x:c r="R274" s="53" t="n">
        <x:v>0.75</x:v>
      </x:c>
      <x:c r="S274" s="53" t="n">
        <x:v>0.9</x:v>
      </x:c>
      <x:c r="T274" s="53" t="str">
        <x:v>default:higher_is_better_abs</x:v>
      </x:c>
      <x:c r="U274" s="14" t="str">
        <x:v>Legacy-Werte bleiben nur als historische Rechenhilfe erhalten und werden nicht für den FinalScore verwendet.</x:v>
      </x:c>
    </x:row>
    <x:row r="275" ht="42" customHeight="1">
      <x:c r="A275" s="14" t="str">
        <x:v>WOK-RE-116</x:v>
      </x:c>
      <x:c r="B275" s="14" t="str">
        <x:v>L68</x:v>
      </x:c>
      <x:c r="C275" s="14" t="str">
        <x:v>Legacy / Migration auf NACE Rev. 2.1 offen</x:v>
      </x:c>
      <x:c r="D275" s="14" t="str">
        <x:v>EU</x:v>
      </x:c>
      <x:c r="E275" s="14"/>
      <x:c r="F275" s="14" t="str">
        <x:v>kWh/m²a</x:v>
      </x:c>
      <x:c r="G275" s="14" t="str">
        <x:v>lower_is_better</x:v>
      </x:c>
      <x:c r="H275" s="14" t="str">
        <x:v>R05</x:v>
      </x:c>
      <x:c r="I275" s="14" t="str">
        <x:v>Ja</x:v>
      </x:c>
      <x:c r="J275" s="51"/>
      <x:c r="K275" s="51"/>
      <x:c r="L275" s="51"/>
      <x:c r="M275" s="51"/>
      <x:c r="N275" s="51"/>
      <x:c r="O275" s="54"/>
      <x:c r="P275" s="51" t="str">
        <x:v>Offen – validierter Benchmark fehlt</x:v>
      </x:c>
      <x:c r="Q275" s="53" t="n">
        <x:v>1</x:v>
      </x:c>
      <x:c r="R275" s="53" t="n">
        <x:v>1.5</x:v>
      </x:c>
      <x:c r="S275" s="53" t="n">
        <x:v>2.5</x:v>
      </x:c>
      <x:c r="T275" s="53" t="str">
        <x:v>default:lower_is_better_abs</x:v>
      </x:c>
      <x:c r="U275" s="14" t="str">
        <x:v>Vor Aktivierung repräsentative Population, Region, Technologieklasse, Statistik, Quelle und Gültigkeitszeitraum dokumentieren.</x:v>
      </x:c>
    </x:row>
    <x:row r="276" ht="42" customHeight="1">
      <x:c r="A276" s="14" t="str">
        <x:v>WOK-RE-117</x:v>
      </x:c>
      <x:c r="B276" s="14" t="str">
        <x:v>L68</x:v>
      </x:c>
      <x:c r="C276" s="14" t="str">
        <x:v>Legacy / Migration auf NACE Rev. 2.1 offen</x:v>
      </x:c>
      <x:c r="D276" s="14" t="str">
        <x:v>EU</x:v>
      </x:c>
      <x:c r="E276" s="14"/>
      <x:c r="F276" s="14" t="str">
        <x:v>kg CO₂e/m²</x:v>
      </x:c>
      <x:c r="G276" s="14" t="str">
        <x:v>lower_is_better</x:v>
      </x:c>
      <x:c r="H276" s="14" t="str">
        <x:v>R06</x:v>
      </x:c>
      <x:c r="I276" s="14" t="str">
        <x:v>Ja</x:v>
      </x:c>
      <x:c r="J276" s="51"/>
      <x:c r="K276" s="51"/>
      <x:c r="L276" s="51"/>
      <x:c r="M276" s="51"/>
      <x:c r="N276" s="51"/>
      <x:c r="O276" s="54"/>
      <x:c r="P276" s="51" t="str">
        <x:v>Offen – validierter Benchmark fehlt</x:v>
      </x:c>
      <x:c r="Q276" s="53" t="n">
        <x:v>1</x:v>
      </x:c>
      <x:c r="R276" s="53" t="n">
        <x:v>1.5</x:v>
      </x:c>
      <x:c r="S276" s="53" t="n">
        <x:v>2.5</x:v>
      </x:c>
      <x:c r="T276" s="53" t="str">
        <x:v>default:lower_is_better_abs</x:v>
      </x:c>
      <x:c r="U276" s="14" t="str">
        <x:v>Vor Aktivierung repräsentative Population, Region, Technologieklasse, Statistik, Quelle und Gültigkeitszeitraum dokumentieren.</x:v>
      </x:c>
    </x:row>
    <x:row r="277" ht="42" customHeight="1">
      <x:c r="A277" s="14" t="str">
        <x:v>WOK-RE-118</x:v>
      </x:c>
      <x:c r="B277" s="14" t="str">
        <x:v>L68</x:v>
      </x:c>
      <x:c r="C277" s="14" t="str">
        <x:v>Legacy / Migration auf NACE Rev. 2.1 offen</x:v>
      </x:c>
      <x:c r="D277" s="14" t="str">
        <x:v>EU</x:v>
      </x:c>
      <x:c r="E277" s="14"/>
      <x:c r="F277" s="14" t="str">
        <x:v>0–1</x:v>
      </x:c>
      <x:c r="G277" s="14" t="str">
        <x:v>higher_is_better</x:v>
      </x:c>
      <x:c r="H277" s="14" t="str">
        <x:v>R14</x:v>
      </x:c>
      <x:c r="I277" s="14" t="str">
        <x:v>Optional/Nein</x:v>
      </x:c>
      <x:c r="J277" s="51"/>
      <x:c r="K277" s="51"/>
      <x:c r="L277" s="51"/>
      <x:c r="M277" s="51"/>
      <x:c r="N277" s="51"/>
      <x:c r="O277" s="54"/>
      <x:c r="P277" s="51" t="str">
        <x:v>Optional – kein aktiver Benchmark</x:v>
      </x:c>
      <x:c r="Q277" s="53" t="n">
        <x:v>0.495</x:v>
      </x:c>
      <x:c r="R277" s="53" t="n">
        <x:v>0.7424999999999999</x:v>
      </x:c>
      <x:c r="S277" s="53" t="n">
        <x:v>1</x:v>
      </x:c>
      <x:c r="T277" s="53" t="str">
        <x:v>threshold:0-class</x:v>
      </x:c>
      <x:c r="U277" s="14" t="str">
        <x:v>Legacy-Werte bleiben nur als historische Rechenhilfe erhalten und werden nicht für den FinalScore verwendet.</x:v>
      </x:c>
    </x:row>
    <x:row r="278" ht="42" customHeight="1">
      <x:c r="A278" s="14" t="str">
        <x:v>WOK-RE-119</x:v>
      </x:c>
      <x:c r="B278" s="14" t="str">
        <x:v>L68</x:v>
      </x:c>
      <x:c r="C278" s="14" t="str">
        <x:v>Legacy / Migration auf NACE Rev. 2.1 offen</x:v>
      </x:c>
      <x:c r="D278" s="14" t="str">
        <x:v>EU</x:v>
      </x:c>
      <x:c r="E278" s="14"/>
      <x:c r="F278" s="14" t="str">
        <x:v>kWh/m²a</x:v>
      </x:c>
      <x:c r="G278" s="14" t="str">
        <x:v>lower_is_better</x:v>
      </x:c>
      <x:c r="H278" s="14" t="str">
        <x:v>R05</x:v>
      </x:c>
      <x:c r="I278" s="14" t="str">
        <x:v>Ja</x:v>
      </x:c>
      <x:c r="J278" s="51"/>
      <x:c r="K278" s="51"/>
      <x:c r="L278" s="51"/>
      <x:c r="M278" s="51"/>
      <x:c r="N278" s="51"/>
      <x:c r="O278" s="54"/>
      <x:c r="P278" s="51" t="str">
        <x:v>Offen – validierter Benchmark fehlt</x:v>
      </x:c>
      <x:c r="Q278" s="53" t="n">
        <x:v>1</x:v>
      </x:c>
      <x:c r="R278" s="53" t="n">
        <x:v>1.5</x:v>
      </x:c>
      <x:c r="S278" s="53" t="n">
        <x:v>2.5</x:v>
      </x:c>
      <x:c r="T278" s="53" t="str">
        <x:v>default:lower_is_better_abs</x:v>
      </x:c>
      <x:c r="U278" s="14" t="str">
        <x:v>Vor Aktivierung repräsentative Population, Region, Technologieklasse, Statistik, Quelle und Gültigkeitszeitraum dokumentieren.</x:v>
      </x:c>
    </x:row>
    <x:row r="279" ht="42" customHeight="1">
      <x:c r="A279" s="14" t="str">
        <x:v>WOK-RE-120</x:v>
      </x:c>
      <x:c r="B279" s="14" t="str">
        <x:v>L68</x:v>
      </x:c>
      <x:c r="C279" s="14" t="str">
        <x:v>Legacy / Migration auf NACE Rev. 2.1 offen</x:v>
      </x:c>
      <x:c r="D279" s="14" t="str">
        <x:v>EU</x:v>
      </x:c>
      <x:c r="E279" s="14"/>
      <x:c r="F279" s="14" t="str">
        <x:v>kg CO₂e/m²</x:v>
      </x:c>
      <x:c r="G279" s="14" t="str">
        <x:v>lower_is_better</x:v>
      </x:c>
      <x:c r="H279" s="14" t="str">
        <x:v>R06</x:v>
      </x:c>
      <x:c r="I279" s="14" t="str">
        <x:v>Ja</x:v>
      </x:c>
      <x:c r="J279" s="51"/>
      <x:c r="K279" s="51"/>
      <x:c r="L279" s="51"/>
      <x:c r="M279" s="51"/>
      <x:c r="N279" s="51"/>
      <x:c r="O279" s="54"/>
      <x:c r="P279" s="51" t="str">
        <x:v>Offen – validierter Benchmark fehlt</x:v>
      </x:c>
      <x:c r="Q279" s="53" t="n">
        <x:v>1</x:v>
      </x:c>
      <x:c r="R279" s="53" t="n">
        <x:v>1.5</x:v>
      </x:c>
      <x:c r="S279" s="53" t="n">
        <x:v>2.5</x:v>
      </x:c>
      <x:c r="T279" s="53" t="str">
        <x:v>default:lower_is_better_abs</x:v>
      </x:c>
      <x:c r="U279" s="14" t="str">
        <x:v>Vor Aktivierung repräsentative Population, Region, Technologieklasse, Statistik, Quelle und Gültigkeitszeitraum dokumentieren.</x:v>
      </x:c>
    </x:row>
    <x:row r="280" ht="42" customHeight="1">
      <x:c r="A280" s="14" t="str">
        <x:v>WOK-RE-121</x:v>
      </x:c>
      <x:c r="B280" s="14" t="str">
        <x:v>L68</x:v>
      </x:c>
      <x:c r="C280" s="14" t="str">
        <x:v>Legacy / Migration auf NACE Rev. 2.1 offen</x:v>
      </x:c>
      <x:c r="D280" s="14" t="str">
        <x:v>EU</x:v>
      </x:c>
      <x:c r="E280" s="14"/>
      <x:c r="F280" s="14" t="str">
        <x:v>0–1</x:v>
      </x:c>
      <x:c r="G280" s="14" t="str">
        <x:v>higher_is_better</x:v>
      </x:c>
      <x:c r="H280" s="14" t="str">
        <x:v>R14</x:v>
      </x:c>
      <x:c r="I280" s="14" t="str">
        <x:v>Optional/Nein</x:v>
      </x:c>
      <x:c r="J280" s="51"/>
      <x:c r="K280" s="51"/>
      <x:c r="L280" s="51"/>
      <x:c r="M280" s="51"/>
      <x:c r="N280" s="51"/>
      <x:c r="O280" s="54"/>
      <x:c r="P280" s="51" t="str">
        <x:v>Optional – kein aktiver Benchmark</x:v>
      </x:c>
      <x:c r="Q280" s="53" t="n">
        <x:v>0.495</x:v>
      </x:c>
      <x:c r="R280" s="53" t="n">
        <x:v>0.7424999999999999</x:v>
      </x:c>
      <x:c r="S280" s="53" t="n">
        <x:v>1</x:v>
      </x:c>
      <x:c r="T280" s="53" t="str">
        <x:v>threshold:0-class</x:v>
      </x:c>
      <x:c r="U280" s="14" t="str">
        <x:v>Legacy-Werte bleiben nur als historische Rechenhilfe erhalten und werden nicht für den FinalScore verwendet.</x:v>
      </x:c>
    </x:row>
    <x:row r="281" ht="42" customHeight="1">
      <x:c r="A281" s="14" t="str">
        <x:v>WOK-E-155</x:v>
      </x:c>
      <x:c r="B281" s="14" t="str">
        <x:v>H49</x:v>
      </x:c>
      <x:c r="C281" s="14" t="str">
        <x:v>Legacy / Migration auf NACE Rev. 2.1 offen</x:v>
      </x:c>
      <x:c r="D281" s="14" t="str">
        <x:v>EU</x:v>
      </x:c>
      <x:c r="E281" s="14"/>
      <x:c r="F281" s="14" t="str">
        <x:v>Fälle/1.000 FTE</x:v>
      </x:c>
      <x:c r="G281" s="14" t="str">
        <x:v>lower_is_better</x:v>
      </x:c>
      <x:c r="H281" s="14" t="str">
        <x:v>R01</x:v>
      </x:c>
      <x:c r="I281" s="14" t="str">
        <x:v>Optional/Nein</x:v>
      </x:c>
      <x:c r="J281" s="51"/>
      <x:c r="K281" s="51"/>
      <x:c r="L281" s="51"/>
      <x:c r="M281" s="51"/>
      <x:c r="N281" s="51"/>
      <x:c r="O281" s="54"/>
      <x:c r="P281" s="51" t="str">
        <x:v>Optional – kein aktiver Benchmark</x:v>
      </x:c>
      <x:c r="Q281" s="53" t="n">
        <x:v>0.5</x:v>
      </x:c>
      <x:c r="R281" s="53" t="n">
        <x:v>0.75</x:v>
      </x:c>
      <x:c r="S281" s="53" t="n">
        <x:v>1.25</x:v>
      </x:c>
      <x:c r="T281" s="53" t="str">
        <x:v>threshold:0-class</x:v>
      </x:c>
      <x:c r="U281" s="14" t="str">
        <x:v>Legacy-Werte bleiben nur als historische Rechenhilfe erhalten und werden nicht für den FinalScore verwendet.</x:v>
      </x:c>
    </x:row>
    <x:row r="282" ht="42" customHeight="1">
      <x:c r="A282" s="14" t="str">
        <x:v>WOK-E-156</x:v>
      </x:c>
      <x:c r="B282" s="14" t="str">
        <x:v>H49</x:v>
      </x:c>
      <x:c r="C282" s="14" t="str">
        <x:v>Legacy / Migration auf NACE Rev. 2.1 offen</x:v>
      </x:c>
      <x:c r="D282" s="14" t="str">
        <x:v>EU</x:v>
      </x:c>
      <x:c r="E282" s="14"/>
      <x:c r="F282" s="14" t="str">
        <x:v>0–1</x:v>
      </x:c>
      <x:c r="G282" s="14" t="str">
        <x:v>higher_is_better</x:v>
      </x:c>
      <x:c r="H282" s="14" t="str">
        <x:v>R16</x:v>
      </x:c>
      <x:c r="I282" s="14" t="str">
        <x:v>Optional/Nein</x:v>
      </x:c>
      <x:c r="J282" s="51"/>
      <x:c r="K282" s="51"/>
      <x:c r="L282" s="51"/>
      <x:c r="M282" s="51"/>
      <x:c r="N282" s="51"/>
      <x:c r="O282" s="54"/>
      <x:c r="P282" s="51" t="str">
        <x:v>Optional – kein aktiver Benchmark</x:v>
      </x:c>
      <x:c r="Q282" s="53" t="n">
        <x:v>0.6699999999999999</x:v>
      </x:c>
      <x:c r="R282" s="53" t="n">
        <x:v>1</x:v>
      </x:c>
      <x:c r="S282" s="53" t="n">
        <x:v>1</x:v>
      </x:c>
      <x:c r="T282" s="53" t="str">
        <x:v>threshold:0-class</x:v>
      </x:c>
      <x:c r="U282" s="14" t="str">
        <x:v>Legacy-Werte bleiben nur als historische Rechenhilfe erhalten und werden nicht für den FinalScore verwendet.</x:v>
      </x:c>
    </x:row>
    <x:row r="283" ht="42" customHeight="1">
      <x:c r="A283" s="14" t="str">
        <x:v>WOK-E-157</x:v>
      </x:c>
      <x:c r="B283" s="14" t="str">
        <x:v>H49</x:v>
      </x:c>
      <x:c r="C283" s="14" t="str">
        <x:v>Legacy / Migration auf NACE Rev. 2.1 offen</x:v>
      </x:c>
      <x:c r="D283" s="14" t="str">
        <x:v>EU</x:v>
      </x:c>
      <x:c r="E283" s="14"/>
      <x:c r="F283" s="14" t="str">
        <x:v>0–1</x:v>
      </x:c>
      <x:c r="G283" s="14" t="str">
        <x:v>higher_is_better</x:v>
      </x:c>
      <x:c r="H283" s="14" t="str">
        <x:v>R08</x:v>
      </x:c>
      <x:c r="I283" s="14" t="str">
        <x:v>Optional/Nein</x:v>
      </x:c>
      <x:c r="J283" s="51"/>
      <x:c r="K283" s="51"/>
      <x:c r="L283" s="51"/>
      <x:c r="M283" s="51"/>
      <x:c r="N283" s="51"/>
      <x:c r="O283" s="54"/>
      <x:c r="P283" s="51" t="str">
        <x:v>Optional – kein aktiver Benchmark</x:v>
      </x:c>
      <x:c r="Q283" s="53" t="n">
        <x:v>0.5</x:v>
      </x:c>
      <x:c r="R283" s="53" t="n">
        <x:v>0.75</x:v>
      </x:c>
      <x:c r="S283" s="53" t="n">
        <x:v>0.9</x:v>
      </x:c>
      <x:c r="T283" s="53" t="str">
        <x:v>default:higher_is_better_abs</x:v>
      </x:c>
      <x:c r="U283" s="14" t="str">
        <x:v>Legacy-Werte bleiben nur als historische Rechenhilfe erhalten und werden nicht für den FinalScore verwendet.</x:v>
      </x:c>
    </x:row>
    <x:row r="284" ht="42" customHeight="1">
      <x:c r="A284" s="14" t="str">
        <x:v>WOK-E-158</x:v>
      </x:c>
      <x:c r="B284" s="14" t="str">
        <x:v>E38</x:v>
      </x:c>
      <x:c r="C284" s="14" t="str">
        <x:v>Legacy / Migration auf NACE Rev. 2.1 offen</x:v>
      </x:c>
      <x:c r="D284" s="14" t="str">
        <x:v>EU</x:v>
      </x:c>
      <x:c r="E284" s="14"/>
      <x:c r="F284" s="14" t="str">
        <x:v>kg/t</x:v>
      </x:c>
      <x:c r="G284" s="14" t="str">
        <x:v>lower_is_better</x:v>
      </x:c>
      <x:c r="H284" s="14" t="str">
        <x:v>R06</x:v>
      </x:c>
      <x:c r="I284" s="14" t="str">
        <x:v>Ja</x:v>
      </x:c>
      <x:c r="J284" s="51"/>
      <x:c r="K284" s="51"/>
      <x:c r="L284" s="51"/>
      <x:c r="M284" s="51"/>
      <x:c r="N284" s="51"/>
      <x:c r="O284" s="54"/>
      <x:c r="P284" s="51" t="str">
        <x:v>Offen – validierter Benchmark fehlt</x:v>
      </x:c>
      <x:c r="Q284" s="53" t="n">
        <x:v>1</x:v>
      </x:c>
      <x:c r="R284" s="53" t="n">
        <x:v>1.5</x:v>
      </x:c>
      <x:c r="S284" s="53" t="n">
        <x:v>2.5</x:v>
      </x:c>
      <x:c r="T284" s="53" t="str">
        <x:v>default:lower_is_better_abs</x:v>
      </x:c>
      <x:c r="U284" s="14" t="str">
        <x:v>Vor Aktivierung repräsentative Population, Region, Technologieklasse, Statistik, Quelle und Gültigkeitszeitraum dokumentieren.</x:v>
      </x:c>
    </x:row>
    <x:row r="285" ht="42" customHeight="1">
      <x:c r="A285" s="14" t="str">
        <x:v>WOK-E-159</x:v>
      </x:c>
      <x:c r="B285" s="14" t="str">
        <x:v>E38</x:v>
      </x:c>
      <x:c r="C285" s="14" t="str">
        <x:v>Legacy / Migration auf NACE Rev. 2.1 offen</x:v>
      </x:c>
      <x:c r="D285" s="14" t="str">
        <x:v>EU</x:v>
      </x:c>
      <x:c r="E285" s="14"/>
      <x:c r="F285" s="14" t="str">
        <x:v>%</x:v>
      </x:c>
      <x:c r="G285" s="14" t="str">
        <x:v>higher_is_better</x:v>
      </x:c>
      <x:c r="H285" s="14" t="str">
        <x:v>R25</x:v>
      </x:c>
      <x:c r="I285" s="14" t="str">
        <x:v>Optional/Nein</x:v>
      </x:c>
      <x:c r="J285" s="51"/>
      <x:c r="K285" s="51"/>
      <x:c r="L285" s="51"/>
      <x:c r="M285" s="51"/>
      <x:c r="N285" s="51"/>
      <x:c r="O285" s="54"/>
      <x:c r="P285" s="51" t="str">
        <x:v>Optional – kein aktiver Benchmark</x:v>
      </x:c>
      <x:c r="Q285" s="53" t="n">
        <x:v>50</x:v>
      </x:c>
      <x:c r="R285" s="53" t="n">
        <x:v>75</x:v>
      </x:c>
      <x:c r="S285" s="53" t="n">
        <x:v>100</x:v>
      </x:c>
      <x:c r="T285" s="53" t="str">
        <x:v>default:higher_is_better_pct</x:v>
      </x:c>
      <x:c r="U285" s="14" t="str">
        <x:v>Legacy-Werte bleiben nur als historische Rechenhilfe erhalten und werden nicht für den FinalScore verwendet.</x:v>
      </x:c>
    </x:row>
    <x:row r="286" ht="42" customHeight="1">
      <x:c r="A286" s="14" t="str">
        <x:v>WOK-E-160</x:v>
      </x:c>
      <x:c r="B286" s="14" t="str">
        <x:v>E38</x:v>
      </x:c>
      <x:c r="C286" s="14" t="str">
        <x:v>Legacy / Migration auf NACE Rev. 2.1 offen</x:v>
      </x:c>
      <x:c r="D286" s="14" t="str">
        <x:v>EU</x:v>
      </x:c>
      <x:c r="E286" s="14"/>
      <x:c r="F286" s="14" t="str">
        <x:v>kg/t</x:v>
      </x:c>
      <x:c r="G286" s="14" t="str">
        <x:v>lower_is_better</x:v>
      </x:c>
      <x:c r="H286" s="14" t="str">
        <x:v>R06</x:v>
      </x:c>
      <x:c r="I286" s="14" t="str">
        <x:v>Ja</x:v>
      </x:c>
      <x:c r="J286" s="51"/>
      <x:c r="K286" s="51"/>
      <x:c r="L286" s="51"/>
      <x:c r="M286" s="51"/>
      <x:c r="N286" s="51"/>
      <x:c r="O286" s="54"/>
      <x:c r="P286" s="51" t="str">
        <x:v>Offen – validierter Benchmark fehlt</x:v>
      </x:c>
      <x:c r="Q286" s="53" t="n">
        <x:v>1</x:v>
      </x:c>
      <x:c r="R286" s="53" t="n">
        <x:v>1.5</x:v>
      </x:c>
      <x:c r="S286" s="53" t="n">
        <x:v>2.5</x:v>
      </x:c>
      <x:c r="T286" s="53" t="str">
        <x:v>default:lower_is_better_abs</x:v>
      </x:c>
      <x:c r="U286" s="14" t="str">
        <x:v>Vor Aktivierung repräsentative Population, Region, Technologieklasse, Statistik, Quelle und Gültigkeitszeitraum dokumentieren.</x:v>
      </x:c>
    </x:row>
    <x:row r="287" ht="42" customHeight="1">
      <x:c r="A287" s="14" t="str">
        <x:v>WOK-P-119</x:v>
      </x:c>
      <x:c r="B287" s="14" t="str">
        <x:v>C20</x:v>
      </x:c>
      <x:c r="C287" s="14" t="str">
        <x:v>Legacy / Migration auf NACE Rev. 2.1 offen</x:v>
      </x:c>
      <x:c r="D287" s="14" t="str">
        <x:v>EU</x:v>
      </x:c>
      <x:c r="E287" s="14"/>
      <x:c r="F287" s="14" t="str">
        <x:v>kg CO₂e/Einheit</x:v>
      </x:c>
      <x:c r="G287" s="14" t="str">
        <x:v>lower_is_better</x:v>
      </x:c>
      <x:c r="H287" s="14" t="str">
        <x:v>R07</x:v>
      </x:c>
      <x:c r="I287" s="14" t="str">
        <x:v>Ja</x:v>
      </x:c>
      <x:c r="J287" s="51"/>
      <x:c r="K287" s="51"/>
      <x:c r="L287" s="51"/>
      <x:c r="M287" s="51"/>
      <x:c r="N287" s="51"/>
      <x:c r="O287" s="54"/>
      <x:c r="P287" s="51" t="str">
        <x:v>Offen – validierter Benchmark fehlt</x:v>
      </x:c>
      <x:c r="Q287" s="53" t="n">
        <x:v>1</x:v>
      </x:c>
      <x:c r="R287" s="53" t="n">
        <x:v>1.5</x:v>
      </x:c>
      <x:c r="S287" s="53" t="n">
        <x:v>2.5</x:v>
      </x:c>
      <x:c r="T287" s="53" t="str">
        <x:v>default:lower_is_better_abs</x:v>
      </x:c>
      <x:c r="U287" s="14" t="str">
        <x:v>Vor Aktivierung repräsentative Population, Region, Technologieklasse, Statistik, Quelle und Gültigkeitszeitraum dokumentieren.</x:v>
      </x:c>
    </x:row>
    <x:row r="288" ht="42" customHeight="1">
      <x:c r="A288" s="14" t="str">
        <x:v>WOK-P-120</x:v>
      </x:c>
      <x:c r="B288" s="14" t="str">
        <x:v>C20</x:v>
      </x:c>
      <x:c r="C288" s="14" t="str">
        <x:v>Legacy / Migration auf NACE Rev. 2.1 offen</x:v>
      </x:c>
      <x:c r="D288" s="14" t="str">
        <x:v>EU</x:v>
      </x:c>
      <x:c r="E288" s="14"/>
      <x:c r="F288" s="14" t="str">
        <x:v>Score 0–10</x:v>
      </x:c>
      <x:c r="G288" s="14" t="str">
        <x:v>higher_is_better</x:v>
      </x:c>
      <x:c r="H288" s="14" t="str">
        <x:v>R24</x:v>
      </x:c>
      <x:c r="I288" s="14" t="str">
        <x:v>Optional/Nein</x:v>
      </x:c>
      <x:c r="J288" s="51"/>
      <x:c r="K288" s="51"/>
      <x:c r="L288" s="51"/>
      <x:c r="M288" s="51"/>
      <x:c r="N288" s="51"/>
      <x:c r="O288" s="54"/>
      <x:c r="P288" s="51" t="str">
        <x:v>Optional – kein aktiver Benchmark</x:v>
      </x:c>
      <x:c r="Q288" s="53" t="n">
        <x:v>4.95</x:v>
      </x:c>
      <x:c r="R288" s="53" t="n">
        <x:v>1</x:v>
      </x:c>
      <x:c r="S288" s="53" t="n">
        <x:v>1</x:v>
      </x:c>
      <x:c r="T288" s="53" t="str">
        <x:v>threshold:0-class</x:v>
      </x:c>
      <x:c r="U288" s="14" t="str">
        <x:v>Legacy-Werte bleiben nur als historische Rechenhilfe erhalten und werden nicht für den FinalScore verwendet.</x:v>
      </x:c>
    </x:row>
    <x:row r="289" ht="42" customHeight="1">
      <x:c r="A289" s="14" t="str">
        <x:v>WOK-P-121</x:v>
      </x:c>
      <x:c r="B289" s="14" t="str">
        <x:v>C20</x:v>
      </x:c>
      <x:c r="C289" s="14" t="str">
        <x:v>Legacy / Migration auf NACE Rev. 2.1 offen</x:v>
      </x:c>
      <x:c r="D289" s="14" t="str">
        <x:v>EU</x:v>
      </x:c>
      <x:c r="E289" s="14"/>
      <x:c r="F289" s="14" t="str">
        <x:v>%</x:v>
      </x:c>
      <x:c r="G289" s="14" t="str">
        <x:v>higher_is_better</x:v>
      </x:c>
      <x:c r="H289" s="14" t="str">
        <x:v>R22</x:v>
      </x:c>
      <x:c r="I289" s="14" t="str">
        <x:v>Optional/Nein</x:v>
      </x:c>
      <x:c r="J289" s="51"/>
      <x:c r="K289" s="51"/>
      <x:c r="L289" s="51"/>
      <x:c r="M289" s="51"/>
      <x:c r="N289" s="51"/>
      <x:c r="O289" s="54"/>
      <x:c r="P289" s="51" t="str">
        <x:v>Optional – kein aktiver Benchmark</x:v>
      </x:c>
      <x:c r="Q289" s="53" t="n">
        <x:v>39.5</x:v>
      </x:c>
      <x:c r="R289" s="53" t="n">
        <x:v>59.25</x:v>
      </x:c>
      <x:c r="S289" s="53" t="n">
        <x:v>98.75</x:v>
      </x:c>
      <x:c r="T289" s="53" t="str">
        <x:v>threshold:0-class</x:v>
      </x:c>
      <x:c r="U289" s="14" t="str">
        <x:v>Legacy-Werte bleiben nur als historische Rechenhilfe erhalten und werden nicht für den FinalScore verwendet.</x:v>
      </x:c>
    </x:row>
    <x:row r="290" ht="42" customHeight="1">
      <x:c r="A290" s="14" t="str">
        <x:v>WOK-SYS-131</x:v>
      </x:c>
      <x:c r="B290" s="14" t="str">
        <x:v>G47</x:v>
      </x:c>
      <x:c r="C290" s="14" t="str">
        <x:v>Legacy / Migration auf NACE Rev. 2.1 offen</x:v>
      </x:c>
      <x:c r="D290" s="14" t="str">
        <x:v>EU</x:v>
      </x:c>
      <x:c r="E290" s="14"/>
      <x:c r="F290" s="14" t="str">
        <x:v>0–1</x:v>
      </x:c>
      <x:c r="G290" s="14" t="str">
        <x:v>higher_is_better</x:v>
      </x:c>
      <x:c r="H290" s="14" t="str">
        <x:v>R15</x:v>
      </x:c>
      <x:c r="I290" s="14" t="str">
        <x:v>Optional/Nein</x:v>
      </x:c>
      <x:c r="J290" s="51"/>
      <x:c r="K290" s="51"/>
      <x:c r="L290" s="51"/>
      <x:c r="M290" s="51"/>
      <x:c r="N290" s="51"/>
      <x:c r="O290" s="54"/>
      <x:c r="P290" s="51" t="str">
        <x:v>Optional – kein aktiver Benchmark</x:v>
      </x:c>
      <x:c r="Q290" s="53" t="n">
        <x:v>0.645</x:v>
      </x:c>
      <x:c r="R290" s="53" t="n">
        <x:v>0.9675</x:v>
      </x:c>
      <x:c r="S290" s="53" t="n">
        <x:v>1</x:v>
      </x:c>
      <x:c r="T290" s="53" t="str">
        <x:v>threshold:0-class</x:v>
      </x:c>
      <x:c r="U290" s="14" t="str">
        <x:v>Legacy-Werte bleiben nur als historische Rechenhilfe erhalten und werden nicht für den FinalScore verwendet.</x:v>
      </x:c>
    </x:row>
    <x:row r="291" ht="42" customHeight="1">
      <x:c r="A291" s="14" t="str">
        <x:v>WOK-SYS-132</x:v>
      </x:c>
      <x:c r="B291" s="14" t="str">
        <x:v>G47</x:v>
      </x:c>
      <x:c r="C291" s="14" t="str">
        <x:v>Legacy / Migration auf NACE Rev. 2.1 offen</x:v>
      </x:c>
      <x:c r="D291" s="14" t="str">
        <x:v>EU</x:v>
      </x:c>
      <x:c r="E291" s="14"/>
      <x:c r="F291" s="14" t="str">
        <x:v>%</x:v>
      </x:c>
      <x:c r="G291" s="14" t="str">
        <x:v>lower_is_better</x:v>
      </x:c>
      <x:c r="H291" s="14" t="str">
        <x:v>R13</x:v>
      </x:c>
      <x:c r="I291" s="14" t="str">
        <x:v>Optional/Nein</x:v>
      </x:c>
      <x:c r="J291" s="51"/>
      <x:c r="K291" s="51"/>
      <x:c r="L291" s="51"/>
      <x:c r="M291" s="51"/>
      <x:c r="N291" s="51"/>
      <x:c r="O291" s="54"/>
      <x:c r="P291" s="51" t="str">
        <x:v>Optional – kein aktiver Benchmark</x:v>
      </x:c>
      <x:c r="Q291" s="53" t="n">
        <x:v>15.5</x:v>
      </x:c>
      <x:c r="R291" s="53" t="n">
        <x:v>23.25</x:v>
      </x:c>
      <x:c r="S291" s="53" t="n">
        <x:v>38.75</x:v>
      </x:c>
      <x:c r="T291" s="53" t="str">
        <x:v>threshold:0-class</x:v>
      </x:c>
      <x:c r="U291" s="14" t="str">
        <x:v>Legacy-Werte bleiben nur als historische Rechenhilfe erhalten und werden nicht für den FinalScore verwendet.</x:v>
      </x:c>
    </x:row>
    <x:row r="292" ht="42" customHeight="1">
      <x:c r="A292" s="14" t="str">
        <x:v>WOK-SYS-133</x:v>
      </x:c>
      <x:c r="B292" s="14" t="str">
        <x:v>G47</x:v>
      </x:c>
      <x:c r="C292" s="14" t="str">
        <x:v>Legacy / Migration auf NACE Rev. 2.1 offen</x:v>
      </x:c>
      <x:c r="D292" s="14" t="str">
        <x:v>EU</x:v>
      </x:c>
      <x:c r="E292" s="14"/>
      <x:c r="F292" s="14" t="str">
        <x:v>#/Jahr</x:v>
      </x:c>
      <x:c r="G292" s="14" t="str">
        <x:v>higher_is_better</x:v>
      </x:c>
      <x:c r="H292" s="14" t="str">
        <x:v>R20</x:v>
      </x:c>
      <x:c r="I292" s="14" t="str">
        <x:v>Optional/Nein</x:v>
      </x:c>
      <x:c r="J292" s="51"/>
      <x:c r="K292" s="51"/>
      <x:c r="L292" s="51"/>
      <x:c r="M292" s="51"/>
      <x:c r="N292" s="51"/>
      <x:c r="O292" s="54"/>
      <x:c r="P292" s="51" t="str">
        <x:v>Optional – kein aktiver Benchmark</x:v>
      </x:c>
      <x:c r="Q292" s="53" t="n">
        <x:v>1.5</x:v>
      </x:c>
      <x:c r="R292" s="53" t="n">
        <x:v>2.25</x:v>
      </x:c>
      <x:c r="S292" s="53" t="n">
        <x:v>3.75</x:v>
      </x:c>
      <x:c r="T292" s="53" t="str">
        <x:v>threshold:0-class</x:v>
      </x:c>
      <x:c r="U292" s="14" t="str">
        <x:v>Legacy-Werte bleiben nur als historische Rechenhilfe erhalten und werden nicht für den FinalScore verwendet.</x:v>
      </x:c>
    </x:row>
    <x:row r="293" ht="42" customHeight="1">
      <x:c r="A293" s="14" t="str">
        <x:v>WOK-E-161</x:v>
      </x:c>
      <x:c r="B293" s="14" t="str">
        <x:v>L68</x:v>
      </x:c>
      <x:c r="C293" s="14" t="str">
        <x:v>Legacy / Migration auf NACE Rev. 2.1 offen</x:v>
      </x:c>
      <x:c r="D293" s="14" t="str">
        <x:v>EU</x:v>
      </x:c>
      <x:c r="E293" s="14"/>
      <x:c r="F293" s="14" t="str">
        <x:v>Qualitativ → Klasse</x:v>
      </x:c>
      <x:c r="G293" s="14" t="str">
        <x:v>higher_is_better</x:v>
      </x:c>
      <x:c r="H293" s="14" t="str">
        <x:v>R03</x:v>
      </x:c>
      <x:c r="I293" s="14" t="str">
        <x:v>Optional/Nein</x:v>
      </x:c>
      <x:c r="J293" s="51"/>
      <x:c r="K293" s="51"/>
      <x:c r="L293" s="51"/>
      <x:c r="M293" s="51"/>
      <x:c r="N293" s="51"/>
      <x:c r="O293" s="54"/>
      <x:c r="P293" s="51" t="str">
        <x:v>Optional – kein aktiver Benchmark</x:v>
      </x:c>
      <x:c r="Q293" s="53" t="n">
        <x:v>0.5</x:v>
      </x:c>
      <x:c r="R293" s="53" t="n">
        <x:v>0.75</x:v>
      </x:c>
      <x:c r="S293" s="53" t="n">
        <x:v>0.9</x:v>
      </x:c>
      <x:c r="T293" s="53" t="str">
        <x:v>default:higher_is_better_abs</x:v>
      </x:c>
      <x:c r="U293" s="14" t="str">
        <x:v>Legacy-Werte bleiben nur als historische Rechenhilfe erhalten und werden nicht für den FinalScore verwendet.</x:v>
      </x:c>
    </x:row>
    <x:row r="294" ht="42" customHeight="1">
      <x:c r="A294" s="14" t="str">
        <x:v>WOK-E-162</x:v>
      </x:c>
      <x:c r="B294" s="14" t="str">
        <x:v>L68</x:v>
      </x:c>
      <x:c r="C294" s="14" t="str">
        <x:v>Legacy / Migration auf NACE Rev. 2.1 offen</x:v>
      </x:c>
      <x:c r="D294" s="14" t="str">
        <x:v>EU</x:v>
      </x:c>
      <x:c r="E294" s="14"/>
      <x:c r="F294" s="14" t="str">
        <x:v>ha/Jahr</x:v>
      </x:c>
      <x:c r="G294" s="14" t="str">
        <x:v>lower_is_better</x:v>
      </x:c>
      <x:c r="H294" s="14" t="str">
        <x:v>R02</x:v>
      </x:c>
      <x:c r="I294" s="14" t="str">
        <x:v>Optional/Nein</x:v>
      </x:c>
      <x:c r="J294" s="51"/>
      <x:c r="K294" s="51"/>
      <x:c r="L294" s="51"/>
      <x:c r="M294" s="51"/>
      <x:c r="N294" s="51"/>
      <x:c r="O294" s="54"/>
      <x:c r="P294" s="51" t="str">
        <x:v>Optional – kein aktiver Benchmark</x:v>
      </x:c>
      <x:c r="Q294" s="53" t="n">
        <x:v>3</x:v>
      </x:c>
      <x:c r="R294" s="53" t="n">
        <x:v>4.5</x:v>
      </x:c>
      <x:c r="S294" s="53" t="n">
        <x:v>7.5</x:v>
      </x:c>
      <x:c r="T294" s="53" t="str">
        <x:v>threshold:0-class</x:v>
      </x:c>
      <x:c r="U294" s="14" t="str">
        <x:v>Legacy-Werte bleiben nur als historische Rechenhilfe erhalten und werden nicht für den FinalScore verwendet.</x:v>
      </x:c>
    </x:row>
    <x:row r="295" ht="42" customHeight="1">
      <x:c r="A295" s="14" t="str">
        <x:v>WOK-E-163</x:v>
      </x:c>
      <x:c r="B295" s="14" t="str">
        <x:v>L68</x:v>
      </x:c>
      <x:c r="C295" s="14" t="str">
        <x:v>Legacy / Migration auf NACE Rev. 2.1 offen</x:v>
      </x:c>
      <x:c r="D295" s="14" t="str">
        <x:v>EU</x:v>
      </x:c>
      <x:c r="E295" s="14"/>
      <x:c r="F295" s="14" t="str">
        <x:v>%</x:v>
      </x:c>
      <x:c r="G295" s="14" t="str">
        <x:v>higher_is_better</x:v>
      </x:c>
      <x:c r="H295" s="14" t="str">
        <x:v>R28</x:v>
      </x:c>
      <x:c r="I295" s="14" t="str">
        <x:v>Optional/Nein</x:v>
      </x:c>
      <x:c r="J295" s="51"/>
      <x:c r="K295" s="51"/>
      <x:c r="L295" s="51"/>
      <x:c r="M295" s="51"/>
      <x:c r="N295" s="51"/>
      <x:c r="O295" s="54"/>
      <x:c r="P295" s="51" t="str">
        <x:v>Optional – kein aktiver Benchmark</x:v>
      </x:c>
      <x:c r="Q295" s="53" t="n">
        <x:v>82</x:v>
      </x:c>
      <x:c r="R295" s="53" t="n">
        <x:v>100</x:v>
      </x:c>
      <x:c r="S295" s="53" t="n">
        <x:v>100</x:v>
      </x:c>
      <x:c r="T295" s="53" t="str">
        <x:v>threshold:0-class</x:v>
      </x:c>
      <x:c r="U295" s="14" t="str">
        <x:v>Legacy-Werte bleiben nur als historische Rechenhilfe erhalten und werden nicht für den FinalScore verwendet.</x:v>
      </x:c>
    </x:row>
    <x:row r="296" ht="42" customHeight="1">
      <x:c r="A296" s="14" t="str">
        <x:v>WOK-G-158</x:v>
      </x:c>
      <x:c r="B296" s="14" t="str">
        <x:v>G47</x:v>
      </x:c>
      <x:c r="C296" s="14" t="str">
        <x:v>Legacy / Migration auf NACE Rev. 2.1 offen</x:v>
      </x:c>
      <x:c r="D296" s="14" t="str">
        <x:v>EU</x:v>
      </x:c>
      <x:c r="E296" s="14"/>
      <x:c r="F296" s="14" t="str">
        <x:v>Fälle/1.000 FTE</x:v>
      </x:c>
      <x:c r="G296" s="14" t="str">
        <x:v>lower_is_better</x:v>
      </x:c>
      <x:c r="H296" s="14" t="str">
        <x:v>R01</x:v>
      </x:c>
      <x:c r="I296" s="14" t="str">
        <x:v>Optional/Nein</x:v>
      </x:c>
      <x:c r="J296" s="51"/>
      <x:c r="K296" s="51"/>
      <x:c r="L296" s="51"/>
      <x:c r="M296" s="51"/>
      <x:c r="N296" s="51"/>
      <x:c r="O296" s="54"/>
      <x:c r="P296" s="51" t="str">
        <x:v>Optional – kein aktiver Benchmark</x:v>
      </x:c>
      <x:c r="Q296" s="53" t="n">
        <x:v>0.5</x:v>
      </x:c>
      <x:c r="R296" s="53" t="n">
        <x:v>0.75</x:v>
      </x:c>
      <x:c r="S296" s="53" t="n">
        <x:v>1.25</x:v>
      </x:c>
      <x:c r="T296" s="53" t="str">
        <x:v>threshold:0-class</x:v>
      </x:c>
      <x:c r="U296" s="14" t="str">
        <x:v>Legacy-Werte bleiben nur als historische Rechenhilfe erhalten und werden nicht für den FinalScore verwendet.</x:v>
      </x:c>
    </x:row>
    <x:row r="297" ht="42" customHeight="1">
      <x:c r="A297" s="14" t="str">
        <x:v>WOK-G-159</x:v>
      </x:c>
      <x:c r="B297" s="14" t="str">
        <x:v>G47</x:v>
      </x:c>
      <x:c r="C297" s="14" t="str">
        <x:v>Legacy / Migration auf NACE Rev. 2.1 offen</x:v>
      </x:c>
      <x:c r="D297" s="14" t="str">
        <x:v>EU</x:v>
      </x:c>
      <x:c r="E297" s="14"/>
      <x:c r="F297" s="14" t="str">
        <x:v>0–1</x:v>
      </x:c>
      <x:c r="G297" s="14" t="str">
        <x:v>higher_is_better</x:v>
      </x:c>
      <x:c r="H297" s="14" t="str">
        <x:v>R16</x:v>
      </x:c>
      <x:c r="I297" s="14" t="str">
        <x:v>Optional/Nein</x:v>
      </x:c>
      <x:c r="J297" s="51"/>
      <x:c r="K297" s="51"/>
      <x:c r="L297" s="51"/>
      <x:c r="M297" s="51"/>
      <x:c r="N297" s="51"/>
      <x:c r="O297" s="54"/>
      <x:c r="P297" s="51" t="str">
        <x:v>Optional – kein aktiver Benchmark</x:v>
      </x:c>
      <x:c r="Q297" s="53" t="n">
        <x:v>0.6699999999999999</x:v>
      </x:c>
      <x:c r="R297" s="53" t="n">
        <x:v>1</x:v>
      </x:c>
      <x:c r="S297" s="53" t="n">
        <x:v>1</x:v>
      </x:c>
      <x:c r="T297" s="53" t="str">
        <x:v>threshold:0-class</x:v>
      </x:c>
      <x:c r="U297" s="14" t="str">
        <x:v>Legacy-Werte bleiben nur als historische Rechenhilfe erhalten und werden nicht für den FinalScore verwendet.</x:v>
      </x:c>
    </x:row>
    <x:row r="298" ht="42" customHeight="1">
      <x:c r="A298" s="14" t="str">
        <x:v>WOK-G-160</x:v>
      </x:c>
      <x:c r="B298" s="14" t="str">
        <x:v>G47</x:v>
      </x:c>
      <x:c r="C298" s="14" t="str">
        <x:v>Legacy / Migration auf NACE Rev. 2.1 offen</x:v>
      </x:c>
      <x:c r="D298" s="14" t="str">
        <x:v>EU</x:v>
      </x:c>
      <x:c r="E298" s="14"/>
      <x:c r="F298" s="14" t="str">
        <x:v>0–1</x:v>
      </x:c>
      <x:c r="G298" s="14" t="str">
        <x:v>higher_is_better</x:v>
      </x:c>
      <x:c r="H298" s="14" t="str">
        <x:v>R08</x:v>
      </x:c>
      <x:c r="I298" s="14" t="str">
        <x:v>Optional/Nein</x:v>
      </x:c>
      <x:c r="J298" s="51"/>
      <x:c r="K298" s="51"/>
      <x:c r="L298" s="51"/>
      <x:c r="M298" s="51"/>
      <x:c r="N298" s="51"/>
      <x:c r="O298" s="54"/>
      <x:c r="P298" s="51" t="str">
        <x:v>Optional – kein aktiver Benchmark</x:v>
      </x:c>
      <x:c r="Q298" s="53" t="n">
        <x:v>0.5</x:v>
      </x:c>
      <x:c r="R298" s="53" t="n">
        <x:v>0.75</x:v>
      </x:c>
      <x:c r="S298" s="53" t="n">
        <x:v>0.9</x:v>
      </x:c>
      <x:c r="T298" s="53" t="str">
        <x:v>default:higher_is_better_abs</x:v>
      </x:c>
      <x:c r="U298" s="14" t="str">
        <x:v>Legacy-Werte bleiben nur als historische Rechenhilfe erhalten und werden nicht für den FinalScore verwendet.</x:v>
      </x:c>
    </x:row>
    <x:row r="299" ht="42" customHeight="1">
      <x:c r="A299" s="14" t="str">
        <x:v>WOK-E-164</x:v>
      </x:c>
      <x:c r="B299" s="14" t="str">
        <x:v>H49</x:v>
      </x:c>
      <x:c r="C299" s="14" t="str">
        <x:v>Legacy / Migration auf NACE Rev. 2.1 offen</x:v>
      </x:c>
      <x:c r="D299" s="14" t="str">
        <x:v>EU</x:v>
      </x:c>
      <x:c r="E299" s="14"/>
      <x:c r="F299" s="14" t="str">
        <x:v>Fälle/1.000 FTE</x:v>
      </x:c>
      <x:c r="G299" s="14" t="str">
        <x:v>lower_is_better</x:v>
      </x:c>
      <x:c r="H299" s="14" t="str">
        <x:v>R01</x:v>
      </x:c>
      <x:c r="I299" s="14" t="str">
        <x:v>Optional/Nein</x:v>
      </x:c>
      <x:c r="J299" s="51"/>
      <x:c r="K299" s="51"/>
      <x:c r="L299" s="51"/>
      <x:c r="M299" s="51"/>
      <x:c r="N299" s="51"/>
      <x:c r="O299" s="54"/>
      <x:c r="P299" s="51" t="str">
        <x:v>Optional – kein aktiver Benchmark</x:v>
      </x:c>
      <x:c r="Q299" s="53" t="n">
        <x:v>0.5</x:v>
      </x:c>
      <x:c r="R299" s="53" t="n">
        <x:v>0.75</x:v>
      </x:c>
      <x:c r="S299" s="53" t="n">
        <x:v>1.25</x:v>
      </x:c>
      <x:c r="T299" s="53" t="str">
        <x:v>threshold:0-class</x:v>
      </x:c>
      <x:c r="U299" s="14" t="str">
        <x:v>Legacy-Werte bleiben nur als historische Rechenhilfe erhalten und werden nicht für den FinalScore verwendet.</x:v>
      </x:c>
    </x:row>
    <x:row r="300" ht="42" customHeight="1">
      <x:c r="A300" s="14" t="str">
        <x:v>WOK-E-165</x:v>
      </x:c>
      <x:c r="B300" s="14" t="str">
        <x:v>H49</x:v>
      </x:c>
      <x:c r="C300" s="14" t="str">
        <x:v>Legacy / Migration auf NACE Rev. 2.1 offen</x:v>
      </x:c>
      <x:c r="D300" s="14" t="str">
        <x:v>EU</x:v>
      </x:c>
      <x:c r="E300" s="14"/>
      <x:c r="F300" s="14" t="str">
        <x:v>0–1</x:v>
      </x:c>
      <x:c r="G300" s="14" t="str">
        <x:v>higher_is_better</x:v>
      </x:c>
      <x:c r="H300" s="14" t="str">
        <x:v>R16</x:v>
      </x:c>
      <x:c r="I300" s="14" t="str">
        <x:v>Optional/Nein</x:v>
      </x:c>
      <x:c r="J300" s="51"/>
      <x:c r="K300" s="51"/>
      <x:c r="L300" s="51"/>
      <x:c r="M300" s="51"/>
      <x:c r="N300" s="51"/>
      <x:c r="O300" s="54"/>
      <x:c r="P300" s="51" t="str">
        <x:v>Optional – kein aktiver Benchmark</x:v>
      </x:c>
      <x:c r="Q300" s="53" t="n">
        <x:v>0.6699999999999999</x:v>
      </x:c>
      <x:c r="R300" s="53" t="n">
        <x:v>1</x:v>
      </x:c>
      <x:c r="S300" s="53" t="n">
        <x:v>1</x:v>
      </x:c>
      <x:c r="T300" s="53" t="str">
        <x:v>threshold:0-class</x:v>
      </x:c>
      <x:c r="U300" s="14" t="str">
        <x:v>Legacy-Werte bleiben nur als historische Rechenhilfe erhalten und werden nicht für den FinalScore verwendet.</x:v>
      </x:c>
    </x:row>
    <x:row r="301" ht="42" customHeight="1">
      <x:c r="A301" s="14" t="str">
        <x:v>WOK-E-166</x:v>
      </x:c>
      <x:c r="B301" s="14" t="str">
        <x:v>H49</x:v>
      </x:c>
      <x:c r="C301" s="14" t="str">
        <x:v>Legacy / Migration auf NACE Rev. 2.1 offen</x:v>
      </x:c>
      <x:c r="D301" s="14" t="str">
        <x:v>EU</x:v>
      </x:c>
      <x:c r="E301" s="14"/>
      <x:c r="F301" s="14" t="str">
        <x:v>0–1</x:v>
      </x:c>
      <x:c r="G301" s="14" t="str">
        <x:v>higher_is_better</x:v>
      </x:c>
      <x:c r="H301" s="14" t="str">
        <x:v>R08</x:v>
      </x:c>
      <x:c r="I301" s="14" t="str">
        <x:v>Optional/Nein</x:v>
      </x:c>
      <x:c r="J301" s="51"/>
      <x:c r="K301" s="51"/>
      <x:c r="L301" s="51"/>
      <x:c r="M301" s="51"/>
      <x:c r="N301" s="51"/>
      <x:c r="O301" s="54"/>
      <x:c r="P301" s="51" t="str">
        <x:v>Optional – kein aktiver Benchmark</x:v>
      </x:c>
      <x:c r="Q301" s="53" t="n">
        <x:v>0.5</x:v>
      </x:c>
      <x:c r="R301" s="53" t="n">
        <x:v>0.75</x:v>
      </x:c>
      <x:c r="S301" s="53" t="n">
        <x:v>0.9</x:v>
      </x:c>
      <x:c r="T301" s="53" t="str">
        <x:v>default:higher_is_better_abs</x:v>
      </x:c>
      <x:c r="U301" s="14" t="str">
        <x:v>Legacy-Werte bleiben nur als historische Rechenhilfe erhalten und werden nicht für den FinalScore verwendet.</x:v>
      </x:c>
    </x:row>
    <x:row r="302" ht="42" customHeight="1">
      <x:c r="A302" s="14" t="str">
        <x:v>WOK-E-167</x:v>
      </x:c>
      <x:c r="B302" s="14" t="str">
        <x:v>C20</x:v>
      </x:c>
      <x:c r="C302" s="14" t="str">
        <x:v>Legacy / Migration auf NACE Rev. 2.1 offen</x:v>
      </x:c>
      <x:c r="D302" s="14" t="str">
        <x:v>EU</x:v>
      </x:c>
      <x:c r="E302" s="14"/>
      <x:c r="F302" s="14" t="str">
        <x:v>kg/t</x:v>
      </x:c>
      <x:c r="G302" s="14" t="str">
        <x:v>lower_is_better</x:v>
      </x:c>
      <x:c r="H302" s="14" t="str">
        <x:v>R06</x:v>
      </x:c>
      <x:c r="I302" s="14" t="str">
        <x:v>Ja</x:v>
      </x:c>
      <x:c r="J302" s="51"/>
      <x:c r="K302" s="51"/>
      <x:c r="L302" s="51"/>
      <x:c r="M302" s="51"/>
      <x:c r="N302" s="51"/>
      <x:c r="O302" s="54"/>
      <x:c r="P302" s="51" t="str">
        <x:v>Offen – validierter Benchmark fehlt</x:v>
      </x:c>
      <x:c r="Q302" s="53" t="n">
        <x:v>1</x:v>
      </x:c>
      <x:c r="R302" s="53" t="n">
        <x:v>1.5</x:v>
      </x:c>
      <x:c r="S302" s="53" t="n">
        <x:v>2.5</x:v>
      </x:c>
      <x:c r="T302" s="53" t="str">
        <x:v>default:lower_is_better_abs</x:v>
      </x:c>
      <x:c r="U302" s="14" t="str">
        <x:v>Vor Aktivierung repräsentative Population, Region, Technologieklasse, Statistik, Quelle und Gültigkeitszeitraum dokumentieren.</x:v>
      </x:c>
    </x:row>
    <x:row r="303" ht="42" customHeight="1">
      <x:c r="A303" s="14" t="str">
        <x:v>WOK-E-168</x:v>
      </x:c>
      <x:c r="B303" s="14" t="str">
        <x:v>C20</x:v>
      </x:c>
      <x:c r="C303" s="14" t="str">
        <x:v>Legacy / Migration auf NACE Rev. 2.1 offen</x:v>
      </x:c>
      <x:c r="D303" s="14" t="str">
        <x:v>EU</x:v>
      </x:c>
      <x:c r="E303" s="14"/>
      <x:c r="F303" s="14" t="str">
        <x:v>%</x:v>
      </x:c>
      <x:c r="G303" s="14" t="str">
        <x:v>higher_is_better</x:v>
      </x:c>
      <x:c r="H303" s="14" t="str">
        <x:v>R25</x:v>
      </x:c>
      <x:c r="I303" s="14" t="str">
        <x:v>Optional/Nein</x:v>
      </x:c>
      <x:c r="J303" s="51"/>
      <x:c r="K303" s="51"/>
      <x:c r="L303" s="51"/>
      <x:c r="M303" s="51"/>
      <x:c r="N303" s="51"/>
      <x:c r="O303" s="54"/>
      <x:c r="P303" s="51" t="str">
        <x:v>Optional – kein aktiver Benchmark</x:v>
      </x:c>
      <x:c r="Q303" s="53" t="n">
        <x:v>50</x:v>
      </x:c>
      <x:c r="R303" s="53" t="n">
        <x:v>75</x:v>
      </x:c>
      <x:c r="S303" s="53" t="n">
        <x:v>100</x:v>
      </x:c>
      <x:c r="T303" s="53" t="str">
        <x:v>default:higher_is_better_pct</x:v>
      </x:c>
      <x:c r="U303" s="14" t="str">
        <x:v>Legacy-Werte bleiben nur als historische Rechenhilfe erhalten und werden nicht für den FinalScore verwendet.</x:v>
      </x:c>
    </x:row>
    <x:row r="304" ht="42" customHeight="1">
      <x:c r="A304" s="14" t="str">
        <x:v>WOK-E-169</x:v>
      </x:c>
      <x:c r="B304" s="14" t="str">
        <x:v>C20</x:v>
      </x:c>
      <x:c r="C304" s="14" t="str">
        <x:v>Legacy / Migration auf NACE Rev. 2.1 offen</x:v>
      </x:c>
      <x:c r="D304" s="14" t="str">
        <x:v>EU</x:v>
      </x:c>
      <x:c r="E304" s="14"/>
      <x:c r="F304" s="14" t="str">
        <x:v>kg/t</x:v>
      </x:c>
      <x:c r="G304" s="14" t="str">
        <x:v>lower_is_better</x:v>
      </x:c>
      <x:c r="H304" s="14" t="str">
        <x:v>R06</x:v>
      </x:c>
      <x:c r="I304" s="14" t="str">
        <x:v>Ja</x:v>
      </x:c>
      <x:c r="J304" s="51"/>
      <x:c r="K304" s="51"/>
      <x:c r="L304" s="51"/>
      <x:c r="M304" s="51"/>
      <x:c r="N304" s="51"/>
      <x:c r="O304" s="54"/>
      <x:c r="P304" s="51" t="str">
        <x:v>Offen – validierter Benchmark fehlt</x:v>
      </x:c>
      <x:c r="Q304" s="53" t="n">
        <x:v>1</x:v>
      </x:c>
      <x:c r="R304" s="53" t="n">
        <x:v>1.5</x:v>
      </x:c>
      <x:c r="S304" s="53" t="n">
        <x:v>2.5</x:v>
      </x:c>
      <x:c r="T304" s="53" t="str">
        <x:v>default:lower_is_better_abs</x:v>
      </x:c>
      <x:c r="U304" s="14" t="str">
        <x:v>Vor Aktivierung repräsentative Population, Region, Technologieklasse, Statistik, Quelle und Gültigkeitszeitraum dokumentieren.</x:v>
      </x:c>
    </x:row>
    <x:row r="305" ht="42" customHeight="1">
      <x:c r="A305" s="14" t="str">
        <x:v>WOK-E-170</x:v>
      </x:c>
      <x:c r="B305" s="14" t="str">
        <x:v>C20</x:v>
      </x:c>
      <x:c r="C305" s="14" t="str">
        <x:v>Legacy / Migration auf NACE Rev. 2.1 offen</x:v>
      </x:c>
      <x:c r="D305" s="14" t="str">
        <x:v>EU</x:v>
      </x:c>
      <x:c r="E305" s="14"/>
      <x:c r="F305" s="14" t="str">
        <x:v>kg/t</x:v>
      </x:c>
      <x:c r="G305" s="14" t="str">
        <x:v>lower_is_better</x:v>
      </x:c>
      <x:c r="H305" s="14" t="str">
        <x:v>R06</x:v>
      </x:c>
      <x:c r="I305" s="14" t="str">
        <x:v>Ja</x:v>
      </x:c>
      <x:c r="J305" s="51"/>
      <x:c r="K305" s="51"/>
      <x:c r="L305" s="51"/>
      <x:c r="M305" s="51"/>
      <x:c r="N305" s="51"/>
      <x:c r="O305" s="54"/>
      <x:c r="P305" s="51" t="str">
        <x:v>Offen – validierter Benchmark fehlt</x:v>
      </x:c>
      <x:c r="Q305" s="53" t="n">
        <x:v>1</x:v>
      </x:c>
      <x:c r="R305" s="53" t="n">
        <x:v>1.5</x:v>
      </x:c>
      <x:c r="S305" s="53" t="n">
        <x:v>2.5</x:v>
      </x:c>
      <x:c r="T305" s="53" t="str">
        <x:v>default:lower_is_better_abs</x:v>
      </x:c>
      <x:c r="U305" s="14" t="str">
        <x:v>Vor Aktivierung repräsentative Population, Region, Technologieklasse, Statistik, Quelle und Gültigkeitszeitraum dokumentieren.</x:v>
      </x:c>
    </x:row>
    <x:row r="306" ht="42" customHeight="1">
      <x:c r="A306" s="14" t="str">
        <x:v>WOK-E-171</x:v>
      </x:c>
      <x:c r="B306" s="14" t="str">
        <x:v>C20</x:v>
      </x:c>
      <x:c r="C306" s="14" t="str">
        <x:v>Legacy / Migration auf NACE Rev. 2.1 offen</x:v>
      </x:c>
      <x:c r="D306" s="14" t="str">
        <x:v>EU</x:v>
      </x:c>
      <x:c r="E306" s="14"/>
      <x:c r="F306" s="14" t="str">
        <x:v>%</x:v>
      </x:c>
      <x:c r="G306" s="14" t="str">
        <x:v>higher_is_better</x:v>
      </x:c>
      <x:c r="H306" s="14" t="str">
        <x:v>R25</x:v>
      </x:c>
      <x:c r="I306" s="14" t="str">
        <x:v>Optional/Nein</x:v>
      </x:c>
      <x:c r="J306" s="51"/>
      <x:c r="K306" s="51"/>
      <x:c r="L306" s="51"/>
      <x:c r="M306" s="51"/>
      <x:c r="N306" s="51"/>
      <x:c r="O306" s="54"/>
      <x:c r="P306" s="51" t="str">
        <x:v>Optional – kein aktiver Benchmark</x:v>
      </x:c>
      <x:c r="Q306" s="53" t="n">
        <x:v>50</x:v>
      </x:c>
      <x:c r="R306" s="53" t="n">
        <x:v>75</x:v>
      </x:c>
      <x:c r="S306" s="53" t="n">
        <x:v>100</x:v>
      </x:c>
      <x:c r="T306" s="53" t="str">
        <x:v>default:higher_is_better_pct</x:v>
      </x:c>
      <x:c r="U306" s="14" t="str">
        <x:v>Legacy-Werte bleiben nur als historische Rechenhilfe erhalten und werden nicht für den FinalScore verwendet.</x:v>
      </x:c>
    </x:row>
    <x:row r="307" ht="42" customHeight="1">
      <x:c r="A307" s="14" t="str">
        <x:v>WOK-E-172</x:v>
      </x:c>
      <x:c r="B307" s="14" t="str">
        <x:v>C20</x:v>
      </x:c>
      <x:c r="C307" s="14" t="str">
        <x:v>Legacy / Migration auf NACE Rev. 2.1 offen</x:v>
      </x:c>
      <x:c r="D307" s="14" t="str">
        <x:v>EU</x:v>
      </x:c>
      <x:c r="E307" s="14"/>
      <x:c r="F307" s="14" t="str">
        <x:v>kg/t</x:v>
      </x:c>
      <x:c r="G307" s="14" t="str">
        <x:v>lower_is_better</x:v>
      </x:c>
      <x:c r="H307" s="14" t="str">
        <x:v>R06</x:v>
      </x:c>
      <x:c r="I307" s="14" t="str">
        <x:v>Ja</x:v>
      </x:c>
      <x:c r="J307" s="51"/>
      <x:c r="K307" s="51"/>
      <x:c r="L307" s="51"/>
      <x:c r="M307" s="51"/>
      <x:c r="N307" s="51"/>
      <x:c r="O307" s="54"/>
      <x:c r="P307" s="51" t="str">
        <x:v>Offen – validierter Benchmark fehlt</x:v>
      </x:c>
      <x:c r="Q307" s="53" t="n">
        <x:v>1</x:v>
      </x:c>
      <x:c r="R307" s="53" t="n">
        <x:v>1.5</x:v>
      </x:c>
      <x:c r="S307" s="53" t="n">
        <x:v>2.5</x:v>
      </x:c>
      <x:c r="T307" s="53" t="str">
        <x:v>default:lower_is_better_abs</x:v>
      </x:c>
      <x:c r="U307" s="14" t="str">
        <x:v>Vor Aktivierung repräsentative Population, Region, Technologieklasse, Statistik, Quelle und Gültigkeitszeitraum dokumentieren.</x:v>
      </x:c>
    </x:row>
    <x:row r="308" ht="42" customHeight="1">
      <x:c r="A308" s="14" t="str">
        <x:v>WOK-P-122</x:v>
      </x:c>
      <x:c r="B308" s="14" t="str">
        <x:v>C20</x:v>
      </x:c>
      <x:c r="C308" s="14" t="str">
        <x:v>Legacy / Migration auf NACE Rev. 2.1 offen</x:v>
      </x:c>
      <x:c r="D308" s="14" t="str">
        <x:v>EU</x:v>
      </x:c>
      <x:c r="E308" s="14"/>
      <x:c r="F308" s="14" t="str">
        <x:v>kg CO₂e/Einheit</x:v>
      </x:c>
      <x:c r="G308" s="14" t="str">
        <x:v>lower_is_better</x:v>
      </x:c>
      <x:c r="H308" s="14" t="str">
        <x:v>R07</x:v>
      </x:c>
      <x:c r="I308" s="14" t="str">
        <x:v>Ja</x:v>
      </x:c>
      <x:c r="J308" s="51"/>
      <x:c r="K308" s="51"/>
      <x:c r="L308" s="51"/>
      <x:c r="M308" s="51"/>
      <x:c r="N308" s="51"/>
      <x:c r="O308" s="54"/>
      <x:c r="P308" s="51" t="str">
        <x:v>Offen – validierter Benchmark fehlt</x:v>
      </x:c>
      <x:c r="Q308" s="53" t="n">
        <x:v>1</x:v>
      </x:c>
      <x:c r="R308" s="53" t="n">
        <x:v>1.5</x:v>
      </x:c>
      <x:c r="S308" s="53" t="n">
        <x:v>2.5</x:v>
      </x:c>
      <x:c r="T308" s="53" t="str">
        <x:v>default:lower_is_better_abs</x:v>
      </x:c>
      <x:c r="U308" s="14" t="str">
        <x:v>Vor Aktivierung repräsentative Population, Region, Technologieklasse, Statistik, Quelle und Gültigkeitszeitraum dokumentieren.</x:v>
      </x:c>
    </x:row>
    <x:row r="309" ht="42" customHeight="1">
      <x:c r="A309" s="14" t="str">
        <x:v>WOK-P-123</x:v>
      </x:c>
      <x:c r="B309" s="14" t="str">
        <x:v>C20</x:v>
      </x:c>
      <x:c r="C309" s="14" t="str">
        <x:v>Legacy / Migration auf NACE Rev. 2.1 offen</x:v>
      </x:c>
      <x:c r="D309" s="14" t="str">
        <x:v>EU</x:v>
      </x:c>
      <x:c r="E309" s="14"/>
      <x:c r="F309" s="14" t="str">
        <x:v>Score 0–10</x:v>
      </x:c>
      <x:c r="G309" s="14" t="str">
        <x:v>higher_is_better</x:v>
      </x:c>
      <x:c r="H309" s="14" t="str">
        <x:v>R24</x:v>
      </x:c>
      <x:c r="I309" s="14" t="str">
        <x:v>Optional/Nein</x:v>
      </x:c>
      <x:c r="J309" s="51"/>
      <x:c r="K309" s="51"/>
      <x:c r="L309" s="51"/>
      <x:c r="M309" s="51"/>
      <x:c r="N309" s="51"/>
      <x:c r="O309" s="54"/>
      <x:c r="P309" s="51" t="str">
        <x:v>Optional – kein aktiver Benchmark</x:v>
      </x:c>
      <x:c r="Q309" s="53" t="n">
        <x:v>4.95</x:v>
      </x:c>
      <x:c r="R309" s="53" t="n">
        <x:v>1</x:v>
      </x:c>
      <x:c r="S309" s="53" t="n">
        <x:v>1</x:v>
      </x:c>
      <x:c r="T309" s="53" t="str">
        <x:v>threshold:0-class</x:v>
      </x:c>
      <x:c r="U309" s="14" t="str">
        <x:v>Legacy-Werte bleiben nur als historische Rechenhilfe erhalten und werden nicht für den FinalScore verwendet.</x:v>
      </x:c>
    </x:row>
    <x:row r="310" ht="42" customHeight="1">
      <x:c r="A310" s="14" t="str">
        <x:v>WOK-P-124</x:v>
      </x:c>
      <x:c r="B310" s="14" t="str">
        <x:v>C20</x:v>
      </x:c>
      <x:c r="C310" s="14" t="str">
        <x:v>Legacy / Migration auf NACE Rev. 2.1 offen</x:v>
      </x:c>
      <x:c r="D310" s="14" t="str">
        <x:v>EU</x:v>
      </x:c>
      <x:c r="E310" s="14"/>
      <x:c r="F310" s="14" t="str">
        <x:v>%</x:v>
      </x:c>
      <x:c r="G310" s="14" t="str">
        <x:v>higher_is_better</x:v>
      </x:c>
      <x:c r="H310" s="14" t="str">
        <x:v>R22</x:v>
      </x:c>
      <x:c r="I310" s="14" t="str">
        <x:v>Optional/Nein</x:v>
      </x:c>
      <x:c r="J310" s="51"/>
      <x:c r="K310" s="51"/>
      <x:c r="L310" s="51"/>
      <x:c r="M310" s="51"/>
      <x:c r="N310" s="51"/>
      <x:c r="O310" s="54"/>
      <x:c r="P310" s="51" t="str">
        <x:v>Optional – kein aktiver Benchmark</x:v>
      </x:c>
      <x:c r="Q310" s="53" t="n">
        <x:v>39.5</x:v>
      </x:c>
      <x:c r="R310" s="53" t="n">
        <x:v>59.25</x:v>
      </x:c>
      <x:c r="S310" s="53" t="n">
        <x:v>98.75</x:v>
      </x:c>
      <x:c r="T310" s="53" t="str">
        <x:v>threshold:0-class</x:v>
      </x:c>
      <x:c r="U310" s="14" t="str">
        <x:v>Legacy-Werte bleiben nur als historische Rechenhilfe erhalten und werden nicht für den FinalScore verwendet.</x:v>
      </x:c>
    </x:row>
    <x:row r="311" ht="42" customHeight="1">
      <x:c r="A311" s="14" t="str">
        <x:v>WOK-SC-125</x:v>
      </x:c>
      <x:c r="B311" s="14" t="str">
        <x:v>C20</x:v>
      </x:c>
      <x:c r="C311" s="14" t="str">
        <x:v>Legacy / Migration auf NACE Rev. 2.1 offen</x:v>
      </x:c>
      <x:c r="D311" s="14" t="str">
        <x:v>EU</x:v>
      </x:c>
      <x:c r="E311" s="14"/>
      <x:c r="F311" s="14" t="str">
        <x:v>%</x:v>
      </x:c>
      <x:c r="G311" s="14" t="str">
        <x:v>higher_is_better</x:v>
      </x:c>
      <x:c r="H311" s="14" t="str">
        <x:v>R26</x:v>
      </x:c>
      <x:c r="I311" s="14" t="str">
        <x:v>Optional/Nein</x:v>
      </x:c>
      <x:c r="J311" s="51"/>
      <x:c r="K311" s="51"/>
      <x:c r="L311" s="51"/>
      <x:c r="M311" s="51"/>
      <x:c r="N311" s="51"/>
      <x:c r="O311" s="54"/>
      <x:c r="P311" s="51" t="str">
        <x:v>Optional – kein aktiver Benchmark</x:v>
      </x:c>
      <x:c r="Q311" s="53" t="n">
        <x:v>59.5</x:v>
      </x:c>
      <x:c r="R311" s="53" t="n">
        <x:v>89.25</x:v>
      </x:c>
      <x:c r="S311" s="53" t="n">
        <x:v>100</x:v>
      </x:c>
      <x:c r="T311" s="53" t="str">
        <x:v>threshold:0-class</x:v>
      </x:c>
      <x:c r="U311" s="14" t="str">
        <x:v>Legacy-Werte bleiben nur als historische Rechenhilfe erhalten und werden nicht für den FinalScore verwendet.</x:v>
      </x:c>
    </x:row>
    <x:row r="312" ht="42" customHeight="1">
      <x:c r="A312" s="14" t="str">
        <x:v>WOK-SC-126</x:v>
      </x:c>
      <x:c r="B312" s="14" t="str">
        <x:v>C20</x:v>
      </x:c>
      <x:c r="C312" s="14" t="str">
        <x:v>Legacy / Migration auf NACE Rev. 2.1 offen</x:v>
      </x:c>
      <x:c r="D312" s="14" t="str">
        <x:v>EU</x:v>
      </x:c>
      <x:c r="E312" s="14"/>
      <x:c r="F312" s="14" t="str">
        <x:v>% Lieferanten</x:v>
      </x:c>
      <x:c r="G312" s="14" t="str">
        <x:v>higher_is_better</x:v>
      </x:c>
      <x:c r="H312" s="14" t="str">
        <x:v>R28</x:v>
      </x:c>
      <x:c r="I312" s="14" t="str">
        <x:v>Optional/Nein</x:v>
      </x:c>
      <x:c r="J312" s="51"/>
      <x:c r="K312" s="51"/>
      <x:c r="L312" s="51"/>
      <x:c r="M312" s="51"/>
      <x:c r="N312" s="51"/>
      <x:c r="O312" s="54"/>
      <x:c r="P312" s="51" t="str">
        <x:v>Optional – kein aktiver Benchmark</x:v>
      </x:c>
      <x:c r="Q312" s="53" t="n">
        <x:v>82</x:v>
      </x:c>
      <x:c r="R312" s="53" t="n">
        <x:v>100</x:v>
      </x:c>
      <x:c r="S312" s="53" t="n">
        <x:v>100</x:v>
      </x:c>
      <x:c r="T312" s="53" t="str">
        <x:v>threshold:0-class</x:v>
      </x:c>
      <x:c r="U312" s="14" t="str">
        <x:v>Legacy-Werte bleiben nur als historische Rechenhilfe erhalten und werden nicht für den FinalScore verwendet.</x:v>
      </x:c>
    </x:row>
    <x:row r="313" ht="42" customHeight="1">
      <x:c r="A313" s="14" t="str">
        <x:v>WOK-SC-127</x:v>
      </x:c>
      <x:c r="B313" s="14" t="str">
        <x:v>C20</x:v>
      </x:c>
      <x:c r="C313" s="14" t="str">
        <x:v>Legacy / Migration auf NACE Rev. 2.1 offen</x:v>
      </x:c>
      <x:c r="D313" s="14" t="str">
        <x:v>EU</x:v>
      </x:c>
      <x:c r="E313" s="14"/>
      <x:c r="F313" s="14" t="str">
        <x:v>% Kategorien</x:v>
      </x:c>
      <x:c r="G313" s="14" t="str">
        <x:v>higher_is_better</x:v>
      </x:c>
      <x:c r="H313" s="14" t="str">
        <x:v>R23</x:v>
      </x:c>
      <x:c r="I313" s="14" t="str">
        <x:v>Optional/Nein</x:v>
      </x:c>
      <x:c r="J313" s="51"/>
      <x:c r="K313" s="51"/>
      <x:c r="L313" s="51"/>
      <x:c r="M313" s="51"/>
      <x:c r="N313" s="51"/>
      <x:c r="O313" s="54"/>
      <x:c r="P313" s="51" t="str">
        <x:v>Optional – kein aktiver Benchmark</x:v>
      </x:c>
      <x:c r="Q313" s="53" t="n">
        <x:v>49.5</x:v>
      </x:c>
      <x:c r="R313" s="53" t="n">
        <x:v>74.25</x:v>
      </x:c>
      <x:c r="S313" s="53" t="n">
        <x:v>100</x:v>
      </x:c>
      <x:c r="T313" s="53" t="str">
        <x:v>threshold:0-class</x:v>
      </x:c>
      <x:c r="U313" s="14" t="str">
        <x:v>Legacy-Werte bleiben nur als historische Rechenhilfe erhalten und werden nicht für den FinalScore verwendet.</x:v>
      </x:c>
    </x:row>
    <x:row r="314" ht="42" customHeight="1">
      <x:c r="A314" s="14" t="str">
        <x:v>WOK-G-161</x:v>
      </x:c>
      <x:c r="B314" s="14" t="str">
        <x:v>C20</x:v>
      </x:c>
      <x:c r="C314" s="14" t="str">
        <x:v>Legacy / Migration auf NACE Rev. 2.1 offen</x:v>
      </x:c>
      <x:c r="D314" s="14" t="str">
        <x:v>EU</x:v>
      </x:c>
      <x:c r="E314" s="14"/>
      <x:c r="F314" s="14" t="str">
        <x:v>Fälle/1.000 FTE</x:v>
      </x:c>
      <x:c r="G314" s="14" t="str">
        <x:v>lower_is_better</x:v>
      </x:c>
      <x:c r="H314" s="14" t="str">
        <x:v>R01</x:v>
      </x:c>
      <x:c r="I314" s="14" t="str">
        <x:v>Optional/Nein</x:v>
      </x:c>
      <x:c r="J314" s="51"/>
      <x:c r="K314" s="51"/>
      <x:c r="L314" s="51"/>
      <x:c r="M314" s="51"/>
      <x:c r="N314" s="51"/>
      <x:c r="O314" s="54"/>
      <x:c r="P314" s="51" t="str">
        <x:v>Optional – kein aktiver Benchmark</x:v>
      </x:c>
      <x:c r="Q314" s="53" t="n">
        <x:v>0.5</x:v>
      </x:c>
      <x:c r="R314" s="53" t="n">
        <x:v>0.75</x:v>
      </x:c>
      <x:c r="S314" s="53" t="n">
        <x:v>1.25</x:v>
      </x:c>
      <x:c r="T314" s="53" t="str">
        <x:v>threshold:0-class</x:v>
      </x:c>
      <x:c r="U314" s="14" t="str">
        <x:v>Legacy-Werte bleiben nur als historische Rechenhilfe erhalten und werden nicht für den FinalScore verwendet.</x:v>
      </x:c>
    </x:row>
    <x:row r="315" ht="42" customHeight="1">
      <x:c r="A315" s="14" t="str">
        <x:v>WOK-G-162</x:v>
      </x:c>
      <x:c r="B315" s="14" t="str">
        <x:v>C20</x:v>
      </x:c>
      <x:c r="C315" s="14" t="str">
        <x:v>Legacy / Migration auf NACE Rev. 2.1 offen</x:v>
      </x:c>
      <x:c r="D315" s="14" t="str">
        <x:v>EU</x:v>
      </x:c>
      <x:c r="E315" s="14"/>
      <x:c r="F315" s="14" t="str">
        <x:v>0–1</x:v>
      </x:c>
      <x:c r="G315" s="14" t="str">
        <x:v>higher_is_better</x:v>
      </x:c>
      <x:c r="H315" s="14" t="str">
        <x:v>R16</x:v>
      </x:c>
      <x:c r="I315" s="14" t="str">
        <x:v>Optional/Nein</x:v>
      </x:c>
      <x:c r="J315" s="51"/>
      <x:c r="K315" s="51"/>
      <x:c r="L315" s="51"/>
      <x:c r="M315" s="51"/>
      <x:c r="N315" s="51"/>
      <x:c r="O315" s="54"/>
      <x:c r="P315" s="51" t="str">
        <x:v>Optional – kein aktiver Benchmark</x:v>
      </x:c>
      <x:c r="Q315" s="53" t="n">
        <x:v>0.6699999999999999</x:v>
      </x:c>
      <x:c r="R315" s="53" t="n">
        <x:v>1</x:v>
      </x:c>
      <x:c r="S315" s="53" t="n">
        <x:v>1</x:v>
      </x:c>
      <x:c r="T315" s="53" t="str">
        <x:v>threshold:0-class</x:v>
      </x:c>
      <x:c r="U315" s="14" t="str">
        <x:v>Legacy-Werte bleiben nur als historische Rechenhilfe erhalten und werden nicht für den FinalScore verwendet.</x:v>
      </x:c>
    </x:row>
    <x:row r="316" ht="42" customHeight="1">
      <x:c r="A316" s="14" t="str">
        <x:v>WOK-G-163</x:v>
      </x:c>
      <x:c r="B316" s="14" t="str">
        <x:v>C20</x:v>
      </x:c>
      <x:c r="C316" s="14" t="str">
        <x:v>Legacy / Migration auf NACE Rev. 2.1 offen</x:v>
      </x:c>
      <x:c r="D316" s="14" t="str">
        <x:v>EU</x:v>
      </x:c>
      <x:c r="E316" s="14"/>
      <x:c r="F316" s="14" t="str">
        <x:v>0–1</x:v>
      </x:c>
      <x:c r="G316" s="14" t="str">
        <x:v>higher_is_better</x:v>
      </x:c>
      <x:c r="H316" s="14" t="str">
        <x:v>R08</x:v>
      </x:c>
      <x:c r="I316" s="14" t="str">
        <x:v>Optional/Nein</x:v>
      </x:c>
      <x:c r="J316" s="51"/>
      <x:c r="K316" s="51"/>
      <x:c r="L316" s="51"/>
      <x:c r="M316" s="51"/>
      <x:c r="N316" s="51"/>
      <x:c r="O316" s="54"/>
      <x:c r="P316" s="51" t="str">
        <x:v>Optional – kein aktiver Benchmark</x:v>
      </x:c>
      <x:c r="Q316" s="53" t="n">
        <x:v>0.5</x:v>
      </x:c>
      <x:c r="R316" s="53" t="n">
        <x:v>0.75</x:v>
      </x:c>
      <x:c r="S316" s="53" t="n">
        <x:v>0.9</x:v>
      </x:c>
      <x:c r="T316" s="53" t="str">
        <x:v>default:higher_is_better_abs</x:v>
      </x:c>
      <x:c r="U316" s="14" t="str">
        <x:v>Legacy-Werte bleiben nur als historische Rechenhilfe erhalten und werden nicht für den FinalScore verwendet.</x:v>
      </x:c>
    </x:row>
    <x:row r="317" ht="42" customHeight="1">
      <x:c r="A317" s="14" t="str">
        <x:v>WOK-E-173</x:v>
      </x:c>
      <x:c r="B317" s="14" t="str">
        <x:v>C20</x:v>
      </x:c>
      <x:c r="C317" s="14" t="str">
        <x:v>Legacy / Migration auf NACE Rev. 2.1 offen</x:v>
      </x:c>
      <x:c r="D317" s="14" t="str">
        <x:v>EU</x:v>
      </x:c>
      <x:c r="E317" s="14"/>
      <x:c r="F317" s="14" t="str">
        <x:v>m³*WSI</x:v>
      </x:c>
      <x:c r="G317" s="14" t="str">
        <x:v>lower_is_better</x:v>
      </x:c>
      <x:c r="H317" s="14" t="str">
        <x:v>R06</x:v>
      </x:c>
      <x:c r="I317" s="14" t="str">
        <x:v>Ja</x:v>
      </x:c>
      <x:c r="J317" s="51"/>
      <x:c r="K317" s="51"/>
      <x:c r="L317" s="51"/>
      <x:c r="M317" s="51"/>
      <x:c r="N317" s="51"/>
      <x:c r="O317" s="54"/>
      <x:c r="P317" s="51" t="str">
        <x:v>Offen – validierter Benchmark fehlt</x:v>
      </x:c>
      <x:c r="Q317" s="53" t="n">
        <x:v>1</x:v>
      </x:c>
      <x:c r="R317" s="53" t="n">
        <x:v>1.5</x:v>
      </x:c>
      <x:c r="S317" s="53" t="n">
        <x:v>2.5</x:v>
      </x:c>
      <x:c r="T317" s="53" t="str">
        <x:v>default:lower_is_better_abs</x:v>
      </x:c>
      <x:c r="U317" s="14" t="str">
        <x:v>Vor Aktivierung repräsentative Population, Region, Technologieklasse, Statistik, Quelle und Gültigkeitszeitraum dokumentieren.</x:v>
      </x:c>
    </x:row>
    <x:row r="318" ht="42" customHeight="1">
      <x:c r="A318" s="14" t="str">
        <x:v>WOK-E-174</x:v>
      </x:c>
      <x:c r="B318" s="14" t="str">
        <x:v>C20</x:v>
      </x:c>
      <x:c r="C318" s="14" t="str">
        <x:v>Legacy / Migration auf NACE Rev. 2.1 offen</x:v>
      </x:c>
      <x:c r="D318" s="14" t="str">
        <x:v>EU</x:v>
      </x:c>
      <x:c r="E318" s="14"/>
      <x:c r="F318" s="14" t="str">
        <x:v>%</x:v>
      </x:c>
      <x:c r="G318" s="14" t="str">
        <x:v>higher_is_better</x:v>
      </x:c>
      <x:c r="H318" s="14" t="str">
        <x:v>R25</x:v>
      </x:c>
      <x:c r="I318" s="14" t="str">
        <x:v>Optional/Nein</x:v>
      </x:c>
      <x:c r="J318" s="51"/>
      <x:c r="K318" s="51"/>
      <x:c r="L318" s="51"/>
      <x:c r="M318" s="51"/>
      <x:c r="N318" s="51"/>
      <x:c r="O318" s="54"/>
      <x:c r="P318" s="51" t="str">
        <x:v>Optional – kein aktiver Benchmark</x:v>
      </x:c>
      <x:c r="Q318" s="53" t="n">
        <x:v>50</x:v>
      </x:c>
      <x:c r="R318" s="53" t="n">
        <x:v>75</x:v>
      </x:c>
      <x:c r="S318" s="53" t="n">
        <x:v>100</x:v>
      </x:c>
      <x:c r="T318" s="53" t="str">
        <x:v>default:higher_is_better_pct</x:v>
      </x:c>
      <x:c r="U318" s="14" t="str">
        <x:v>Legacy-Werte bleiben nur als historische Rechenhilfe erhalten und werden nicht für den FinalScore verwendet.</x:v>
      </x:c>
    </x:row>
    <x:row r="319" ht="42" customHeight="1">
      <x:c r="A319" s="14" t="str">
        <x:v>WOK-E-175</x:v>
      </x:c>
      <x:c r="B319" s="14" t="str">
        <x:v>C20</x:v>
      </x:c>
      <x:c r="C319" s="14" t="str">
        <x:v>Legacy / Migration auf NACE Rev. 2.1 offen</x:v>
      </x:c>
      <x:c r="D319" s="14" t="str">
        <x:v>EU</x:v>
      </x:c>
      <x:c r="E319" s="14"/>
      <x:c r="F319" s="14" t="str">
        <x:v>%</x:v>
      </x:c>
      <x:c r="G319" s="14" t="str">
        <x:v>lower_is_better</x:v>
      </x:c>
      <x:c r="H319" s="14" t="str">
        <x:v>R12</x:v>
      </x:c>
      <x:c r="I319" s="14" t="str">
        <x:v>Optional/Nein</x:v>
      </x:c>
      <x:c r="J319" s="51"/>
      <x:c r="K319" s="51"/>
      <x:c r="L319" s="51"/>
      <x:c r="M319" s="51"/>
      <x:c r="N319" s="51"/>
      <x:c r="O319" s="54"/>
      <x:c r="P319" s="51" t="str">
        <x:v>Optional – kein aktiver Benchmark</x:v>
      </x:c>
      <x:c r="Q319" s="53" t="n">
        <x:v>1</x:v>
      </x:c>
      <x:c r="R319" s="53" t="n">
        <x:v>1.2</x:v>
      </x:c>
      <x:c r="S319" s="53" t="n">
        <x:v>1.5</x:v>
      </x:c>
      <x:c r="T319" s="53" t="str">
        <x:v>default:reg_limit</x:v>
      </x:c>
      <x:c r="U319" s="14" t="str">
        <x:v>Legacy-Werte bleiben nur als historische Rechenhilfe erhalten und werden nicht für den FinalScore verwendet.</x:v>
      </x:c>
    </x:row>
    <x:row r="320" ht="42" customHeight="1">
      <x:c r="A320" s="14" t="str">
        <x:v>WOK-E-176</x:v>
      </x:c>
      <x:c r="B320" s="14" t="str">
        <x:v>C20</x:v>
      </x:c>
      <x:c r="C320" s="14" t="str">
        <x:v>Legacy / Migration auf NACE Rev. 2.1 offen</x:v>
      </x:c>
      <x:c r="D320" s="14" t="str">
        <x:v>EU</x:v>
      </x:c>
      <x:c r="E320" s="14"/>
      <x:c r="F320" s="14" t="str">
        <x:v>%</x:v>
      </x:c>
      <x:c r="G320" s="14" t="str">
        <x:v>higher_is_better</x:v>
      </x:c>
      <x:c r="H320" s="14" t="str">
        <x:v>R25</x:v>
      </x:c>
      <x:c r="I320" s="14" t="str">
        <x:v>Optional/Nein</x:v>
      </x:c>
      <x:c r="J320" s="51"/>
      <x:c r="K320" s="51"/>
      <x:c r="L320" s="51"/>
      <x:c r="M320" s="51"/>
      <x:c r="N320" s="51"/>
      <x:c r="O320" s="54"/>
      <x:c r="P320" s="51" t="str">
        <x:v>Optional – kein aktiver Benchmark</x:v>
      </x:c>
      <x:c r="Q320" s="53" t="n">
        <x:v>50</x:v>
      </x:c>
      <x:c r="R320" s="53" t="n">
        <x:v>75</x:v>
      </x:c>
      <x:c r="S320" s="53" t="n">
        <x:v>100</x:v>
      </x:c>
      <x:c r="T320" s="53" t="str">
        <x:v>default:higher_is_better_pct</x:v>
      </x:c>
      <x:c r="U320" s="14" t="str">
        <x:v>Legacy-Werte bleiben nur als historische Rechenhilfe erhalten und werden nicht für den FinalScore verwendet.</x:v>
      </x:c>
    </x:row>
    <x:row r="321" ht="42" customHeight="1">
      <x:c r="A321" s="14" t="str">
        <x:v>WOK-E-177</x:v>
      </x:c>
      <x:c r="B321" s="14" t="str">
        <x:v>C20</x:v>
      </x:c>
      <x:c r="C321" s="14" t="str">
        <x:v>Legacy / Migration auf NACE Rev. 2.1 offen</x:v>
      </x:c>
      <x:c r="D321" s="14" t="str">
        <x:v>EU</x:v>
      </x:c>
      <x:c r="E321" s="14"/>
      <x:c r="F321" s="14" t="str">
        <x:v>kWh/€ Mio bzw. kWh/t</x:v>
      </x:c>
      <x:c r="G321" s="14" t="str">
        <x:v>lower_is_better</x:v>
      </x:c>
      <x:c r="H321" s="14" t="str">
        <x:v>R06</x:v>
      </x:c>
      <x:c r="I321" s="14" t="str">
        <x:v>Ja</x:v>
      </x:c>
      <x:c r="J321" s="51"/>
      <x:c r="K321" s="51"/>
      <x:c r="L321" s="51"/>
      <x:c r="M321" s="51"/>
      <x:c r="N321" s="51"/>
      <x:c r="O321" s="54"/>
      <x:c r="P321" s="51" t="str">
        <x:v>Offen – validierter Benchmark fehlt</x:v>
      </x:c>
      <x:c r="Q321" s="53" t="n">
        <x:v>1</x:v>
      </x:c>
      <x:c r="R321" s="53" t="n">
        <x:v>1.5</x:v>
      </x:c>
      <x:c r="S321" s="53" t="n">
        <x:v>2.5</x:v>
      </x:c>
      <x:c r="T321" s="53" t="str">
        <x:v>default:lower_is_better_abs</x:v>
      </x:c>
      <x:c r="U321" s="14" t="str">
        <x:v>Vor Aktivierung repräsentative Population, Region, Technologieklasse, Statistik, Quelle und Gültigkeitszeitraum dokumentieren.</x:v>
      </x:c>
    </x:row>
    <x:row r="322" ht="42" customHeight="1">
      <x:c r="A322" s="14" t="str">
        <x:v>WOK-E-178</x:v>
      </x:c>
      <x:c r="B322" s="14" t="str">
        <x:v>C20</x:v>
      </x:c>
      <x:c r="C322" s="14" t="str">
        <x:v>Legacy / Migration auf NACE Rev. 2.1 offen</x:v>
      </x:c>
      <x:c r="D322" s="14" t="str">
        <x:v>EU</x:v>
      </x:c>
      <x:c r="E322" s="14"/>
      <x:c r="F322" s="14" t="str">
        <x:v>PUE</x:v>
      </x:c>
      <x:c r="G322" s="14" t="str">
        <x:v>lower_is_better</x:v>
      </x:c>
      <x:c r="H322" s="14" t="str">
        <x:v>R09</x:v>
      </x:c>
      <x:c r="I322" s="14" t="str">
        <x:v>Optional/Nein</x:v>
      </x:c>
      <x:c r="J322" s="51"/>
      <x:c r="K322" s="51"/>
      <x:c r="L322" s="51"/>
      <x:c r="M322" s="51"/>
      <x:c r="N322" s="51"/>
      <x:c r="O322" s="54"/>
      <x:c r="P322" s="51" t="str">
        <x:v>Optional – kein aktiver Benchmark</x:v>
      </x:c>
      <x:c r="Q322" s="53" t="n">
        <x:v>1.505</x:v>
      </x:c>
      <x:c r="R322" s="53" t="n">
        <x:v>2.2575</x:v>
      </x:c>
      <x:c r="S322" s="53" t="n">
        <x:v>3.7625</x:v>
      </x:c>
      <x:c r="T322" s="53" t="str">
        <x:v>threshold:0-class</x:v>
      </x:c>
      <x:c r="U322" s="14" t="str">
        <x:v>Legacy-Werte bleiben nur als historische Rechenhilfe erhalten und werden nicht für den FinalScore verwendet.</x:v>
      </x:c>
    </x:row>
    <x:row r="323" ht="42" customHeight="1">
      <x:c r="A323" s="14" t="str">
        <x:v>WOK-SYS-134</x:v>
      </x:c>
      <x:c r="B323" s="14" t="str">
        <x:v>G47</x:v>
      </x:c>
      <x:c r="C323" s="14" t="str">
        <x:v>Legacy / Migration auf NACE Rev. 2.1 offen</x:v>
      </x:c>
      <x:c r="D323" s="14" t="str">
        <x:v>EU</x:v>
      </x:c>
      <x:c r="E323" s="14"/>
      <x:c r="F323" s="14" t="str">
        <x:v>0–1</x:v>
      </x:c>
      <x:c r="G323" s="14" t="str">
        <x:v>higher_is_better</x:v>
      </x:c>
      <x:c r="H323" s="14" t="str">
        <x:v>R15</x:v>
      </x:c>
      <x:c r="I323" s="14" t="str">
        <x:v>Optional/Nein</x:v>
      </x:c>
      <x:c r="J323" s="51"/>
      <x:c r="K323" s="51"/>
      <x:c r="L323" s="51"/>
      <x:c r="M323" s="51"/>
      <x:c r="N323" s="51"/>
      <x:c r="O323" s="54"/>
      <x:c r="P323" s="51" t="str">
        <x:v>Optional – kein aktiver Benchmark</x:v>
      </x:c>
      <x:c r="Q323" s="53" t="n">
        <x:v>0.645</x:v>
      </x:c>
      <x:c r="R323" s="53" t="n">
        <x:v>0.9675</x:v>
      </x:c>
      <x:c r="S323" s="53" t="n">
        <x:v>1</x:v>
      </x:c>
      <x:c r="T323" s="53" t="str">
        <x:v>threshold:0-class</x:v>
      </x:c>
      <x:c r="U323" s="14" t="str">
        <x:v>Legacy-Werte bleiben nur als historische Rechenhilfe erhalten und werden nicht für den FinalScore verwendet.</x:v>
      </x:c>
    </x:row>
    <x:row r="324" ht="42" customHeight="1">
      <x:c r="A324" s="14" t="str">
        <x:v>WOK-SYS-135</x:v>
      </x:c>
      <x:c r="B324" s="14" t="str">
        <x:v>G47</x:v>
      </x:c>
      <x:c r="C324" s="14" t="str">
        <x:v>Legacy / Migration auf NACE Rev. 2.1 offen</x:v>
      </x:c>
      <x:c r="D324" s="14" t="str">
        <x:v>EU</x:v>
      </x:c>
      <x:c r="E324" s="14"/>
      <x:c r="F324" s="14" t="str">
        <x:v>%</x:v>
      </x:c>
      <x:c r="G324" s="14" t="str">
        <x:v>lower_is_better</x:v>
      </x:c>
      <x:c r="H324" s="14" t="str">
        <x:v>R13</x:v>
      </x:c>
      <x:c r="I324" s="14" t="str">
        <x:v>Optional/Nein</x:v>
      </x:c>
      <x:c r="J324" s="51"/>
      <x:c r="K324" s="51"/>
      <x:c r="L324" s="51"/>
      <x:c r="M324" s="51"/>
      <x:c r="N324" s="51"/>
      <x:c r="O324" s="54"/>
      <x:c r="P324" s="51" t="str">
        <x:v>Optional – kein aktiver Benchmark</x:v>
      </x:c>
      <x:c r="Q324" s="53" t="n">
        <x:v>15.5</x:v>
      </x:c>
      <x:c r="R324" s="53" t="n">
        <x:v>23.25</x:v>
      </x:c>
      <x:c r="S324" s="53" t="n">
        <x:v>38.75</x:v>
      </x:c>
      <x:c r="T324" s="53" t="str">
        <x:v>threshold:0-class</x:v>
      </x:c>
      <x:c r="U324" s="14" t="str">
        <x:v>Legacy-Werte bleiben nur als historische Rechenhilfe erhalten und werden nicht für den FinalScore verwendet.</x:v>
      </x:c>
    </x:row>
    <x:row r="325" ht="42" customHeight="1">
      <x:c r="A325" s="14" t="str">
        <x:v>WOK-SYS-136</x:v>
      </x:c>
      <x:c r="B325" s="14" t="str">
        <x:v>G47</x:v>
      </x:c>
      <x:c r="C325" s="14" t="str">
        <x:v>Legacy / Migration auf NACE Rev. 2.1 offen</x:v>
      </x:c>
      <x:c r="D325" s="14" t="str">
        <x:v>EU</x:v>
      </x:c>
      <x:c r="E325" s="14"/>
      <x:c r="F325" s="14" t="str">
        <x:v>#/Jahr</x:v>
      </x:c>
      <x:c r="G325" s="14" t="str">
        <x:v>higher_is_better</x:v>
      </x:c>
      <x:c r="H325" s="14" t="str">
        <x:v>R20</x:v>
      </x:c>
      <x:c r="I325" s="14" t="str">
        <x:v>Optional/Nein</x:v>
      </x:c>
      <x:c r="J325" s="51"/>
      <x:c r="K325" s="51"/>
      <x:c r="L325" s="51"/>
      <x:c r="M325" s="51"/>
      <x:c r="N325" s="51"/>
      <x:c r="O325" s="54"/>
      <x:c r="P325" s="51" t="str">
        <x:v>Optional – kein aktiver Benchmark</x:v>
      </x:c>
      <x:c r="Q325" s="53" t="n">
        <x:v>1.5</x:v>
      </x:c>
      <x:c r="R325" s="53" t="n">
        <x:v>2.25</x:v>
      </x:c>
      <x:c r="S325" s="53" t="n">
        <x:v>3.75</x:v>
      </x:c>
      <x:c r="T325" s="53" t="str">
        <x:v>threshold:0-class</x:v>
      </x:c>
      <x:c r="U325" s="14" t="str">
        <x:v>Legacy-Werte bleiben nur als historische Rechenhilfe erhalten und werden nicht für den FinalScore verwendet.</x:v>
      </x:c>
    </x:row>
    <x:row r="326" ht="42" customHeight="1">
      <x:c r="A326" s="14" t="str">
        <x:v>WOK-POL-104</x:v>
      </x:c>
      <x:c r="B326" s="14" t="str">
        <x:v>C20</x:v>
      </x:c>
      <x:c r="C326" s="14" t="str">
        <x:v>Legacy / Migration auf NACE Rev. 2.1 offen</x:v>
      </x:c>
      <x:c r="D326" s="14" t="str">
        <x:v>EU</x:v>
      </x:c>
      <x:c r="E326" s="14"/>
      <x:c r="F326" s="14" t="str">
        <x:v>g CO₂e/kWh</x:v>
      </x:c>
      <x:c r="G326" s="14" t="str">
        <x:v>lower_is_better</x:v>
      </x:c>
      <x:c r="H326" s="14" t="str">
        <x:v>R10</x:v>
      </x:c>
      <x:c r="I326" s="14" t="str">
        <x:v>Optional/Nein</x:v>
      </x:c>
      <x:c r="J326" s="51"/>
      <x:c r="K326" s="51"/>
      <x:c r="L326" s="51"/>
      <x:c r="M326" s="51"/>
      <x:c r="N326" s="51"/>
      <x:c r="O326" s="54"/>
      <x:c r="P326" s="51" t="str">
        <x:v>Optional – kein aktiver Benchmark</x:v>
      </x:c>
      <x:c r="Q326" s="53" t="n">
        <x:v>175.5</x:v>
      </x:c>
      <x:c r="R326" s="53" t="n">
        <x:v>263.25</x:v>
      </x:c>
      <x:c r="S326" s="53" t="n">
        <x:v>438.75</x:v>
      </x:c>
      <x:c r="T326" s="53" t="str">
        <x:v>threshold:0-class</x:v>
      </x:c>
      <x:c r="U326" s="14" t="str">
        <x:v>Legacy-Werte bleiben nur als historische Rechenhilfe erhalten und werden nicht für den FinalScore verwendet.</x:v>
      </x:c>
    </x:row>
    <x:row r="327" ht="42" customHeight="1">
      <x:c r="A327" s="14" t="str">
        <x:v>WOK-POL-105</x:v>
      </x:c>
      <x:c r="B327" s="14" t="str">
        <x:v>C20</x:v>
      </x:c>
      <x:c r="C327" s="14" t="str">
        <x:v>Legacy / Migration auf NACE Rev. 2.1 offen</x:v>
      </x:c>
      <x:c r="D327" s="14" t="str">
        <x:v>EU</x:v>
      </x:c>
      <x:c r="E327" s="14"/>
      <x:c r="F327" s="14" t="str">
        <x:v>% Aktivitäten</x:v>
      </x:c>
      <x:c r="G327" s="14" t="str">
        <x:v>higher_is_better</x:v>
      </x:c>
      <x:c r="H327" s="14" t="str">
        <x:v>R25</x:v>
      </x:c>
      <x:c r="I327" s="14" t="str">
        <x:v>Optional/Nein</x:v>
      </x:c>
      <x:c r="J327" s="51"/>
      <x:c r="K327" s="51"/>
      <x:c r="L327" s="51"/>
      <x:c r="M327" s="51"/>
      <x:c r="N327" s="51"/>
      <x:c r="O327" s="54"/>
      <x:c r="P327" s="51" t="str">
        <x:v>Optional – kein aktiver Benchmark</x:v>
      </x:c>
      <x:c r="Q327" s="53" t="n">
        <x:v>50</x:v>
      </x:c>
      <x:c r="R327" s="53" t="n">
        <x:v>75</x:v>
      </x:c>
      <x:c r="S327" s="53" t="n">
        <x:v>100</x:v>
      </x:c>
      <x:c r="T327" s="53" t="str">
        <x:v>default:higher_is_better_pct</x:v>
      </x:c>
      <x:c r="U327" s="14" t="str">
        <x:v>Legacy-Werte bleiben nur als historische Rechenhilfe erhalten und werden nicht für den FinalScore verwendet.</x:v>
      </x:c>
    </x:row>
    <x:row r="328" ht="42" customHeight="1">
      <x:c r="A328" s="14" t="str">
        <x:v>WOK-POL-106</x:v>
      </x:c>
      <x:c r="B328" s="14" t="str">
        <x:v>C20</x:v>
      </x:c>
      <x:c r="C328" s="14" t="str">
        <x:v>Legacy / Migration auf NACE Rev. 2.1 offen</x:v>
      </x:c>
      <x:c r="D328" s="14" t="str">
        <x:v>EU</x:v>
      </x:c>
      <x:c r="E328" s="14"/>
      <x:c r="F328" s="14" t="str">
        <x:v>% Aktivitäten</x:v>
      </x:c>
      <x:c r="G328" s="14" t="str">
        <x:v>higher_is_better</x:v>
      </x:c>
      <x:c r="H328" s="14" t="str">
        <x:v>R25</x:v>
      </x:c>
      <x:c r="I328" s="14" t="str">
        <x:v>Optional/Nein</x:v>
      </x:c>
      <x:c r="J328" s="51"/>
      <x:c r="K328" s="51"/>
      <x:c r="L328" s="51"/>
      <x:c r="M328" s="51"/>
      <x:c r="N328" s="51"/>
      <x:c r="O328" s="54"/>
      <x:c r="P328" s="51" t="str">
        <x:v>Optional – kein aktiver Benchmark</x:v>
      </x:c>
      <x:c r="Q328" s="53" t="n">
        <x:v>50</x:v>
      </x:c>
      <x:c r="R328" s="53" t="n">
        <x:v>75</x:v>
      </x:c>
      <x:c r="S328" s="53" t="n">
        <x:v>100</x:v>
      </x:c>
      <x:c r="T328" s="53" t="str">
        <x:v>default:higher_is_better_pct</x:v>
      </x:c>
      <x:c r="U328" s="14" t="str">
        <x:v>Legacy-Werte bleiben nur als historische Rechenhilfe erhalten und werden nicht für den FinalScore verwendet.</x:v>
      </x:c>
    </x:row>
    <x:row r="329" ht="42" customHeight="1">
      <x:c r="A329" s="14" t="str">
        <x:v>WOK-E-179</x:v>
      </x:c>
      <x:c r="B329" s="14" t="str">
        <x:v>C20</x:v>
      </x:c>
      <x:c r="C329" s="14" t="str">
        <x:v>Legacy / Migration auf NACE Rev. 2.1 offen</x:v>
      </x:c>
      <x:c r="D329" s="14" t="str">
        <x:v>EU</x:v>
      </x:c>
      <x:c r="E329" s="14"/>
      <x:c r="F329" s="14" t="str">
        <x:v>t CO₂e/Jahr</x:v>
      </x:c>
      <x:c r="G329" s="14" t="str">
        <x:v>lower_is_better</x:v>
      </x:c>
      <x:c r="H329" s="14" t="str">
        <x:v>R04</x:v>
      </x:c>
      <x:c r="I329" s="14" t="str">
        <x:v>Ja</x:v>
      </x:c>
      <x:c r="J329" s="51"/>
      <x:c r="K329" s="51"/>
      <x:c r="L329" s="51"/>
      <x:c r="M329" s="51"/>
      <x:c r="N329" s="51"/>
      <x:c r="O329" s="54"/>
      <x:c r="P329" s="51" t="str">
        <x:v>Offen – SBTi/Benchmarkprüfung fehlt</x:v>
      </x:c>
      <x:c r="Q329" s="53" t="n">
        <x:v>1</x:v>
      </x:c>
      <x:c r="R329" s="53" t="n">
        <x:v>1.5</x:v>
      </x:c>
      <x:c r="S329" s="53" t="n">
        <x:v>2.5</x:v>
      </x:c>
      <x:c r="T329" s="53" t="str">
        <x:v>default:lower_is_better_abs</x:v>
      </x:c>
      <x:c r="U329" s="14" t="str">
        <x:v>SBTi-Validierung, tatsächliche Zielpfadleistung und Branchenreferenz getrennt nachweisen.</x:v>
      </x:c>
    </x:row>
    <x:row r="330" ht="42" customHeight="1">
      <x:c r="A330" s="14" t="str">
        <x:v>WOK-E-180</x:v>
      </x:c>
      <x:c r="B330" s="14" t="str">
        <x:v>C20</x:v>
      </x:c>
      <x:c r="C330" s="14" t="str">
        <x:v>Legacy / Migration auf NACE Rev. 2.1 offen</x:v>
      </x:c>
      <x:c r="D330" s="14" t="str">
        <x:v>EU</x:v>
      </x:c>
      <x:c r="E330" s="14"/>
      <x:c r="F330" s="14" t="str">
        <x:v>t CO₂e/Jahr</x:v>
      </x:c>
      <x:c r="G330" s="14" t="str">
        <x:v>lower_is_better</x:v>
      </x:c>
      <x:c r="H330" s="14" t="str">
        <x:v>R04</x:v>
      </x:c>
      <x:c r="I330" s="14" t="str">
        <x:v>Ja</x:v>
      </x:c>
      <x:c r="J330" s="51"/>
      <x:c r="K330" s="51"/>
      <x:c r="L330" s="51"/>
      <x:c r="M330" s="51"/>
      <x:c r="N330" s="51"/>
      <x:c r="O330" s="54"/>
      <x:c r="P330" s="51" t="str">
        <x:v>Offen – SBTi/Benchmarkprüfung fehlt</x:v>
      </x:c>
      <x:c r="Q330" s="53" t="n">
        <x:v>1</x:v>
      </x:c>
      <x:c r="R330" s="53" t="n">
        <x:v>1.5</x:v>
      </x:c>
      <x:c r="S330" s="53" t="n">
        <x:v>2.5</x:v>
      </x:c>
      <x:c r="T330" s="53" t="str">
        <x:v>default:lower_is_better_abs</x:v>
      </x:c>
      <x:c r="U330" s="14" t="str">
        <x:v>SBTi-Validierung, tatsächliche Zielpfadleistung und Branchenreferenz getrennt nachweisen.</x:v>
      </x:c>
    </x:row>
    <x:row r="331" ht="42" customHeight="1">
      <x:c r="A331" s="14" t="str">
        <x:v>WOK-E-181</x:v>
      </x:c>
      <x:c r="B331" s="14" t="str">
        <x:v>C20</x:v>
      </x:c>
      <x:c r="C331" s="14" t="str">
        <x:v>Legacy / Migration auf NACE Rev. 2.1 offen</x:v>
      </x:c>
      <x:c r="D331" s="14" t="str">
        <x:v>EU</x:v>
      </x:c>
      <x:c r="E331" s="14"/>
      <x:c r="F331" s="14" t="str">
        <x:v>t CO₂e/€ Mio bzw. t</x:v>
      </x:c>
      <x:c r="G331" s="14" t="str">
        <x:v>lower_is_better</x:v>
      </x:c>
      <x:c r="H331" s="14" t="str">
        <x:v>R06</x:v>
      </x:c>
      <x:c r="I331" s="14" t="str">
        <x:v>Ja</x:v>
      </x:c>
      <x:c r="J331" s="51"/>
      <x:c r="K331" s="51"/>
      <x:c r="L331" s="51"/>
      <x:c r="M331" s="51"/>
      <x:c r="N331" s="51"/>
      <x:c r="O331" s="54"/>
      <x:c r="P331" s="51" t="str">
        <x:v>Offen – validierter Benchmark fehlt</x:v>
      </x:c>
      <x:c r="Q331" s="53" t="n">
        <x:v>1</x:v>
      </x:c>
      <x:c r="R331" s="53" t="n">
        <x:v>1.5</x:v>
      </x:c>
      <x:c r="S331" s="53" t="n">
        <x:v>2.5</x:v>
      </x:c>
      <x:c r="T331" s="53" t="str">
        <x:v>default:lower_is_better_abs</x:v>
      </x:c>
      <x:c r="U331" s="14" t="str">
        <x:v>Vor Aktivierung repräsentative Population, Region, Technologieklasse, Statistik, Quelle und Gültigkeitszeitraum dokumentieren.</x:v>
      </x:c>
    </x:row>
    <x:row r="332" ht="42" customHeight="1">
      <x:c r="A332" s="14" t="str">
        <x:v>WOK-SC-128</x:v>
      </x:c>
      <x:c r="B332" s="14" t="str">
        <x:v>C20</x:v>
      </x:c>
      <x:c r="C332" s="14" t="str">
        <x:v>Legacy / Migration auf NACE Rev. 2.1 offen</x:v>
      </x:c>
      <x:c r="D332" s="14" t="str">
        <x:v>EU</x:v>
      </x:c>
      <x:c r="E332" s="14"/>
      <x:c r="F332" s="14" t="str">
        <x:v>%</x:v>
      </x:c>
      <x:c r="G332" s="14" t="str">
        <x:v>higher_is_better</x:v>
      </x:c>
      <x:c r="H332" s="14" t="str">
        <x:v>R26</x:v>
      </x:c>
      <x:c r="I332" s="14" t="str">
        <x:v>Optional/Nein</x:v>
      </x:c>
      <x:c r="J332" s="51"/>
      <x:c r="K332" s="51"/>
      <x:c r="L332" s="51"/>
      <x:c r="M332" s="51"/>
      <x:c r="N332" s="51"/>
      <x:c r="O332" s="54"/>
      <x:c r="P332" s="51" t="str">
        <x:v>Optional – kein aktiver Benchmark</x:v>
      </x:c>
      <x:c r="Q332" s="53" t="n">
        <x:v>59.5</x:v>
      </x:c>
      <x:c r="R332" s="53" t="n">
        <x:v>89.25</x:v>
      </x:c>
      <x:c r="S332" s="53" t="n">
        <x:v>100</x:v>
      </x:c>
      <x:c r="T332" s="53" t="str">
        <x:v>threshold:0-class</x:v>
      </x:c>
      <x:c r="U332" s="14" t="str">
        <x:v>Legacy-Werte bleiben nur als historische Rechenhilfe erhalten und werden nicht für den FinalScore verwendet.</x:v>
      </x:c>
    </x:row>
    <x:row r="333" ht="42" customHeight="1">
      <x:c r="A333" s="14" t="str">
        <x:v>WOK-SC-129</x:v>
      </x:c>
      <x:c r="B333" s="14" t="str">
        <x:v>C20</x:v>
      </x:c>
      <x:c r="C333" s="14" t="str">
        <x:v>Legacy / Migration auf NACE Rev. 2.1 offen</x:v>
      </x:c>
      <x:c r="D333" s="14" t="str">
        <x:v>EU</x:v>
      </x:c>
      <x:c r="E333" s="14"/>
      <x:c r="F333" s="14" t="str">
        <x:v>% Lieferanten</x:v>
      </x:c>
      <x:c r="G333" s="14" t="str">
        <x:v>higher_is_better</x:v>
      </x:c>
      <x:c r="H333" s="14" t="str">
        <x:v>R28</x:v>
      </x:c>
      <x:c r="I333" s="14" t="str">
        <x:v>Optional/Nein</x:v>
      </x:c>
      <x:c r="J333" s="51"/>
      <x:c r="K333" s="51"/>
      <x:c r="L333" s="51"/>
      <x:c r="M333" s="51"/>
      <x:c r="N333" s="51"/>
      <x:c r="O333" s="54"/>
      <x:c r="P333" s="51" t="str">
        <x:v>Optional – kein aktiver Benchmark</x:v>
      </x:c>
      <x:c r="Q333" s="53" t="n">
        <x:v>82</x:v>
      </x:c>
      <x:c r="R333" s="53" t="n">
        <x:v>100</x:v>
      </x:c>
      <x:c r="S333" s="53" t="n">
        <x:v>100</x:v>
      </x:c>
      <x:c r="T333" s="53" t="str">
        <x:v>threshold:0-class</x:v>
      </x:c>
      <x:c r="U333" s="14" t="str">
        <x:v>Legacy-Werte bleiben nur als historische Rechenhilfe erhalten und werden nicht für den FinalScore verwendet.</x:v>
      </x:c>
    </x:row>
    <x:row r="334" ht="42" customHeight="1">
      <x:c r="A334" s="14" t="str">
        <x:v>WOK-SC-130</x:v>
      </x:c>
      <x:c r="B334" s="14" t="str">
        <x:v>C20</x:v>
      </x:c>
      <x:c r="C334" s="14" t="str">
        <x:v>Legacy / Migration auf NACE Rev. 2.1 offen</x:v>
      </x:c>
      <x:c r="D334" s="14" t="str">
        <x:v>EU</x:v>
      </x:c>
      <x:c r="E334" s="14"/>
      <x:c r="F334" s="14" t="str">
        <x:v>% Kategorien</x:v>
      </x:c>
      <x:c r="G334" s="14" t="str">
        <x:v>higher_is_better</x:v>
      </x:c>
      <x:c r="H334" s="14" t="str">
        <x:v>R23</x:v>
      </x:c>
      <x:c r="I334" s="14" t="str">
        <x:v>Optional/Nein</x:v>
      </x:c>
      <x:c r="J334" s="51"/>
      <x:c r="K334" s="51"/>
      <x:c r="L334" s="51"/>
      <x:c r="M334" s="51"/>
      <x:c r="N334" s="51"/>
      <x:c r="O334" s="54"/>
      <x:c r="P334" s="51" t="str">
        <x:v>Optional – kein aktiver Benchmark</x:v>
      </x:c>
      <x:c r="Q334" s="53" t="n">
        <x:v>49.5</x:v>
      </x:c>
      <x:c r="R334" s="53" t="n">
        <x:v>74.25</x:v>
      </x:c>
      <x:c r="S334" s="53" t="n">
        <x:v>100</x:v>
      </x:c>
      <x:c r="T334" s="53" t="str">
        <x:v>threshold:0-class</x:v>
      </x:c>
      <x:c r="U334" s="14" t="str">
        <x:v>Legacy-Werte bleiben nur als historische Rechenhilfe erhalten und werden nicht für den FinalScore verwendet.</x:v>
      </x:c>
    </x:row>
    <x:row r="335" ht="42" customHeight="1">
      <x:c r="A335" s="14" t="str">
        <x:v>WOK-E-182</x:v>
      </x:c>
      <x:c r="B335" s="14" t="str">
        <x:v>G47</x:v>
      </x:c>
      <x:c r="C335" s="14" t="str">
        <x:v>Legacy / Migration auf NACE Rev. 2.1 offen</x:v>
      </x:c>
      <x:c r="D335" s="14" t="str">
        <x:v>EU</x:v>
      </x:c>
      <x:c r="E335" s="14"/>
      <x:c r="F335" s="14" t="str">
        <x:v>g CO₂e/kWh</x:v>
      </x:c>
      <x:c r="G335" s="14" t="str">
        <x:v>lower_is_better</x:v>
      </x:c>
      <x:c r="H335" s="14" t="str">
        <x:v>R10</x:v>
      </x:c>
      <x:c r="I335" s="14" t="str">
        <x:v>Optional/Nein</x:v>
      </x:c>
      <x:c r="J335" s="51"/>
      <x:c r="K335" s="51"/>
      <x:c r="L335" s="51"/>
      <x:c r="M335" s="51"/>
      <x:c r="N335" s="51"/>
      <x:c r="O335" s="54"/>
      <x:c r="P335" s="51" t="str">
        <x:v>Optional – kein aktiver Benchmark</x:v>
      </x:c>
      <x:c r="Q335" s="53" t="n">
        <x:v>175.5</x:v>
      </x:c>
      <x:c r="R335" s="53" t="n">
        <x:v>263.25</x:v>
      </x:c>
      <x:c r="S335" s="53" t="n">
        <x:v>438.75</x:v>
      </x:c>
      <x:c r="T335" s="53" t="str">
        <x:v>threshold:0-class</x:v>
      </x:c>
      <x:c r="U335" s="14" t="str">
        <x:v>Legacy-Werte bleiben nur als historische Rechenhilfe erhalten und werden nicht für den FinalScore verwendet.</x:v>
      </x:c>
    </x:row>
    <x:row r="336" ht="42" customHeight="1">
      <x:c r="A336" s="14" t="str">
        <x:v>WOK-E-183</x:v>
      </x:c>
      <x:c r="B336" s="14" t="str">
        <x:v>G47</x:v>
      </x:c>
      <x:c r="C336" s="14" t="str">
        <x:v>Legacy / Migration auf NACE Rev. 2.1 offen</x:v>
      </x:c>
      <x:c r="D336" s="14" t="str">
        <x:v>EU</x:v>
      </x:c>
      <x:c r="E336" s="14"/>
      <x:c r="F336" s="14" t="str">
        <x:v>% Aktivitäten</x:v>
      </x:c>
      <x:c r="G336" s="14" t="str">
        <x:v>higher_is_better</x:v>
      </x:c>
      <x:c r="H336" s="14" t="str">
        <x:v>R25</x:v>
      </x:c>
      <x:c r="I336" s="14" t="str">
        <x:v>Optional/Nein</x:v>
      </x:c>
      <x:c r="J336" s="51"/>
      <x:c r="K336" s="51"/>
      <x:c r="L336" s="51"/>
      <x:c r="M336" s="51"/>
      <x:c r="N336" s="51"/>
      <x:c r="O336" s="54"/>
      <x:c r="P336" s="51" t="str">
        <x:v>Optional – kein aktiver Benchmark</x:v>
      </x:c>
      <x:c r="Q336" s="53" t="n">
        <x:v>50</x:v>
      </x:c>
      <x:c r="R336" s="53" t="n">
        <x:v>75</x:v>
      </x:c>
      <x:c r="S336" s="53" t="n">
        <x:v>100</x:v>
      </x:c>
      <x:c r="T336" s="53" t="str">
        <x:v>default:higher_is_better_pct</x:v>
      </x:c>
      <x:c r="U336" s="14" t="str">
        <x:v>Legacy-Werte bleiben nur als historische Rechenhilfe erhalten und werden nicht für den FinalScore verwendet.</x:v>
      </x:c>
    </x:row>
    <x:row r="337" ht="42" customHeight="1">
      <x:c r="A337" s="14" t="str">
        <x:v>WOK-E-184</x:v>
      </x:c>
      <x:c r="B337" s="14" t="str">
        <x:v>G47</x:v>
      </x:c>
      <x:c r="C337" s="14" t="str">
        <x:v>Legacy / Migration auf NACE Rev. 2.1 offen</x:v>
      </x:c>
      <x:c r="D337" s="14" t="str">
        <x:v>EU</x:v>
      </x:c>
      <x:c r="E337" s="14"/>
      <x:c r="F337" s="14" t="str">
        <x:v>% Aktivitäten</x:v>
      </x:c>
      <x:c r="G337" s="14" t="str">
        <x:v>higher_is_better</x:v>
      </x:c>
      <x:c r="H337" s="14" t="str">
        <x:v>R25</x:v>
      </x:c>
      <x:c r="I337" s="14" t="str">
        <x:v>Optional/Nein</x:v>
      </x:c>
      <x:c r="J337" s="51"/>
      <x:c r="K337" s="51"/>
      <x:c r="L337" s="51"/>
      <x:c r="M337" s="51"/>
      <x:c r="N337" s="51"/>
      <x:c r="O337" s="54"/>
      <x:c r="P337" s="51" t="str">
        <x:v>Optional – kein aktiver Benchmark</x:v>
      </x:c>
      <x:c r="Q337" s="53" t="n">
        <x:v>50</x:v>
      </x:c>
      <x:c r="R337" s="53" t="n">
        <x:v>75</x:v>
      </x:c>
      <x:c r="S337" s="53" t="n">
        <x:v>100</x:v>
      </x:c>
      <x:c r="T337" s="53" t="str">
        <x:v>default:higher_is_better_pct</x:v>
      </x:c>
      <x:c r="U337" s="14" t="str">
        <x:v>Legacy-Werte bleiben nur als historische Rechenhilfe erhalten und werden nicht für den FinalScore verwendet.</x:v>
      </x:c>
    </x:row>
    <x:row r="338" ht="42" customHeight="1">
      <x:c r="A338" s="14" t="str">
        <x:v>WOK-E-185</x:v>
      </x:c>
      <x:c r="B338" s="14" t="str">
        <x:v>C20</x:v>
      </x:c>
      <x:c r="C338" s="14" t="str">
        <x:v>Legacy / Migration auf NACE Rev. 2.1 offen</x:v>
      </x:c>
      <x:c r="D338" s="14" t="str">
        <x:v>EU</x:v>
      </x:c>
      <x:c r="E338" s="14"/>
      <x:c r="F338" s="14" t="str">
        <x:v>%</x:v>
      </x:c>
      <x:c r="G338" s="14" t="str">
        <x:v>higher_is_better</x:v>
      </x:c>
      <x:c r="H338" s="14" t="str">
        <x:v>R25</x:v>
      </x:c>
      <x:c r="I338" s="14" t="str">
        <x:v>Optional/Nein</x:v>
      </x:c>
      <x:c r="J338" s="51"/>
      <x:c r="K338" s="51"/>
      <x:c r="L338" s="51"/>
      <x:c r="M338" s="51"/>
      <x:c r="N338" s="51"/>
      <x:c r="O338" s="54"/>
      <x:c r="P338" s="51" t="str">
        <x:v>Optional – kein aktiver Benchmark</x:v>
      </x:c>
      <x:c r="Q338" s="53" t="n">
        <x:v>50</x:v>
      </x:c>
      <x:c r="R338" s="53" t="n">
        <x:v>75</x:v>
      </x:c>
      <x:c r="S338" s="53" t="n">
        <x:v>100</x:v>
      </x:c>
      <x:c r="T338" s="53" t="str">
        <x:v>default:higher_is_better_pct</x:v>
      </x:c>
      <x:c r="U338" s="14" t="str">
        <x:v>Legacy-Werte bleiben nur als historische Rechenhilfe erhalten und werden nicht für den FinalScore verwendet.</x:v>
      </x:c>
    </x:row>
    <x:row r="339" ht="42" customHeight="1">
      <x:c r="A339" s="14" t="str">
        <x:v>WOK-E-186</x:v>
      </x:c>
      <x:c r="B339" s="14" t="str">
        <x:v>C20</x:v>
      </x:c>
      <x:c r="C339" s="14" t="str">
        <x:v>Legacy / Migration auf NACE Rev. 2.1 offen</x:v>
      </x:c>
      <x:c r="D339" s="14" t="str">
        <x:v>EU</x:v>
      </x:c>
      <x:c r="E339" s="14"/>
      <x:c r="F339" s="14" t="str">
        <x:v>kWh/€ Mio bzw. kWh/t</x:v>
      </x:c>
      <x:c r="G339" s="14" t="str">
        <x:v>lower_is_better</x:v>
      </x:c>
      <x:c r="H339" s="14" t="str">
        <x:v>R06</x:v>
      </x:c>
      <x:c r="I339" s="14" t="str">
        <x:v>Ja</x:v>
      </x:c>
      <x:c r="J339" s="51"/>
      <x:c r="K339" s="51"/>
      <x:c r="L339" s="51"/>
      <x:c r="M339" s="51"/>
      <x:c r="N339" s="51"/>
      <x:c r="O339" s="54"/>
      <x:c r="P339" s="51" t="str">
        <x:v>Offen – validierter Benchmark fehlt</x:v>
      </x:c>
      <x:c r="Q339" s="53" t="n">
        <x:v>1</x:v>
      </x:c>
      <x:c r="R339" s="53" t="n">
        <x:v>1.5</x:v>
      </x:c>
      <x:c r="S339" s="53" t="n">
        <x:v>2.5</x:v>
      </x:c>
      <x:c r="T339" s="53" t="str">
        <x:v>default:lower_is_better_abs</x:v>
      </x:c>
      <x:c r="U339" s="14" t="str">
        <x:v>Vor Aktivierung repräsentative Population, Region, Technologieklasse, Statistik, Quelle und Gültigkeitszeitraum dokumentieren.</x:v>
      </x:c>
    </x:row>
    <x:row r="340" ht="42" customHeight="1">
      <x:c r="A340" s="14" t="str">
        <x:v>WOK-E-187</x:v>
      </x:c>
      <x:c r="B340" s="14" t="str">
        <x:v>C20</x:v>
      </x:c>
      <x:c r="C340" s="14" t="str">
        <x:v>Legacy / Migration auf NACE Rev. 2.1 offen</x:v>
      </x:c>
      <x:c r="D340" s="14" t="str">
        <x:v>EU</x:v>
      </x:c>
      <x:c r="E340" s="14"/>
      <x:c r="F340" s="14" t="str">
        <x:v>PUE</x:v>
      </x:c>
      <x:c r="G340" s="14" t="str">
        <x:v>lower_is_better</x:v>
      </x:c>
      <x:c r="H340" s="14" t="str">
        <x:v>R09</x:v>
      </x:c>
      <x:c r="I340" s="14" t="str">
        <x:v>Optional/Nein</x:v>
      </x:c>
      <x:c r="J340" s="51"/>
      <x:c r="K340" s="51"/>
      <x:c r="L340" s="51"/>
      <x:c r="M340" s="51"/>
      <x:c r="N340" s="51"/>
      <x:c r="O340" s="54"/>
      <x:c r="P340" s="51" t="str">
        <x:v>Optional – kein aktiver Benchmark</x:v>
      </x:c>
      <x:c r="Q340" s="53" t="n">
        <x:v>1.505</x:v>
      </x:c>
      <x:c r="R340" s="53" t="n">
        <x:v>2.2575</x:v>
      </x:c>
      <x:c r="S340" s="53" t="n">
        <x:v>3.7625</x:v>
      </x:c>
      <x:c r="T340" s="53" t="str">
        <x:v>threshold:0-class</x:v>
      </x:c>
      <x:c r="U340" s="14" t="str">
        <x:v>Legacy-Werte bleiben nur als historische Rechenhilfe erhalten und werden nicht für den FinalScore verwendet.</x:v>
      </x:c>
    </x:row>
    <x:row r="341" ht="42" customHeight="1">
      <x:c r="A341" s="14" t="str">
        <x:v>WOK-P-125</x:v>
      </x:c>
      <x:c r="B341" s="14" t="str">
        <x:v>C20</x:v>
      </x:c>
      <x:c r="C341" s="14" t="str">
        <x:v>Legacy / Migration auf NACE Rev. 2.1 offen</x:v>
      </x:c>
      <x:c r="D341" s="14" t="str">
        <x:v>EU</x:v>
      </x:c>
      <x:c r="E341" s="14"/>
      <x:c r="F341" s="14" t="str">
        <x:v>kg CO₂e/Einheit</x:v>
      </x:c>
      <x:c r="G341" s="14" t="str">
        <x:v>lower_is_better</x:v>
      </x:c>
      <x:c r="H341" s="14" t="str">
        <x:v>R07</x:v>
      </x:c>
      <x:c r="I341" s="14" t="str">
        <x:v>Ja</x:v>
      </x:c>
      <x:c r="J341" s="51"/>
      <x:c r="K341" s="51"/>
      <x:c r="L341" s="51"/>
      <x:c r="M341" s="51"/>
      <x:c r="N341" s="51"/>
      <x:c r="O341" s="54"/>
      <x:c r="P341" s="51" t="str">
        <x:v>Offen – validierter Benchmark fehlt</x:v>
      </x:c>
      <x:c r="Q341" s="53" t="n">
        <x:v>1</x:v>
      </x:c>
      <x:c r="R341" s="53" t="n">
        <x:v>1.5</x:v>
      </x:c>
      <x:c r="S341" s="53" t="n">
        <x:v>2.5</x:v>
      </x:c>
      <x:c r="T341" s="53" t="str">
        <x:v>default:lower_is_better_abs</x:v>
      </x:c>
      <x:c r="U341" s="14" t="str">
        <x:v>Vor Aktivierung repräsentative Population, Region, Technologieklasse, Statistik, Quelle und Gültigkeitszeitraum dokumentieren.</x:v>
      </x:c>
    </x:row>
    <x:row r="342" ht="42" customHeight="1">
      <x:c r="A342" s="14" t="str">
        <x:v>WOK-P-126</x:v>
      </x:c>
      <x:c r="B342" s="14" t="str">
        <x:v>C20</x:v>
      </x:c>
      <x:c r="C342" s="14" t="str">
        <x:v>Legacy / Migration auf NACE Rev. 2.1 offen</x:v>
      </x:c>
      <x:c r="D342" s="14" t="str">
        <x:v>EU</x:v>
      </x:c>
      <x:c r="E342" s="14"/>
      <x:c r="F342" s="14" t="str">
        <x:v>Score 0–10</x:v>
      </x:c>
      <x:c r="G342" s="14" t="str">
        <x:v>higher_is_better</x:v>
      </x:c>
      <x:c r="H342" s="14" t="str">
        <x:v>R24</x:v>
      </x:c>
      <x:c r="I342" s="14" t="str">
        <x:v>Optional/Nein</x:v>
      </x:c>
      <x:c r="J342" s="51"/>
      <x:c r="K342" s="51"/>
      <x:c r="L342" s="51"/>
      <x:c r="M342" s="51"/>
      <x:c r="N342" s="51"/>
      <x:c r="O342" s="54"/>
      <x:c r="P342" s="51" t="str">
        <x:v>Optional – kein aktiver Benchmark</x:v>
      </x:c>
      <x:c r="Q342" s="53" t="n">
        <x:v>4.95</x:v>
      </x:c>
      <x:c r="R342" s="53" t="n">
        <x:v>1</x:v>
      </x:c>
      <x:c r="S342" s="53" t="n">
        <x:v>1</x:v>
      </x:c>
      <x:c r="T342" s="53" t="str">
        <x:v>threshold:0-class</x:v>
      </x:c>
      <x:c r="U342" s="14" t="str">
        <x:v>Legacy-Werte bleiben nur als historische Rechenhilfe erhalten und werden nicht für den FinalScore verwendet.</x:v>
      </x:c>
    </x:row>
    <x:row r="343" ht="42" customHeight="1">
      <x:c r="A343" s="14" t="str">
        <x:v>WOK-P-127</x:v>
      </x:c>
      <x:c r="B343" s="14" t="str">
        <x:v>C20</x:v>
      </x:c>
      <x:c r="C343" s="14" t="str">
        <x:v>Legacy / Migration auf NACE Rev. 2.1 offen</x:v>
      </x:c>
      <x:c r="D343" s="14" t="str">
        <x:v>EU</x:v>
      </x:c>
      <x:c r="E343" s="14"/>
      <x:c r="F343" s="14" t="str">
        <x:v>%</x:v>
      </x:c>
      <x:c r="G343" s="14" t="str">
        <x:v>higher_is_better</x:v>
      </x:c>
      <x:c r="H343" s="14" t="str">
        <x:v>R22</x:v>
      </x:c>
      <x:c r="I343" s="14" t="str">
        <x:v>Optional/Nein</x:v>
      </x:c>
      <x:c r="J343" s="51"/>
      <x:c r="K343" s="51"/>
      <x:c r="L343" s="51"/>
      <x:c r="M343" s="51"/>
      <x:c r="N343" s="51"/>
      <x:c r="O343" s="54"/>
      <x:c r="P343" s="51" t="str">
        <x:v>Optional – kein aktiver Benchmark</x:v>
      </x:c>
      <x:c r="Q343" s="53" t="n">
        <x:v>39.5</x:v>
      </x:c>
      <x:c r="R343" s="53" t="n">
        <x:v>59.25</x:v>
      </x:c>
      <x:c r="S343" s="53" t="n">
        <x:v>98.75</x:v>
      </x:c>
      <x:c r="T343" s="53" t="str">
        <x:v>threshold:0-class</x:v>
      </x:c>
      <x:c r="U343" s="14" t="str">
        <x:v>Legacy-Werte bleiben nur als historische Rechenhilfe erhalten und werden nicht für den FinalScore verwendet.</x:v>
      </x:c>
    </x:row>
    <x:row r="344" ht="42" customHeight="1">
      <x:c r="A344" s="14" t="str">
        <x:v>WOK-G-164</x:v>
      </x:c>
      <x:c r="B344" s="14" t="str">
        <x:v>G47</x:v>
      </x:c>
      <x:c r="C344" s="14" t="str">
        <x:v>Legacy / Migration auf NACE Rev. 2.1 offen</x:v>
      </x:c>
      <x:c r="D344" s="14" t="str">
        <x:v>EU</x:v>
      </x:c>
      <x:c r="E344" s="14"/>
      <x:c r="F344" s="14" t="str">
        <x:v>Fälle/1.000 FTE</x:v>
      </x:c>
      <x:c r="G344" s="14" t="str">
        <x:v>lower_is_better</x:v>
      </x:c>
      <x:c r="H344" s="14" t="str">
        <x:v>R01</x:v>
      </x:c>
      <x:c r="I344" s="14" t="str">
        <x:v>Optional/Nein</x:v>
      </x:c>
      <x:c r="J344" s="51"/>
      <x:c r="K344" s="51"/>
      <x:c r="L344" s="51"/>
      <x:c r="M344" s="51"/>
      <x:c r="N344" s="51"/>
      <x:c r="O344" s="54"/>
      <x:c r="P344" s="51" t="str">
        <x:v>Optional – kein aktiver Benchmark</x:v>
      </x:c>
      <x:c r="Q344" s="53" t="n">
        <x:v>0.5</x:v>
      </x:c>
      <x:c r="R344" s="53" t="n">
        <x:v>0.75</x:v>
      </x:c>
      <x:c r="S344" s="53" t="n">
        <x:v>1.25</x:v>
      </x:c>
      <x:c r="T344" s="53" t="str">
        <x:v>threshold:0-class</x:v>
      </x:c>
      <x:c r="U344" s="14" t="str">
        <x:v>Legacy-Werte bleiben nur als historische Rechenhilfe erhalten und werden nicht für den FinalScore verwendet.</x:v>
      </x:c>
    </x:row>
    <x:row r="345" ht="42" customHeight="1">
      <x:c r="A345" s="14" t="str">
        <x:v>WOK-G-165</x:v>
      </x:c>
      <x:c r="B345" s="14" t="str">
        <x:v>G47</x:v>
      </x:c>
      <x:c r="C345" s="14" t="str">
        <x:v>Legacy / Migration auf NACE Rev. 2.1 offen</x:v>
      </x:c>
      <x:c r="D345" s="14" t="str">
        <x:v>EU</x:v>
      </x:c>
      <x:c r="E345" s="14"/>
      <x:c r="F345" s="14" t="str">
        <x:v>0–1</x:v>
      </x:c>
      <x:c r="G345" s="14" t="str">
        <x:v>higher_is_better</x:v>
      </x:c>
      <x:c r="H345" s="14" t="str">
        <x:v>R16</x:v>
      </x:c>
      <x:c r="I345" s="14" t="str">
        <x:v>Optional/Nein</x:v>
      </x:c>
      <x:c r="J345" s="51"/>
      <x:c r="K345" s="51"/>
      <x:c r="L345" s="51"/>
      <x:c r="M345" s="51"/>
      <x:c r="N345" s="51"/>
      <x:c r="O345" s="54"/>
      <x:c r="P345" s="51" t="str">
        <x:v>Optional – kein aktiver Benchmark</x:v>
      </x:c>
      <x:c r="Q345" s="53" t="n">
        <x:v>0.6699999999999999</x:v>
      </x:c>
      <x:c r="R345" s="53" t="n">
        <x:v>1</x:v>
      </x:c>
      <x:c r="S345" s="53" t="n">
        <x:v>1</x:v>
      </x:c>
      <x:c r="T345" s="53" t="str">
        <x:v>threshold:0-class</x:v>
      </x:c>
      <x:c r="U345" s="14" t="str">
        <x:v>Legacy-Werte bleiben nur als historische Rechenhilfe erhalten und werden nicht für den FinalScore verwendet.</x:v>
      </x:c>
    </x:row>
    <x:row r="346" ht="42" customHeight="1">
      <x:c r="A346" s="14" t="str">
        <x:v>WOK-G-166</x:v>
      </x:c>
      <x:c r="B346" s="14" t="str">
        <x:v>G47</x:v>
      </x:c>
      <x:c r="C346" s="14" t="str">
        <x:v>Legacy / Migration auf NACE Rev. 2.1 offen</x:v>
      </x:c>
      <x:c r="D346" s="14" t="str">
        <x:v>EU</x:v>
      </x:c>
      <x:c r="E346" s="14"/>
      <x:c r="F346" s="14" t="str">
        <x:v>0–1</x:v>
      </x:c>
      <x:c r="G346" s="14" t="str">
        <x:v>higher_is_better</x:v>
      </x:c>
      <x:c r="H346" s="14" t="str">
        <x:v>R08</x:v>
      </x:c>
      <x:c r="I346" s="14" t="str">
        <x:v>Optional/Nein</x:v>
      </x:c>
      <x:c r="J346" s="51"/>
      <x:c r="K346" s="51"/>
      <x:c r="L346" s="51"/>
      <x:c r="M346" s="51"/>
      <x:c r="N346" s="51"/>
      <x:c r="O346" s="54"/>
      <x:c r="P346" s="51" t="str">
        <x:v>Optional – kein aktiver Benchmark</x:v>
      </x:c>
      <x:c r="Q346" s="53" t="n">
        <x:v>0.5</x:v>
      </x:c>
      <x:c r="R346" s="53" t="n">
        <x:v>0.75</x:v>
      </x:c>
      <x:c r="S346" s="53" t="n">
        <x:v>0.9</x:v>
      </x:c>
      <x:c r="T346" s="53" t="str">
        <x:v>default:higher_is_better_abs</x:v>
      </x:c>
      <x:c r="U346" s="14" t="str">
        <x:v>Legacy-Werte bleiben nur als historische Rechenhilfe erhalten und werden nicht für den FinalScore verwendet.</x:v>
      </x:c>
    </x:row>
    <x:row r="347" ht="42" customHeight="1">
      <x:c r="A347" s="14" t="str">
        <x:v>WOK-SYS-137</x:v>
      </x:c>
      <x:c r="B347" s="14" t="str">
        <x:v>G47</x:v>
      </x:c>
      <x:c r="C347" s="14" t="str">
        <x:v>Legacy / Migration auf NACE Rev. 2.1 offen</x:v>
      </x:c>
      <x:c r="D347" s="14" t="str">
        <x:v>EU</x:v>
      </x:c>
      <x:c r="E347" s="14"/>
      <x:c r="F347" s="14" t="str">
        <x:v>0–1</x:v>
      </x:c>
      <x:c r="G347" s="14" t="str">
        <x:v>higher_is_better</x:v>
      </x:c>
      <x:c r="H347" s="14" t="str">
        <x:v>R15</x:v>
      </x:c>
      <x:c r="I347" s="14" t="str">
        <x:v>Optional/Nein</x:v>
      </x:c>
      <x:c r="J347" s="51"/>
      <x:c r="K347" s="51"/>
      <x:c r="L347" s="51"/>
      <x:c r="M347" s="51"/>
      <x:c r="N347" s="51"/>
      <x:c r="O347" s="54"/>
      <x:c r="P347" s="51" t="str">
        <x:v>Optional – kein aktiver Benchmark</x:v>
      </x:c>
      <x:c r="Q347" s="53" t="n">
        <x:v>0.645</x:v>
      </x:c>
      <x:c r="R347" s="53" t="n">
        <x:v>0.9675</x:v>
      </x:c>
      <x:c r="S347" s="53" t="n">
        <x:v>1</x:v>
      </x:c>
      <x:c r="T347" s="53" t="str">
        <x:v>threshold:0-class</x:v>
      </x:c>
      <x:c r="U347" s="14" t="str">
        <x:v>Legacy-Werte bleiben nur als historische Rechenhilfe erhalten und werden nicht für den FinalScore verwendet.</x:v>
      </x:c>
    </x:row>
    <x:row r="348" ht="42" customHeight="1">
      <x:c r="A348" s="14" t="str">
        <x:v>WOK-SYS-138</x:v>
      </x:c>
      <x:c r="B348" s="14" t="str">
        <x:v>G47</x:v>
      </x:c>
      <x:c r="C348" s="14" t="str">
        <x:v>Legacy / Migration auf NACE Rev. 2.1 offen</x:v>
      </x:c>
      <x:c r="D348" s="14" t="str">
        <x:v>EU</x:v>
      </x:c>
      <x:c r="E348" s="14"/>
      <x:c r="F348" s="14" t="str">
        <x:v>%</x:v>
      </x:c>
      <x:c r="G348" s="14" t="str">
        <x:v>lower_is_better</x:v>
      </x:c>
      <x:c r="H348" s="14" t="str">
        <x:v>R13</x:v>
      </x:c>
      <x:c r="I348" s="14" t="str">
        <x:v>Optional/Nein</x:v>
      </x:c>
      <x:c r="J348" s="51"/>
      <x:c r="K348" s="51"/>
      <x:c r="L348" s="51"/>
      <x:c r="M348" s="51"/>
      <x:c r="N348" s="51"/>
      <x:c r="O348" s="54"/>
      <x:c r="P348" s="51" t="str">
        <x:v>Optional – kein aktiver Benchmark</x:v>
      </x:c>
      <x:c r="Q348" s="53" t="n">
        <x:v>15.5</x:v>
      </x:c>
      <x:c r="R348" s="53" t="n">
        <x:v>23.25</x:v>
      </x:c>
      <x:c r="S348" s="53" t="n">
        <x:v>38.75</x:v>
      </x:c>
      <x:c r="T348" s="53" t="str">
        <x:v>threshold:0-class</x:v>
      </x:c>
      <x:c r="U348" s="14" t="str">
        <x:v>Legacy-Werte bleiben nur als historische Rechenhilfe erhalten und werden nicht für den FinalScore verwendet.</x:v>
      </x:c>
    </x:row>
    <x:row r="349" ht="42" customHeight="1">
      <x:c r="A349" s="14" t="str">
        <x:v>WOK-SYS-139</x:v>
      </x:c>
      <x:c r="B349" s="14" t="str">
        <x:v>G47</x:v>
      </x:c>
      <x:c r="C349" s="14" t="str">
        <x:v>Legacy / Migration auf NACE Rev. 2.1 offen</x:v>
      </x:c>
      <x:c r="D349" s="14" t="str">
        <x:v>EU</x:v>
      </x:c>
      <x:c r="E349" s="14"/>
      <x:c r="F349" s="14" t="str">
        <x:v>#/Jahr</x:v>
      </x:c>
      <x:c r="G349" s="14" t="str">
        <x:v>higher_is_better</x:v>
      </x:c>
      <x:c r="H349" s="14" t="str">
        <x:v>R20</x:v>
      </x:c>
      <x:c r="I349" s="14" t="str">
        <x:v>Optional/Nein</x:v>
      </x:c>
      <x:c r="J349" s="51"/>
      <x:c r="K349" s="51"/>
      <x:c r="L349" s="51"/>
      <x:c r="M349" s="51"/>
      <x:c r="N349" s="51"/>
      <x:c r="O349" s="54"/>
      <x:c r="P349" s="51" t="str">
        <x:v>Optional – kein aktiver Benchmark</x:v>
      </x:c>
      <x:c r="Q349" s="53" t="n">
        <x:v>1.5</x:v>
      </x:c>
      <x:c r="R349" s="53" t="n">
        <x:v>2.25</x:v>
      </x:c>
      <x:c r="S349" s="53" t="n">
        <x:v>3.75</x:v>
      </x:c>
      <x:c r="T349" s="53" t="str">
        <x:v>threshold:0-class</x:v>
      </x:c>
      <x:c r="U349" s="14" t="str">
        <x:v>Legacy-Werte bleiben nur als historische Rechenhilfe erhalten und werden nicht für den FinalScore verwendet.</x:v>
      </x:c>
    </x:row>
    <x:row r="350" ht="42" customHeight="1">
      <x:c r="A350" s="14" t="str">
        <x:v>WOK-E-188</x:v>
      </x:c>
      <x:c r="B350" s="14" t="str">
        <x:v>G47</x:v>
      </x:c>
      <x:c r="C350" s="14" t="str">
        <x:v>Legacy / Migration auf NACE Rev. 2.1 offen</x:v>
      </x:c>
      <x:c r="D350" s="14" t="str">
        <x:v>EU</x:v>
      </x:c>
      <x:c r="E350" s="14"/>
      <x:c r="F350" s="14" t="str">
        <x:v>% Umsatz</x:v>
      </x:c>
      <x:c r="G350" s="14" t="str">
        <x:v>higher_is_better</x:v>
      </x:c>
      <x:c r="H350" s="14" t="str">
        <x:v>R19</x:v>
      </x:c>
      <x:c r="I350" s="14" t="str">
        <x:v>Optional/Nein</x:v>
      </x:c>
      <x:c r="J350" s="51"/>
      <x:c r="K350" s="51"/>
      <x:c r="L350" s="51"/>
      <x:c r="M350" s="51"/>
      <x:c r="N350" s="51"/>
      <x:c r="O350" s="54"/>
      <x:c r="P350" s="51" t="str">
        <x:v>Optional – kein aktiver Benchmark</x:v>
      </x:c>
      <x:c r="Q350" s="53" t="n">
        <x:v>1.95</x:v>
      </x:c>
      <x:c r="R350" s="53" t="n">
        <x:v>2.925</x:v>
      </x:c>
      <x:c r="S350" s="53" t="n">
        <x:v>4.875</x:v>
      </x:c>
      <x:c r="T350" s="53" t="str">
        <x:v>threshold:0-class</x:v>
      </x:c>
      <x:c r="U350" s="14" t="str">
        <x:v>Legacy-Werte bleiben nur als historische Rechenhilfe erhalten und werden nicht für den FinalScore verwendet.</x:v>
      </x:c>
    </x:row>
    <x:row r="351" ht="42" customHeight="1">
      <x:c r="A351" s="14" t="str">
        <x:v>WOK-E-189</x:v>
      </x:c>
      <x:c r="B351" s="14" t="str">
        <x:v>G47</x:v>
      </x:c>
      <x:c r="C351" s="14" t="str">
        <x:v>Legacy / Migration auf NACE Rev. 2.1 offen</x:v>
      </x:c>
      <x:c r="D351" s="14" t="str">
        <x:v>EU</x:v>
      </x:c>
      <x:c r="E351" s="14"/>
      <x:c r="F351" s="14" t="str">
        <x:v>%</x:v>
      </x:c>
      <x:c r="G351" s="14" t="str">
        <x:v>higher_is_better</x:v>
      </x:c>
      <x:c r="H351" s="14" t="str">
        <x:v>R17</x:v>
      </x:c>
      <x:c r="I351" s="14" t="str">
        <x:v>Optional/Nein</x:v>
      </x:c>
      <x:c r="J351" s="51"/>
      <x:c r="K351" s="51"/>
      <x:c r="L351" s="51"/>
      <x:c r="M351" s="51"/>
      <x:c r="N351" s="51"/>
      <x:c r="O351" s="54"/>
      <x:c r="P351" s="51" t="str">
        <x:v>Optional – kein aktiver Benchmark</x:v>
      </x:c>
      <x:c r="Q351" s="53" t="n">
        <x:v>17</x:v>
      </x:c>
      <x:c r="R351" s="53" t="n">
        <x:v>25.5</x:v>
      </x:c>
      <x:c r="S351" s="53" t="n">
        <x:v>42.5</x:v>
      </x:c>
      <x:c r="T351" s="53" t="str">
        <x:v>threshold:0-class</x:v>
      </x:c>
      <x:c r="U351" s="14" t="str">
        <x:v>Legacy-Werte bleiben nur als historische Rechenhilfe erhalten und werden nicht für den FinalScore verwendet.</x:v>
      </x:c>
    </x:row>
    <x:row r="352" ht="42" customHeight="1">
      <x:c r="A352" s="14" t="str">
        <x:v>WOK-E-190</x:v>
      </x:c>
      <x:c r="B352" s="14" t="str">
        <x:v>G47</x:v>
      </x:c>
      <x:c r="C352" s="14" t="str">
        <x:v>Legacy / Migration auf NACE Rev. 2.1 offen</x:v>
      </x:c>
      <x:c r="D352" s="14" t="str">
        <x:v>EU</x:v>
      </x:c>
      <x:c r="E352" s="14"/>
      <x:c r="F352" s="14" t="str">
        <x:v>kWh/t bzw. t CO₂e/t</x:v>
      </x:c>
      <x:c r="G352" s="14" t="str">
        <x:v>lower_is_better</x:v>
      </x:c>
      <x:c r="H352" s="14" t="str">
        <x:v>R06</x:v>
      </x:c>
      <x:c r="I352" s="14" t="str">
        <x:v>Ja</x:v>
      </x:c>
      <x:c r="J352" s="51"/>
      <x:c r="K352" s="51"/>
      <x:c r="L352" s="51"/>
      <x:c r="M352" s="51"/>
      <x:c r="N352" s="51"/>
      <x:c r="O352" s="54"/>
      <x:c r="P352" s="51" t="str">
        <x:v>Offen – validierter Benchmark fehlt</x:v>
      </x:c>
      <x:c r="Q352" s="53" t="n">
        <x:v>1</x:v>
      </x:c>
      <x:c r="R352" s="53" t="n">
        <x:v>1.5</x:v>
      </x:c>
      <x:c r="S352" s="53" t="n">
        <x:v>2.5</x:v>
      </x:c>
      <x:c r="T352" s="53" t="str">
        <x:v>default:lower_is_better_abs</x:v>
      </x:c>
      <x:c r="U352" s="14" t="str">
        <x:v>Vor Aktivierung repräsentative Population, Region, Technologieklasse, Statistik, Quelle und Gültigkeitszeitraum dokumentieren.</x:v>
      </x:c>
    </x:row>
    <x:row r="353" ht="42" customHeight="1">
      <x:c r="A353" s="14" t="str">
        <x:v>WOK-POL-107</x:v>
      </x:c>
      <x:c r="B353" s="14" t="str">
        <x:v>C20</x:v>
      </x:c>
      <x:c r="C353" s="14" t="str">
        <x:v>Legacy / Migration auf NACE Rev. 2.1 offen</x:v>
      </x:c>
      <x:c r="D353" s="14" t="str">
        <x:v>EU</x:v>
      </x:c>
      <x:c r="E353" s="14"/>
      <x:c r="F353" s="14" t="str">
        <x:v>g CO₂e/kWh</x:v>
      </x:c>
      <x:c r="G353" s="14" t="str">
        <x:v>lower_is_better</x:v>
      </x:c>
      <x:c r="H353" s="14" t="str">
        <x:v>R10</x:v>
      </x:c>
      <x:c r="I353" s="14" t="str">
        <x:v>Optional/Nein</x:v>
      </x:c>
      <x:c r="J353" s="51"/>
      <x:c r="K353" s="51"/>
      <x:c r="L353" s="51"/>
      <x:c r="M353" s="51"/>
      <x:c r="N353" s="51"/>
      <x:c r="O353" s="54"/>
      <x:c r="P353" s="51" t="str">
        <x:v>Optional – kein aktiver Benchmark</x:v>
      </x:c>
      <x:c r="Q353" s="53" t="n">
        <x:v>175.5</x:v>
      </x:c>
      <x:c r="R353" s="53" t="n">
        <x:v>263.25</x:v>
      </x:c>
      <x:c r="S353" s="53" t="n">
        <x:v>438.75</x:v>
      </x:c>
      <x:c r="T353" s="53" t="str">
        <x:v>threshold:0-class</x:v>
      </x:c>
      <x:c r="U353" s="14" t="str">
        <x:v>Legacy-Werte bleiben nur als historische Rechenhilfe erhalten und werden nicht für den FinalScore verwendet.</x:v>
      </x:c>
    </x:row>
    <x:row r="354" ht="42" customHeight="1">
      <x:c r="A354" s="14" t="str">
        <x:v>WOK-POL-108</x:v>
      </x:c>
      <x:c r="B354" s="14" t="str">
        <x:v>C20</x:v>
      </x:c>
      <x:c r="C354" s="14" t="str">
        <x:v>Legacy / Migration auf NACE Rev. 2.1 offen</x:v>
      </x:c>
      <x:c r="D354" s="14" t="str">
        <x:v>EU</x:v>
      </x:c>
      <x:c r="E354" s="14"/>
      <x:c r="F354" s="14" t="str">
        <x:v>% Aktivitäten</x:v>
      </x:c>
      <x:c r="G354" s="14" t="str">
        <x:v>higher_is_better</x:v>
      </x:c>
      <x:c r="H354" s="14" t="str">
        <x:v>R25</x:v>
      </x:c>
      <x:c r="I354" s="14" t="str">
        <x:v>Optional/Nein</x:v>
      </x:c>
      <x:c r="J354" s="51"/>
      <x:c r="K354" s="51"/>
      <x:c r="L354" s="51"/>
      <x:c r="M354" s="51"/>
      <x:c r="N354" s="51"/>
      <x:c r="O354" s="54"/>
      <x:c r="P354" s="51" t="str">
        <x:v>Optional – kein aktiver Benchmark</x:v>
      </x:c>
      <x:c r="Q354" s="53" t="n">
        <x:v>50</x:v>
      </x:c>
      <x:c r="R354" s="53" t="n">
        <x:v>75</x:v>
      </x:c>
      <x:c r="S354" s="53" t="n">
        <x:v>100</x:v>
      </x:c>
      <x:c r="T354" s="53" t="str">
        <x:v>default:higher_is_better_pct</x:v>
      </x:c>
      <x:c r="U354" s="14" t="str">
        <x:v>Legacy-Werte bleiben nur als historische Rechenhilfe erhalten und werden nicht für den FinalScore verwendet.</x:v>
      </x:c>
    </x:row>
    <x:row r="355" ht="42" customHeight="1">
      <x:c r="A355" s="14" t="str">
        <x:v>WOK-POL-109</x:v>
      </x:c>
      <x:c r="B355" s="14" t="str">
        <x:v>C20</x:v>
      </x:c>
      <x:c r="C355" s="14" t="str">
        <x:v>Legacy / Migration auf NACE Rev. 2.1 offen</x:v>
      </x:c>
      <x:c r="D355" s="14" t="str">
        <x:v>EU</x:v>
      </x:c>
      <x:c r="E355" s="14"/>
      <x:c r="F355" s="14" t="str">
        <x:v>% Aktivitäten</x:v>
      </x:c>
      <x:c r="G355" s="14" t="str">
        <x:v>higher_is_better</x:v>
      </x:c>
      <x:c r="H355" s="14" t="str">
        <x:v>R25</x:v>
      </x:c>
      <x:c r="I355" s="14" t="str">
        <x:v>Optional/Nein</x:v>
      </x:c>
      <x:c r="J355" s="51"/>
      <x:c r="K355" s="51"/>
      <x:c r="L355" s="51"/>
      <x:c r="M355" s="51"/>
      <x:c r="N355" s="51"/>
      <x:c r="O355" s="54"/>
      <x:c r="P355" s="51" t="str">
        <x:v>Optional – kein aktiver Benchmark</x:v>
      </x:c>
      <x:c r="Q355" s="53" t="n">
        <x:v>50</x:v>
      </x:c>
      <x:c r="R355" s="53" t="n">
        <x:v>75</x:v>
      </x:c>
      <x:c r="S355" s="53" t="n">
        <x:v>100</x:v>
      </x:c>
      <x:c r="T355" s="53" t="str">
        <x:v>default:higher_is_better_pct</x:v>
      </x:c>
      <x:c r="U355" s="14" t="str">
        <x:v>Legacy-Werte bleiben nur als historische Rechenhilfe erhalten und werden nicht für den FinalScore verwendet.</x:v>
      </x:c>
    </x:row>
    <x:row r="356" ht="42" customHeight="1">
      <x:c r="A356" s="14" t="str">
        <x:v>WOK-E-191</x:v>
      </x:c>
      <x:c r="B356" s="14" t="str">
        <x:v>C20</x:v>
      </x:c>
      <x:c r="C356" s="14" t="str">
        <x:v>Legacy / Migration auf NACE Rev. 2.1 offen</x:v>
      </x:c>
      <x:c r="D356" s="14" t="str">
        <x:v>EU</x:v>
      </x:c>
      <x:c r="E356" s="14"/>
      <x:c r="F356" s="14" t="str">
        <x:v>m³*WSI</x:v>
      </x:c>
      <x:c r="G356" s="14" t="str">
        <x:v>lower_is_better</x:v>
      </x:c>
      <x:c r="H356" s="14" t="str">
        <x:v>R06</x:v>
      </x:c>
      <x:c r="I356" s="14" t="str">
        <x:v>Ja</x:v>
      </x:c>
      <x:c r="J356" s="51"/>
      <x:c r="K356" s="51"/>
      <x:c r="L356" s="51"/>
      <x:c r="M356" s="51"/>
      <x:c r="N356" s="51"/>
      <x:c r="O356" s="54"/>
      <x:c r="P356" s="51" t="str">
        <x:v>Offen – validierter Benchmark fehlt</x:v>
      </x:c>
      <x:c r="Q356" s="53" t="n">
        <x:v>1</x:v>
      </x:c>
      <x:c r="R356" s="53" t="n">
        <x:v>1.5</x:v>
      </x:c>
      <x:c r="S356" s="53" t="n">
        <x:v>2.5</x:v>
      </x:c>
      <x:c r="T356" s="53" t="str">
        <x:v>default:lower_is_better_abs</x:v>
      </x:c>
      <x:c r="U356" s="14" t="str">
        <x:v>Vor Aktivierung repräsentative Population, Region, Technologieklasse, Statistik, Quelle und Gültigkeitszeitraum dokumentieren.</x:v>
      </x:c>
    </x:row>
    <x:row r="357" ht="42" customHeight="1">
      <x:c r="A357" s="14" t="str">
        <x:v>WOK-E-192</x:v>
      </x:c>
      <x:c r="B357" s="14" t="str">
        <x:v>C20</x:v>
      </x:c>
      <x:c r="C357" s="14" t="str">
        <x:v>Legacy / Migration auf NACE Rev. 2.1 offen</x:v>
      </x:c>
      <x:c r="D357" s="14" t="str">
        <x:v>EU</x:v>
      </x:c>
      <x:c r="E357" s="14"/>
      <x:c r="F357" s="14" t="str">
        <x:v>%</x:v>
      </x:c>
      <x:c r="G357" s="14" t="str">
        <x:v>higher_is_better</x:v>
      </x:c>
      <x:c r="H357" s="14" t="str">
        <x:v>R25</x:v>
      </x:c>
      <x:c r="I357" s="14" t="str">
        <x:v>Optional/Nein</x:v>
      </x:c>
      <x:c r="J357" s="51"/>
      <x:c r="K357" s="51"/>
      <x:c r="L357" s="51"/>
      <x:c r="M357" s="51"/>
      <x:c r="N357" s="51"/>
      <x:c r="O357" s="54"/>
      <x:c r="P357" s="51" t="str">
        <x:v>Optional – kein aktiver Benchmark</x:v>
      </x:c>
      <x:c r="Q357" s="53" t="n">
        <x:v>50</x:v>
      </x:c>
      <x:c r="R357" s="53" t="n">
        <x:v>75</x:v>
      </x:c>
      <x:c r="S357" s="53" t="n">
        <x:v>100</x:v>
      </x:c>
      <x:c r="T357" s="53" t="str">
        <x:v>default:higher_is_better_pct</x:v>
      </x:c>
      <x:c r="U357" s="14" t="str">
        <x:v>Legacy-Werte bleiben nur als historische Rechenhilfe erhalten und werden nicht für den FinalScore verwendet.</x:v>
      </x:c>
    </x:row>
    <x:row r="358" ht="42" customHeight="1">
      <x:c r="A358" s="14" t="str">
        <x:v>WOK-E-193</x:v>
      </x:c>
      <x:c r="B358" s="14" t="str">
        <x:v>C20</x:v>
      </x:c>
      <x:c r="C358" s="14" t="str">
        <x:v>Legacy / Migration auf NACE Rev. 2.1 offen</x:v>
      </x:c>
      <x:c r="D358" s="14" t="str">
        <x:v>EU</x:v>
      </x:c>
      <x:c r="E358" s="14"/>
      <x:c r="F358" s="14" t="str">
        <x:v>%</x:v>
      </x:c>
      <x:c r="G358" s="14" t="str">
        <x:v>lower_is_better</x:v>
      </x:c>
      <x:c r="H358" s="14" t="str">
        <x:v>R12</x:v>
      </x:c>
      <x:c r="I358" s="14" t="str">
        <x:v>Optional/Nein</x:v>
      </x:c>
      <x:c r="J358" s="51"/>
      <x:c r="K358" s="51"/>
      <x:c r="L358" s="51"/>
      <x:c r="M358" s="51"/>
      <x:c r="N358" s="51"/>
      <x:c r="O358" s="54"/>
      <x:c r="P358" s="51" t="str">
        <x:v>Optional – kein aktiver Benchmark</x:v>
      </x:c>
      <x:c r="Q358" s="53" t="n">
        <x:v>1</x:v>
      </x:c>
      <x:c r="R358" s="53" t="n">
        <x:v>1.2</x:v>
      </x:c>
      <x:c r="S358" s="53" t="n">
        <x:v>1.5</x:v>
      </x:c>
      <x:c r="T358" s="53" t="str">
        <x:v>default:reg_limit</x:v>
      </x:c>
      <x:c r="U358" s="14" t="str">
        <x:v>Legacy-Werte bleiben nur als historische Rechenhilfe erhalten und werden nicht für den FinalScore verwendet.</x:v>
      </x:c>
    </x:row>
    <x:row r="359" ht="42" customHeight="1">
      <x:c r="A359" s="14" t="str">
        <x:v>WOK-E-194</x:v>
      </x:c>
      <x:c r="B359" s="14" t="str">
        <x:v>C20</x:v>
      </x:c>
      <x:c r="C359" s="14" t="str">
        <x:v>Legacy / Migration auf NACE Rev. 2.1 offen</x:v>
      </x:c>
      <x:c r="D359" s="14" t="str">
        <x:v>EU</x:v>
      </x:c>
      <x:c r="E359" s="14"/>
      <x:c r="F359" s="14" t="str">
        <x:v>kg/t</x:v>
      </x:c>
      <x:c r="G359" s="14" t="str">
        <x:v>lower_is_better</x:v>
      </x:c>
      <x:c r="H359" s="14" t="str">
        <x:v>R06</x:v>
      </x:c>
      <x:c r="I359" s="14" t="str">
        <x:v>Ja</x:v>
      </x:c>
      <x:c r="J359" s="51"/>
      <x:c r="K359" s="51"/>
      <x:c r="L359" s="51"/>
      <x:c r="M359" s="51"/>
      <x:c r="N359" s="51"/>
      <x:c r="O359" s="54"/>
      <x:c r="P359" s="51" t="str">
        <x:v>Offen – validierter Benchmark fehlt</x:v>
      </x:c>
      <x:c r="Q359" s="53" t="n">
        <x:v>1</x:v>
      </x:c>
      <x:c r="R359" s="53" t="n">
        <x:v>1.5</x:v>
      </x:c>
      <x:c r="S359" s="53" t="n">
        <x:v>2.5</x:v>
      </x:c>
      <x:c r="T359" s="53" t="str">
        <x:v>default:lower_is_better_abs</x:v>
      </x:c>
      <x:c r="U359" s="14" t="str">
        <x:v>Vor Aktivierung repräsentative Population, Region, Technologieklasse, Statistik, Quelle und Gültigkeitszeitraum dokumentieren.</x:v>
      </x:c>
    </x:row>
    <x:row r="360" ht="42" customHeight="1">
      <x:c r="A360" s="14" t="str">
        <x:v>WOK-E-195</x:v>
      </x:c>
      <x:c r="B360" s="14" t="str">
        <x:v>C20</x:v>
      </x:c>
      <x:c r="C360" s="14" t="str">
        <x:v>Legacy / Migration auf NACE Rev. 2.1 offen</x:v>
      </x:c>
      <x:c r="D360" s="14" t="str">
        <x:v>EU</x:v>
      </x:c>
      <x:c r="E360" s="14"/>
      <x:c r="F360" s="14" t="str">
        <x:v>%</x:v>
      </x:c>
      <x:c r="G360" s="14" t="str">
        <x:v>higher_is_better</x:v>
      </x:c>
      <x:c r="H360" s="14" t="str">
        <x:v>R25</x:v>
      </x:c>
      <x:c r="I360" s="14" t="str">
        <x:v>Optional/Nein</x:v>
      </x:c>
      <x:c r="J360" s="51"/>
      <x:c r="K360" s="51"/>
      <x:c r="L360" s="51"/>
      <x:c r="M360" s="51"/>
      <x:c r="N360" s="51"/>
      <x:c r="O360" s="54"/>
      <x:c r="P360" s="51" t="str">
        <x:v>Optional – kein aktiver Benchmark</x:v>
      </x:c>
      <x:c r="Q360" s="53" t="n">
        <x:v>50</x:v>
      </x:c>
      <x:c r="R360" s="53" t="n">
        <x:v>75</x:v>
      </x:c>
      <x:c r="S360" s="53" t="n">
        <x:v>100</x:v>
      </x:c>
      <x:c r="T360" s="53" t="str">
        <x:v>default:higher_is_better_pct</x:v>
      </x:c>
      <x:c r="U360" s="14" t="str">
        <x:v>Legacy-Werte bleiben nur als historische Rechenhilfe erhalten und werden nicht für den FinalScore verwendet.</x:v>
      </x:c>
    </x:row>
    <x:row r="361" ht="42" customHeight="1">
      <x:c r="A361" s="14" t="str">
        <x:v>WOK-E-196</x:v>
      </x:c>
      <x:c r="B361" s="14" t="str">
        <x:v>C20</x:v>
      </x:c>
      <x:c r="C361" s="14" t="str">
        <x:v>Legacy / Migration auf NACE Rev. 2.1 offen</x:v>
      </x:c>
      <x:c r="D361" s="14" t="str">
        <x:v>EU</x:v>
      </x:c>
      <x:c r="E361" s="14"/>
      <x:c r="F361" s="14" t="str">
        <x:v>kg/t</x:v>
      </x:c>
      <x:c r="G361" s="14" t="str">
        <x:v>lower_is_better</x:v>
      </x:c>
      <x:c r="H361" s="14" t="str">
        <x:v>R06</x:v>
      </x:c>
      <x:c r="I361" s="14" t="str">
        <x:v>Ja</x:v>
      </x:c>
      <x:c r="J361" s="51"/>
      <x:c r="K361" s="51"/>
      <x:c r="L361" s="51"/>
      <x:c r="M361" s="51"/>
      <x:c r="N361" s="51"/>
      <x:c r="O361" s="54"/>
      <x:c r="P361" s="51" t="str">
        <x:v>Offen – validierter Benchmark fehlt</x:v>
      </x:c>
      <x:c r="Q361" s="53" t="n">
        <x:v>1</x:v>
      </x:c>
      <x:c r="R361" s="53" t="n">
        <x:v>1.5</x:v>
      </x:c>
      <x:c r="S361" s="53" t="n">
        <x:v>2.5</x:v>
      </x:c>
      <x:c r="T361" s="53" t="str">
        <x:v>default:lower_is_better_abs</x:v>
      </x:c>
      <x:c r="U361" s="14" t="str">
        <x:v>Vor Aktivierung repräsentative Population, Region, Technologieklasse, Statistik, Quelle und Gültigkeitszeitraum dokumentieren.</x:v>
      </x:c>
    </x:row>
    <x:row r="362" ht="42" customHeight="1">
      <x:c r="A362" s="14" t="str">
        <x:v>WOK-E-197</x:v>
      </x:c>
      <x:c r="B362" s="14" t="str">
        <x:v>G47</x:v>
      </x:c>
      <x:c r="C362" s="14" t="str">
        <x:v>Legacy / Migration auf NACE Rev. 2.1 offen</x:v>
      </x:c>
      <x:c r="D362" s="14" t="str">
        <x:v>EU</x:v>
      </x:c>
      <x:c r="E362" s="14"/>
      <x:c r="F362" s="14" t="str">
        <x:v>Qualitativ → Klasse</x:v>
      </x:c>
      <x:c r="G362" s="14" t="str">
        <x:v>higher_is_better</x:v>
      </x:c>
      <x:c r="H362" s="14" t="str">
        <x:v>R03</x:v>
      </x:c>
      <x:c r="I362" s="14" t="str">
        <x:v>Optional/Nein</x:v>
      </x:c>
      <x:c r="J362" s="51"/>
      <x:c r="K362" s="51"/>
      <x:c r="L362" s="51"/>
      <x:c r="M362" s="51"/>
      <x:c r="N362" s="51"/>
      <x:c r="O362" s="54"/>
      <x:c r="P362" s="51" t="str">
        <x:v>Optional – kein aktiver Benchmark</x:v>
      </x:c>
      <x:c r="Q362" s="53" t="n">
        <x:v>0.5</x:v>
      </x:c>
      <x:c r="R362" s="53" t="n">
        <x:v>0.75</x:v>
      </x:c>
      <x:c r="S362" s="53" t="n">
        <x:v>0.9</x:v>
      </x:c>
      <x:c r="T362" s="53" t="str">
        <x:v>default:higher_is_better_abs</x:v>
      </x:c>
      <x:c r="U362" s="14" t="str">
        <x:v>Legacy-Werte bleiben nur als historische Rechenhilfe erhalten und werden nicht für den FinalScore verwendet.</x:v>
      </x:c>
    </x:row>
    <x:row r="363" ht="42" customHeight="1">
      <x:c r="A363" s="14" t="str">
        <x:v>WOK-E-198</x:v>
      </x:c>
      <x:c r="B363" s="14" t="str">
        <x:v>G47</x:v>
      </x:c>
      <x:c r="C363" s="14" t="str">
        <x:v>Legacy / Migration auf NACE Rev. 2.1 offen</x:v>
      </x:c>
      <x:c r="D363" s="14" t="str">
        <x:v>EU</x:v>
      </x:c>
      <x:c r="E363" s="14"/>
      <x:c r="F363" s="14" t="str">
        <x:v>ha/Jahr</x:v>
      </x:c>
      <x:c r="G363" s="14" t="str">
        <x:v>lower_is_better</x:v>
      </x:c>
      <x:c r="H363" s="14" t="str">
        <x:v>R02</x:v>
      </x:c>
      <x:c r="I363" s="14" t="str">
        <x:v>Optional/Nein</x:v>
      </x:c>
      <x:c r="J363" s="51"/>
      <x:c r="K363" s="51"/>
      <x:c r="L363" s="51"/>
      <x:c r="M363" s="51"/>
      <x:c r="N363" s="51"/>
      <x:c r="O363" s="54"/>
      <x:c r="P363" s="51" t="str">
        <x:v>Optional – kein aktiver Benchmark</x:v>
      </x:c>
      <x:c r="Q363" s="53" t="n">
        <x:v>3</x:v>
      </x:c>
      <x:c r="R363" s="53" t="n">
        <x:v>4.5</x:v>
      </x:c>
      <x:c r="S363" s="53" t="n">
        <x:v>7.5</x:v>
      </x:c>
      <x:c r="T363" s="53" t="str">
        <x:v>threshold:0-class</x:v>
      </x:c>
      <x:c r="U363" s="14" t="str">
        <x:v>Legacy-Werte bleiben nur als historische Rechenhilfe erhalten und werden nicht für den FinalScore verwendet.</x:v>
      </x:c>
    </x:row>
    <x:row r="364" ht="42" customHeight="1">
      <x:c r="A364" s="14" t="str">
        <x:v>WOK-E-199</x:v>
      </x:c>
      <x:c r="B364" s="14" t="str">
        <x:v>G47</x:v>
      </x:c>
      <x:c r="C364" s="14" t="str">
        <x:v>Legacy / Migration auf NACE Rev. 2.1 offen</x:v>
      </x:c>
      <x:c r="D364" s="14" t="str">
        <x:v>EU</x:v>
      </x:c>
      <x:c r="E364" s="14"/>
      <x:c r="F364" s="14" t="str">
        <x:v>%</x:v>
      </x:c>
      <x:c r="G364" s="14" t="str">
        <x:v>higher_is_better</x:v>
      </x:c>
      <x:c r="H364" s="14" t="str">
        <x:v>R28</x:v>
      </x:c>
      <x:c r="I364" s="14" t="str">
        <x:v>Optional/Nein</x:v>
      </x:c>
      <x:c r="J364" s="51"/>
      <x:c r="K364" s="51"/>
      <x:c r="L364" s="51"/>
      <x:c r="M364" s="51"/>
      <x:c r="N364" s="51"/>
      <x:c r="O364" s="54"/>
      <x:c r="P364" s="51" t="str">
        <x:v>Optional – kein aktiver Benchmark</x:v>
      </x:c>
      <x:c r="Q364" s="53" t="n">
        <x:v>82</x:v>
      </x:c>
      <x:c r="R364" s="53" t="n">
        <x:v>100</x:v>
      </x:c>
      <x:c r="S364" s="53" t="n">
        <x:v>100</x:v>
      </x:c>
      <x:c r="T364" s="53" t="str">
        <x:v>threshold:0-class</x:v>
      </x:c>
      <x:c r="U364" s="14" t="str">
        <x:v>Legacy-Werte bleiben nur als historische Rechenhilfe erhalten und werden nicht für den FinalScore verwendet.</x:v>
      </x:c>
    </x:row>
    <x:row r="365" ht="42" customHeight="1">
      <x:c r="A365" s="14" t="str">
        <x:v>WOK-SC-131</x:v>
      </x:c>
      <x:c r="B365" s="14" t="str">
        <x:v>C20</x:v>
      </x:c>
      <x:c r="C365" s="14" t="str">
        <x:v>Legacy / Migration auf NACE Rev. 2.1 offen</x:v>
      </x:c>
      <x:c r="D365" s="14" t="str">
        <x:v>EU</x:v>
      </x:c>
      <x:c r="E365" s="14"/>
      <x:c r="F365" s="14" t="str">
        <x:v>%</x:v>
      </x:c>
      <x:c r="G365" s="14" t="str">
        <x:v>higher_is_better</x:v>
      </x:c>
      <x:c r="H365" s="14" t="str">
        <x:v>R26</x:v>
      </x:c>
      <x:c r="I365" s="14" t="str">
        <x:v>Optional/Nein</x:v>
      </x:c>
      <x:c r="J365" s="51"/>
      <x:c r="K365" s="51"/>
      <x:c r="L365" s="51"/>
      <x:c r="M365" s="51"/>
      <x:c r="N365" s="51"/>
      <x:c r="O365" s="54"/>
      <x:c r="P365" s="51" t="str">
        <x:v>Optional – kein aktiver Benchmark</x:v>
      </x:c>
      <x:c r="Q365" s="53" t="n">
        <x:v>59.5</x:v>
      </x:c>
      <x:c r="R365" s="53" t="n">
        <x:v>89.25</x:v>
      </x:c>
      <x:c r="S365" s="53" t="n">
        <x:v>100</x:v>
      </x:c>
      <x:c r="T365" s="53" t="str">
        <x:v>threshold:0-class</x:v>
      </x:c>
      <x:c r="U365" s="14" t="str">
        <x:v>Legacy-Werte bleiben nur als historische Rechenhilfe erhalten und werden nicht für den FinalScore verwendet.</x:v>
      </x:c>
    </x:row>
    <x:row r="366" ht="42" customHeight="1">
      <x:c r="A366" s="14" t="str">
        <x:v>WOK-SC-132</x:v>
      </x:c>
      <x:c r="B366" s="14" t="str">
        <x:v>C20</x:v>
      </x:c>
      <x:c r="C366" s="14" t="str">
        <x:v>Legacy / Migration auf NACE Rev. 2.1 offen</x:v>
      </x:c>
      <x:c r="D366" s="14" t="str">
        <x:v>EU</x:v>
      </x:c>
      <x:c r="E366" s="14"/>
      <x:c r="F366" s="14" t="str">
        <x:v>% Lieferanten</x:v>
      </x:c>
      <x:c r="G366" s="14" t="str">
        <x:v>higher_is_better</x:v>
      </x:c>
      <x:c r="H366" s="14" t="str">
        <x:v>R28</x:v>
      </x:c>
      <x:c r="I366" s="14" t="str">
        <x:v>Optional/Nein</x:v>
      </x:c>
      <x:c r="J366" s="51"/>
      <x:c r="K366" s="51"/>
      <x:c r="L366" s="51"/>
      <x:c r="M366" s="51"/>
      <x:c r="N366" s="51"/>
      <x:c r="O366" s="54"/>
      <x:c r="P366" s="51" t="str">
        <x:v>Optional – kein aktiver Benchmark</x:v>
      </x:c>
      <x:c r="Q366" s="53" t="n">
        <x:v>82</x:v>
      </x:c>
      <x:c r="R366" s="53" t="n">
        <x:v>100</x:v>
      </x:c>
      <x:c r="S366" s="53" t="n">
        <x:v>100</x:v>
      </x:c>
      <x:c r="T366" s="53" t="str">
        <x:v>threshold:0-class</x:v>
      </x:c>
      <x:c r="U366" s="14" t="str">
        <x:v>Legacy-Werte bleiben nur als historische Rechenhilfe erhalten und werden nicht für den FinalScore verwendet.</x:v>
      </x:c>
    </x:row>
    <x:row r="367" ht="42" customHeight="1">
      <x:c r="A367" s="14" t="str">
        <x:v>WOK-SC-133</x:v>
      </x:c>
      <x:c r="B367" s="14" t="str">
        <x:v>C20</x:v>
      </x:c>
      <x:c r="C367" s="14" t="str">
        <x:v>Legacy / Migration auf NACE Rev. 2.1 offen</x:v>
      </x:c>
      <x:c r="D367" s="14" t="str">
        <x:v>EU</x:v>
      </x:c>
      <x:c r="E367" s="14"/>
      <x:c r="F367" s="14" t="str">
        <x:v>% Kategorien</x:v>
      </x:c>
      <x:c r="G367" s="14" t="str">
        <x:v>higher_is_better</x:v>
      </x:c>
      <x:c r="H367" s="14" t="str">
        <x:v>R23</x:v>
      </x:c>
      <x:c r="I367" s="14" t="str">
        <x:v>Optional/Nein</x:v>
      </x:c>
      <x:c r="J367" s="51"/>
      <x:c r="K367" s="51"/>
      <x:c r="L367" s="51"/>
      <x:c r="M367" s="51"/>
      <x:c r="N367" s="51"/>
      <x:c r="O367" s="54"/>
      <x:c r="P367" s="51" t="str">
        <x:v>Optional – kein aktiver Benchmark</x:v>
      </x:c>
      <x:c r="Q367" s="53" t="n">
        <x:v>49.5</x:v>
      </x:c>
      <x:c r="R367" s="53" t="n">
        <x:v>74.25</x:v>
      </x:c>
      <x:c r="S367" s="53" t="n">
        <x:v>100</x:v>
      </x:c>
      <x:c r="T367" s="53" t="str">
        <x:v>threshold:0-class</x:v>
      </x:c>
      <x:c r="U367" s="14" t="str">
        <x:v>Legacy-Werte bleiben nur als historische Rechenhilfe erhalten und werden nicht für den FinalScore verwendet.</x:v>
      </x:c>
    </x:row>
    <x:row r="368" ht="42" customHeight="1">
      <x:c r="A368" s="14" t="str">
        <x:v>WOK-G-167</x:v>
      </x:c>
      <x:c r="B368" s="14" t="str">
        <x:v>C20</x:v>
      </x:c>
      <x:c r="C368" s="14" t="str">
        <x:v>Legacy / Migration auf NACE Rev. 2.1 offen</x:v>
      </x:c>
      <x:c r="D368" s="14" t="str">
        <x:v>EU</x:v>
      </x:c>
      <x:c r="E368" s="14"/>
      <x:c r="F368" s="14" t="str">
        <x:v>Fälle/1.000 FTE</x:v>
      </x:c>
      <x:c r="G368" s="14" t="str">
        <x:v>lower_is_better</x:v>
      </x:c>
      <x:c r="H368" s="14" t="str">
        <x:v>R01</x:v>
      </x:c>
      <x:c r="I368" s="14" t="str">
        <x:v>Optional/Nein</x:v>
      </x:c>
      <x:c r="J368" s="51"/>
      <x:c r="K368" s="51"/>
      <x:c r="L368" s="51"/>
      <x:c r="M368" s="51"/>
      <x:c r="N368" s="51"/>
      <x:c r="O368" s="54"/>
      <x:c r="P368" s="51" t="str">
        <x:v>Optional – kein aktiver Benchmark</x:v>
      </x:c>
      <x:c r="Q368" s="53" t="n">
        <x:v>0.5</x:v>
      </x:c>
      <x:c r="R368" s="53" t="n">
        <x:v>0.75</x:v>
      </x:c>
      <x:c r="S368" s="53" t="n">
        <x:v>1.25</x:v>
      </x:c>
      <x:c r="T368" s="53" t="str">
        <x:v>threshold:0-class</x:v>
      </x:c>
      <x:c r="U368" s="14" t="str">
        <x:v>Legacy-Werte bleiben nur als historische Rechenhilfe erhalten und werden nicht für den FinalScore verwendet.</x:v>
      </x:c>
    </x:row>
    <x:row r="369" ht="42" customHeight="1">
      <x:c r="A369" s="14" t="str">
        <x:v>WOK-G-168</x:v>
      </x:c>
      <x:c r="B369" s="14" t="str">
        <x:v>C20</x:v>
      </x:c>
      <x:c r="C369" s="14" t="str">
        <x:v>Legacy / Migration auf NACE Rev. 2.1 offen</x:v>
      </x:c>
      <x:c r="D369" s="14" t="str">
        <x:v>EU</x:v>
      </x:c>
      <x:c r="E369" s="14"/>
      <x:c r="F369" s="14" t="str">
        <x:v>0–1</x:v>
      </x:c>
      <x:c r="G369" s="14" t="str">
        <x:v>higher_is_better</x:v>
      </x:c>
      <x:c r="H369" s="14" t="str">
        <x:v>R16</x:v>
      </x:c>
      <x:c r="I369" s="14" t="str">
        <x:v>Optional/Nein</x:v>
      </x:c>
      <x:c r="J369" s="51"/>
      <x:c r="K369" s="51"/>
      <x:c r="L369" s="51"/>
      <x:c r="M369" s="51"/>
      <x:c r="N369" s="51"/>
      <x:c r="O369" s="54"/>
      <x:c r="P369" s="51" t="str">
        <x:v>Optional – kein aktiver Benchmark</x:v>
      </x:c>
      <x:c r="Q369" s="53" t="n">
        <x:v>0.6699999999999999</x:v>
      </x:c>
      <x:c r="R369" s="53" t="n">
        <x:v>1</x:v>
      </x:c>
      <x:c r="S369" s="53" t="n">
        <x:v>1</x:v>
      </x:c>
      <x:c r="T369" s="53" t="str">
        <x:v>threshold:0-class</x:v>
      </x:c>
      <x:c r="U369" s="14" t="str">
        <x:v>Legacy-Werte bleiben nur als historische Rechenhilfe erhalten und werden nicht für den FinalScore verwendet.</x:v>
      </x:c>
    </x:row>
    <x:row r="370" ht="42" customHeight="1">
      <x:c r="A370" s="14" t="str">
        <x:v>WOK-G-169</x:v>
      </x:c>
      <x:c r="B370" s="14" t="str">
        <x:v>C20</x:v>
      </x:c>
      <x:c r="C370" s="14" t="str">
        <x:v>Legacy / Migration auf NACE Rev. 2.1 offen</x:v>
      </x:c>
      <x:c r="D370" s="14" t="str">
        <x:v>EU</x:v>
      </x:c>
      <x:c r="E370" s="14"/>
      <x:c r="F370" s="14" t="str">
        <x:v>0–1</x:v>
      </x:c>
      <x:c r="G370" s="14" t="str">
        <x:v>higher_is_better</x:v>
      </x:c>
      <x:c r="H370" s="14" t="str">
        <x:v>R08</x:v>
      </x:c>
      <x:c r="I370" s="14" t="str">
        <x:v>Optional/Nein</x:v>
      </x:c>
      <x:c r="J370" s="51"/>
      <x:c r="K370" s="51"/>
      <x:c r="L370" s="51"/>
      <x:c r="M370" s="51"/>
      <x:c r="N370" s="51"/>
      <x:c r="O370" s="54"/>
      <x:c r="P370" s="51" t="str">
        <x:v>Optional – kein aktiver Benchmark</x:v>
      </x:c>
      <x:c r="Q370" s="53" t="n">
        <x:v>1</x:v>
      </x:c>
      <x:c r="R370" s="53" t="n">
        <x:v>1.2</x:v>
      </x:c>
      <x:c r="S370" s="53" t="n">
        <x:v>1.5</x:v>
      </x:c>
      <x:c r="T370" s="53" t="str">
        <x:v>default:reg_limit</x:v>
      </x:c>
      <x:c r="U370" s="14" t="str">
        <x:v>Legacy-Werte bleiben nur als historische Rechenhilfe erhalten und werden nicht für den FinalScore verwendet.</x:v>
      </x:c>
    </x:row>
    <x:row r="371" ht="42" customHeight="1">
      <x:c r="A371" s="14" t="str">
        <x:v>WOK-SYS-140</x:v>
      </x:c>
      <x:c r="B371" s="14" t="str">
        <x:v>G47</x:v>
      </x:c>
      <x:c r="C371" s="14" t="str">
        <x:v>Legacy / Migration auf NACE Rev. 2.1 offen</x:v>
      </x:c>
      <x:c r="D371" s="14" t="str">
        <x:v>EU</x:v>
      </x:c>
      <x:c r="E371" s="14"/>
      <x:c r="F371" s="14" t="str">
        <x:v>0–1</x:v>
      </x:c>
      <x:c r="G371" s="14" t="str">
        <x:v>higher_is_better</x:v>
      </x:c>
      <x:c r="H371" s="14" t="str">
        <x:v>R15</x:v>
      </x:c>
      <x:c r="I371" s="14" t="str">
        <x:v>Optional/Nein</x:v>
      </x:c>
      <x:c r="J371" s="51"/>
      <x:c r="K371" s="51"/>
      <x:c r="L371" s="51"/>
      <x:c r="M371" s="51"/>
      <x:c r="N371" s="51"/>
      <x:c r="O371" s="54"/>
      <x:c r="P371" s="51" t="str">
        <x:v>Optional – kein aktiver Benchmark</x:v>
      </x:c>
      <x:c r="Q371" s="53" t="n">
        <x:v>0.645</x:v>
      </x:c>
      <x:c r="R371" s="53" t="n">
        <x:v>0.9675</x:v>
      </x:c>
      <x:c r="S371" s="53" t="n">
        <x:v>1</x:v>
      </x:c>
      <x:c r="T371" s="53" t="str">
        <x:v>threshold:0-class</x:v>
      </x:c>
      <x:c r="U371" s="14" t="str">
        <x:v>Legacy-Werte bleiben nur als historische Rechenhilfe erhalten und werden nicht für den FinalScore verwendet.</x:v>
      </x:c>
    </x:row>
    <x:row r="372" ht="42" customHeight="1">
      <x:c r="A372" s="14" t="str">
        <x:v>WOK-SYS-141</x:v>
      </x:c>
      <x:c r="B372" s="14" t="str">
        <x:v>G47</x:v>
      </x:c>
      <x:c r="C372" s="14" t="str">
        <x:v>Legacy / Migration auf NACE Rev. 2.1 offen</x:v>
      </x:c>
      <x:c r="D372" s="14" t="str">
        <x:v>EU</x:v>
      </x:c>
      <x:c r="E372" s="14"/>
      <x:c r="F372" s="14" t="str">
        <x:v>%</x:v>
      </x:c>
      <x:c r="G372" s="14" t="str">
        <x:v>lower_is_better</x:v>
      </x:c>
      <x:c r="H372" s="14" t="str">
        <x:v>R13</x:v>
      </x:c>
      <x:c r="I372" s="14" t="str">
        <x:v>Optional/Nein</x:v>
      </x:c>
      <x:c r="J372" s="51"/>
      <x:c r="K372" s="51"/>
      <x:c r="L372" s="51"/>
      <x:c r="M372" s="51"/>
      <x:c r="N372" s="51"/>
      <x:c r="O372" s="54"/>
      <x:c r="P372" s="51" t="str">
        <x:v>Optional – kein aktiver Benchmark</x:v>
      </x:c>
      <x:c r="Q372" s="53" t="n">
        <x:v>15.5</x:v>
      </x:c>
      <x:c r="R372" s="53" t="n">
        <x:v>23.25</x:v>
      </x:c>
      <x:c r="S372" s="53" t="n">
        <x:v>38.75</x:v>
      </x:c>
      <x:c r="T372" s="53" t="str">
        <x:v>threshold:0-class</x:v>
      </x:c>
      <x:c r="U372" s="14" t="str">
        <x:v>Legacy-Werte bleiben nur als historische Rechenhilfe erhalten und werden nicht für den FinalScore verwendet.</x:v>
      </x:c>
    </x:row>
    <x:row r="373" ht="42" customHeight="1">
      <x:c r="A373" s="14" t="str">
        <x:v>WOK-SYS-142</x:v>
      </x:c>
      <x:c r="B373" s="14" t="str">
        <x:v>G47</x:v>
      </x:c>
      <x:c r="C373" s="14" t="str">
        <x:v>Legacy / Migration auf NACE Rev. 2.1 offen</x:v>
      </x:c>
      <x:c r="D373" s="14" t="str">
        <x:v>EU</x:v>
      </x:c>
      <x:c r="E373" s="14"/>
      <x:c r="F373" s="14" t="str">
        <x:v>#/Jahr</x:v>
      </x:c>
      <x:c r="G373" s="14" t="str">
        <x:v>higher_is_better</x:v>
      </x:c>
      <x:c r="H373" s="14" t="str">
        <x:v>R20</x:v>
      </x:c>
      <x:c r="I373" s="14" t="str">
        <x:v>Optional/Nein</x:v>
      </x:c>
      <x:c r="J373" s="51"/>
      <x:c r="K373" s="51"/>
      <x:c r="L373" s="51"/>
      <x:c r="M373" s="51"/>
      <x:c r="N373" s="51"/>
      <x:c r="O373" s="54"/>
      <x:c r="P373" s="51" t="str">
        <x:v>Optional – kein aktiver Benchmark</x:v>
      </x:c>
      <x:c r="Q373" s="53" t="n">
        <x:v>1.5</x:v>
      </x:c>
      <x:c r="R373" s="53" t="n">
        <x:v>2.25</x:v>
      </x:c>
      <x:c r="S373" s="53" t="n">
        <x:v>3.75</x:v>
      </x:c>
      <x:c r="T373" s="53" t="str">
        <x:v>threshold:0-class</x:v>
      </x:c>
      <x:c r="U373" s="14" t="str">
        <x:v>Legacy-Werte bleiben nur als historische Rechenhilfe erhalten und werden nicht für den FinalScore verwendet.</x:v>
      </x:c>
    </x:row>
    <x:row r="374" ht="42" customHeight="1">
      <x:c r="A374" s="14" t="str">
        <x:v>WOK-E-200</x:v>
      </x:c>
      <x:c r="B374" s="14" t="str">
        <x:v>C20</x:v>
      </x:c>
      <x:c r="C374" s="14" t="str">
        <x:v>Legacy / Migration auf NACE Rev. 2.1 offen</x:v>
      </x:c>
      <x:c r="D374" s="14" t="str">
        <x:v>EU</x:v>
      </x:c>
      <x:c r="E374" s="14"/>
      <x:c r="F374" s="14" t="str">
        <x:v>m³*WSI</x:v>
      </x:c>
      <x:c r="G374" s="14" t="str">
        <x:v>lower_is_better</x:v>
      </x:c>
      <x:c r="H374" s="14" t="str">
        <x:v>R06</x:v>
      </x:c>
      <x:c r="I374" s="14" t="str">
        <x:v>Ja</x:v>
      </x:c>
      <x:c r="J374" s="51"/>
      <x:c r="K374" s="51"/>
      <x:c r="L374" s="51"/>
      <x:c r="M374" s="51"/>
      <x:c r="N374" s="51"/>
      <x:c r="O374" s="54"/>
      <x:c r="P374" s="51" t="str">
        <x:v>Offen – validierter Benchmark fehlt</x:v>
      </x:c>
      <x:c r="Q374" s="53" t="n">
        <x:v>1</x:v>
      </x:c>
      <x:c r="R374" s="53" t="n">
        <x:v>1.2</x:v>
      </x:c>
      <x:c r="S374" s="53" t="n">
        <x:v>1.5</x:v>
      </x:c>
      <x:c r="T374" s="53" t="str">
        <x:v>default:reg_limit</x:v>
      </x:c>
      <x:c r="U374" s="14" t="str">
        <x:v>Vor Aktivierung repräsentative Population, Region, Technologieklasse, Statistik, Quelle und Gültigkeitszeitraum dokumentieren.</x:v>
      </x:c>
    </x:row>
    <x:row r="375" ht="42" customHeight="1">
      <x:c r="A375" s="14" t="str">
        <x:v>WOK-E-201</x:v>
      </x:c>
      <x:c r="B375" s="14" t="str">
        <x:v>C20</x:v>
      </x:c>
      <x:c r="C375" s="14" t="str">
        <x:v>Legacy / Migration auf NACE Rev. 2.1 offen</x:v>
      </x:c>
      <x:c r="D375" s="14" t="str">
        <x:v>EU</x:v>
      </x:c>
      <x:c r="E375" s="14"/>
      <x:c r="F375" s="14" t="str">
        <x:v>%</x:v>
      </x:c>
      <x:c r="G375" s="14" t="str">
        <x:v>higher_is_better</x:v>
      </x:c>
      <x:c r="H375" s="14" t="str">
        <x:v>R25</x:v>
      </x:c>
      <x:c r="I375" s="14" t="str">
        <x:v>Optional/Nein</x:v>
      </x:c>
      <x:c r="J375" s="51"/>
      <x:c r="K375" s="51"/>
      <x:c r="L375" s="51"/>
      <x:c r="M375" s="51"/>
      <x:c r="N375" s="51"/>
      <x:c r="O375" s="54"/>
      <x:c r="P375" s="51" t="str">
        <x:v>Optional – kein aktiver Benchmark</x:v>
      </x:c>
      <x:c r="Q375" s="53" t="n">
        <x:v>50</x:v>
      </x:c>
      <x:c r="R375" s="53" t="n">
        <x:v>75</x:v>
      </x:c>
      <x:c r="S375" s="53" t="n">
        <x:v>100</x:v>
      </x:c>
      <x:c r="T375" s="53" t="str">
        <x:v>default:higher_is_better_pct</x:v>
      </x:c>
      <x:c r="U375" s="14" t="str">
        <x:v>Legacy-Werte bleiben nur als historische Rechenhilfe erhalten und werden nicht für den FinalScore verwendet.</x:v>
      </x:c>
    </x:row>
    <x:row r="376" ht="42" customHeight="1">
      <x:c r="A376" s="14" t="str">
        <x:v>WOK-E-202</x:v>
      </x:c>
      <x:c r="B376" s="14" t="str">
        <x:v>C20</x:v>
      </x:c>
      <x:c r="C376" s="14" t="str">
        <x:v>Legacy / Migration auf NACE Rev. 2.1 offen</x:v>
      </x:c>
      <x:c r="D376" s="14" t="str">
        <x:v>EU</x:v>
      </x:c>
      <x:c r="E376" s="14"/>
      <x:c r="F376" s="14" t="str">
        <x:v>%</x:v>
      </x:c>
      <x:c r="G376" s="14" t="str">
        <x:v>lower_is_better</x:v>
      </x:c>
      <x:c r="H376" s="14" t="str">
        <x:v>R12</x:v>
      </x:c>
      <x:c r="I376" s="14" t="str">
        <x:v>Optional/Nein</x:v>
      </x:c>
      <x:c r="J376" s="51"/>
      <x:c r="K376" s="51"/>
      <x:c r="L376" s="51"/>
      <x:c r="M376" s="51"/>
      <x:c r="N376" s="51"/>
      <x:c r="O376" s="54"/>
      <x:c r="P376" s="51" t="str">
        <x:v>Optional – kein aktiver Benchmark</x:v>
      </x:c>
      <x:c r="Q376" s="53" t="n">
        <x:v>1</x:v>
      </x:c>
      <x:c r="R376" s="53" t="n">
        <x:v>1.2</x:v>
      </x:c>
      <x:c r="S376" s="53" t="n">
        <x:v>1.5</x:v>
      </x:c>
      <x:c r="T376" s="53" t="str">
        <x:v>default:reg_limit</x:v>
      </x:c>
      <x:c r="U376" s="14" t="str">
        <x:v>Legacy-Werte bleiben nur als historische Rechenhilfe erhalten und werden nicht für den FinalScore verwendet.</x:v>
      </x:c>
    </x:row>
    <x:row r="377" ht="42" customHeight="1">
      <x:c r="A377" s="14" t="str">
        <x:v>WOK-POL-110</x:v>
      </x:c>
      <x:c r="B377" s="14" t="str">
        <x:v>C20</x:v>
      </x:c>
      <x:c r="C377" s="14" t="str">
        <x:v>Legacy / Migration auf NACE Rev. 2.1 offen</x:v>
      </x:c>
      <x:c r="D377" s="14" t="str">
        <x:v>EU</x:v>
      </x:c>
      <x:c r="E377" s="14"/>
      <x:c r="F377" s="14" t="str">
        <x:v>g CO₂e/kWh</x:v>
      </x:c>
      <x:c r="G377" s="14" t="str">
        <x:v>lower_is_better</x:v>
      </x:c>
      <x:c r="H377" s="14" t="str">
        <x:v>R10</x:v>
      </x:c>
      <x:c r="I377" s="14" t="str">
        <x:v>Optional/Nein</x:v>
      </x:c>
      <x:c r="J377" s="51"/>
      <x:c r="K377" s="51"/>
      <x:c r="L377" s="51"/>
      <x:c r="M377" s="51"/>
      <x:c r="N377" s="51"/>
      <x:c r="O377" s="54"/>
      <x:c r="P377" s="51" t="str">
        <x:v>Optional – kein aktiver Benchmark</x:v>
      </x:c>
      <x:c r="Q377" s="53" t="n">
        <x:v>175.5</x:v>
      </x:c>
      <x:c r="R377" s="53" t="n">
        <x:v>263.25</x:v>
      </x:c>
      <x:c r="S377" s="53" t="n">
        <x:v>438.75</x:v>
      </x:c>
      <x:c r="T377" s="53" t="str">
        <x:v>threshold:0-class</x:v>
      </x:c>
      <x:c r="U377" s="14" t="str">
        <x:v>Legacy-Werte bleiben nur als historische Rechenhilfe erhalten und werden nicht für den FinalScore verwendet.</x:v>
      </x:c>
    </x:row>
    <x:row r="378" ht="42" customHeight="1">
      <x:c r="A378" s="14" t="str">
        <x:v>WOK-POL-111</x:v>
      </x:c>
      <x:c r="B378" s="14" t="str">
        <x:v>C20</x:v>
      </x:c>
      <x:c r="C378" s="14" t="str">
        <x:v>Legacy / Migration auf NACE Rev. 2.1 offen</x:v>
      </x:c>
      <x:c r="D378" s="14" t="str">
        <x:v>EU</x:v>
      </x:c>
      <x:c r="E378" s="14"/>
      <x:c r="F378" s="14" t="str">
        <x:v>% Aktivitäten</x:v>
      </x:c>
      <x:c r="G378" s="14" t="str">
        <x:v>higher_is_better</x:v>
      </x:c>
      <x:c r="H378" s="14" t="str">
        <x:v>R25</x:v>
      </x:c>
      <x:c r="I378" s="14" t="str">
        <x:v>Optional/Nein</x:v>
      </x:c>
      <x:c r="J378" s="51"/>
      <x:c r="K378" s="51"/>
      <x:c r="L378" s="51"/>
      <x:c r="M378" s="51"/>
      <x:c r="N378" s="51"/>
      <x:c r="O378" s="54"/>
      <x:c r="P378" s="51" t="str">
        <x:v>Optional – kein aktiver Benchmark</x:v>
      </x:c>
      <x:c r="Q378" s="53" t="n">
        <x:v>50</x:v>
      </x:c>
      <x:c r="R378" s="53" t="n">
        <x:v>75</x:v>
      </x:c>
      <x:c r="S378" s="53" t="n">
        <x:v>100</x:v>
      </x:c>
      <x:c r="T378" s="53" t="str">
        <x:v>default:higher_is_better_pct</x:v>
      </x:c>
      <x:c r="U378" s="14" t="str">
        <x:v>Legacy-Werte bleiben nur als historische Rechenhilfe erhalten und werden nicht für den FinalScore verwendet.</x:v>
      </x:c>
    </x:row>
    <x:row r="379" ht="42" customHeight="1">
      <x:c r="A379" s="14" t="str">
        <x:v>WOK-POL-112</x:v>
      </x:c>
      <x:c r="B379" s="14" t="str">
        <x:v>C20</x:v>
      </x:c>
      <x:c r="C379" s="14" t="str">
        <x:v>Legacy / Migration auf NACE Rev. 2.1 offen</x:v>
      </x:c>
      <x:c r="D379" s="14" t="str">
        <x:v>EU</x:v>
      </x:c>
      <x:c r="E379" s="14"/>
      <x:c r="F379" s="14" t="str">
        <x:v>% Aktivitäten</x:v>
      </x:c>
      <x:c r="G379" s="14" t="str">
        <x:v>higher_is_better</x:v>
      </x:c>
      <x:c r="H379" s="14" t="str">
        <x:v>R25</x:v>
      </x:c>
      <x:c r="I379" s="14" t="str">
        <x:v>Optional/Nein</x:v>
      </x:c>
      <x:c r="J379" s="51"/>
      <x:c r="K379" s="51"/>
      <x:c r="L379" s="51"/>
      <x:c r="M379" s="51"/>
      <x:c r="N379" s="51"/>
      <x:c r="O379" s="54"/>
      <x:c r="P379" s="51" t="str">
        <x:v>Optional – kein aktiver Benchmark</x:v>
      </x:c>
      <x:c r="Q379" s="53" t="n">
        <x:v>50</x:v>
      </x:c>
      <x:c r="R379" s="53" t="n">
        <x:v>75</x:v>
      </x:c>
      <x:c r="S379" s="53" t="n">
        <x:v>100</x:v>
      </x:c>
      <x:c r="T379" s="53" t="str">
        <x:v>default:higher_is_better_pct</x:v>
      </x:c>
      <x:c r="U379" s="14" t="str">
        <x:v>Legacy-Werte bleiben nur als historische Rechenhilfe erhalten und werden nicht für den FinalScore verwendet.</x:v>
      </x:c>
    </x:row>
    <x:row r="380" ht="42" customHeight="1">
      <x:c r="A380" s="14" t="str">
        <x:v>WOK-E-203</x:v>
      </x:c>
      <x:c r="B380" s="14" t="str">
        <x:v>H49</x:v>
      </x:c>
      <x:c r="C380" s="14" t="str">
        <x:v>Legacy / Migration auf NACE Rev. 2.1 offen</x:v>
      </x:c>
      <x:c r="D380" s="14" t="str">
        <x:v>EU</x:v>
      </x:c>
      <x:c r="E380" s="14"/>
      <x:c r="F380" s="14" t="str">
        <x:v>%</x:v>
      </x:c>
      <x:c r="G380" s="14" t="str">
        <x:v>higher_is_better</x:v>
      </x:c>
      <x:c r="H380" s="14" t="str">
        <x:v>R25</x:v>
      </x:c>
      <x:c r="I380" s="14" t="str">
        <x:v>Optional/Nein</x:v>
      </x:c>
      <x:c r="J380" s="51"/>
      <x:c r="K380" s="51"/>
      <x:c r="L380" s="51"/>
      <x:c r="M380" s="51"/>
      <x:c r="N380" s="51"/>
      <x:c r="O380" s="54"/>
      <x:c r="P380" s="51" t="str">
        <x:v>Optional – kein aktiver Benchmark</x:v>
      </x:c>
      <x:c r="Q380" s="53" t="n">
        <x:v>50</x:v>
      </x:c>
      <x:c r="R380" s="53" t="n">
        <x:v>75</x:v>
      </x:c>
      <x:c r="S380" s="53" t="n">
        <x:v>100</x:v>
      </x:c>
      <x:c r="T380" s="53" t="str">
        <x:v>default:higher_is_better_pct</x:v>
      </x:c>
      <x:c r="U380" s="14" t="str">
        <x:v>Legacy-Werte bleiben nur als historische Rechenhilfe erhalten und werden nicht für den FinalScore verwendet.</x:v>
      </x:c>
    </x:row>
    <x:row r="381" ht="42" customHeight="1">
      <x:c r="A381" s="14" t="str">
        <x:v>WOK-E-204</x:v>
      </x:c>
      <x:c r="B381" s="14" t="str">
        <x:v>H49</x:v>
      </x:c>
      <x:c r="C381" s="14" t="str">
        <x:v>Legacy / Migration auf NACE Rev. 2.1 offen</x:v>
      </x:c>
      <x:c r="D381" s="14" t="str">
        <x:v>EU</x:v>
      </x:c>
      <x:c r="E381" s="14"/>
      <x:c r="F381" s="14" t="str">
        <x:v>kWh/€ Mio bzw. kWh/t</x:v>
      </x:c>
      <x:c r="G381" s="14" t="str">
        <x:v>lower_is_better</x:v>
      </x:c>
      <x:c r="H381" s="14" t="str">
        <x:v>R06</x:v>
      </x:c>
      <x:c r="I381" s="14" t="str">
        <x:v>Ja</x:v>
      </x:c>
      <x:c r="J381" s="51"/>
      <x:c r="K381" s="51"/>
      <x:c r="L381" s="51"/>
      <x:c r="M381" s="51"/>
      <x:c r="N381" s="51"/>
      <x:c r="O381" s="54"/>
      <x:c r="P381" s="51" t="str">
        <x:v>Offen – validierter Benchmark fehlt</x:v>
      </x:c>
      <x:c r="Q381" s="53" t="n">
        <x:v>1</x:v>
      </x:c>
      <x:c r="R381" s="53" t="n">
        <x:v>1.5</x:v>
      </x:c>
      <x:c r="S381" s="53" t="n">
        <x:v>2.5</x:v>
      </x:c>
      <x:c r="T381" s="53" t="str">
        <x:v>default:lower_is_better_abs</x:v>
      </x:c>
      <x:c r="U381" s="14" t="str">
        <x:v>Vor Aktivierung repräsentative Population, Region, Technologieklasse, Statistik, Quelle und Gültigkeitszeitraum dokumentieren.</x:v>
      </x:c>
    </x:row>
    <x:row r="382" ht="42" customHeight="1">
      <x:c r="A382" s="14" t="str">
        <x:v>WOK-E-205</x:v>
      </x:c>
      <x:c r="B382" s="14" t="str">
        <x:v>H49</x:v>
      </x:c>
      <x:c r="C382" s="14" t="str">
        <x:v>Legacy / Migration auf NACE Rev. 2.1 offen</x:v>
      </x:c>
      <x:c r="D382" s="14" t="str">
        <x:v>EU</x:v>
      </x:c>
      <x:c r="E382" s="14"/>
      <x:c r="F382" s="14" t="str">
        <x:v>PUE</x:v>
      </x:c>
      <x:c r="G382" s="14" t="str">
        <x:v>lower_is_better</x:v>
      </x:c>
      <x:c r="H382" s="14" t="str">
        <x:v>R09</x:v>
      </x:c>
      <x:c r="I382" s="14" t="str">
        <x:v>Optional/Nein</x:v>
      </x:c>
      <x:c r="J382" s="51"/>
      <x:c r="K382" s="51"/>
      <x:c r="L382" s="51"/>
      <x:c r="M382" s="51"/>
      <x:c r="N382" s="51"/>
      <x:c r="O382" s="54"/>
      <x:c r="P382" s="51" t="str">
        <x:v>Optional – kein aktiver Benchmark</x:v>
      </x:c>
      <x:c r="Q382" s="53" t="n">
        <x:v>1.505</x:v>
      </x:c>
      <x:c r="R382" s="53" t="n">
        <x:v>2.2575</x:v>
      </x:c>
      <x:c r="S382" s="53" t="n">
        <x:v>3.7625</x:v>
      </x:c>
      <x:c r="T382" s="53" t="str">
        <x:v>threshold:0-class</x:v>
      </x:c>
      <x:c r="U382" s="14" t="str">
        <x:v>Legacy-Werte bleiben nur als historische Rechenhilfe erhalten und werden nicht für den FinalScore verwendet.</x:v>
      </x:c>
    </x:row>
    <x:row r="383" ht="42" customHeight="1">
      <x:c r="A383" s="14" t="str">
        <x:v>WOK-E-206</x:v>
      </x:c>
      <x:c r="B383" s="14" t="str">
        <x:v>L68</x:v>
      </x:c>
      <x:c r="C383" s="14" t="str">
        <x:v>Legacy / Migration auf NACE Rev. 2.1 offen</x:v>
      </x:c>
      <x:c r="D383" s="14" t="str">
        <x:v>EU</x:v>
      </x:c>
      <x:c r="E383" s="14"/>
      <x:c r="F383" s="14" t="str">
        <x:v>Qualitativ → Klasse</x:v>
      </x:c>
      <x:c r="G383" s="14" t="str">
        <x:v>higher_is_better</x:v>
      </x:c>
      <x:c r="H383" s="14" t="str">
        <x:v>R03</x:v>
      </x:c>
      <x:c r="I383" s="14" t="str">
        <x:v>Optional/Nein</x:v>
      </x:c>
      <x:c r="J383" s="51"/>
      <x:c r="K383" s="51"/>
      <x:c r="L383" s="51"/>
      <x:c r="M383" s="51"/>
      <x:c r="N383" s="51"/>
      <x:c r="O383" s="54"/>
      <x:c r="P383" s="51" t="str">
        <x:v>Optional – kein aktiver Benchmark</x:v>
      </x:c>
      <x:c r="Q383" s="53" t="n">
        <x:v>0.5</x:v>
      </x:c>
      <x:c r="R383" s="53" t="n">
        <x:v>0.75</x:v>
      </x:c>
      <x:c r="S383" s="53" t="n">
        <x:v>0.9</x:v>
      </x:c>
      <x:c r="T383" s="53" t="str">
        <x:v>default:higher_is_better_abs</x:v>
      </x:c>
      <x:c r="U383" s="14" t="str">
        <x:v>Legacy-Werte bleiben nur als historische Rechenhilfe erhalten und werden nicht für den FinalScore verwendet.</x:v>
      </x:c>
    </x:row>
    <x:row r="384" ht="42" customHeight="1">
      <x:c r="A384" s="14" t="str">
        <x:v>WOK-E-207</x:v>
      </x:c>
      <x:c r="B384" s="14" t="str">
        <x:v>L68</x:v>
      </x:c>
      <x:c r="C384" s="14" t="str">
        <x:v>Legacy / Migration auf NACE Rev. 2.1 offen</x:v>
      </x:c>
      <x:c r="D384" s="14" t="str">
        <x:v>EU</x:v>
      </x:c>
      <x:c r="E384" s="14"/>
      <x:c r="F384" s="14" t="str">
        <x:v>ha/Jahr</x:v>
      </x:c>
      <x:c r="G384" s="14" t="str">
        <x:v>lower_is_better</x:v>
      </x:c>
      <x:c r="H384" s="14" t="str">
        <x:v>R02</x:v>
      </x:c>
      <x:c r="I384" s="14" t="str">
        <x:v>Optional/Nein</x:v>
      </x:c>
      <x:c r="J384" s="51"/>
      <x:c r="K384" s="51"/>
      <x:c r="L384" s="51"/>
      <x:c r="M384" s="51"/>
      <x:c r="N384" s="51"/>
      <x:c r="O384" s="54"/>
      <x:c r="P384" s="51" t="str">
        <x:v>Optional – kein aktiver Benchmark</x:v>
      </x:c>
      <x:c r="Q384" s="53" t="n">
        <x:v>3</x:v>
      </x:c>
      <x:c r="R384" s="53" t="n">
        <x:v>4.5</x:v>
      </x:c>
      <x:c r="S384" s="53" t="n">
        <x:v>7.5</x:v>
      </x:c>
      <x:c r="T384" s="53" t="str">
        <x:v>threshold:0-class</x:v>
      </x:c>
      <x:c r="U384" s="14" t="str">
        <x:v>Legacy-Werte bleiben nur als historische Rechenhilfe erhalten und werden nicht für den FinalScore verwendet.</x:v>
      </x:c>
    </x:row>
    <x:row r="385" ht="42" customHeight="1">
      <x:c r="A385" s="14" t="str">
        <x:v>WOK-E-208</x:v>
      </x:c>
      <x:c r="B385" s="14" t="str">
        <x:v>L68</x:v>
      </x:c>
      <x:c r="C385" s="14" t="str">
        <x:v>Legacy / Migration auf NACE Rev. 2.1 offen</x:v>
      </x:c>
      <x:c r="D385" s="14" t="str">
        <x:v>EU</x:v>
      </x:c>
      <x:c r="E385" s="14"/>
      <x:c r="F385" s="14" t="str">
        <x:v>%</x:v>
      </x:c>
      <x:c r="G385" s="14" t="str">
        <x:v>higher_is_better</x:v>
      </x:c>
      <x:c r="H385" s="14" t="str">
        <x:v>R28</x:v>
      </x:c>
      <x:c r="I385" s="14" t="str">
        <x:v>Optional/Nein</x:v>
      </x:c>
      <x:c r="J385" s="51"/>
      <x:c r="K385" s="51"/>
      <x:c r="L385" s="51"/>
      <x:c r="M385" s="51"/>
      <x:c r="N385" s="51"/>
      <x:c r="O385" s="54"/>
      <x:c r="P385" s="51" t="str">
        <x:v>Optional – kein aktiver Benchmark</x:v>
      </x:c>
      <x:c r="Q385" s="53" t="n">
        <x:v>82</x:v>
      </x:c>
      <x:c r="R385" s="53" t="n">
        <x:v>100</x:v>
      </x:c>
      <x:c r="S385" s="53" t="n">
        <x:v>100</x:v>
      </x:c>
      <x:c r="T385" s="53" t="str">
        <x:v>threshold:0-class</x:v>
      </x:c>
      <x:c r="U385" s="14" t="str">
        <x:v>Legacy-Werte bleiben nur als historische Rechenhilfe erhalten und werden nicht für den FinalScore verwendet.</x:v>
      </x:c>
    </x:row>
    <x:row r="386" ht="42" customHeight="1">
      <x:c r="A386" s="14" t="str">
        <x:v>WOK-SC-134</x:v>
      </x:c>
      <x:c r="B386" s="14" t="str">
        <x:v>C20</x:v>
      </x:c>
      <x:c r="C386" s="14" t="str">
        <x:v>Legacy / Migration auf NACE Rev. 2.1 offen</x:v>
      </x:c>
      <x:c r="D386" s="14" t="str">
        <x:v>EU</x:v>
      </x:c>
      <x:c r="E386" s="14"/>
      <x:c r="F386" s="14" t="str">
        <x:v>%</x:v>
      </x:c>
      <x:c r="G386" s="14" t="str">
        <x:v>higher_is_better</x:v>
      </x:c>
      <x:c r="H386" s="14" t="str">
        <x:v>R26</x:v>
      </x:c>
      <x:c r="I386" s="14" t="str">
        <x:v>Optional/Nein</x:v>
      </x:c>
      <x:c r="J386" s="51"/>
      <x:c r="K386" s="51"/>
      <x:c r="L386" s="51"/>
      <x:c r="M386" s="51"/>
      <x:c r="N386" s="51"/>
      <x:c r="O386" s="54"/>
      <x:c r="P386" s="51" t="str">
        <x:v>Optional – kein aktiver Benchmark</x:v>
      </x:c>
      <x:c r="Q386" s="53" t="n">
        <x:v>59.5</x:v>
      </x:c>
      <x:c r="R386" s="53" t="n">
        <x:v>89.25</x:v>
      </x:c>
      <x:c r="S386" s="53" t="n">
        <x:v>100</x:v>
      </x:c>
      <x:c r="T386" s="53" t="str">
        <x:v>threshold:0-class</x:v>
      </x:c>
      <x:c r="U386" s="14" t="str">
        <x:v>Legacy-Werte bleiben nur als historische Rechenhilfe erhalten und werden nicht für den FinalScore verwendet.</x:v>
      </x:c>
    </x:row>
    <x:row r="387" ht="42" customHeight="1">
      <x:c r="A387" s="14" t="str">
        <x:v>WOK-SC-135</x:v>
      </x:c>
      <x:c r="B387" s="14" t="str">
        <x:v>C20</x:v>
      </x:c>
      <x:c r="C387" s="14" t="str">
        <x:v>Legacy / Migration auf NACE Rev. 2.1 offen</x:v>
      </x:c>
      <x:c r="D387" s="14" t="str">
        <x:v>EU</x:v>
      </x:c>
      <x:c r="E387" s="14"/>
      <x:c r="F387" s="14" t="str">
        <x:v>% Lieferanten</x:v>
      </x:c>
      <x:c r="G387" s="14" t="str">
        <x:v>higher_is_better</x:v>
      </x:c>
      <x:c r="H387" s="14" t="str">
        <x:v>R28</x:v>
      </x:c>
      <x:c r="I387" s="14" t="str">
        <x:v>Optional/Nein</x:v>
      </x:c>
      <x:c r="J387" s="51"/>
      <x:c r="K387" s="51"/>
      <x:c r="L387" s="51"/>
      <x:c r="M387" s="51"/>
      <x:c r="N387" s="51"/>
      <x:c r="O387" s="54"/>
      <x:c r="P387" s="51" t="str">
        <x:v>Optional – kein aktiver Benchmark</x:v>
      </x:c>
      <x:c r="Q387" s="53" t="n">
        <x:v>82</x:v>
      </x:c>
      <x:c r="R387" s="53" t="n">
        <x:v>100</x:v>
      </x:c>
      <x:c r="S387" s="53" t="n">
        <x:v>100</x:v>
      </x:c>
      <x:c r="T387" s="53" t="str">
        <x:v>threshold:0-class</x:v>
      </x:c>
      <x:c r="U387" s="14" t="str">
        <x:v>Legacy-Werte bleiben nur als historische Rechenhilfe erhalten und werden nicht für den FinalScore verwendet.</x:v>
      </x:c>
    </x:row>
    <x:row r="388" ht="42" customHeight="1">
      <x:c r="A388" s="14" t="str">
        <x:v>WOK-SC-136</x:v>
      </x:c>
      <x:c r="B388" s="14" t="str">
        <x:v>C20</x:v>
      </x:c>
      <x:c r="C388" s="14" t="str">
        <x:v>Legacy / Migration auf NACE Rev. 2.1 offen</x:v>
      </x:c>
      <x:c r="D388" s="14" t="str">
        <x:v>EU</x:v>
      </x:c>
      <x:c r="E388" s="14"/>
      <x:c r="F388" s="14" t="str">
        <x:v>% Kategorien</x:v>
      </x:c>
      <x:c r="G388" s="14" t="str">
        <x:v>higher_is_better</x:v>
      </x:c>
      <x:c r="H388" s="14" t="str">
        <x:v>R23</x:v>
      </x:c>
      <x:c r="I388" s="14" t="str">
        <x:v>Optional/Nein</x:v>
      </x:c>
      <x:c r="J388" s="51"/>
      <x:c r="K388" s="51"/>
      <x:c r="L388" s="51"/>
      <x:c r="M388" s="51"/>
      <x:c r="N388" s="51"/>
      <x:c r="O388" s="54"/>
      <x:c r="P388" s="51" t="str">
        <x:v>Optional – kein aktiver Benchmark</x:v>
      </x:c>
      <x:c r="Q388" s="53" t="n">
        <x:v>49.5</x:v>
      </x:c>
      <x:c r="R388" s="53" t="n">
        <x:v>74.25</x:v>
      </x:c>
      <x:c r="S388" s="53" t="n">
        <x:v>100</x:v>
      </x:c>
      <x:c r="T388" s="53" t="str">
        <x:v>threshold:0-class</x:v>
      </x:c>
      <x:c r="U388" s="14" t="str">
        <x:v>Legacy-Werte bleiben nur als historische Rechenhilfe erhalten und werden nicht für den FinalScore verwendet.</x:v>
      </x:c>
    </x:row>
    <x:row r="389" ht="42" customHeight="1">
      <x:c r="A389" s="14" t="str">
        <x:v>WOK-E-209</x:v>
      </x:c>
      <x:c r="B389" s="14" t="str">
        <x:v>L68</x:v>
      </x:c>
      <x:c r="C389" s="14" t="str">
        <x:v>Legacy / Migration auf NACE Rev. 2.1 offen</x:v>
      </x:c>
      <x:c r="D389" s="14" t="str">
        <x:v>EU</x:v>
      </x:c>
      <x:c r="E389" s="14"/>
      <x:c r="F389" s="14" t="str">
        <x:v>Qualitativ → Klasse</x:v>
      </x:c>
      <x:c r="G389" s="14" t="str">
        <x:v>higher_is_better</x:v>
      </x:c>
      <x:c r="H389" s="14" t="str">
        <x:v>R03</x:v>
      </x:c>
      <x:c r="I389" s="14" t="str">
        <x:v>Optional/Nein</x:v>
      </x:c>
      <x:c r="J389" s="51"/>
      <x:c r="K389" s="51"/>
      <x:c r="L389" s="51"/>
      <x:c r="M389" s="51"/>
      <x:c r="N389" s="51"/>
      <x:c r="O389" s="54"/>
      <x:c r="P389" s="51" t="str">
        <x:v>Optional – kein aktiver Benchmark</x:v>
      </x:c>
      <x:c r="Q389" s="53" t="n">
        <x:v>0.5</x:v>
      </x:c>
      <x:c r="R389" s="53" t="n">
        <x:v>0.75</x:v>
      </x:c>
      <x:c r="S389" s="53" t="n">
        <x:v>0.9</x:v>
      </x:c>
      <x:c r="T389" s="53" t="str">
        <x:v>default:higher_is_better_abs</x:v>
      </x:c>
      <x:c r="U389" s="14" t="str">
        <x:v>Legacy-Werte bleiben nur als historische Rechenhilfe erhalten und werden nicht für den FinalScore verwendet.</x:v>
      </x:c>
    </x:row>
    <x:row r="390" ht="42" customHeight="1">
      <x:c r="A390" s="14" t="str">
        <x:v>WOK-E-210</x:v>
      </x:c>
      <x:c r="B390" s="14" t="str">
        <x:v>L68</x:v>
      </x:c>
      <x:c r="C390" s="14" t="str">
        <x:v>Legacy / Migration auf NACE Rev. 2.1 offen</x:v>
      </x:c>
      <x:c r="D390" s="14" t="str">
        <x:v>EU</x:v>
      </x:c>
      <x:c r="E390" s="14"/>
      <x:c r="F390" s="14" t="str">
        <x:v>ha/Jahr</x:v>
      </x:c>
      <x:c r="G390" s="14" t="str">
        <x:v>lower_is_better</x:v>
      </x:c>
      <x:c r="H390" s="14" t="str">
        <x:v>R02</x:v>
      </x:c>
      <x:c r="I390" s="14" t="str">
        <x:v>Optional/Nein</x:v>
      </x:c>
      <x:c r="J390" s="51"/>
      <x:c r="K390" s="51"/>
      <x:c r="L390" s="51"/>
      <x:c r="M390" s="51"/>
      <x:c r="N390" s="51"/>
      <x:c r="O390" s="54"/>
      <x:c r="P390" s="51" t="str">
        <x:v>Optional – kein aktiver Benchmark</x:v>
      </x:c>
      <x:c r="Q390" s="53" t="n">
        <x:v>3</x:v>
      </x:c>
      <x:c r="R390" s="53" t="n">
        <x:v>4.5</x:v>
      </x:c>
      <x:c r="S390" s="53" t="n">
        <x:v>7.5</x:v>
      </x:c>
      <x:c r="T390" s="53" t="str">
        <x:v>threshold:0-class</x:v>
      </x:c>
      <x:c r="U390" s="14" t="str">
        <x:v>Legacy-Werte bleiben nur als historische Rechenhilfe erhalten und werden nicht für den FinalScore verwendet.</x:v>
      </x:c>
    </x:row>
    <x:row r="391" ht="42" customHeight="1">
      <x:c r="A391" s="14" t="str">
        <x:v>WOK-E-211</x:v>
      </x:c>
      <x:c r="B391" s="14" t="str">
        <x:v>L68</x:v>
      </x:c>
      <x:c r="C391" s="14" t="str">
        <x:v>Legacy / Migration auf NACE Rev. 2.1 offen</x:v>
      </x:c>
      <x:c r="D391" s="14" t="str">
        <x:v>EU</x:v>
      </x:c>
      <x:c r="E391" s="14"/>
      <x:c r="F391" s="14" t="str">
        <x:v>%</x:v>
      </x:c>
      <x:c r="G391" s="14" t="str">
        <x:v>higher_is_better</x:v>
      </x:c>
      <x:c r="H391" s="14" t="str">
        <x:v>R28</x:v>
      </x:c>
      <x:c r="I391" s="14" t="str">
        <x:v>Optional/Nein</x:v>
      </x:c>
      <x:c r="J391" s="51"/>
      <x:c r="K391" s="51"/>
      <x:c r="L391" s="51"/>
      <x:c r="M391" s="51"/>
      <x:c r="N391" s="51"/>
      <x:c r="O391" s="54"/>
      <x:c r="P391" s="51" t="str">
        <x:v>Optional – kein aktiver Benchmark</x:v>
      </x:c>
      <x:c r="Q391" s="53" t="n">
        <x:v>82</x:v>
      </x:c>
      <x:c r="R391" s="53" t="n">
        <x:v>100</x:v>
      </x:c>
      <x:c r="S391" s="53" t="n">
        <x:v>100</x:v>
      </x:c>
      <x:c r="T391" s="53" t="str">
        <x:v>threshold:0-class</x:v>
      </x:c>
      <x:c r="U391" s="14" t="str">
        <x:v>Legacy-Werte bleiben nur als historische Rechenhilfe erhalten und werden nicht für den FinalScore verwendet.</x:v>
      </x:c>
    </x:row>
    <x:row r="392" ht="42" customHeight="1">
      <x:c r="A392" s="14" t="str">
        <x:v>WOK-G-170</x:v>
      </x:c>
      <x:c r="B392" s="14" t="str">
        <x:v>L68</x:v>
      </x:c>
      <x:c r="C392" s="14" t="str">
        <x:v>Legacy / Migration auf NACE Rev. 2.1 offen</x:v>
      </x:c>
      <x:c r="D392" s="14" t="str">
        <x:v>EU</x:v>
      </x:c>
      <x:c r="E392" s="14"/>
      <x:c r="F392" s="14" t="str">
        <x:v>Fälle/1.000 FTE</x:v>
      </x:c>
      <x:c r="G392" s="14" t="str">
        <x:v>lower_is_better</x:v>
      </x:c>
      <x:c r="H392" s="14" t="str">
        <x:v>R01</x:v>
      </x:c>
      <x:c r="I392" s="14" t="str">
        <x:v>Optional/Nein</x:v>
      </x:c>
      <x:c r="J392" s="51"/>
      <x:c r="K392" s="51"/>
      <x:c r="L392" s="51"/>
      <x:c r="M392" s="51"/>
      <x:c r="N392" s="51"/>
      <x:c r="O392" s="54"/>
      <x:c r="P392" s="51" t="str">
        <x:v>Optional – kein aktiver Benchmark</x:v>
      </x:c>
      <x:c r="Q392" s="53" t="n">
        <x:v>0.5</x:v>
      </x:c>
      <x:c r="R392" s="53" t="n">
        <x:v>0.75</x:v>
      </x:c>
      <x:c r="S392" s="53" t="n">
        <x:v>1.25</x:v>
      </x:c>
      <x:c r="T392" s="53" t="str">
        <x:v>threshold:0-class</x:v>
      </x:c>
      <x:c r="U392" s="14" t="str">
        <x:v>Legacy-Werte bleiben nur als historische Rechenhilfe erhalten und werden nicht für den FinalScore verwendet.</x:v>
      </x:c>
    </x:row>
    <x:row r="393" ht="42" customHeight="1">
      <x:c r="A393" s="14" t="str">
        <x:v>WOK-G-171</x:v>
      </x:c>
      <x:c r="B393" s="14" t="str">
        <x:v>L68</x:v>
      </x:c>
      <x:c r="C393" s="14" t="str">
        <x:v>Legacy / Migration auf NACE Rev. 2.1 offen</x:v>
      </x:c>
      <x:c r="D393" s="14" t="str">
        <x:v>EU</x:v>
      </x:c>
      <x:c r="E393" s="14"/>
      <x:c r="F393" s="14" t="str">
        <x:v>0–1</x:v>
      </x:c>
      <x:c r="G393" s="14" t="str">
        <x:v>higher_is_better</x:v>
      </x:c>
      <x:c r="H393" s="14" t="str">
        <x:v>R16</x:v>
      </x:c>
      <x:c r="I393" s="14" t="str">
        <x:v>Optional/Nein</x:v>
      </x:c>
      <x:c r="J393" s="51"/>
      <x:c r="K393" s="51"/>
      <x:c r="L393" s="51"/>
      <x:c r="M393" s="51"/>
      <x:c r="N393" s="51"/>
      <x:c r="O393" s="54"/>
      <x:c r="P393" s="51" t="str">
        <x:v>Optional – kein aktiver Benchmark</x:v>
      </x:c>
      <x:c r="Q393" s="53" t="n">
        <x:v>0.6699999999999999</x:v>
      </x:c>
      <x:c r="R393" s="53" t="n">
        <x:v>1</x:v>
      </x:c>
      <x:c r="S393" s="53" t="n">
        <x:v>1</x:v>
      </x:c>
      <x:c r="T393" s="53" t="str">
        <x:v>threshold:0-class</x:v>
      </x:c>
      <x:c r="U393" s="14" t="str">
        <x:v>Legacy-Werte bleiben nur als historische Rechenhilfe erhalten und werden nicht für den FinalScore verwendet.</x:v>
      </x:c>
    </x:row>
    <x:row r="394" ht="42" customHeight="1">
      <x:c r="A394" s="14" t="str">
        <x:v>WOK-G-172</x:v>
      </x:c>
      <x:c r="B394" s="14" t="str">
        <x:v>L68</x:v>
      </x:c>
      <x:c r="C394" s="14" t="str">
        <x:v>Legacy / Migration auf NACE Rev. 2.1 offen</x:v>
      </x:c>
      <x:c r="D394" s="14" t="str">
        <x:v>EU</x:v>
      </x:c>
      <x:c r="E394" s="14"/>
      <x:c r="F394" s="14" t="str">
        <x:v>0–1</x:v>
      </x:c>
      <x:c r="G394" s="14" t="str">
        <x:v>higher_is_better</x:v>
      </x:c>
      <x:c r="H394" s="14" t="str">
        <x:v>R08</x:v>
      </x:c>
      <x:c r="I394" s="14" t="str">
        <x:v>Optional/Nein</x:v>
      </x:c>
      <x:c r="J394" s="51"/>
      <x:c r="K394" s="51"/>
      <x:c r="L394" s="51"/>
      <x:c r="M394" s="51"/>
      <x:c r="N394" s="51"/>
      <x:c r="O394" s="54"/>
      <x:c r="P394" s="51" t="str">
        <x:v>Optional – kein aktiver Benchmark</x:v>
      </x:c>
      <x:c r="Q394" s="53" t="n">
        <x:v>0.5</x:v>
      </x:c>
      <x:c r="R394" s="53" t="n">
        <x:v>0.75</x:v>
      </x:c>
      <x:c r="S394" s="53" t="n">
        <x:v>0.9</x:v>
      </x:c>
      <x:c r="T394" s="53" t="str">
        <x:v>default:higher_is_better_abs</x:v>
      </x:c>
      <x:c r="U394" s="14" t="str">
        <x:v>Legacy-Werte bleiben nur als historische Rechenhilfe erhalten und werden nicht für den FinalScore verwendet.</x:v>
      </x:c>
    </x:row>
    <x:row r="395" ht="42" customHeight="1">
      <x:c r="A395" s="14" t="str">
        <x:v>WOK-E-212</x:v>
      </x:c>
      <x:c r="B395" s="14" t="str">
        <x:v>L68</x:v>
      </x:c>
      <x:c r="C395" s="14" t="str">
        <x:v>Legacy / Migration auf NACE Rev. 2.1 offen</x:v>
      </x:c>
      <x:c r="D395" s="14" t="str">
        <x:v>EU</x:v>
      </x:c>
      <x:c r="E395" s="14"/>
      <x:c r="F395" s="14" t="str">
        <x:v>Qualitativ → Klasse</x:v>
      </x:c>
      <x:c r="G395" s="14" t="str">
        <x:v>higher_is_better</x:v>
      </x:c>
      <x:c r="H395" s="14" t="str">
        <x:v>R03</x:v>
      </x:c>
      <x:c r="I395" s="14" t="str">
        <x:v>Optional/Nein</x:v>
      </x:c>
      <x:c r="J395" s="51"/>
      <x:c r="K395" s="51"/>
      <x:c r="L395" s="51"/>
      <x:c r="M395" s="51"/>
      <x:c r="N395" s="51"/>
      <x:c r="O395" s="54"/>
      <x:c r="P395" s="51" t="str">
        <x:v>Optional – kein aktiver Benchmark</x:v>
      </x:c>
      <x:c r="Q395" s="53" t="n">
        <x:v>0.5</x:v>
      </x:c>
      <x:c r="R395" s="53" t="n">
        <x:v>0.75</x:v>
      </x:c>
      <x:c r="S395" s="53" t="n">
        <x:v>0.9</x:v>
      </x:c>
      <x:c r="T395" s="53" t="str">
        <x:v>default:higher_is_better_abs</x:v>
      </x:c>
      <x:c r="U395" s="14" t="str">
        <x:v>Legacy-Werte bleiben nur als historische Rechenhilfe erhalten und werden nicht für den FinalScore verwendet.</x:v>
      </x:c>
    </x:row>
    <x:row r="396" ht="42" customHeight="1">
      <x:c r="A396" s="14" t="str">
        <x:v>WOK-E-213</x:v>
      </x:c>
      <x:c r="B396" s="14" t="str">
        <x:v>L68</x:v>
      </x:c>
      <x:c r="C396" s="14" t="str">
        <x:v>Legacy / Migration auf NACE Rev. 2.1 offen</x:v>
      </x:c>
      <x:c r="D396" s="14" t="str">
        <x:v>EU</x:v>
      </x:c>
      <x:c r="E396" s="14"/>
      <x:c r="F396" s="14" t="str">
        <x:v>ha/Jahr</x:v>
      </x:c>
      <x:c r="G396" s="14" t="str">
        <x:v>lower_is_better</x:v>
      </x:c>
      <x:c r="H396" s="14" t="str">
        <x:v>R02</x:v>
      </x:c>
      <x:c r="I396" s="14" t="str">
        <x:v>Optional/Nein</x:v>
      </x:c>
      <x:c r="J396" s="51"/>
      <x:c r="K396" s="51"/>
      <x:c r="L396" s="51"/>
      <x:c r="M396" s="51"/>
      <x:c r="N396" s="51"/>
      <x:c r="O396" s="54"/>
      <x:c r="P396" s="51" t="str">
        <x:v>Optional – kein aktiver Benchmark</x:v>
      </x:c>
      <x:c r="Q396" s="53" t="n">
        <x:v>3</x:v>
      </x:c>
      <x:c r="R396" s="53" t="n">
        <x:v>4.5</x:v>
      </x:c>
      <x:c r="S396" s="53" t="n">
        <x:v>7.5</x:v>
      </x:c>
      <x:c r="T396" s="53" t="str">
        <x:v>threshold:0-class</x:v>
      </x:c>
      <x:c r="U396" s="14" t="str">
        <x:v>Legacy-Werte bleiben nur als historische Rechenhilfe erhalten und werden nicht für den FinalScore verwendet.</x:v>
      </x:c>
    </x:row>
    <x:row r="397" ht="42" customHeight="1">
      <x:c r="A397" s="14" t="str">
        <x:v>WOK-E-214</x:v>
      </x:c>
      <x:c r="B397" s="14" t="str">
        <x:v>L68</x:v>
      </x:c>
      <x:c r="C397" s="14" t="str">
        <x:v>Legacy / Migration auf NACE Rev. 2.1 offen</x:v>
      </x:c>
      <x:c r="D397" s="14" t="str">
        <x:v>EU</x:v>
      </x:c>
      <x:c r="E397" s="14"/>
      <x:c r="F397" s="14" t="str">
        <x:v>%</x:v>
      </x:c>
      <x:c r="G397" s="14" t="str">
        <x:v>higher_is_better</x:v>
      </x:c>
      <x:c r="H397" s="14" t="str">
        <x:v>R28</x:v>
      </x:c>
      <x:c r="I397" s="14" t="str">
        <x:v>Optional/Nein</x:v>
      </x:c>
      <x:c r="J397" s="51"/>
      <x:c r="K397" s="51"/>
      <x:c r="L397" s="51"/>
      <x:c r="M397" s="51"/>
      <x:c r="N397" s="51"/>
      <x:c r="O397" s="54"/>
      <x:c r="P397" s="51" t="str">
        <x:v>Optional – kein aktiver Benchmark</x:v>
      </x:c>
      <x:c r="Q397" s="53" t="n">
        <x:v>82</x:v>
      </x:c>
      <x:c r="R397" s="53" t="n">
        <x:v>100</x:v>
      </x:c>
      <x:c r="S397" s="53" t="n">
        <x:v>100</x:v>
      </x:c>
      <x:c r="T397" s="53" t="str">
        <x:v>threshold:0-class</x:v>
      </x:c>
      <x:c r="U397" s="14" t="str">
        <x:v>Legacy-Werte bleiben nur als historische Rechenhilfe erhalten und werden nicht für den FinalScore verwendet.</x:v>
      </x:c>
    </x:row>
    <x:row r="398" ht="42" customHeight="1">
      <x:c r="A398" s="14" t="str">
        <x:v>WOK-SYS-143</x:v>
      </x:c>
      <x:c r="B398" s="14" t="str">
        <x:v>G47</x:v>
      </x:c>
      <x:c r="C398" s="14" t="str">
        <x:v>Legacy / Migration auf NACE Rev. 2.1 offen</x:v>
      </x:c>
      <x:c r="D398" s="14" t="str">
        <x:v>EU</x:v>
      </x:c>
      <x:c r="E398" s="14"/>
      <x:c r="F398" s="14" t="str">
        <x:v>0–1</x:v>
      </x:c>
      <x:c r="G398" s="14" t="str">
        <x:v>higher_is_better</x:v>
      </x:c>
      <x:c r="H398" s="14" t="str">
        <x:v>R15</x:v>
      </x:c>
      <x:c r="I398" s="14" t="str">
        <x:v>Optional/Nein</x:v>
      </x:c>
      <x:c r="J398" s="51"/>
      <x:c r="K398" s="51"/>
      <x:c r="L398" s="51"/>
      <x:c r="M398" s="51"/>
      <x:c r="N398" s="51"/>
      <x:c r="O398" s="54"/>
      <x:c r="P398" s="51" t="str">
        <x:v>Optional – kein aktiver Benchmark</x:v>
      </x:c>
      <x:c r="Q398" s="53" t="n">
        <x:v>0.645</x:v>
      </x:c>
      <x:c r="R398" s="53" t="n">
        <x:v>0.9675</x:v>
      </x:c>
      <x:c r="S398" s="53" t="n">
        <x:v>1</x:v>
      </x:c>
      <x:c r="T398" s="53" t="str">
        <x:v>threshold:0-class</x:v>
      </x:c>
      <x:c r="U398" s="14" t="str">
        <x:v>Legacy-Werte bleiben nur als historische Rechenhilfe erhalten und werden nicht für den FinalScore verwendet.</x:v>
      </x:c>
    </x:row>
    <x:row r="399" ht="42" customHeight="1">
      <x:c r="A399" s="14" t="str">
        <x:v>WOK-SYS-144</x:v>
      </x:c>
      <x:c r="B399" s="14" t="str">
        <x:v>G47</x:v>
      </x:c>
      <x:c r="C399" s="14" t="str">
        <x:v>Legacy / Migration auf NACE Rev. 2.1 offen</x:v>
      </x:c>
      <x:c r="D399" s="14" t="str">
        <x:v>EU</x:v>
      </x:c>
      <x:c r="E399" s="14"/>
      <x:c r="F399" s="14" t="str">
        <x:v>%</x:v>
      </x:c>
      <x:c r="G399" s="14" t="str">
        <x:v>lower_is_better</x:v>
      </x:c>
      <x:c r="H399" s="14" t="str">
        <x:v>R13</x:v>
      </x:c>
      <x:c r="I399" s="14" t="str">
        <x:v>Optional/Nein</x:v>
      </x:c>
      <x:c r="J399" s="51"/>
      <x:c r="K399" s="51"/>
      <x:c r="L399" s="51"/>
      <x:c r="M399" s="51"/>
      <x:c r="N399" s="51"/>
      <x:c r="O399" s="54"/>
      <x:c r="P399" s="51" t="str">
        <x:v>Optional – kein aktiver Benchmark</x:v>
      </x:c>
      <x:c r="Q399" s="53" t="n">
        <x:v>15.5</x:v>
      </x:c>
      <x:c r="R399" s="53" t="n">
        <x:v>23.25</x:v>
      </x:c>
      <x:c r="S399" s="53" t="n">
        <x:v>38.75</x:v>
      </x:c>
      <x:c r="T399" s="53" t="str">
        <x:v>threshold:0-class</x:v>
      </x:c>
      <x:c r="U399" s="14" t="str">
        <x:v>Legacy-Werte bleiben nur als historische Rechenhilfe erhalten und werden nicht für den FinalScore verwendet.</x:v>
      </x:c>
    </x:row>
    <x:row r="400" ht="42" customHeight="1">
      <x:c r="A400" s="14" t="str">
        <x:v>WOK-SYS-145</x:v>
      </x:c>
      <x:c r="B400" s="14" t="str">
        <x:v>G47</x:v>
      </x:c>
      <x:c r="C400" s="14" t="str">
        <x:v>Legacy / Migration auf NACE Rev. 2.1 offen</x:v>
      </x:c>
      <x:c r="D400" s="14" t="str">
        <x:v>EU</x:v>
      </x:c>
      <x:c r="E400" s="14"/>
      <x:c r="F400" s="14" t="str">
        <x:v>#/Jahr</x:v>
      </x:c>
      <x:c r="G400" s="14" t="str">
        <x:v>higher_is_better</x:v>
      </x:c>
      <x:c r="H400" s="14" t="str">
        <x:v>R20</x:v>
      </x:c>
      <x:c r="I400" s="14" t="str">
        <x:v>Optional/Nein</x:v>
      </x:c>
      <x:c r="J400" s="51"/>
      <x:c r="K400" s="51"/>
      <x:c r="L400" s="51"/>
      <x:c r="M400" s="51"/>
      <x:c r="N400" s="51"/>
      <x:c r="O400" s="54"/>
      <x:c r="P400" s="51" t="str">
        <x:v>Optional – kein aktiver Benchmark</x:v>
      </x:c>
      <x:c r="Q400" s="53" t="n">
        <x:v>1.5</x:v>
      </x:c>
      <x:c r="R400" s="53" t="n">
        <x:v>2.25</x:v>
      </x:c>
      <x:c r="S400" s="53" t="n">
        <x:v>3.75</x:v>
      </x:c>
      <x:c r="T400" s="53" t="str">
        <x:v>threshold:0-class</x:v>
      </x:c>
      <x:c r="U400" s="14" t="str">
        <x:v>Legacy-Werte bleiben nur als historische Rechenhilfe erhalten und werden nicht für den FinalScore verwendet.</x:v>
      </x:c>
    </x:row>
    <x:row r="401" ht="42" customHeight="1">
      <x:c r="A401" s="14" t="str">
        <x:v>WOK-E-215</x:v>
      </x:c>
      <x:c r="B401" s="14" t="str">
        <x:v>L68</x:v>
      </x:c>
      <x:c r="C401" s="14" t="str">
        <x:v>Legacy / Migration auf NACE Rev. 2.1 offen</x:v>
      </x:c>
      <x:c r="D401" s="14" t="str">
        <x:v>EU</x:v>
      </x:c>
      <x:c r="E401" s="14"/>
      <x:c r="F401" s="14" t="str">
        <x:v>Qualitativ → Klasse</x:v>
      </x:c>
      <x:c r="G401" s="14" t="str">
        <x:v>higher_is_better</x:v>
      </x:c>
      <x:c r="H401" s="14" t="str">
        <x:v>R03</x:v>
      </x:c>
      <x:c r="I401" s="14" t="str">
        <x:v>Optional/Nein</x:v>
      </x:c>
      <x:c r="J401" s="51"/>
      <x:c r="K401" s="51"/>
      <x:c r="L401" s="51"/>
      <x:c r="M401" s="51"/>
      <x:c r="N401" s="51"/>
      <x:c r="O401" s="54"/>
      <x:c r="P401" s="51" t="str">
        <x:v>Optional – kein aktiver Benchmark</x:v>
      </x:c>
      <x:c r="Q401" s="53" t="n">
        <x:v>0.5</x:v>
      </x:c>
      <x:c r="R401" s="53" t="n">
        <x:v>0.75</x:v>
      </x:c>
      <x:c r="S401" s="53" t="n">
        <x:v>0.9</x:v>
      </x:c>
      <x:c r="T401" s="53" t="str">
        <x:v>default:higher_is_better_abs</x:v>
      </x:c>
      <x:c r="U401" s="14" t="str">
        <x:v>Legacy-Werte bleiben nur als historische Rechenhilfe erhalten und werden nicht für den FinalScore verwendet.</x:v>
      </x:c>
    </x:row>
    <x:row r="402" ht="42" customHeight="1">
      <x:c r="A402" s="14" t="str">
        <x:v>WOK-E-216</x:v>
      </x:c>
      <x:c r="B402" s="14" t="str">
        <x:v>L68</x:v>
      </x:c>
      <x:c r="C402" s="14" t="str">
        <x:v>Legacy / Migration auf NACE Rev. 2.1 offen</x:v>
      </x:c>
      <x:c r="D402" s="14" t="str">
        <x:v>EU</x:v>
      </x:c>
      <x:c r="E402" s="14"/>
      <x:c r="F402" s="14" t="str">
        <x:v>ha/Jahr</x:v>
      </x:c>
      <x:c r="G402" s="14" t="str">
        <x:v>lower_is_better</x:v>
      </x:c>
      <x:c r="H402" s="14" t="str">
        <x:v>R02</x:v>
      </x:c>
      <x:c r="I402" s="14" t="str">
        <x:v>Optional/Nein</x:v>
      </x:c>
      <x:c r="J402" s="51"/>
      <x:c r="K402" s="51"/>
      <x:c r="L402" s="51"/>
      <x:c r="M402" s="51"/>
      <x:c r="N402" s="51"/>
      <x:c r="O402" s="54"/>
      <x:c r="P402" s="51" t="str">
        <x:v>Optional – kein aktiver Benchmark</x:v>
      </x:c>
      <x:c r="Q402" s="53" t="n">
        <x:v>3</x:v>
      </x:c>
      <x:c r="R402" s="53" t="n">
        <x:v>4.5</x:v>
      </x:c>
      <x:c r="S402" s="53" t="n">
        <x:v>7.5</x:v>
      </x:c>
      <x:c r="T402" s="53" t="str">
        <x:v>threshold:0-class</x:v>
      </x:c>
      <x:c r="U402" s="14" t="str">
        <x:v>Legacy-Werte bleiben nur als historische Rechenhilfe erhalten und werden nicht für den FinalScore verwendet.</x:v>
      </x:c>
    </x:row>
    <x:row r="403" ht="42" customHeight="1">
      <x:c r="A403" s="14" t="str">
        <x:v>WOK-E-217</x:v>
      </x:c>
      <x:c r="B403" s="14" t="str">
        <x:v>L68</x:v>
      </x:c>
      <x:c r="C403" s="14" t="str">
        <x:v>Legacy / Migration auf NACE Rev. 2.1 offen</x:v>
      </x:c>
      <x:c r="D403" s="14" t="str">
        <x:v>EU</x:v>
      </x:c>
      <x:c r="E403" s="14"/>
      <x:c r="F403" s="14" t="str">
        <x:v>%</x:v>
      </x:c>
      <x:c r="G403" s="14" t="str">
        <x:v>higher_is_better</x:v>
      </x:c>
      <x:c r="H403" s="14" t="str">
        <x:v>R28</x:v>
      </x:c>
      <x:c r="I403" s="14" t="str">
        <x:v>Optional/Nein</x:v>
      </x:c>
      <x:c r="J403" s="51"/>
      <x:c r="K403" s="51"/>
      <x:c r="L403" s="51"/>
      <x:c r="M403" s="51"/>
      <x:c r="N403" s="51"/>
      <x:c r="O403" s="54"/>
      <x:c r="P403" s="51" t="str">
        <x:v>Optional – kein aktiver Benchmark</x:v>
      </x:c>
      <x:c r="Q403" s="53" t="n">
        <x:v>82</x:v>
      </x:c>
      <x:c r="R403" s="53" t="n">
        <x:v>100</x:v>
      </x:c>
      <x:c r="S403" s="53" t="n">
        <x:v>100</x:v>
      </x:c>
      <x:c r="T403" s="53" t="str">
        <x:v>threshold:0-class</x:v>
      </x:c>
      <x:c r="U403" s="14" t="str">
        <x:v>Legacy-Werte bleiben nur als historische Rechenhilfe erhalten und werden nicht für den FinalScore verwendet.</x:v>
      </x:c>
    </x:row>
    <x:row r="404" ht="42" customHeight="1">
      <x:c r="A404" s="14" t="str">
        <x:v>WOK-POL-113</x:v>
      </x:c>
      <x:c r="B404" s="14" t="str">
        <x:v>C20</x:v>
      </x:c>
      <x:c r="C404" s="14" t="str">
        <x:v>Legacy / Migration auf NACE Rev. 2.1 offen</x:v>
      </x:c>
      <x:c r="D404" s="14" t="str">
        <x:v>EU</x:v>
      </x:c>
      <x:c r="E404" s="14"/>
      <x:c r="F404" s="14" t="str">
        <x:v>g CO₂e/kWh</x:v>
      </x:c>
      <x:c r="G404" s="14" t="str">
        <x:v>lower_is_better</x:v>
      </x:c>
      <x:c r="H404" s="14" t="str">
        <x:v>R10</x:v>
      </x:c>
      <x:c r="I404" s="14" t="str">
        <x:v>Optional/Nein</x:v>
      </x:c>
      <x:c r="J404" s="51"/>
      <x:c r="K404" s="51"/>
      <x:c r="L404" s="51"/>
      <x:c r="M404" s="51"/>
      <x:c r="N404" s="51"/>
      <x:c r="O404" s="54"/>
      <x:c r="P404" s="51" t="str">
        <x:v>Optional – kein aktiver Benchmark</x:v>
      </x:c>
      <x:c r="Q404" s="53" t="n">
        <x:v>175.5</x:v>
      </x:c>
      <x:c r="R404" s="53" t="n">
        <x:v>263.25</x:v>
      </x:c>
      <x:c r="S404" s="53" t="n">
        <x:v>438.75</x:v>
      </x:c>
      <x:c r="T404" s="53" t="str">
        <x:v>threshold:0-class</x:v>
      </x:c>
      <x:c r="U404" s="14" t="str">
        <x:v>Legacy-Werte bleiben nur als historische Rechenhilfe erhalten und werden nicht für den FinalScore verwendet.</x:v>
      </x:c>
    </x:row>
    <x:row r="405" ht="42" customHeight="1">
      <x:c r="A405" s="14" t="str">
        <x:v>WOK-POL-114</x:v>
      </x:c>
      <x:c r="B405" s="14" t="str">
        <x:v>C20</x:v>
      </x:c>
      <x:c r="C405" s="14" t="str">
        <x:v>Legacy / Migration auf NACE Rev. 2.1 offen</x:v>
      </x:c>
      <x:c r="D405" s="14" t="str">
        <x:v>EU</x:v>
      </x:c>
      <x:c r="E405" s="14"/>
      <x:c r="F405" s="14" t="str">
        <x:v>% Aktivitäten</x:v>
      </x:c>
      <x:c r="G405" s="14" t="str">
        <x:v>higher_is_better</x:v>
      </x:c>
      <x:c r="H405" s="14" t="str">
        <x:v>R25</x:v>
      </x:c>
      <x:c r="I405" s="14" t="str">
        <x:v>Optional/Nein</x:v>
      </x:c>
      <x:c r="J405" s="51"/>
      <x:c r="K405" s="51"/>
      <x:c r="L405" s="51"/>
      <x:c r="M405" s="51"/>
      <x:c r="N405" s="51"/>
      <x:c r="O405" s="54"/>
      <x:c r="P405" s="51" t="str">
        <x:v>Optional – kein aktiver Benchmark</x:v>
      </x:c>
      <x:c r="Q405" s="53" t="n">
        <x:v>50</x:v>
      </x:c>
      <x:c r="R405" s="53" t="n">
        <x:v>75</x:v>
      </x:c>
      <x:c r="S405" s="53" t="n">
        <x:v>100</x:v>
      </x:c>
      <x:c r="T405" s="53" t="str">
        <x:v>default:higher_is_better_pct</x:v>
      </x:c>
      <x:c r="U405" s="14" t="str">
        <x:v>Legacy-Werte bleiben nur als historische Rechenhilfe erhalten und werden nicht für den FinalScore verwendet.</x:v>
      </x:c>
    </x:row>
    <x:row r="406" ht="42" customHeight="1">
      <x:c r="A406" s="14" t="str">
        <x:v>WOK-POL-115</x:v>
      </x:c>
      <x:c r="B406" s="14" t="str">
        <x:v>C20</x:v>
      </x:c>
      <x:c r="C406" s="14" t="str">
        <x:v>Legacy / Migration auf NACE Rev. 2.1 offen</x:v>
      </x:c>
      <x:c r="D406" s="14" t="str">
        <x:v>EU</x:v>
      </x:c>
      <x:c r="E406" s="14"/>
      <x:c r="F406" s="14" t="str">
        <x:v>% Aktivitäten</x:v>
      </x:c>
      <x:c r="G406" s="14" t="str">
        <x:v>higher_is_better</x:v>
      </x:c>
      <x:c r="H406" s="14" t="str">
        <x:v>R25</x:v>
      </x:c>
      <x:c r="I406" s="14" t="str">
        <x:v>Optional/Nein</x:v>
      </x:c>
      <x:c r="J406" s="51"/>
      <x:c r="K406" s="51"/>
      <x:c r="L406" s="51"/>
      <x:c r="M406" s="51"/>
      <x:c r="N406" s="51"/>
      <x:c r="O406" s="54"/>
      <x:c r="P406" s="51" t="str">
        <x:v>Optional – kein aktiver Benchmark</x:v>
      </x:c>
      <x:c r="Q406" s="53" t="n">
        <x:v>50</x:v>
      </x:c>
      <x:c r="R406" s="53" t="n">
        <x:v>75</x:v>
      </x:c>
      <x:c r="S406" s="53" t="n">
        <x:v>100</x:v>
      </x:c>
      <x:c r="T406" s="53" t="str">
        <x:v>default:higher_is_better_pct</x:v>
      </x:c>
      <x:c r="U406" s="14" t="str">
        <x:v>Legacy-Werte bleiben nur als historische Rechenhilfe erhalten und werden nicht für den FinalScore verwendet.</x:v>
      </x:c>
    </x:row>
    <x:row r="407" ht="42" customHeight="1">
      <x:c r="A407" s="14" t="str">
        <x:v>WOK-E-218</x:v>
      </x:c>
      <x:c r="B407" s="14" t="str">
        <x:v>L68</x:v>
      </x:c>
      <x:c r="C407" s="14" t="str">
        <x:v>Legacy / Migration auf NACE Rev. 2.1 offen</x:v>
      </x:c>
      <x:c r="D407" s="14" t="str">
        <x:v>EU</x:v>
      </x:c>
      <x:c r="E407" s="14"/>
      <x:c r="F407" s="14" t="str">
        <x:v>Qualitativ → Klasse</x:v>
      </x:c>
      <x:c r="G407" s="14" t="str">
        <x:v>higher_is_better</x:v>
      </x:c>
      <x:c r="H407" s="14" t="str">
        <x:v>R03</x:v>
      </x:c>
      <x:c r="I407" s="14" t="str">
        <x:v>Optional/Nein</x:v>
      </x:c>
      <x:c r="J407" s="51"/>
      <x:c r="K407" s="51"/>
      <x:c r="L407" s="51"/>
      <x:c r="M407" s="51"/>
      <x:c r="N407" s="51"/>
      <x:c r="O407" s="54"/>
      <x:c r="P407" s="51" t="str">
        <x:v>Optional – kein aktiver Benchmark</x:v>
      </x:c>
      <x:c r="Q407" s="53" t="n">
        <x:v>0.5</x:v>
      </x:c>
      <x:c r="R407" s="53" t="n">
        <x:v>0.75</x:v>
      </x:c>
      <x:c r="S407" s="53" t="n">
        <x:v>0.9</x:v>
      </x:c>
      <x:c r="T407" s="53" t="str">
        <x:v>default:higher_is_better_abs</x:v>
      </x:c>
      <x:c r="U407" s="14" t="str">
        <x:v>Legacy-Werte bleiben nur als historische Rechenhilfe erhalten und werden nicht für den FinalScore verwendet.</x:v>
      </x:c>
    </x:row>
    <x:row r="408" ht="42" customHeight="1">
      <x:c r="A408" s="14" t="str">
        <x:v>WOK-E-219</x:v>
      </x:c>
      <x:c r="B408" s="14" t="str">
        <x:v>L68</x:v>
      </x:c>
      <x:c r="C408" s="14" t="str">
        <x:v>Legacy / Migration auf NACE Rev. 2.1 offen</x:v>
      </x:c>
      <x:c r="D408" s="14" t="str">
        <x:v>EU</x:v>
      </x:c>
      <x:c r="E408" s="14"/>
      <x:c r="F408" s="14" t="str">
        <x:v>ha/Jahr</x:v>
      </x:c>
      <x:c r="G408" s="14" t="str">
        <x:v>lower_is_better</x:v>
      </x:c>
      <x:c r="H408" s="14" t="str">
        <x:v>R02</x:v>
      </x:c>
      <x:c r="I408" s="14" t="str">
        <x:v>Optional/Nein</x:v>
      </x:c>
      <x:c r="J408" s="51"/>
      <x:c r="K408" s="51"/>
      <x:c r="L408" s="51"/>
      <x:c r="M408" s="51"/>
      <x:c r="N408" s="51"/>
      <x:c r="O408" s="54"/>
      <x:c r="P408" s="51" t="str">
        <x:v>Optional – kein aktiver Benchmark</x:v>
      </x:c>
      <x:c r="Q408" s="53" t="n">
        <x:v>3</x:v>
      </x:c>
      <x:c r="R408" s="53" t="n">
        <x:v>4.5</x:v>
      </x:c>
      <x:c r="S408" s="53" t="n">
        <x:v>7.5</x:v>
      </x:c>
      <x:c r="T408" s="53" t="str">
        <x:v>threshold:0-class</x:v>
      </x:c>
      <x:c r="U408" s="14" t="str">
        <x:v>Legacy-Werte bleiben nur als historische Rechenhilfe erhalten und werden nicht für den FinalScore verwendet.</x:v>
      </x:c>
    </x:row>
    <x:row r="409" ht="42" customHeight="1">
      <x:c r="A409" s="14" t="str">
        <x:v>WOK-E-220</x:v>
      </x:c>
      <x:c r="B409" s="14" t="str">
        <x:v>L68</x:v>
      </x:c>
      <x:c r="C409" s="14" t="str">
        <x:v>Legacy / Migration auf NACE Rev. 2.1 offen</x:v>
      </x:c>
      <x:c r="D409" s="14" t="str">
        <x:v>EU</x:v>
      </x:c>
      <x:c r="E409" s="14"/>
      <x:c r="F409" s="14" t="str">
        <x:v>%</x:v>
      </x:c>
      <x:c r="G409" s="14" t="str">
        <x:v>higher_is_better</x:v>
      </x:c>
      <x:c r="H409" s="14" t="str">
        <x:v>R28</x:v>
      </x:c>
      <x:c r="I409" s="14" t="str">
        <x:v>Optional/Nein</x:v>
      </x:c>
      <x:c r="J409" s="51"/>
      <x:c r="K409" s="51"/>
      <x:c r="L409" s="51"/>
      <x:c r="M409" s="51"/>
      <x:c r="N409" s="51"/>
      <x:c r="O409" s="54"/>
      <x:c r="P409" s="51" t="str">
        <x:v>Optional – kein aktiver Benchmark</x:v>
      </x:c>
      <x:c r="Q409" s="53" t="n">
        <x:v>82</x:v>
      </x:c>
      <x:c r="R409" s="53" t="n">
        <x:v>100</x:v>
      </x:c>
      <x:c r="S409" s="53" t="n">
        <x:v>100</x:v>
      </x:c>
      <x:c r="T409" s="53" t="str">
        <x:v>threshold:0-class</x:v>
      </x:c>
      <x:c r="U409" s="14" t="str">
        <x:v>Legacy-Werte bleiben nur als historische Rechenhilfe erhalten und werden nicht für den FinalScore verwendet.</x:v>
      </x:c>
    </x:row>
    <x:row r="410" ht="42" customHeight="1">
      <x:c r="A410" s="14" t="str">
        <x:v>WOK-G-173</x:v>
      </x:c>
      <x:c r="B410" s="14" t="str">
        <x:v>G47</x:v>
      </x:c>
      <x:c r="C410" s="14" t="str">
        <x:v>Legacy / Migration auf NACE Rev. 2.1 offen</x:v>
      </x:c>
      <x:c r="D410" s="14" t="str">
        <x:v>EU</x:v>
      </x:c>
      <x:c r="E410" s="14"/>
      <x:c r="F410" s="14" t="str">
        <x:v>Fälle/1.000 FTE</x:v>
      </x:c>
      <x:c r="G410" s="14" t="str">
        <x:v>lower_is_better</x:v>
      </x:c>
      <x:c r="H410" s="14" t="str">
        <x:v>R01</x:v>
      </x:c>
      <x:c r="I410" s="14" t="str">
        <x:v>Optional/Nein</x:v>
      </x:c>
      <x:c r="J410" s="51"/>
      <x:c r="K410" s="51"/>
      <x:c r="L410" s="51"/>
      <x:c r="M410" s="51"/>
      <x:c r="N410" s="51"/>
      <x:c r="O410" s="54"/>
      <x:c r="P410" s="51" t="str">
        <x:v>Optional – kein aktiver Benchmark</x:v>
      </x:c>
      <x:c r="Q410" s="53" t="n">
        <x:v>0.5</x:v>
      </x:c>
      <x:c r="R410" s="53" t="n">
        <x:v>0.75</x:v>
      </x:c>
      <x:c r="S410" s="53" t="n">
        <x:v>1.25</x:v>
      </x:c>
      <x:c r="T410" s="53" t="str">
        <x:v>threshold:0-class</x:v>
      </x:c>
      <x:c r="U410" s="14" t="str">
        <x:v>Legacy-Werte bleiben nur als historische Rechenhilfe erhalten und werden nicht für den FinalScore verwendet.</x:v>
      </x:c>
    </x:row>
    <x:row r="411" ht="42" customHeight="1">
      <x:c r="A411" s="14" t="str">
        <x:v>WOK-G-174</x:v>
      </x:c>
      <x:c r="B411" s="14" t="str">
        <x:v>G47</x:v>
      </x:c>
      <x:c r="C411" s="14" t="str">
        <x:v>Legacy / Migration auf NACE Rev. 2.1 offen</x:v>
      </x:c>
      <x:c r="D411" s="14" t="str">
        <x:v>EU</x:v>
      </x:c>
      <x:c r="E411" s="14"/>
      <x:c r="F411" s="14" t="str">
        <x:v>0–1</x:v>
      </x:c>
      <x:c r="G411" s="14" t="str">
        <x:v>higher_is_better</x:v>
      </x:c>
      <x:c r="H411" s="14" t="str">
        <x:v>R16</x:v>
      </x:c>
      <x:c r="I411" s="14" t="str">
        <x:v>Optional/Nein</x:v>
      </x:c>
      <x:c r="J411" s="51"/>
      <x:c r="K411" s="51"/>
      <x:c r="L411" s="51"/>
      <x:c r="M411" s="51"/>
      <x:c r="N411" s="51"/>
      <x:c r="O411" s="54"/>
      <x:c r="P411" s="51" t="str">
        <x:v>Optional – kein aktiver Benchmark</x:v>
      </x:c>
      <x:c r="Q411" s="53" t="n">
        <x:v>0.6699999999999999</x:v>
      </x:c>
      <x:c r="R411" s="53" t="n">
        <x:v>1</x:v>
      </x:c>
      <x:c r="S411" s="53" t="n">
        <x:v>1</x:v>
      </x:c>
      <x:c r="T411" s="53" t="str">
        <x:v>threshold:0-class</x:v>
      </x:c>
      <x:c r="U411" s="14" t="str">
        <x:v>Legacy-Werte bleiben nur als historische Rechenhilfe erhalten und werden nicht für den FinalScore verwendet.</x:v>
      </x:c>
    </x:row>
    <x:row r="412" ht="42" customHeight="1">
      <x:c r="A412" s="14" t="str">
        <x:v>WOK-G-175</x:v>
      </x:c>
      <x:c r="B412" s="14" t="str">
        <x:v>G47</x:v>
      </x:c>
      <x:c r="C412" s="14" t="str">
        <x:v>Legacy / Migration auf NACE Rev. 2.1 offen</x:v>
      </x:c>
      <x:c r="D412" s="14" t="str">
        <x:v>EU</x:v>
      </x:c>
      <x:c r="E412" s="14"/>
      <x:c r="F412" s="14" t="str">
        <x:v>0–1</x:v>
      </x:c>
      <x:c r="G412" s="14" t="str">
        <x:v>higher_is_better</x:v>
      </x:c>
      <x:c r="H412" s="14" t="str">
        <x:v>R08</x:v>
      </x:c>
      <x:c r="I412" s="14" t="str">
        <x:v>Optional/Nein</x:v>
      </x:c>
      <x:c r="J412" s="51"/>
      <x:c r="K412" s="51"/>
      <x:c r="L412" s="51"/>
      <x:c r="M412" s="51"/>
      <x:c r="N412" s="51"/>
      <x:c r="O412" s="54"/>
      <x:c r="P412" s="51" t="str">
        <x:v>Optional – kein aktiver Benchmark</x:v>
      </x:c>
      <x:c r="Q412" s="53" t="n">
        <x:v>0.5</x:v>
      </x:c>
      <x:c r="R412" s="53" t="n">
        <x:v>0.75</x:v>
      </x:c>
      <x:c r="S412" s="53" t="n">
        <x:v>0.9</x:v>
      </x:c>
      <x:c r="T412" s="53" t="str">
        <x:v>default:higher_is_better_abs</x:v>
      </x:c>
      <x:c r="U412" s="14" t="str">
        <x:v>Legacy-Werte bleiben nur als historische Rechenhilfe erhalten und werden nicht für den FinalScore verwendet.</x:v>
      </x:c>
    </x:row>
    <x:row r="413" ht="42" customHeight="1">
      <x:c r="A413" s="14" t="str">
        <x:v>WOK-G-176</x:v>
      </x:c>
      <x:c r="B413" s="14" t="str">
        <x:v>G47</x:v>
      </x:c>
      <x:c r="C413" s="14" t="str">
        <x:v>Legacy / Migration auf NACE Rev. 2.1 offen</x:v>
      </x:c>
      <x:c r="D413" s="14" t="str">
        <x:v>EU</x:v>
      </x:c>
      <x:c r="E413" s="14"/>
      <x:c r="F413" s="14" t="str">
        <x:v>Fälle/1.000 FTE</x:v>
      </x:c>
      <x:c r="G413" s="14" t="str">
        <x:v>lower_is_better</x:v>
      </x:c>
      <x:c r="H413" s="14" t="str">
        <x:v>R01</x:v>
      </x:c>
      <x:c r="I413" s="14" t="str">
        <x:v>Optional/Nein</x:v>
      </x:c>
      <x:c r="J413" s="51"/>
      <x:c r="K413" s="51"/>
      <x:c r="L413" s="51"/>
      <x:c r="M413" s="51"/>
      <x:c r="N413" s="51"/>
      <x:c r="O413" s="54"/>
      <x:c r="P413" s="51" t="str">
        <x:v>Optional – kein aktiver Benchmark</x:v>
      </x:c>
      <x:c r="Q413" s="53" t="n">
        <x:v>0.5</x:v>
      </x:c>
      <x:c r="R413" s="53" t="n">
        <x:v>0.75</x:v>
      </x:c>
      <x:c r="S413" s="53" t="n">
        <x:v>1.25</x:v>
      </x:c>
      <x:c r="T413" s="53" t="str">
        <x:v>threshold:0-class</x:v>
      </x:c>
      <x:c r="U413" s="14" t="str">
        <x:v>Legacy-Werte bleiben nur als historische Rechenhilfe erhalten und werden nicht für den FinalScore verwendet.</x:v>
      </x:c>
    </x:row>
    <x:row r="414" ht="42" customHeight="1">
      <x:c r="A414" s="14" t="str">
        <x:v>WOK-G-177</x:v>
      </x:c>
      <x:c r="B414" s="14" t="str">
        <x:v>G47</x:v>
      </x:c>
      <x:c r="C414" s="14" t="str">
        <x:v>Legacy / Migration auf NACE Rev. 2.1 offen</x:v>
      </x:c>
      <x:c r="D414" s="14" t="str">
        <x:v>EU</x:v>
      </x:c>
      <x:c r="E414" s="14"/>
      <x:c r="F414" s="14" t="str">
        <x:v>0–1</x:v>
      </x:c>
      <x:c r="G414" s="14" t="str">
        <x:v>higher_is_better</x:v>
      </x:c>
      <x:c r="H414" s="14" t="str">
        <x:v>R16</x:v>
      </x:c>
      <x:c r="I414" s="14" t="str">
        <x:v>Optional/Nein</x:v>
      </x:c>
      <x:c r="J414" s="51"/>
      <x:c r="K414" s="51"/>
      <x:c r="L414" s="51"/>
      <x:c r="M414" s="51"/>
      <x:c r="N414" s="51"/>
      <x:c r="O414" s="54"/>
      <x:c r="P414" s="51" t="str">
        <x:v>Optional – kein aktiver Benchmark</x:v>
      </x:c>
      <x:c r="Q414" s="53" t="n">
        <x:v>0.6699999999999999</x:v>
      </x:c>
      <x:c r="R414" s="53" t="n">
        <x:v>1</x:v>
      </x:c>
      <x:c r="S414" s="53" t="n">
        <x:v>1</x:v>
      </x:c>
      <x:c r="T414" s="53" t="str">
        <x:v>threshold:0-class</x:v>
      </x:c>
      <x:c r="U414" s="14" t="str">
        <x:v>Legacy-Werte bleiben nur als historische Rechenhilfe erhalten und werden nicht für den FinalScore verwendet.</x:v>
      </x:c>
    </x:row>
    <x:row r="415" ht="42" customHeight="1">
      <x:c r="A415" s="14" t="str">
        <x:v>WOK-G-178</x:v>
      </x:c>
      <x:c r="B415" s="14" t="str">
        <x:v>G47</x:v>
      </x:c>
      <x:c r="C415" s="14" t="str">
        <x:v>Legacy / Migration auf NACE Rev. 2.1 offen</x:v>
      </x:c>
      <x:c r="D415" s="14" t="str">
        <x:v>EU</x:v>
      </x:c>
      <x:c r="E415" s="14"/>
      <x:c r="F415" s="14" t="str">
        <x:v>0–1</x:v>
      </x:c>
      <x:c r="G415" s="14" t="str">
        <x:v>higher_is_better</x:v>
      </x:c>
      <x:c r="H415" s="14" t="str">
        <x:v>R08</x:v>
      </x:c>
      <x:c r="I415" s="14" t="str">
        <x:v>Optional/Nein</x:v>
      </x:c>
      <x:c r="J415" s="51"/>
      <x:c r="K415" s="51"/>
      <x:c r="L415" s="51"/>
      <x:c r="M415" s="51"/>
      <x:c r="N415" s="51"/>
      <x:c r="O415" s="54"/>
      <x:c r="P415" s="51" t="str">
        <x:v>Optional – kein aktiver Benchmark</x:v>
      </x:c>
      <x:c r="Q415" s="53" t="n">
        <x:v>0.5</x:v>
      </x:c>
      <x:c r="R415" s="53" t="n">
        <x:v>0.75</x:v>
      </x:c>
      <x:c r="S415" s="53" t="n">
        <x:v>0.9</x:v>
      </x:c>
      <x:c r="T415" s="53" t="str">
        <x:v>default:higher_is_better_abs</x:v>
      </x:c>
      <x:c r="U415" s="14" t="str">
        <x:v>Legacy-Werte bleiben nur als historische Rechenhilfe erhalten und werden nicht für den FinalScore verwendet.</x:v>
      </x:c>
    </x:row>
    <x:row r="416" ht="42" customHeight="1">
      <x:c r="A416" s="14" t="str">
        <x:v>WOK-G-179</x:v>
      </x:c>
      <x:c r="B416" s="14" t="str">
        <x:v>G47</x:v>
      </x:c>
      <x:c r="C416" s="14" t="str">
        <x:v>Legacy / Migration auf NACE Rev. 2.1 offen</x:v>
      </x:c>
      <x:c r="D416" s="14" t="str">
        <x:v>EU</x:v>
      </x:c>
      <x:c r="E416" s="14"/>
      <x:c r="F416" s="14" t="str">
        <x:v>Fälle/Mio</x:v>
      </x:c>
      <x:c r="G416" s="14" t="str">
        <x:v>lower_is_better</x:v>
      </x:c>
      <x:c r="H416" s="14" t="str">
        <x:v>R02</x:v>
      </x:c>
      <x:c r="I416" s="14" t="str">
        <x:v>Optional/Nein</x:v>
      </x:c>
      <x:c r="J416" s="51"/>
      <x:c r="K416" s="51"/>
      <x:c r="L416" s="51"/>
      <x:c r="M416" s="51"/>
      <x:c r="N416" s="51"/>
      <x:c r="O416" s="54"/>
      <x:c r="P416" s="51" t="str">
        <x:v>Optional – kein aktiver Benchmark</x:v>
      </x:c>
      <x:c r="Q416" s="53" t="n">
        <x:v>3</x:v>
      </x:c>
      <x:c r="R416" s="53" t="n">
        <x:v>4.5</x:v>
      </x:c>
      <x:c r="S416" s="53" t="n">
        <x:v>7.5</x:v>
      </x:c>
      <x:c r="T416" s="53" t="str">
        <x:v>threshold:0-class</x:v>
      </x:c>
      <x:c r="U416" s="14" t="str">
        <x:v>Legacy-Werte bleiben nur als historische Rechenhilfe erhalten und werden nicht für den FinalScore verwendet.</x:v>
      </x:c>
    </x:row>
    <x:row r="417" ht="42" customHeight="1">
      <x:c r="A417" s="14" t="str">
        <x:v>WOK-G-180</x:v>
      </x:c>
      <x:c r="B417" s="14" t="str">
        <x:v>G47</x:v>
      </x:c>
      <x:c r="C417" s="14" t="str">
        <x:v>Legacy / Migration auf NACE Rev. 2.1 offen</x:v>
      </x:c>
      <x:c r="D417" s="14" t="str">
        <x:v>EU</x:v>
      </x:c>
      <x:c r="E417" s="14"/>
      <x:c r="F417" s="14" t="str">
        <x:v>%</x:v>
      </x:c>
      <x:c r="G417" s="14" t="str">
        <x:v>higher_is_better</x:v>
      </x:c>
      <x:c r="H417" s="14" t="str">
        <x:v>R25</x:v>
      </x:c>
      <x:c r="I417" s="14" t="str">
        <x:v>Optional/Nein</x:v>
      </x:c>
      <x:c r="J417" s="51"/>
      <x:c r="K417" s="51"/>
      <x:c r="L417" s="51"/>
      <x:c r="M417" s="51"/>
      <x:c r="N417" s="51"/>
      <x:c r="O417" s="54"/>
      <x:c r="P417" s="51" t="str">
        <x:v>Optional – kein aktiver Benchmark</x:v>
      </x:c>
      <x:c r="Q417" s="53" t="n">
        <x:v>50</x:v>
      </x:c>
      <x:c r="R417" s="53" t="n">
        <x:v>75</x:v>
      </x:c>
      <x:c r="S417" s="53" t="n">
        <x:v>100</x:v>
      </x:c>
      <x:c r="T417" s="53" t="str">
        <x:v>default:higher_is_better_pct</x:v>
      </x:c>
      <x:c r="U417" s="14" t="str">
        <x:v>Legacy-Werte bleiben nur als historische Rechenhilfe erhalten und werden nicht für den FinalScore verwendet.</x:v>
      </x:c>
    </x:row>
    <x:row r="418" ht="42" customHeight="1">
      <x:c r="A418" s="14" t="str">
        <x:v>WOK-G-181</x:v>
      </x:c>
      <x:c r="B418" s="14" t="str">
        <x:v>G47</x:v>
      </x:c>
      <x:c r="C418" s="14" t="str">
        <x:v>Legacy / Migration auf NACE Rev. 2.1 offen</x:v>
      </x:c>
      <x:c r="D418" s="14" t="str">
        <x:v>EU</x:v>
      </x:c>
      <x:c r="E418" s="14"/>
      <x:c r="F418" s="14" t="str">
        <x:v>0–1</x:v>
      </x:c>
      <x:c r="G418" s="14" t="str">
        <x:v>higher_is_better</x:v>
      </x:c>
      <x:c r="H418" s="14" t="str">
        <x:v>R16</x:v>
      </x:c>
      <x:c r="I418" s="14" t="str">
        <x:v>Optional/Nein</x:v>
      </x:c>
      <x:c r="J418" s="51"/>
      <x:c r="K418" s="51"/>
      <x:c r="L418" s="51"/>
      <x:c r="M418" s="51"/>
      <x:c r="N418" s="51"/>
      <x:c r="O418" s="54"/>
      <x:c r="P418" s="51" t="str">
        <x:v>Optional – kein aktiver Benchmark</x:v>
      </x:c>
      <x:c r="Q418" s="53" t="n">
        <x:v>0.6699999999999999</x:v>
      </x:c>
      <x:c r="R418" s="53" t="n">
        <x:v>1</x:v>
      </x:c>
      <x:c r="S418" s="53" t="n">
        <x:v>1</x:v>
      </x:c>
      <x:c r="T418" s="53" t="str">
        <x:v>threshold:0-class</x:v>
      </x:c>
      <x:c r="U418" s="14" t="str">
        <x:v>Legacy-Werte bleiben nur als historische Rechenhilfe erhalten und werden nicht für den FinalScore verwendet.</x:v>
      </x:c>
    </x:row>
    <x:row r="419" ht="42" customHeight="1">
      <x:c r="A419" s="14" t="str">
        <x:v>WOK-SYS-146</x:v>
      </x:c>
      <x:c r="B419" s="14" t="str">
        <x:v>G47</x:v>
      </x:c>
      <x:c r="C419" s="14" t="str">
        <x:v>Legacy / Migration auf NACE Rev. 2.1 offen</x:v>
      </x:c>
      <x:c r="D419" s="14" t="str">
        <x:v>EU</x:v>
      </x:c>
      <x:c r="E419" s="14"/>
      <x:c r="F419" s="14" t="str">
        <x:v>0–1</x:v>
      </x:c>
      <x:c r="G419" s="14" t="str">
        <x:v>higher_is_better</x:v>
      </x:c>
      <x:c r="H419" s="14" t="str">
        <x:v>R15</x:v>
      </x:c>
      <x:c r="I419" s="14" t="str">
        <x:v>Optional/Nein</x:v>
      </x:c>
      <x:c r="J419" s="51"/>
      <x:c r="K419" s="51"/>
      <x:c r="L419" s="51"/>
      <x:c r="M419" s="51"/>
      <x:c r="N419" s="51"/>
      <x:c r="O419" s="54"/>
      <x:c r="P419" s="51" t="str">
        <x:v>Optional – kein aktiver Benchmark</x:v>
      </x:c>
      <x:c r="Q419" s="53" t="n">
        <x:v>0.645</x:v>
      </x:c>
      <x:c r="R419" s="53" t="n">
        <x:v>0.9675</x:v>
      </x:c>
      <x:c r="S419" s="53" t="n">
        <x:v>1</x:v>
      </x:c>
      <x:c r="T419" s="53" t="str">
        <x:v>threshold:0-class</x:v>
      </x:c>
      <x:c r="U419" s="14" t="str">
        <x:v>Legacy-Werte bleiben nur als historische Rechenhilfe erhalten und werden nicht für den FinalScore verwendet.</x:v>
      </x:c>
    </x:row>
    <x:row r="420" ht="42" customHeight="1">
      <x:c r="A420" s="14" t="str">
        <x:v>WOK-SYS-147</x:v>
      </x:c>
      <x:c r="B420" s="14" t="str">
        <x:v>G47</x:v>
      </x:c>
      <x:c r="C420" s="14" t="str">
        <x:v>Legacy / Migration auf NACE Rev. 2.1 offen</x:v>
      </x:c>
      <x:c r="D420" s="14" t="str">
        <x:v>EU</x:v>
      </x:c>
      <x:c r="E420" s="14"/>
      <x:c r="F420" s="14" t="str">
        <x:v>%</x:v>
      </x:c>
      <x:c r="G420" s="14" t="str">
        <x:v>lower_is_better</x:v>
      </x:c>
      <x:c r="H420" s="14" t="str">
        <x:v>R13</x:v>
      </x:c>
      <x:c r="I420" s="14" t="str">
        <x:v>Optional/Nein</x:v>
      </x:c>
      <x:c r="J420" s="51"/>
      <x:c r="K420" s="51"/>
      <x:c r="L420" s="51"/>
      <x:c r="M420" s="51"/>
      <x:c r="N420" s="51"/>
      <x:c r="O420" s="54"/>
      <x:c r="P420" s="51" t="str">
        <x:v>Optional – kein aktiver Benchmark</x:v>
      </x:c>
      <x:c r="Q420" s="53" t="n">
        <x:v>15.5</x:v>
      </x:c>
      <x:c r="R420" s="53" t="n">
        <x:v>23.25</x:v>
      </x:c>
      <x:c r="S420" s="53" t="n">
        <x:v>38.75</x:v>
      </x:c>
      <x:c r="T420" s="53" t="str">
        <x:v>threshold:0-class</x:v>
      </x:c>
      <x:c r="U420" s="14" t="str">
        <x:v>Legacy-Werte bleiben nur als historische Rechenhilfe erhalten und werden nicht für den FinalScore verwendet.</x:v>
      </x:c>
    </x:row>
    <x:row r="421" ht="42" customHeight="1">
      <x:c r="A421" s="14" t="str">
        <x:v>WOK-SYS-148</x:v>
      </x:c>
      <x:c r="B421" s="14" t="str">
        <x:v>G47</x:v>
      </x:c>
      <x:c r="C421" s="14" t="str">
        <x:v>Legacy / Migration auf NACE Rev. 2.1 offen</x:v>
      </x:c>
      <x:c r="D421" s="14" t="str">
        <x:v>EU</x:v>
      </x:c>
      <x:c r="E421" s="14"/>
      <x:c r="F421" s="14" t="str">
        <x:v>#/Jahr</x:v>
      </x:c>
      <x:c r="G421" s="14" t="str">
        <x:v>higher_is_better</x:v>
      </x:c>
      <x:c r="H421" s="14" t="str">
        <x:v>R20</x:v>
      </x:c>
      <x:c r="I421" s="14" t="str">
        <x:v>Optional/Nein</x:v>
      </x:c>
      <x:c r="J421" s="51"/>
      <x:c r="K421" s="51"/>
      <x:c r="L421" s="51"/>
      <x:c r="M421" s="51"/>
      <x:c r="N421" s="51"/>
      <x:c r="O421" s="54"/>
      <x:c r="P421" s="51" t="str">
        <x:v>Optional – kein aktiver Benchmark</x:v>
      </x:c>
      <x:c r="Q421" s="53" t="n">
        <x:v>1.5</x:v>
      </x:c>
      <x:c r="R421" s="53" t="n">
        <x:v>2.25</x:v>
      </x:c>
      <x:c r="S421" s="53" t="n">
        <x:v>3.75</x:v>
      </x:c>
      <x:c r="T421" s="53" t="str">
        <x:v>threshold:0-class</x:v>
      </x:c>
      <x:c r="U421" s="14" t="str">
        <x:v>Legacy-Werte bleiben nur als historische Rechenhilfe erhalten und werden nicht für den FinalScore verwendet.</x:v>
      </x:c>
    </x:row>
    <x:row r="422" ht="42" customHeight="1">
      <x:c r="A422" s="14" t="str">
        <x:v>WOK-G-182</x:v>
      </x:c>
      <x:c r="B422" s="14" t="str">
        <x:v>G47</x:v>
      </x:c>
      <x:c r="C422" s="14" t="str">
        <x:v>Legacy / Migration auf NACE Rev. 2.1 offen</x:v>
      </x:c>
      <x:c r="D422" s="14" t="str">
        <x:v>EU</x:v>
      </x:c>
      <x:c r="E422" s="14"/>
      <x:c r="F422" s="14" t="str">
        <x:v>Fälle/1.000 FTE</x:v>
      </x:c>
      <x:c r="G422" s="14" t="str">
        <x:v>lower_is_better</x:v>
      </x:c>
      <x:c r="H422" s="14" t="str">
        <x:v>R01</x:v>
      </x:c>
      <x:c r="I422" s="14" t="str">
        <x:v>Optional/Nein</x:v>
      </x:c>
      <x:c r="J422" s="51"/>
      <x:c r="K422" s="51"/>
      <x:c r="L422" s="51"/>
      <x:c r="M422" s="51"/>
      <x:c r="N422" s="51"/>
      <x:c r="O422" s="54"/>
      <x:c r="P422" s="51" t="str">
        <x:v>Optional – kein aktiver Benchmark</x:v>
      </x:c>
      <x:c r="Q422" s="53" t="n">
        <x:v>0.5</x:v>
      </x:c>
      <x:c r="R422" s="53" t="n">
        <x:v>0.75</x:v>
      </x:c>
      <x:c r="S422" s="53" t="n">
        <x:v>1.25</x:v>
      </x:c>
      <x:c r="T422" s="53" t="str">
        <x:v>threshold:0-class</x:v>
      </x:c>
      <x:c r="U422" s="14" t="str">
        <x:v>Legacy-Werte bleiben nur als historische Rechenhilfe erhalten und werden nicht für den FinalScore verwendet.</x:v>
      </x:c>
    </x:row>
    <x:row r="423" ht="42" customHeight="1">
      <x:c r="A423" s="14" t="str">
        <x:v>WOK-G-183</x:v>
      </x:c>
      <x:c r="B423" s="14" t="str">
        <x:v>G47</x:v>
      </x:c>
      <x:c r="C423" s="14" t="str">
        <x:v>Legacy / Migration auf NACE Rev. 2.1 offen</x:v>
      </x:c>
      <x:c r="D423" s="14" t="str">
        <x:v>EU</x:v>
      </x:c>
      <x:c r="E423" s="14"/>
      <x:c r="F423" s="14" t="str">
        <x:v>0–1</x:v>
      </x:c>
      <x:c r="G423" s="14" t="str">
        <x:v>higher_is_better</x:v>
      </x:c>
      <x:c r="H423" s="14" t="str">
        <x:v>R16</x:v>
      </x:c>
      <x:c r="I423" s="14" t="str">
        <x:v>Optional/Nein</x:v>
      </x:c>
      <x:c r="J423" s="51"/>
      <x:c r="K423" s="51"/>
      <x:c r="L423" s="51"/>
      <x:c r="M423" s="51"/>
      <x:c r="N423" s="51"/>
      <x:c r="O423" s="54"/>
      <x:c r="P423" s="51" t="str">
        <x:v>Optional – kein aktiver Benchmark</x:v>
      </x:c>
      <x:c r="Q423" s="53" t="n">
        <x:v>0.6699999999999999</x:v>
      </x:c>
      <x:c r="R423" s="53" t="n">
        <x:v>1</x:v>
      </x:c>
      <x:c r="S423" s="53" t="n">
        <x:v>1</x:v>
      </x:c>
      <x:c r="T423" s="53" t="str">
        <x:v>threshold:0-class</x:v>
      </x:c>
      <x:c r="U423" s="14" t="str">
        <x:v>Legacy-Werte bleiben nur als historische Rechenhilfe erhalten und werden nicht für den FinalScore verwendet.</x:v>
      </x:c>
    </x:row>
    <x:row r="424" ht="42" customHeight="1">
      <x:c r="A424" s="14" t="str">
        <x:v>WOK-G-184</x:v>
      </x:c>
      <x:c r="B424" s="14" t="str">
        <x:v>G47</x:v>
      </x:c>
      <x:c r="C424" s="14" t="str">
        <x:v>Legacy / Migration auf NACE Rev. 2.1 offen</x:v>
      </x:c>
      <x:c r="D424" s="14" t="str">
        <x:v>EU</x:v>
      </x:c>
      <x:c r="E424" s="14"/>
      <x:c r="F424" s="14" t="str">
        <x:v>0–1</x:v>
      </x:c>
      <x:c r="G424" s="14" t="str">
        <x:v>higher_is_better</x:v>
      </x:c>
      <x:c r="H424" s="14" t="str">
        <x:v>R08</x:v>
      </x:c>
      <x:c r="I424" s="14" t="str">
        <x:v>Optional/Nein</x:v>
      </x:c>
      <x:c r="J424" s="51"/>
      <x:c r="K424" s="51"/>
      <x:c r="L424" s="51"/>
      <x:c r="M424" s="51"/>
      <x:c r="N424" s="51"/>
      <x:c r="O424" s="54"/>
      <x:c r="P424" s="51" t="str">
        <x:v>Optional – kein aktiver Benchmark</x:v>
      </x:c>
      <x:c r="Q424" s="53" t="n">
        <x:v>0.5</x:v>
      </x:c>
      <x:c r="R424" s="53" t="n">
        <x:v>0.75</x:v>
      </x:c>
      <x:c r="S424" s="53" t="n">
        <x:v>0.9</x:v>
      </x:c>
      <x:c r="T424" s="53" t="str">
        <x:v>default:higher_is_better_abs</x:v>
      </x:c>
      <x:c r="U424" s="14" t="str">
        <x:v>Legacy-Werte bleiben nur als historische Rechenhilfe erhalten und werden nicht für den FinalScore verwendet.</x:v>
      </x:c>
    </x:row>
    <x:row r="425" ht="42" customHeight="1">
      <x:c r="A425" s="14" t="str">
        <x:v>WOK-SC-137</x:v>
      </x:c>
      <x:c r="B425" s="14" t="str">
        <x:v>C20</x:v>
      </x:c>
      <x:c r="C425" s="14" t="str">
        <x:v>Legacy / Migration auf NACE Rev. 2.1 offen</x:v>
      </x:c>
      <x:c r="D425" s="14" t="str">
        <x:v>EU</x:v>
      </x:c>
      <x:c r="E425" s="14"/>
      <x:c r="F425" s="14" t="str">
        <x:v>%</x:v>
      </x:c>
      <x:c r="G425" s="14" t="str">
        <x:v>higher_is_better</x:v>
      </x:c>
      <x:c r="H425" s="14" t="str">
        <x:v>R26</x:v>
      </x:c>
      <x:c r="I425" s="14" t="str">
        <x:v>Optional/Nein</x:v>
      </x:c>
      <x:c r="J425" s="51"/>
      <x:c r="K425" s="51"/>
      <x:c r="L425" s="51"/>
      <x:c r="M425" s="51"/>
      <x:c r="N425" s="51"/>
      <x:c r="O425" s="54"/>
      <x:c r="P425" s="51" t="str">
        <x:v>Optional – kein aktiver Benchmark</x:v>
      </x:c>
      <x:c r="Q425" s="53" t="n">
        <x:v>59.5</x:v>
      </x:c>
      <x:c r="R425" s="53" t="n">
        <x:v>89.25</x:v>
      </x:c>
      <x:c r="S425" s="53" t="n">
        <x:v>100</x:v>
      </x:c>
      <x:c r="T425" s="53" t="str">
        <x:v>threshold:0-class</x:v>
      </x:c>
      <x:c r="U425" s="14" t="str">
        <x:v>Legacy-Werte bleiben nur als historische Rechenhilfe erhalten und werden nicht für den FinalScore verwendet.</x:v>
      </x:c>
    </x:row>
    <x:row r="426" ht="42" customHeight="1">
      <x:c r="A426" s="14" t="str">
        <x:v>WOK-SC-138</x:v>
      </x:c>
      <x:c r="B426" s="14" t="str">
        <x:v>C20</x:v>
      </x:c>
      <x:c r="C426" s="14" t="str">
        <x:v>Legacy / Migration auf NACE Rev. 2.1 offen</x:v>
      </x:c>
      <x:c r="D426" s="14" t="str">
        <x:v>EU</x:v>
      </x:c>
      <x:c r="E426" s="14"/>
      <x:c r="F426" s="14" t="str">
        <x:v>% Lieferanten</x:v>
      </x:c>
      <x:c r="G426" s="14" t="str">
        <x:v>higher_is_better</x:v>
      </x:c>
      <x:c r="H426" s="14" t="str">
        <x:v>R28</x:v>
      </x:c>
      <x:c r="I426" s="14" t="str">
        <x:v>Optional/Nein</x:v>
      </x:c>
      <x:c r="J426" s="51"/>
      <x:c r="K426" s="51"/>
      <x:c r="L426" s="51"/>
      <x:c r="M426" s="51"/>
      <x:c r="N426" s="51"/>
      <x:c r="O426" s="54"/>
      <x:c r="P426" s="51" t="str">
        <x:v>Optional – kein aktiver Benchmark</x:v>
      </x:c>
      <x:c r="Q426" s="53" t="n">
        <x:v>82</x:v>
      </x:c>
      <x:c r="R426" s="53" t="n">
        <x:v>100</x:v>
      </x:c>
      <x:c r="S426" s="53" t="n">
        <x:v>100</x:v>
      </x:c>
      <x:c r="T426" s="53" t="str">
        <x:v>threshold:0-class</x:v>
      </x:c>
      <x:c r="U426" s="14" t="str">
        <x:v>Legacy-Werte bleiben nur als historische Rechenhilfe erhalten und werden nicht für den FinalScore verwendet.</x:v>
      </x:c>
    </x:row>
    <x:row r="427" ht="42" customHeight="1">
      <x:c r="A427" s="14" t="str">
        <x:v>WOK-SC-139</x:v>
      </x:c>
      <x:c r="B427" s="14" t="str">
        <x:v>C20</x:v>
      </x:c>
      <x:c r="C427" s="14" t="str">
        <x:v>Legacy / Migration auf NACE Rev. 2.1 offen</x:v>
      </x:c>
      <x:c r="D427" s="14" t="str">
        <x:v>EU</x:v>
      </x:c>
      <x:c r="E427" s="14"/>
      <x:c r="F427" s="14" t="str">
        <x:v>% Kategorien</x:v>
      </x:c>
      <x:c r="G427" s="14" t="str">
        <x:v>higher_is_better</x:v>
      </x:c>
      <x:c r="H427" s="14" t="str">
        <x:v>R23</x:v>
      </x:c>
      <x:c r="I427" s="14" t="str">
        <x:v>Optional/Nein</x:v>
      </x:c>
      <x:c r="J427" s="51"/>
      <x:c r="K427" s="51"/>
      <x:c r="L427" s="51"/>
      <x:c r="M427" s="51"/>
      <x:c r="N427" s="51"/>
      <x:c r="O427" s="54"/>
      <x:c r="P427" s="51" t="str">
        <x:v>Optional – kein aktiver Benchmark</x:v>
      </x:c>
      <x:c r="Q427" s="53" t="n">
        <x:v>49.5</x:v>
      </x:c>
      <x:c r="R427" s="53" t="n">
        <x:v>74.25</x:v>
      </x:c>
      <x:c r="S427" s="53" t="n">
        <x:v>100</x:v>
      </x:c>
      <x:c r="T427" s="53" t="str">
        <x:v>threshold:0-class</x:v>
      </x:c>
      <x:c r="U427" s="14" t="str">
        <x:v>Legacy-Werte bleiben nur als historische Rechenhilfe erhalten und werden nicht für den FinalScore verwendet.</x:v>
      </x:c>
    </x:row>
    <x:row r="428" ht="42" customHeight="1">
      <x:c r="A428" s="14" t="str">
        <x:v>WOK-G-185</x:v>
      </x:c>
      <x:c r="B428" s="14" t="str">
        <x:v>G47</x:v>
      </x:c>
      <x:c r="C428" s="14" t="str">
        <x:v>Legacy / Migration auf NACE Rev. 2.1 offen</x:v>
      </x:c>
      <x:c r="D428" s="14" t="str">
        <x:v>EU</x:v>
      </x:c>
      <x:c r="E428" s="14"/>
      <x:c r="F428" s="14" t="str">
        <x:v>Fälle/1.000 FTE</x:v>
      </x:c>
      <x:c r="G428" s="14" t="str">
        <x:v>lower_is_better</x:v>
      </x:c>
      <x:c r="H428" s="14" t="str">
        <x:v>R01</x:v>
      </x:c>
      <x:c r="I428" s="14" t="str">
        <x:v>Optional/Nein</x:v>
      </x:c>
      <x:c r="J428" s="51"/>
      <x:c r="K428" s="51"/>
      <x:c r="L428" s="51"/>
      <x:c r="M428" s="51"/>
      <x:c r="N428" s="51"/>
      <x:c r="O428" s="54"/>
      <x:c r="P428" s="51" t="str">
        <x:v>Optional – kein aktiver Benchmark</x:v>
      </x:c>
      <x:c r="Q428" s="53" t="n">
        <x:v>0.5</x:v>
      </x:c>
      <x:c r="R428" s="53" t="n">
        <x:v>0.75</x:v>
      </x:c>
      <x:c r="S428" s="53" t="n">
        <x:v>1.25</x:v>
      </x:c>
      <x:c r="T428" s="53" t="str">
        <x:v>threshold:0-class</x:v>
      </x:c>
      <x:c r="U428" s="14" t="str">
        <x:v>Legacy-Werte bleiben nur als historische Rechenhilfe erhalten und werden nicht für den FinalScore verwendet.</x:v>
      </x:c>
    </x:row>
    <x:row r="429" ht="42" customHeight="1">
      <x:c r="A429" s="14" t="str">
        <x:v>WOK-G-186</x:v>
      </x:c>
      <x:c r="B429" s="14" t="str">
        <x:v>G47</x:v>
      </x:c>
      <x:c r="C429" s="14" t="str">
        <x:v>Legacy / Migration auf NACE Rev. 2.1 offen</x:v>
      </x:c>
      <x:c r="D429" s="14" t="str">
        <x:v>EU</x:v>
      </x:c>
      <x:c r="E429" s="14"/>
      <x:c r="F429" s="14" t="str">
        <x:v>0–1</x:v>
      </x:c>
      <x:c r="G429" s="14" t="str">
        <x:v>higher_is_better</x:v>
      </x:c>
      <x:c r="H429" s="14" t="str">
        <x:v>R16</x:v>
      </x:c>
      <x:c r="I429" s="14" t="str">
        <x:v>Optional/Nein</x:v>
      </x:c>
      <x:c r="J429" s="51"/>
      <x:c r="K429" s="51"/>
      <x:c r="L429" s="51"/>
      <x:c r="M429" s="51"/>
      <x:c r="N429" s="51"/>
      <x:c r="O429" s="54"/>
      <x:c r="P429" s="51" t="str">
        <x:v>Optional – kein aktiver Benchmark</x:v>
      </x:c>
      <x:c r="Q429" s="53" t="n">
        <x:v>0.6699999999999999</x:v>
      </x:c>
      <x:c r="R429" s="53" t="n">
        <x:v>1</x:v>
      </x:c>
      <x:c r="S429" s="53" t="n">
        <x:v>1</x:v>
      </x:c>
      <x:c r="T429" s="53" t="str">
        <x:v>threshold:0-class</x:v>
      </x:c>
      <x:c r="U429" s="14" t="str">
        <x:v>Legacy-Werte bleiben nur als historische Rechenhilfe erhalten und werden nicht für den FinalScore verwendet.</x:v>
      </x:c>
    </x:row>
    <x:row r="430" ht="42" customHeight="1">
      <x:c r="A430" s="14" t="str">
        <x:v>WOK-G-187</x:v>
      </x:c>
      <x:c r="B430" s="14" t="str">
        <x:v>G47</x:v>
      </x:c>
      <x:c r="C430" s="14" t="str">
        <x:v>Legacy / Migration auf NACE Rev. 2.1 offen</x:v>
      </x:c>
      <x:c r="D430" s="14" t="str">
        <x:v>EU</x:v>
      </x:c>
      <x:c r="E430" s="14"/>
      <x:c r="F430" s="14" t="str">
        <x:v>0–1</x:v>
      </x:c>
      <x:c r="G430" s="14" t="str">
        <x:v>higher_is_better</x:v>
      </x:c>
      <x:c r="H430" s="14" t="str">
        <x:v>R08</x:v>
      </x:c>
      <x:c r="I430" s="14" t="str">
        <x:v>Optional/Nein</x:v>
      </x:c>
      <x:c r="J430" s="51"/>
      <x:c r="K430" s="51"/>
      <x:c r="L430" s="51"/>
      <x:c r="M430" s="51"/>
      <x:c r="N430" s="51"/>
      <x:c r="O430" s="54"/>
      <x:c r="P430" s="51" t="str">
        <x:v>Optional – kein aktiver Benchmark</x:v>
      </x:c>
      <x:c r="Q430" s="53" t="n">
        <x:v>0.5</x:v>
      </x:c>
      <x:c r="R430" s="53" t="n">
        <x:v>0.75</x:v>
      </x:c>
      <x:c r="S430" s="53" t="n">
        <x:v>0.9</x:v>
      </x:c>
      <x:c r="T430" s="53" t="str">
        <x:v>default:higher_is_better_abs</x:v>
      </x:c>
      <x:c r="U430" s="14" t="str">
        <x:v>Legacy-Werte bleiben nur als historische Rechenhilfe erhalten und werden nicht für den FinalScore verwendet.</x:v>
      </x:c>
    </x:row>
    <x:row r="431" ht="42" customHeight="1">
      <x:c r="A431" s="14" t="str">
        <x:v>WOK-SYS-149</x:v>
      </x:c>
      <x:c r="B431" s="14" t="str">
        <x:v>G47</x:v>
      </x:c>
      <x:c r="C431" s="14" t="str">
        <x:v>Legacy / Migration auf NACE Rev. 2.1 offen</x:v>
      </x:c>
      <x:c r="D431" s="14" t="str">
        <x:v>EU</x:v>
      </x:c>
      <x:c r="E431" s="14"/>
      <x:c r="F431" s="14" t="str">
        <x:v>0–1</x:v>
      </x:c>
      <x:c r="G431" s="14" t="str">
        <x:v>higher_is_better</x:v>
      </x:c>
      <x:c r="H431" s="14" t="str">
        <x:v>R15</x:v>
      </x:c>
      <x:c r="I431" s="14" t="str">
        <x:v>Optional/Nein</x:v>
      </x:c>
      <x:c r="J431" s="51"/>
      <x:c r="K431" s="51"/>
      <x:c r="L431" s="51"/>
      <x:c r="M431" s="51"/>
      <x:c r="N431" s="51"/>
      <x:c r="O431" s="54"/>
      <x:c r="P431" s="51" t="str">
        <x:v>Optional – kein aktiver Benchmark</x:v>
      </x:c>
      <x:c r="Q431" s="53" t="n">
        <x:v>0.645</x:v>
      </x:c>
      <x:c r="R431" s="53" t="n">
        <x:v>0.9675</x:v>
      </x:c>
      <x:c r="S431" s="53" t="n">
        <x:v>1</x:v>
      </x:c>
      <x:c r="T431" s="53" t="str">
        <x:v>threshold:0-class</x:v>
      </x:c>
      <x:c r="U431" s="14" t="str">
        <x:v>Legacy-Werte bleiben nur als historische Rechenhilfe erhalten und werden nicht für den FinalScore verwendet.</x:v>
      </x:c>
    </x:row>
    <x:row r="432" ht="42" customHeight="1">
      <x:c r="A432" s="14" t="str">
        <x:v>WOK-SYS-150</x:v>
      </x:c>
      <x:c r="B432" s="14" t="str">
        <x:v>G47</x:v>
      </x:c>
      <x:c r="C432" s="14" t="str">
        <x:v>Legacy / Migration auf NACE Rev. 2.1 offen</x:v>
      </x:c>
      <x:c r="D432" s="14" t="str">
        <x:v>EU</x:v>
      </x:c>
      <x:c r="E432" s="14"/>
      <x:c r="F432" s="14" t="str">
        <x:v>%</x:v>
      </x:c>
      <x:c r="G432" s="14" t="str">
        <x:v>lower_is_better</x:v>
      </x:c>
      <x:c r="H432" s="14" t="str">
        <x:v>R13</x:v>
      </x:c>
      <x:c r="I432" s="14" t="str">
        <x:v>Optional/Nein</x:v>
      </x:c>
      <x:c r="J432" s="51"/>
      <x:c r="K432" s="51"/>
      <x:c r="L432" s="51"/>
      <x:c r="M432" s="51"/>
      <x:c r="N432" s="51"/>
      <x:c r="O432" s="54"/>
      <x:c r="P432" s="51" t="str">
        <x:v>Optional – kein aktiver Benchmark</x:v>
      </x:c>
      <x:c r="Q432" s="53" t="n">
        <x:v>15.5</x:v>
      </x:c>
      <x:c r="R432" s="53" t="n">
        <x:v>23.25</x:v>
      </x:c>
      <x:c r="S432" s="53" t="n">
        <x:v>38.75</x:v>
      </x:c>
      <x:c r="T432" s="53" t="str">
        <x:v>threshold:0-class</x:v>
      </x:c>
      <x:c r="U432" s="14" t="str">
        <x:v>Legacy-Werte bleiben nur als historische Rechenhilfe erhalten und werden nicht für den FinalScore verwendet.</x:v>
      </x:c>
    </x:row>
    <x:row r="433" ht="42" customHeight="1">
      <x:c r="A433" s="14" t="str">
        <x:v>WOK-SYS-151</x:v>
      </x:c>
      <x:c r="B433" s="14" t="str">
        <x:v>G47</x:v>
      </x:c>
      <x:c r="C433" s="14" t="str">
        <x:v>Legacy / Migration auf NACE Rev. 2.1 offen</x:v>
      </x:c>
      <x:c r="D433" s="14" t="str">
        <x:v>EU</x:v>
      </x:c>
      <x:c r="E433" s="14"/>
      <x:c r="F433" s="14" t="str">
        <x:v>#/Jahr</x:v>
      </x:c>
      <x:c r="G433" s="14" t="str">
        <x:v>higher_is_better</x:v>
      </x:c>
      <x:c r="H433" s="14" t="str">
        <x:v>R20</x:v>
      </x:c>
      <x:c r="I433" s="14" t="str">
        <x:v>Optional/Nein</x:v>
      </x:c>
      <x:c r="J433" s="51"/>
      <x:c r="K433" s="51"/>
      <x:c r="L433" s="51"/>
      <x:c r="M433" s="51"/>
      <x:c r="N433" s="51"/>
      <x:c r="O433" s="54"/>
      <x:c r="P433" s="51" t="str">
        <x:v>Optional – kein aktiver Benchmark</x:v>
      </x:c>
      <x:c r="Q433" s="53" t="n">
        <x:v>1.5</x:v>
      </x:c>
      <x:c r="R433" s="53" t="n">
        <x:v>2.25</x:v>
      </x:c>
      <x:c r="S433" s="53" t="n">
        <x:v>3.75</x:v>
      </x:c>
      <x:c r="T433" s="53" t="str">
        <x:v>threshold:0-class</x:v>
      </x:c>
      <x:c r="U433" s="14" t="str">
        <x:v>Legacy-Werte bleiben nur als historische Rechenhilfe erhalten und werden nicht für den FinalScore verwendet.</x:v>
      </x:c>
    </x:row>
    <x:row r="434" ht="42" customHeight="1">
      <x:c r="A434" s="14" t="str">
        <x:v>WOK-POL-116</x:v>
      </x:c>
      <x:c r="B434" s="14" t="str">
        <x:v>J58</x:v>
      </x:c>
      <x:c r="C434" s="14" t="str">
        <x:v>Legacy / Migration auf NACE Rev. 2.1 offen</x:v>
      </x:c>
      <x:c r="D434" s="14" t="str">
        <x:v>EU</x:v>
      </x:c>
      <x:c r="E434" s="14"/>
      <x:c r="F434" s="14" t="str">
        <x:v>g CO₂e/kWh</x:v>
      </x:c>
      <x:c r="G434" s="14" t="str">
        <x:v>lower_is_better</x:v>
      </x:c>
      <x:c r="H434" s="14" t="str">
        <x:v>R10</x:v>
      </x:c>
      <x:c r="I434" s="14" t="str">
        <x:v>Optional/Nein</x:v>
      </x:c>
      <x:c r="J434" s="51"/>
      <x:c r="K434" s="51"/>
      <x:c r="L434" s="51"/>
      <x:c r="M434" s="51"/>
      <x:c r="N434" s="51"/>
      <x:c r="O434" s="54"/>
      <x:c r="P434" s="51" t="str">
        <x:v>Optional – kein aktiver Benchmark</x:v>
      </x:c>
      <x:c r="Q434" s="53" t="n">
        <x:v>175.5</x:v>
      </x:c>
      <x:c r="R434" s="53" t="n">
        <x:v>263.25</x:v>
      </x:c>
      <x:c r="S434" s="53" t="n">
        <x:v>438.75</x:v>
      </x:c>
      <x:c r="T434" s="53" t="str">
        <x:v>threshold:0-class</x:v>
      </x:c>
      <x:c r="U434" s="14" t="str">
        <x:v>Legacy-Werte bleiben nur als historische Rechenhilfe erhalten und werden nicht für den FinalScore verwendet.</x:v>
      </x:c>
    </x:row>
    <x:row r="435" ht="42" customHeight="1">
      <x:c r="A435" s="14" t="str">
        <x:v>WOK-POL-117</x:v>
      </x:c>
      <x:c r="B435" s="14" t="str">
        <x:v>J58</x:v>
      </x:c>
      <x:c r="C435" s="14" t="str">
        <x:v>Legacy / Migration auf NACE Rev. 2.1 offen</x:v>
      </x:c>
      <x:c r="D435" s="14" t="str">
        <x:v>EU</x:v>
      </x:c>
      <x:c r="E435" s="14"/>
      <x:c r="F435" s="14" t="str">
        <x:v>% Aktivitäten</x:v>
      </x:c>
      <x:c r="G435" s="14" t="str">
        <x:v>higher_is_better</x:v>
      </x:c>
      <x:c r="H435" s="14" t="str">
        <x:v>R25</x:v>
      </x:c>
      <x:c r="I435" s="14" t="str">
        <x:v>Optional/Nein</x:v>
      </x:c>
      <x:c r="J435" s="51"/>
      <x:c r="K435" s="51"/>
      <x:c r="L435" s="51"/>
      <x:c r="M435" s="51"/>
      <x:c r="N435" s="51"/>
      <x:c r="O435" s="54"/>
      <x:c r="P435" s="51" t="str">
        <x:v>Optional – kein aktiver Benchmark</x:v>
      </x:c>
      <x:c r="Q435" s="53" t="n">
        <x:v>50</x:v>
      </x:c>
      <x:c r="R435" s="53" t="n">
        <x:v>75</x:v>
      </x:c>
      <x:c r="S435" s="53" t="n">
        <x:v>100</x:v>
      </x:c>
      <x:c r="T435" s="53" t="str">
        <x:v>default:higher_is_better_pct</x:v>
      </x:c>
      <x:c r="U435" s="14" t="str">
        <x:v>Legacy-Werte bleiben nur als historische Rechenhilfe erhalten und werden nicht für den FinalScore verwendet.</x:v>
      </x:c>
    </x:row>
    <x:row r="436" ht="42" customHeight="1">
      <x:c r="A436" s="14" t="str">
        <x:v>WOK-POL-118</x:v>
      </x:c>
      <x:c r="B436" s="14" t="str">
        <x:v>J58</x:v>
      </x:c>
      <x:c r="C436" s="14" t="str">
        <x:v>Legacy / Migration auf NACE Rev. 2.1 offen</x:v>
      </x:c>
      <x:c r="D436" s="14" t="str">
        <x:v>EU</x:v>
      </x:c>
      <x:c r="E436" s="14"/>
      <x:c r="F436" s="14" t="str">
        <x:v>% Aktivitäten</x:v>
      </x:c>
      <x:c r="G436" s="14" t="str">
        <x:v>higher_is_better</x:v>
      </x:c>
      <x:c r="H436" s="14" t="str">
        <x:v>R25</x:v>
      </x:c>
      <x:c r="I436" s="14" t="str">
        <x:v>Optional/Nein</x:v>
      </x:c>
      <x:c r="J436" s="51"/>
      <x:c r="K436" s="51"/>
      <x:c r="L436" s="51"/>
      <x:c r="M436" s="51"/>
      <x:c r="N436" s="51"/>
      <x:c r="O436" s="54"/>
      <x:c r="P436" s="51" t="str">
        <x:v>Optional – kein aktiver Benchmark</x:v>
      </x:c>
      <x:c r="Q436" s="53" t="n">
        <x:v>50</x:v>
      </x:c>
      <x:c r="R436" s="53" t="n">
        <x:v>75</x:v>
      </x:c>
      <x:c r="S436" s="53" t="n">
        <x:v>100</x:v>
      </x:c>
      <x:c r="T436" s="53" t="str">
        <x:v>default:higher_is_better_pct</x:v>
      </x:c>
      <x:c r="U436" s="14" t="str">
        <x:v>Legacy-Werte bleiben nur als historische Rechenhilfe erhalten und werden nicht für den FinalScore verwendet.</x:v>
      </x:c>
    </x:row>
    <x:row r="437" ht="42" customHeight="1">
      <x:c r="A437" s="14" t="str">
        <x:v>WOK-SYS-152</x:v>
      </x:c>
      <x:c r="B437" s="14" t="str">
        <x:v>G47</x:v>
      </x:c>
      <x:c r="C437" s="14" t="str">
        <x:v>Legacy / Migration auf NACE Rev. 2.1 offen</x:v>
      </x:c>
      <x:c r="D437" s="14" t="str">
        <x:v>EU</x:v>
      </x:c>
      <x:c r="E437" s="14"/>
      <x:c r="F437" s="14" t="str">
        <x:v>0–1</x:v>
      </x:c>
      <x:c r="G437" s="14" t="str">
        <x:v>higher_is_better</x:v>
      </x:c>
      <x:c r="H437" s="14" t="str">
        <x:v>R15</x:v>
      </x:c>
      <x:c r="I437" s="14" t="str">
        <x:v>Optional/Nein</x:v>
      </x:c>
      <x:c r="J437" s="51"/>
      <x:c r="K437" s="51"/>
      <x:c r="L437" s="51"/>
      <x:c r="M437" s="51"/>
      <x:c r="N437" s="51"/>
      <x:c r="O437" s="54"/>
      <x:c r="P437" s="51" t="str">
        <x:v>Optional – kein aktiver Benchmark</x:v>
      </x:c>
      <x:c r="Q437" s="53" t="n">
        <x:v>0.645</x:v>
      </x:c>
      <x:c r="R437" s="53" t="n">
        <x:v>0.9675</x:v>
      </x:c>
      <x:c r="S437" s="53" t="n">
        <x:v>1</x:v>
      </x:c>
      <x:c r="T437" s="53" t="str">
        <x:v>threshold:0-class</x:v>
      </x:c>
      <x:c r="U437" s="14" t="str">
        <x:v>Legacy-Werte bleiben nur als historische Rechenhilfe erhalten und werden nicht für den FinalScore verwendet.</x:v>
      </x:c>
    </x:row>
    <x:row r="438" ht="42" customHeight="1">
      <x:c r="A438" s="14" t="str">
        <x:v>WOK-SYS-153</x:v>
      </x:c>
      <x:c r="B438" s="14" t="str">
        <x:v>G47</x:v>
      </x:c>
      <x:c r="C438" s="14" t="str">
        <x:v>Legacy / Migration auf NACE Rev. 2.1 offen</x:v>
      </x:c>
      <x:c r="D438" s="14" t="str">
        <x:v>EU</x:v>
      </x:c>
      <x:c r="E438" s="14"/>
      <x:c r="F438" s="14" t="str">
        <x:v>%</x:v>
      </x:c>
      <x:c r="G438" s="14" t="str">
        <x:v>lower_is_better</x:v>
      </x:c>
      <x:c r="H438" s="14" t="str">
        <x:v>R13</x:v>
      </x:c>
      <x:c r="I438" s="14" t="str">
        <x:v>Optional/Nein</x:v>
      </x:c>
      <x:c r="J438" s="51"/>
      <x:c r="K438" s="51"/>
      <x:c r="L438" s="51"/>
      <x:c r="M438" s="51"/>
      <x:c r="N438" s="51"/>
      <x:c r="O438" s="54"/>
      <x:c r="P438" s="51" t="str">
        <x:v>Optional – kein aktiver Benchmark</x:v>
      </x:c>
      <x:c r="Q438" s="53" t="n">
        <x:v>15.5</x:v>
      </x:c>
      <x:c r="R438" s="53" t="n">
        <x:v>23.25</x:v>
      </x:c>
      <x:c r="S438" s="53" t="n">
        <x:v>38.75</x:v>
      </x:c>
      <x:c r="T438" s="53" t="str">
        <x:v>threshold:0-class</x:v>
      </x:c>
      <x:c r="U438" s="14" t="str">
        <x:v>Legacy-Werte bleiben nur als historische Rechenhilfe erhalten und werden nicht für den FinalScore verwendet.</x:v>
      </x:c>
    </x:row>
    <x:row r="439" ht="42" customHeight="1">
      <x:c r="A439" s="14" t="str">
        <x:v>WOK-SYS-154</x:v>
      </x:c>
      <x:c r="B439" s="14" t="str">
        <x:v>G47</x:v>
      </x:c>
      <x:c r="C439" s="14" t="str">
        <x:v>Legacy / Migration auf NACE Rev. 2.1 offen</x:v>
      </x:c>
      <x:c r="D439" s="14" t="str">
        <x:v>EU</x:v>
      </x:c>
      <x:c r="E439" s="14"/>
      <x:c r="F439" s="14" t="str">
        <x:v>#/Jahr</x:v>
      </x:c>
      <x:c r="G439" s="14" t="str">
        <x:v>higher_is_better</x:v>
      </x:c>
      <x:c r="H439" s="14" t="str">
        <x:v>R20</x:v>
      </x:c>
      <x:c r="I439" s="14" t="str">
        <x:v>Optional/Nein</x:v>
      </x:c>
      <x:c r="J439" s="51"/>
      <x:c r="K439" s="51"/>
      <x:c r="L439" s="51"/>
      <x:c r="M439" s="51"/>
      <x:c r="N439" s="51"/>
      <x:c r="O439" s="54"/>
      <x:c r="P439" s="51" t="str">
        <x:v>Optional – kein aktiver Benchmark</x:v>
      </x:c>
      <x:c r="Q439" s="53" t="n">
        <x:v>1.5</x:v>
      </x:c>
      <x:c r="R439" s="53" t="n">
        <x:v>2.25</x:v>
      </x:c>
      <x:c r="S439" s="53" t="n">
        <x:v>3.75</x:v>
      </x:c>
      <x:c r="T439" s="53" t="str">
        <x:v>threshold:0-class</x:v>
      </x:c>
      <x:c r="U439" s="14" t="str">
        <x:v>Legacy-Werte bleiben nur als historische Rechenhilfe erhalten und werden nicht für den FinalScore verwendet.</x:v>
      </x:c>
    </x:row>
    <x:row r="440" ht="42" customHeight="1">
      <x:c r="A440" s="14" t="str">
        <x:v>WOK-SC-140</x:v>
      </x:c>
      <x:c r="B440" s="14" t="str">
        <x:v>C20</x:v>
      </x:c>
      <x:c r="C440" s="14" t="str">
        <x:v>Legacy / Migration auf NACE Rev. 2.1 offen</x:v>
      </x:c>
      <x:c r="D440" s="14" t="str">
        <x:v>EU</x:v>
      </x:c>
      <x:c r="E440" s="14"/>
      <x:c r="F440" s="14" t="str">
        <x:v>%</x:v>
      </x:c>
      <x:c r="G440" s="14" t="str">
        <x:v>higher_is_better</x:v>
      </x:c>
      <x:c r="H440" s="14" t="str">
        <x:v>R26</x:v>
      </x:c>
      <x:c r="I440" s="14" t="str">
        <x:v>Optional/Nein</x:v>
      </x:c>
      <x:c r="J440" s="51"/>
      <x:c r="K440" s="51"/>
      <x:c r="L440" s="51"/>
      <x:c r="M440" s="51"/>
      <x:c r="N440" s="51"/>
      <x:c r="O440" s="54"/>
      <x:c r="P440" s="51" t="str">
        <x:v>Optional – kein aktiver Benchmark</x:v>
      </x:c>
      <x:c r="Q440" s="53" t="n">
        <x:v>59.5</x:v>
      </x:c>
      <x:c r="R440" s="53" t="n">
        <x:v>89.25</x:v>
      </x:c>
      <x:c r="S440" s="53" t="n">
        <x:v>100</x:v>
      </x:c>
      <x:c r="T440" s="53" t="str">
        <x:v>threshold:0-class</x:v>
      </x:c>
      <x:c r="U440" s="14" t="str">
        <x:v>Legacy-Werte bleiben nur als historische Rechenhilfe erhalten und werden nicht für den FinalScore verwendet.</x:v>
      </x:c>
    </x:row>
    <x:row r="441" ht="42" customHeight="1">
      <x:c r="A441" s="14" t="str">
        <x:v>WOK-SC-141</x:v>
      </x:c>
      <x:c r="B441" s="14" t="str">
        <x:v>C20</x:v>
      </x:c>
      <x:c r="C441" s="14" t="str">
        <x:v>Legacy / Migration auf NACE Rev. 2.1 offen</x:v>
      </x:c>
      <x:c r="D441" s="14" t="str">
        <x:v>EU</x:v>
      </x:c>
      <x:c r="E441" s="14"/>
      <x:c r="F441" s="14" t="str">
        <x:v>% Lieferanten</x:v>
      </x:c>
      <x:c r="G441" s="14" t="str">
        <x:v>higher_is_better</x:v>
      </x:c>
      <x:c r="H441" s="14" t="str">
        <x:v>R28</x:v>
      </x:c>
      <x:c r="I441" s="14" t="str">
        <x:v>Optional/Nein</x:v>
      </x:c>
      <x:c r="J441" s="51"/>
      <x:c r="K441" s="51"/>
      <x:c r="L441" s="51"/>
      <x:c r="M441" s="51"/>
      <x:c r="N441" s="51"/>
      <x:c r="O441" s="54"/>
      <x:c r="P441" s="51" t="str">
        <x:v>Optional – kein aktiver Benchmark</x:v>
      </x:c>
      <x:c r="Q441" s="53" t="n">
        <x:v>82</x:v>
      </x:c>
      <x:c r="R441" s="53" t="n">
        <x:v>100</x:v>
      </x:c>
      <x:c r="S441" s="53" t="n">
        <x:v>100</x:v>
      </x:c>
      <x:c r="T441" s="53" t="str">
        <x:v>threshold:0-class</x:v>
      </x:c>
      <x:c r="U441" s="14" t="str">
        <x:v>Legacy-Werte bleiben nur als historische Rechenhilfe erhalten und werden nicht für den FinalScore verwendet.</x:v>
      </x:c>
    </x:row>
    <x:row r="442" ht="42" customHeight="1">
      <x:c r="A442" s="14" t="str">
        <x:v>WOK-SC-142</x:v>
      </x:c>
      <x:c r="B442" s="14" t="str">
        <x:v>C20</x:v>
      </x:c>
      <x:c r="C442" s="14" t="str">
        <x:v>Legacy / Migration auf NACE Rev. 2.1 offen</x:v>
      </x:c>
      <x:c r="D442" s="14" t="str">
        <x:v>EU</x:v>
      </x:c>
      <x:c r="E442" s="14"/>
      <x:c r="F442" s="14" t="str">
        <x:v>% Kategorien</x:v>
      </x:c>
      <x:c r="G442" s="14" t="str">
        <x:v>higher_is_better</x:v>
      </x:c>
      <x:c r="H442" s="14" t="str">
        <x:v>R23</x:v>
      </x:c>
      <x:c r="I442" s="14" t="str">
        <x:v>Optional/Nein</x:v>
      </x:c>
      <x:c r="J442" s="51"/>
      <x:c r="K442" s="51"/>
      <x:c r="L442" s="51"/>
      <x:c r="M442" s="51"/>
      <x:c r="N442" s="51"/>
      <x:c r="O442" s="54"/>
      <x:c r="P442" s="51" t="str">
        <x:v>Optional – kein aktiver Benchmark</x:v>
      </x:c>
      <x:c r="Q442" s="53" t="n">
        <x:v>49.5</x:v>
      </x:c>
      <x:c r="R442" s="53" t="n">
        <x:v>74.25</x:v>
      </x:c>
      <x:c r="S442" s="53" t="n">
        <x:v>100</x:v>
      </x:c>
      <x:c r="T442" s="53" t="str">
        <x:v>threshold:0-class</x:v>
      </x:c>
      <x:c r="U442" s="14" t="str">
        <x:v>Legacy-Werte bleiben nur als historische Rechenhilfe erhalten und werden nicht für den FinalScore verwendet.</x:v>
      </x:c>
    </x:row>
    <x:row r="443" ht="42" customHeight="1">
      <x:c r="A443" s="14" t="str">
        <x:v>WOK-G-188</x:v>
      </x:c>
      <x:c r="B443" s="14" t="str">
        <x:v>G47</x:v>
      </x:c>
      <x:c r="C443" s="14" t="str">
        <x:v>Legacy / Migration auf NACE Rev. 2.1 offen</x:v>
      </x:c>
      <x:c r="D443" s="14" t="str">
        <x:v>EU</x:v>
      </x:c>
      <x:c r="E443" s="14"/>
      <x:c r="F443" s="14" t="str">
        <x:v>Fälle/1.000 FTE</x:v>
      </x:c>
      <x:c r="G443" s="14" t="str">
        <x:v>lower_is_better</x:v>
      </x:c>
      <x:c r="H443" s="14" t="str">
        <x:v>R01</x:v>
      </x:c>
      <x:c r="I443" s="14" t="str">
        <x:v>Optional/Nein</x:v>
      </x:c>
      <x:c r="J443" s="51"/>
      <x:c r="K443" s="51"/>
      <x:c r="L443" s="51"/>
      <x:c r="M443" s="51"/>
      <x:c r="N443" s="51"/>
      <x:c r="O443" s="54"/>
      <x:c r="P443" s="51" t="str">
        <x:v>Optional – kein aktiver Benchmark</x:v>
      </x:c>
      <x:c r="Q443" s="53" t="n">
        <x:v>0.5</x:v>
      </x:c>
      <x:c r="R443" s="53" t="n">
        <x:v>0.75</x:v>
      </x:c>
      <x:c r="S443" s="53" t="n">
        <x:v>1.25</x:v>
      </x:c>
      <x:c r="T443" s="53" t="str">
        <x:v>threshold:0-class</x:v>
      </x:c>
      <x:c r="U443" s="14" t="str">
        <x:v>Legacy-Werte bleiben nur als historische Rechenhilfe erhalten und werden nicht für den FinalScore verwendet.</x:v>
      </x:c>
    </x:row>
    <x:row r="444" ht="42" customHeight="1">
      <x:c r="A444" s="14" t="str">
        <x:v>WOK-G-189</x:v>
      </x:c>
      <x:c r="B444" s="14" t="str">
        <x:v>G47</x:v>
      </x:c>
      <x:c r="C444" s="14" t="str">
        <x:v>Legacy / Migration auf NACE Rev. 2.1 offen</x:v>
      </x:c>
      <x:c r="D444" s="14" t="str">
        <x:v>EU</x:v>
      </x:c>
      <x:c r="E444" s="14"/>
      <x:c r="F444" s="14" t="str">
        <x:v>0–1</x:v>
      </x:c>
      <x:c r="G444" s="14" t="str">
        <x:v>higher_is_better</x:v>
      </x:c>
      <x:c r="H444" s="14" t="str">
        <x:v>R16</x:v>
      </x:c>
      <x:c r="I444" s="14" t="str">
        <x:v>Optional/Nein</x:v>
      </x:c>
      <x:c r="J444" s="51"/>
      <x:c r="K444" s="51"/>
      <x:c r="L444" s="51"/>
      <x:c r="M444" s="51"/>
      <x:c r="N444" s="51"/>
      <x:c r="O444" s="54"/>
      <x:c r="P444" s="51" t="str">
        <x:v>Optional – kein aktiver Benchmark</x:v>
      </x:c>
      <x:c r="Q444" s="53" t="n">
        <x:v>0.6699999999999999</x:v>
      </x:c>
      <x:c r="R444" s="53" t="n">
        <x:v>1</x:v>
      </x:c>
      <x:c r="S444" s="53" t="n">
        <x:v>1</x:v>
      </x:c>
      <x:c r="T444" s="53" t="str">
        <x:v>threshold:0-class</x:v>
      </x:c>
      <x:c r="U444" s="14" t="str">
        <x:v>Legacy-Werte bleiben nur als historische Rechenhilfe erhalten und werden nicht für den FinalScore verwendet.</x:v>
      </x:c>
    </x:row>
    <x:row r="445" ht="42" customHeight="1">
      <x:c r="A445" s="14" t="str">
        <x:v>WOK-G-190</x:v>
      </x:c>
      <x:c r="B445" s="14" t="str">
        <x:v>G47</x:v>
      </x:c>
      <x:c r="C445" s="14" t="str">
        <x:v>Legacy / Migration auf NACE Rev. 2.1 offen</x:v>
      </x:c>
      <x:c r="D445" s="14" t="str">
        <x:v>EU</x:v>
      </x:c>
      <x:c r="E445" s="14"/>
      <x:c r="F445" s="14" t="str">
        <x:v>0–1</x:v>
      </x:c>
      <x:c r="G445" s="14" t="str">
        <x:v>higher_is_better</x:v>
      </x:c>
      <x:c r="H445" s="14" t="str">
        <x:v>R08</x:v>
      </x:c>
      <x:c r="I445" s="14" t="str">
        <x:v>Optional/Nein</x:v>
      </x:c>
      <x:c r="J445" s="51"/>
      <x:c r="K445" s="51"/>
      <x:c r="L445" s="51"/>
      <x:c r="M445" s="51"/>
      <x:c r="N445" s="51"/>
      <x:c r="O445" s="54"/>
      <x:c r="P445" s="51" t="str">
        <x:v>Optional – kein aktiver Benchmark</x:v>
      </x:c>
      <x:c r="Q445" s="53" t="n">
        <x:v>0.5</x:v>
      </x:c>
      <x:c r="R445" s="53" t="n">
        <x:v>0.75</x:v>
      </x:c>
      <x:c r="S445" s="53" t="n">
        <x:v>0.9</x:v>
      </x:c>
      <x:c r="T445" s="53" t="str">
        <x:v>default:higher_is_better_abs</x:v>
      </x:c>
      <x:c r="U445" s="14" t="str">
        <x:v>Legacy-Werte bleiben nur als historische Rechenhilfe erhalten und werden nicht für den FinalScore verwendet.</x:v>
      </x:c>
    </x:row>
    <x:row r="446" ht="42" customHeight="1">
      <x:c r="A446" s="14" t="str">
        <x:v>WOK-SYS-155</x:v>
      </x:c>
      <x:c r="B446" s="14" t="str">
        <x:v>G47</x:v>
      </x:c>
      <x:c r="C446" s="14" t="str">
        <x:v>Legacy / Migration auf NACE Rev. 2.1 offen</x:v>
      </x:c>
      <x:c r="D446" s="14" t="str">
        <x:v>EU</x:v>
      </x:c>
      <x:c r="E446" s="14"/>
      <x:c r="F446" s="14" t="str">
        <x:v>0–1</x:v>
      </x:c>
      <x:c r="G446" s="14" t="str">
        <x:v>higher_is_better</x:v>
      </x:c>
      <x:c r="H446" s="14" t="str">
        <x:v>R15</x:v>
      </x:c>
      <x:c r="I446" s="14" t="str">
        <x:v>Optional/Nein</x:v>
      </x:c>
      <x:c r="J446" s="51"/>
      <x:c r="K446" s="51"/>
      <x:c r="L446" s="51"/>
      <x:c r="M446" s="51"/>
      <x:c r="N446" s="51"/>
      <x:c r="O446" s="54"/>
      <x:c r="P446" s="51" t="str">
        <x:v>Optional – kein aktiver Benchmark</x:v>
      </x:c>
      <x:c r="Q446" s="53" t="n">
        <x:v>0.645</x:v>
      </x:c>
      <x:c r="R446" s="53" t="n">
        <x:v>0.9675</x:v>
      </x:c>
      <x:c r="S446" s="53" t="n">
        <x:v>1</x:v>
      </x:c>
      <x:c r="T446" s="53" t="str">
        <x:v>threshold:0-class</x:v>
      </x:c>
      <x:c r="U446" s="14" t="str">
        <x:v>Legacy-Werte bleiben nur als historische Rechenhilfe erhalten und werden nicht für den FinalScore verwendet.</x:v>
      </x:c>
    </x:row>
    <x:row r="447" ht="42" customHeight="1">
      <x:c r="A447" s="14" t="str">
        <x:v>WOK-SYS-156</x:v>
      </x:c>
      <x:c r="B447" s="14" t="str">
        <x:v>G47</x:v>
      </x:c>
      <x:c r="C447" s="14" t="str">
        <x:v>Legacy / Migration auf NACE Rev. 2.1 offen</x:v>
      </x:c>
      <x:c r="D447" s="14" t="str">
        <x:v>EU</x:v>
      </x:c>
      <x:c r="E447" s="14"/>
      <x:c r="F447" s="14" t="str">
        <x:v>%</x:v>
      </x:c>
      <x:c r="G447" s="14" t="str">
        <x:v>lower_is_better</x:v>
      </x:c>
      <x:c r="H447" s="14" t="str">
        <x:v>R13</x:v>
      </x:c>
      <x:c r="I447" s="14" t="str">
        <x:v>Optional/Nein</x:v>
      </x:c>
      <x:c r="J447" s="51"/>
      <x:c r="K447" s="51"/>
      <x:c r="L447" s="51"/>
      <x:c r="M447" s="51"/>
      <x:c r="N447" s="51"/>
      <x:c r="O447" s="54"/>
      <x:c r="P447" s="51" t="str">
        <x:v>Optional – kein aktiver Benchmark</x:v>
      </x:c>
      <x:c r="Q447" s="53" t="n">
        <x:v>15.5</x:v>
      </x:c>
      <x:c r="R447" s="53" t="n">
        <x:v>23.25</x:v>
      </x:c>
      <x:c r="S447" s="53" t="n">
        <x:v>38.75</x:v>
      </x:c>
      <x:c r="T447" s="53" t="str">
        <x:v>threshold:0-class</x:v>
      </x:c>
      <x:c r="U447" s="14" t="str">
        <x:v>Legacy-Werte bleiben nur als historische Rechenhilfe erhalten und werden nicht für den FinalScore verwendet.</x:v>
      </x:c>
    </x:row>
    <x:row r="448" ht="42" customHeight="1">
      <x:c r="A448" s="14" t="str">
        <x:v>WOK-SYS-157</x:v>
      </x:c>
      <x:c r="B448" s="14" t="str">
        <x:v>G47</x:v>
      </x:c>
      <x:c r="C448" s="14" t="str">
        <x:v>Legacy / Migration auf NACE Rev. 2.1 offen</x:v>
      </x:c>
      <x:c r="D448" s="14" t="str">
        <x:v>EU</x:v>
      </x:c>
      <x:c r="E448" s="14"/>
      <x:c r="F448" s="14" t="str">
        <x:v>#/Jahr</x:v>
      </x:c>
      <x:c r="G448" s="14" t="str">
        <x:v>higher_is_better</x:v>
      </x:c>
      <x:c r="H448" s="14" t="str">
        <x:v>R20</x:v>
      </x:c>
      <x:c r="I448" s="14" t="str">
        <x:v>Optional/Nein</x:v>
      </x:c>
      <x:c r="J448" s="51"/>
      <x:c r="K448" s="51"/>
      <x:c r="L448" s="51"/>
      <x:c r="M448" s="51"/>
      <x:c r="N448" s="51"/>
      <x:c r="O448" s="54"/>
      <x:c r="P448" s="51" t="str">
        <x:v>Optional – kein aktiver Benchmark</x:v>
      </x:c>
      <x:c r="Q448" s="53" t="n">
        <x:v>1.5</x:v>
      </x:c>
      <x:c r="R448" s="53" t="n">
        <x:v>2.25</x:v>
      </x:c>
      <x:c r="S448" s="53" t="n">
        <x:v>3.75</x:v>
      </x:c>
      <x:c r="T448" s="53" t="str">
        <x:v>threshold:0-class</x:v>
      </x:c>
      <x:c r="U448" s="14" t="str">
        <x:v>Legacy-Werte bleiben nur als historische Rechenhilfe erhalten und werden nicht für den FinalScore verwendet.</x:v>
      </x:c>
    </x:row>
    <x:row r="449" ht="42" customHeight="1">
      <x:c r="A449" s="14" t="str">
        <x:v>WOK-G-191</x:v>
      </x:c>
      <x:c r="B449" s="14" t="str">
        <x:v>G47</x:v>
      </x:c>
      <x:c r="C449" s="14" t="str">
        <x:v>Legacy / Migration auf NACE Rev. 2.1 offen</x:v>
      </x:c>
      <x:c r="D449" s="14" t="str">
        <x:v>EU</x:v>
      </x:c>
      <x:c r="E449" s="14"/>
      <x:c r="F449" s="14" t="str">
        <x:v>Fälle/1.000 FTE</x:v>
      </x:c>
      <x:c r="G449" s="14" t="str">
        <x:v>lower_is_better</x:v>
      </x:c>
      <x:c r="H449" s="14" t="str">
        <x:v>R01</x:v>
      </x:c>
      <x:c r="I449" s="14" t="str">
        <x:v>Optional/Nein</x:v>
      </x:c>
      <x:c r="J449" s="51"/>
      <x:c r="K449" s="51"/>
      <x:c r="L449" s="51"/>
      <x:c r="M449" s="51"/>
      <x:c r="N449" s="51"/>
      <x:c r="O449" s="54"/>
      <x:c r="P449" s="51" t="str">
        <x:v>Optional – kein aktiver Benchmark</x:v>
      </x:c>
      <x:c r="Q449" s="53" t="n">
        <x:v>0.5</x:v>
      </x:c>
      <x:c r="R449" s="53" t="n">
        <x:v>0.75</x:v>
      </x:c>
      <x:c r="S449" s="53" t="n">
        <x:v>1.25</x:v>
      </x:c>
      <x:c r="T449" s="53" t="str">
        <x:v>threshold:0-class</x:v>
      </x:c>
      <x:c r="U449" s="14" t="str">
        <x:v>Legacy-Werte bleiben nur als historische Rechenhilfe erhalten und werden nicht für den FinalScore verwendet.</x:v>
      </x:c>
    </x:row>
    <x:row r="450" ht="42" customHeight="1">
      <x:c r="A450" s="14" t="str">
        <x:v>WOK-G-192</x:v>
      </x:c>
      <x:c r="B450" s="14" t="str">
        <x:v>G47</x:v>
      </x:c>
      <x:c r="C450" s="14" t="str">
        <x:v>Legacy / Migration auf NACE Rev. 2.1 offen</x:v>
      </x:c>
      <x:c r="D450" s="14" t="str">
        <x:v>EU</x:v>
      </x:c>
      <x:c r="E450" s="14"/>
      <x:c r="F450" s="14" t="str">
        <x:v>0–1</x:v>
      </x:c>
      <x:c r="G450" s="14" t="str">
        <x:v>higher_is_better</x:v>
      </x:c>
      <x:c r="H450" s="14" t="str">
        <x:v>R16</x:v>
      </x:c>
      <x:c r="I450" s="14" t="str">
        <x:v>Optional/Nein</x:v>
      </x:c>
      <x:c r="J450" s="51"/>
      <x:c r="K450" s="51"/>
      <x:c r="L450" s="51"/>
      <x:c r="M450" s="51"/>
      <x:c r="N450" s="51"/>
      <x:c r="O450" s="54"/>
      <x:c r="P450" s="51" t="str">
        <x:v>Optional – kein aktiver Benchmark</x:v>
      </x:c>
      <x:c r="Q450" s="53" t="n">
        <x:v>0.6699999999999999</x:v>
      </x:c>
      <x:c r="R450" s="53" t="n">
        <x:v>1</x:v>
      </x:c>
      <x:c r="S450" s="53" t="n">
        <x:v>1</x:v>
      </x:c>
      <x:c r="T450" s="53" t="str">
        <x:v>threshold:0-class</x:v>
      </x:c>
      <x:c r="U450" s="14" t="str">
        <x:v>Legacy-Werte bleiben nur als historische Rechenhilfe erhalten und werden nicht für den FinalScore verwendet.</x:v>
      </x:c>
    </x:row>
    <x:row r="451" ht="42" customHeight="1">
      <x:c r="A451" s="14" t="str">
        <x:v>WOK-G-193</x:v>
      </x:c>
      <x:c r="B451" s="14" t="str">
        <x:v>G47</x:v>
      </x:c>
      <x:c r="C451" s="14" t="str">
        <x:v>Legacy / Migration auf NACE Rev. 2.1 offen</x:v>
      </x:c>
      <x:c r="D451" s="14" t="str">
        <x:v>EU</x:v>
      </x:c>
      <x:c r="E451" s="14"/>
      <x:c r="F451" s="14" t="str">
        <x:v>0–1</x:v>
      </x:c>
      <x:c r="G451" s="14" t="str">
        <x:v>higher_is_better</x:v>
      </x:c>
      <x:c r="H451" s="14" t="str">
        <x:v>R08</x:v>
      </x:c>
      <x:c r="I451" s="14" t="str">
        <x:v>Optional/Nein</x:v>
      </x:c>
      <x:c r="J451" s="51"/>
      <x:c r="K451" s="51"/>
      <x:c r="L451" s="51"/>
      <x:c r="M451" s="51"/>
      <x:c r="N451" s="51"/>
      <x:c r="O451" s="54"/>
      <x:c r="P451" s="51" t="str">
        <x:v>Optional – kein aktiver Benchmark</x:v>
      </x:c>
      <x:c r="Q451" s="53" t="n">
        <x:v>0.5</x:v>
      </x:c>
      <x:c r="R451" s="53" t="n">
        <x:v>0.75</x:v>
      </x:c>
      <x:c r="S451" s="53" t="n">
        <x:v>0.9</x:v>
      </x:c>
      <x:c r="T451" s="53" t="str">
        <x:v>default:higher_is_better_abs</x:v>
      </x:c>
      <x:c r="U451" s="14" t="str">
        <x:v>Legacy-Werte bleiben nur als historische Rechenhilfe erhalten und werden nicht für den FinalScore verwendet.</x:v>
      </x:c>
    </x:row>
    <x:row r="452" ht="42" customHeight="1">
      <x:c r="A452" s="14" t="str">
        <x:v>WOK-SC-143</x:v>
      </x:c>
      <x:c r="B452" s="14" t="str">
        <x:v>G47</x:v>
      </x:c>
      <x:c r="C452" s="14" t="str">
        <x:v>Legacy / Migration auf NACE Rev. 2.1 offen</x:v>
      </x:c>
      <x:c r="D452" s="14" t="str">
        <x:v>EU</x:v>
      </x:c>
      <x:c r="E452" s="14"/>
      <x:c r="F452" s="14" t="str">
        <x:v>%</x:v>
      </x:c>
      <x:c r="G452" s="14" t="str">
        <x:v>higher_is_better</x:v>
      </x:c>
      <x:c r="H452" s="14" t="str">
        <x:v>R26</x:v>
      </x:c>
      <x:c r="I452" s="14" t="str">
        <x:v>Optional/Nein</x:v>
      </x:c>
      <x:c r="J452" s="51"/>
      <x:c r="K452" s="51"/>
      <x:c r="L452" s="51"/>
      <x:c r="M452" s="51"/>
      <x:c r="N452" s="51"/>
      <x:c r="O452" s="54"/>
      <x:c r="P452" s="51" t="str">
        <x:v>Optional – kein aktiver Benchmark</x:v>
      </x:c>
      <x:c r="Q452" s="53" t="n">
        <x:v>59.5</x:v>
      </x:c>
      <x:c r="R452" s="53" t="n">
        <x:v>89.25</x:v>
      </x:c>
      <x:c r="S452" s="53" t="n">
        <x:v>100</x:v>
      </x:c>
      <x:c r="T452" s="53" t="str">
        <x:v>threshold:0-class</x:v>
      </x:c>
      <x:c r="U452" s="14" t="str">
        <x:v>Legacy-Werte bleiben nur als historische Rechenhilfe erhalten und werden nicht für den FinalScore verwendet.</x:v>
      </x:c>
    </x:row>
    <x:row r="453" ht="42" customHeight="1">
      <x:c r="A453" s="14" t="str">
        <x:v>WOK-SC-144</x:v>
      </x:c>
      <x:c r="B453" s="14" t="str">
        <x:v>G47</x:v>
      </x:c>
      <x:c r="C453" s="14" t="str">
        <x:v>Legacy / Migration auf NACE Rev. 2.1 offen</x:v>
      </x:c>
      <x:c r="D453" s="14" t="str">
        <x:v>EU</x:v>
      </x:c>
      <x:c r="E453" s="14"/>
      <x:c r="F453" s="14" t="str">
        <x:v>% Lieferanten</x:v>
      </x:c>
      <x:c r="G453" s="14" t="str">
        <x:v>higher_is_better</x:v>
      </x:c>
      <x:c r="H453" s="14" t="str">
        <x:v>R28</x:v>
      </x:c>
      <x:c r="I453" s="14" t="str">
        <x:v>Optional/Nein</x:v>
      </x:c>
      <x:c r="J453" s="51"/>
      <x:c r="K453" s="51"/>
      <x:c r="L453" s="51"/>
      <x:c r="M453" s="51"/>
      <x:c r="N453" s="51"/>
      <x:c r="O453" s="54"/>
      <x:c r="P453" s="51" t="str">
        <x:v>Optional – kein aktiver Benchmark</x:v>
      </x:c>
      <x:c r="Q453" s="53" t="n">
        <x:v>82</x:v>
      </x:c>
      <x:c r="R453" s="53" t="n">
        <x:v>100</x:v>
      </x:c>
      <x:c r="S453" s="53" t="n">
        <x:v>100</x:v>
      </x:c>
      <x:c r="T453" s="53" t="str">
        <x:v>threshold:0-class</x:v>
      </x:c>
      <x:c r="U453" s="14" t="str">
        <x:v>Legacy-Werte bleiben nur als historische Rechenhilfe erhalten und werden nicht für den FinalScore verwendet.</x:v>
      </x:c>
    </x:row>
    <x:row r="454" ht="42" customHeight="1">
      <x:c r="A454" s="14" t="str">
        <x:v>WOK-SC-145</x:v>
      </x:c>
      <x:c r="B454" s="14" t="str">
        <x:v>G47</x:v>
      </x:c>
      <x:c r="C454" s="14" t="str">
        <x:v>Legacy / Migration auf NACE Rev. 2.1 offen</x:v>
      </x:c>
      <x:c r="D454" s="14" t="str">
        <x:v>EU</x:v>
      </x:c>
      <x:c r="E454" s="14"/>
      <x:c r="F454" s="14" t="str">
        <x:v>% Kategorien</x:v>
      </x:c>
      <x:c r="G454" s="14" t="str">
        <x:v>higher_is_better</x:v>
      </x:c>
      <x:c r="H454" s="14" t="str">
        <x:v>R23</x:v>
      </x:c>
      <x:c r="I454" s="14" t="str">
        <x:v>Optional/Nein</x:v>
      </x:c>
      <x:c r="J454" s="51"/>
      <x:c r="K454" s="51"/>
      <x:c r="L454" s="51"/>
      <x:c r="M454" s="51"/>
      <x:c r="N454" s="51"/>
      <x:c r="O454" s="54"/>
      <x:c r="P454" s="51" t="str">
        <x:v>Optional – kein aktiver Benchmark</x:v>
      </x:c>
      <x:c r="Q454" s="53" t="n">
        <x:v>49.5</x:v>
      </x:c>
      <x:c r="R454" s="53" t="n">
        <x:v>74.25</x:v>
      </x:c>
      <x:c r="S454" s="53" t="n">
        <x:v>100</x:v>
      </x:c>
      <x:c r="T454" s="53" t="str">
        <x:v>threshold:0-class</x:v>
      </x:c>
      <x:c r="U454" s="14" t="str">
        <x:v>Legacy-Werte bleiben nur als historische Rechenhilfe erhalten und werden nicht für den FinalScore verwendet.</x:v>
      </x:c>
    </x:row>
    <x:row r="455" ht="42" customHeight="1">
      <x:c r="A455" s="14" t="str">
        <x:v>WOK-E-221</x:v>
      </x:c>
      <x:c r="B455" s="14" t="str">
        <x:v>C20</x:v>
      </x:c>
      <x:c r="C455" s="14" t="str">
        <x:v>Legacy / Migration auf NACE Rev. 2.1 offen</x:v>
      </x:c>
      <x:c r="D455" s="14" t="str">
        <x:v>EU</x:v>
      </x:c>
      <x:c r="E455" s="14"/>
      <x:c r="F455" s="14" t="str">
        <x:v>%</x:v>
      </x:c>
      <x:c r="G455" s="14" t="str">
        <x:v>higher_is_better</x:v>
      </x:c>
      <x:c r="H455" s="14" t="str">
        <x:v>R25</x:v>
      </x:c>
      <x:c r="I455" s="14" t="str">
        <x:v>Optional/Nein</x:v>
      </x:c>
      <x:c r="J455" s="51"/>
      <x:c r="K455" s="51"/>
      <x:c r="L455" s="51"/>
      <x:c r="M455" s="51"/>
      <x:c r="N455" s="51"/>
      <x:c r="O455" s="54"/>
      <x:c r="P455" s="51" t="str">
        <x:v>Optional – kein aktiver Benchmark</x:v>
      </x:c>
      <x:c r="Q455" s="53" t="n">
        <x:v>50</x:v>
      </x:c>
      <x:c r="R455" s="53" t="n">
        <x:v>75</x:v>
      </x:c>
      <x:c r="S455" s="53" t="n">
        <x:v>100</x:v>
      </x:c>
      <x:c r="T455" s="53" t="str">
        <x:v>default:higher_is_better_pct</x:v>
      </x:c>
      <x:c r="U455" s="14" t="str">
        <x:v>Legacy-Werte bleiben nur als historische Rechenhilfe erhalten und werden nicht für den FinalScore verwendet.</x:v>
      </x:c>
    </x:row>
    <x:row r="456" ht="42" customHeight="1">
      <x:c r="A456" s="14" t="str">
        <x:v>WOK-E-222</x:v>
      </x:c>
      <x:c r="B456" s="14" t="str">
        <x:v>C20</x:v>
      </x:c>
      <x:c r="C456" s="14" t="str">
        <x:v>Legacy / Migration auf NACE Rev. 2.1 offen</x:v>
      </x:c>
      <x:c r="D456" s="14" t="str">
        <x:v>EU</x:v>
      </x:c>
      <x:c r="E456" s="14"/>
      <x:c r="F456" s="14" t="str">
        <x:v>kWh/€ Mio bzw. kWh/t</x:v>
      </x:c>
      <x:c r="G456" s="14" t="str">
        <x:v>lower_is_better</x:v>
      </x:c>
      <x:c r="H456" s="14" t="str">
        <x:v>R06</x:v>
      </x:c>
      <x:c r="I456" s="14" t="str">
        <x:v>Ja</x:v>
      </x:c>
      <x:c r="J456" s="51"/>
      <x:c r="K456" s="51"/>
      <x:c r="L456" s="51"/>
      <x:c r="M456" s="51"/>
      <x:c r="N456" s="51"/>
      <x:c r="O456" s="54"/>
      <x:c r="P456" s="51" t="str">
        <x:v>Offen – validierter Benchmark fehlt</x:v>
      </x:c>
      <x:c r="Q456" s="53" t="n">
        <x:v>1</x:v>
      </x:c>
      <x:c r="R456" s="53" t="n">
        <x:v>1.5</x:v>
      </x:c>
      <x:c r="S456" s="53" t="n">
        <x:v>2.5</x:v>
      </x:c>
      <x:c r="T456" s="53" t="str">
        <x:v>default:lower_is_better_abs</x:v>
      </x:c>
      <x:c r="U456" s="14" t="str">
        <x:v>Vor Aktivierung repräsentative Population, Region, Technologieklasse, Statistik, Quelle und Gültigkeitszeitraum dokumentieren.</x:v>
      </x:c>
    </x:row>
    <x:row r="457" ht="42" customHeight="1">
      <x:c r="A457" s="14" t="str">
        <x:v>WOK-E-223</x:v>
      </x:c>
      <x:c r="B457" s="14" t="str">
        <x:v>C20</x:v>
      </x:c>
      <x:c r="C457" s="14" t="str">
        <x:v>Legacy / Migration auf NACE Rev. 2.1 offen</x:v>
      </x:c>
      <x:c r="D457" s="14" t="str">
        <x:v>EU</x:v>
      </x:c>
      <x:c r="E457" s="14"/>
      <x:c r="F457" s="14" t="str">
        <x:v>PUE</x:v>
      </x:c>
      <x:c r="G457" s="14" t="str">
        <x:v>lower_is_better</x:v>
      </x:c>
      <x:c r="H457" s="14" t="str">
        <x:v>R09</x:v>
      </x:c>
      <x:c r="I457" s="14" t="str">
        <x:v>Optional/Nein</x:v>
      </x:c>
      <x:c r="J457" s="51"/>
      <x:c r="K457" s="51"/>
      <x:c r="L457" s="51"/>
      <x:c r="M457" s="51"/>
      <x:c r="N457" s="51"/>
      <x:c r="O457" s="54"/>
      <x:c r="P457" s="51" t="str">
        <x:v>Optional – kein aktiver Benchmark</x:v>
      </x:c>
      <x:c r="Q457" s="53" t="n">
        <x:v>1.505</x:v>
      </x:c>
      <x:c r="R457" s="53" t="n">
        <x:v>2.2575</x:v>
      </x:c>
      <x:c r="S457" s="53" t="n">
        <x:v>3.7625</x:v>
      </x:c>
      <x:c r="T457" s="53" t="str">
        <x:v>threshold:0-class</x:v>
      </x:c>
      <x:c r="U457" s="14" t="str">
        <x:v>Legacy-Werte bleiben nur als historische Rechenhilfe erhalten und werden nicht für den FinalScore verwendet.</x:v>
      </x:c>
    </x:row>
    <x:row r="458" ht="42" customHeight="1">
      <x:c r="A458" s="14" t="str">
        <x:v>WOK-P-128</x:v>
      </x:c>
      <x:c r="B458" s="14" t="str">
        <x:v>J61</x:v>
      </x:c>
      <x:c r="C458" s="14" t="str">
        <x:v>Legacy / Migration auf NACE Rev. 2.1 offen</x:v>
      </x:c>
      <x:c r="D458" s="14" t="str">
        <x:v>EU</x:v>
      </x:c>
      <x:c r="E458" s="14"/>
      <x:c r="F458" s="14" t="str">
        <x:v>kg CO₂e/Einheit</x:v>
      </x:c>
      <x:c r="G458" s="14" t="str">
        <x:v>lower_is_better</x:v>
      </x:c>
      <x:c r="H458" s="14" t="str">
        <x:v>R07</x:v>
      </x:c>
      <x:c r="I458" s="14" t="str">
        <x:v>Ja</x:v>
      </x:c>
      <x:c r="J458" s="51"/>
      <x:c r="K458" s="51"/>
      <x:c r="L458" s="51"/>
      <x:c r="M458" s="51"/>
      <x:c r="N458" s="51"/>
      <x:c r="O458" s="54"/>
      <x:c r="P458" s="51" t="str">
        <x:v>Offen – validierter Benchmark fehlt</x:v>
      </x:c>
      <x:c r="Q458" s="53" t="n">
        <x:v>1</x:v>
      </x:c>
      <x:c r="R458" s="53" t="n">
        <x:v>1.5</x:v>
      </x:c>
      <x:c r="S458" s="53" t="n">
        <x:v>2.5</x:v>
      </x:c>
      <x:c r="T458" s="53" t="str">
        <x:v>default:lower_is_better_abs</x:v>
      </x:c>
      <x:c r="U458" s="14" t="str">
        <x:v>Vor Aktivierung repräsentative Population, Region, Technologieklasse, Statistik, Quelle und Gültigkeitszeitraum dokumentieren.</x:v>
      </x:c>
    </x:row>
    <x:row r="459" ht="42" customHeight="1">
      <x:c r="A459" s="14" t="str">
        <x:v>WOK-P-129</x:v>
      </x:c>
      <x:c r="B459" s="14" t="str">
        <x:v>J61</x:v>
      </x:c>
      <x:c r="C459" s="14" t="str">
        <x:v>Legacy / Migration auf NACE Rev. 2.1 offen</x:v>
      </x:c>
      <x:c r="D459" s="14" t="str">
        <x:v>EU</x:v>
      </x:c>
      <x:c r="E459" s="14"/>
      <x:c r="F459" s="14" t="str">
        <x:v>Score 0–10</x:v>
      </x:c>
      <x:c r="G459" s="14" t="str">
        <x:v>higher_is_better</x:v>
      </x:c>
      <x:c r="H459" s="14" t="str">
        <x:v>R24</x:v>
      </x:c>
      <x:c r="I459" s="14" t="str">
        <x:v>Optional/Nein</x:v>
      </x:c>
      <x:c r="J459" s="51"/>
      <x:c r="K459" s="51"/>
      <x:c r="L459" s="51"/>
      <x:c r="M459" s="51"/>
      <x:c r="N459" s="51"/>
      <x:c r="O459" s="54"/>
      <x:c r="P459" s="51" t="str">
        <x:v>Optional – kein aktiver Benchmark</x:v>
      </x:c>
      <x:c r="Q459" s="53" t="n">
        <x:v>4.95</x:v>
      </x:c>
      <x:c r="R459" s="53" t="n">
        <x:v>1</x:v>
      </x:c>
      <x:c r="S459" s="53" t="n">
        <x:v>1</x:v>
      </x:c>
      <x:c r="T459" s="53" t="str">
        <x:v>threshold:0-class</x:v>
      </x:c>
      <x:c r="U459" s="14" t="str">
        <x:v>Legacy-Werte bleiben nur als historische Rechenhilfe erhalten und werden nicht für den FinalScore verwendet.</x:v>
      </x:c>
    </x:row>
    <x:row r="460" ht="42" customHeight="1">
      <x:c r="A460" s="14" t="str">
        <x:v>WOK-P-130</x:v>
      </x:c>
      <x:c r="B460" s="14" t="str">
        <x:v>J61</x:v>
      </x:c>
      <x:c r="C460" s="14" t="str">
        <x:v>Legacy / Migration auf NACE Rev. 2.1 offen</x:v>
      </x:c>
      <x:c r="D460" s="14" t="str">
        <x:v>EU</x:v>
      </x:c>
      <x:c r="E460" s="14"/>
      <x:c r="F460" s="14" t="str">
        <x:v>%</x:v>
      </x:c>
      <x:c r="G460" s="14" t="str">
        <x:v>higher_is_better</x:v>
      </x:c>
      <x:c r="H460" s="14" t="str">
        <x:v>R22</x:v>
      </x:c>
      <x:c r="I460" s="14" t="str">
        <x:v>Optional/Nein</x:v>
      </x:c>
      <x:c r="J460" s="51"/>
      <x:c r="K460" s="51"/>
      <x:c r="L460" s="51"/>
      <x:c r="M460" s="51"/>
      <x:c r="N460" s="51"/>
      <x:c r="O460" s="54"/>
      <x:c r="P460" s="51" t="str">
        <x:v>Optional – kein aktiver Benchmark</x:v>
      </x:c>
      <x:c r="Q460" s="53" t="n">
        <x:v>39.5</x:v>
      </x:c>
      <x:c r="R460" s="53" t="n">
        <x:v>59.25</x:v>
      </x:c>
      <x:c r="S460" s="53" t="n">
        <x:v>98.75</x:v>
      </x:c>
      <x:c r="T460" s="53" t="str">
        <x:v>threshold:0-class</x:v>
      </x:c>
      <x:c r="U460" s="14" t="str">
        <x:v>Legacy-Werte bleiben nur als historische Rechenhilfe erhalten und werden nicht für den FinalScore verwendet.</x:v>
      </x:c>
    </x:row>
    <x:row r="461" ht="42" customHeight="1">
      <x:c r="A461" s="14" t="str">
        <x:v>WOK-POL-119</x:v>
      </x:c>
      <x:c r="B461" s="14" t="str">
        <x:v>C20</x:v>
      </x:c>
      <x:c r="C461" s="14" t="str">
        <x:v>Legacy / Migration auf NACE Rev. 2.1 offen</x:v>
      </x:c>
      <x:c r="D461" s="14" t="str">
        <x:v>EU</x:v>
      </x:c>
      <x:c r="E461" s="14"/>
      <x:c r="F461" s="14" t="str">
        <x:v>g CO₂e/kWh</x:v>
      </x:c>
      <x:c r="G461" s="14" t="str">
        <x:v>lower_is_better</x:v>
      </x:c>
      <x:c r="H461" s="14" t="str">
        <x:v>R10</x:v>
      </x:c>
      <x:c r="I461" s="14" t="str">
        <x:v>Optional/Nein</x:v>
      </x:c>
      <x:c r="J461" s="51"/>
      <x:c r="K461" s="51"/>
      <x:c r="L461" s="51"/>
      <x:c r="M461" s="51"/>
      <x:c r="N461" s="51"/>
      <x:c r="O461" s="54"/>
      <x:c r="P461" s="51" t="str">
        <x:v>Optional – kein aktiver Benchmark</x:v>
      </x:c>
      <x:c r="Q461" s="53" t="n">
        <x:v>175.5</x:v>
      </x:c>
      <x:c r="R461" s="53" t="n">
        <x:v>263.25</x:v>
      </x:c>
      <x:c r="S461" s="53" t="n">
        <x:v>438.75</x:v>
      </x:c>
      <x:c r="T461" s="53" t="str">
        <x:v>threshold:0-class</x:v>
      </x:c>
      <x:c r="U461" s="14" t="str">
        <x:v>Legacy-Werte bleiben nur als historische Rechenhilfe erhalten und werden nicht für den FinalScore verwendet.</x:v>
      </x:c>
    </x:row>
    <x:row r="462" ht="42" customHeight="1">
      <x:c r="A462" s="14" t="str">
        <x:v>WOK-POL-120</x:v>
      </x:c>
      <x:c r="B462" s="14" t="str">
        <x:v>C20</x:v>
      </x:c>
      <x:c r="C462" s="14" t="str">
        <x:v>Legacy / Migration auf NACE Rev. 2.1 offen</x:v>
      </x:c>
      <x:c r="D462" s="14" t="str">
        <x:v>EU</x:v>
      </x:c>
      <x:c r="E462" s="14"/>
      <x:c r="F462" s="14" t="str">
        <x:v>% Aktivitäten</x:v>
      </x:c>
      <x:c r="G462" s="14" t="str">
        <x:v>higher_is_better</x:v>
      </x:c>
      <x:c r="H462" s="14" t="str">
        <x:v>R25</x:v>
      </x:c>
      <x:c r="I462" s="14" t="str">
        <x:v>Optional/Nein</x:v>
      </x:c>
      <x:c r="J462" s="51"/>
      <x:c r="K462" s="51"/>
      <x:c r="L462" s="51"/>
      <x:c r="M462" s="51"/>
      <x:c r="N462" s="51"/>
      <x:c r="O462" s="54"/>
      <x:c r="P462" s="51" t="str">
        <x:v>Optional – kein aktiver Benchmark</x:v>
      </x:c>
      <x:c r="Q462" s="53" t="n">
        <x:v>50</x:v>
      </x:c>
      <x:c r="R462" s="53" t="n">
        <x:v>75</x:v>
      </x:c>
      <x:c r="S462" s="53" t="n">
        <x:v>100</x:v>
      </x:c>
      <x:c r="T462" s="53" t="str">
        <x:v>default:higher_is_better_pct</x:v>
      </x:c>
      <x:c r="U462" s="14" t="str">
        <x:v>Legacy-Werte bleiben nur als historische Rechenhilfe erhalten und werden nicht für den FinalScore verwendet.</x:v>
      </x:c>
    </x:row>
    <x:row r="463" ht="42" customHeight="1">
      <x:c r="A463" s="14" t="str">
        <x:v>WOK-POL-121</x:v>
      </x:c>
      <x:c r="B463" s="14" t="str">
        <x:v>C20</x:v>
      </x:c>
      <x:c r="C463" s="14" t="str">
        <x:v>Legacy / Migration auf NACE Rev. 2.1 offen</x:v>
      </x:c>
      <x:c r="D463" s="14" t="str">
        <x:v>EU</x:v>
      </x:c>
      <x:c r="E463" s="14"/>
      <x:c r="F463" s="14" t="str">
        <x:v>% Aktivitäten</x:v>
      </x:c>
      <x:c r="G463" s="14" t="str">
        <x:v>higher_is_better</x:v>
      </x:c>
      <x:c r="H463" s="14" t="str">
        <x:v>R25</x:v>
      </x:c>
      <x:c r="I463" s="14" t="str">
        <x:v>Optional/Nein</x:v>
      </x:c>
      <x:c r="J463" s="51"/>
      <x:c r="K463" s="51"/>
      <x:c r="L463" s="51"/>
      <x:c r="M463" s="51"/>
      <x:c r="N463" s="51"/>
      <x:c r="O463" s="54"/>
      <x:c r="P463" s="51" t="str">
        <x:v>Optional – kein aktiver Benchmark</x:v>
      </x:c>
      <x:c r="Q463" s="53" t="n">
        <x:v>50</x:v>
      </x:c>
      <x:c r="R463" s="53" t="n">
        <x:v>75</x:v>
      </x:c>
      <x:c r="S463" s="53" t="n">
        <x:v>100</x:v>
      </x:c>
      <x:c r="T463" s="53" t="str">
        <x:v>default:higher_is_better_pct</x:v>
      </x:c>
      <x:c r="U463" s="14" t="str">
        <x:v>Legacy-Werte bleiben nur als historische Rechenhilfe erhalten und werden nicht für den FinalScore verwendet.</x:v>
      </x:c>
    </x:row>
    <x:row r="464" ht="42" customHeight="1">
      <x:c r="A464" s="14" t="str">
        <x:v>WOK-SYS-158</x:v>
      </x:c>
      <x:c r="B464" s="14" t="str">
        <x:v>G47</x:v>
      </x:c>
      <x:c r="C464" s="14" t="str">
        <x:v>Legacy / Migration auf NACE Rev. 2.1 offen</x:v>
      </x:c>
      <x:c r="D464" s="14" t="str">
        <x:v>EU</x:v>
      </x:c>
      <x:c r="E464" s="14"/>
      <x:c r="F464" s="14" t="str">
        <x:v>0–1</x:v>
      </x:c>
      <x:c r="G464" s="14" t="str">
        <x:v>higher_is_better</x:v>
      </x:c>
      <x:c r="H464" s="14" t="str">
        <x:v>R15</x:v>
      </x:c>
      <x:c r="I464" s="14" t="str">
        <x:v>Optional/Nein</x:v>
      </x:c>
      <x:c r="J464" s="51"/>
      <x:c r="K464" s="51"/>
      <x:c r="L464" s="51"/>
      <x:c r="M464" s="51"/>
      <x:c r="N464" s="51"/>
      <x:c r="O464" s="54"/>
      <x:c r="P464" s="51" t="str">
        <x:v>Optional – kein aktiver Benchmark</x:v>
      </x:c>
      <x:c r="Q464" s="53" t="n">
        <x:v>0.645</x:v>
      </x:c>
      <x:c r="R464" s="53" t="n">
        <x:v>0.9675</x:v>
      </x:c>
      <x:c r="S464" s="53" t="n">
        <x:v>1</x:v>
      </x:c>
      <x:c r="T464" s="53" t="str">
        <x:v>threshold:0-class</x:v>
      </x:c>
      <x:c r="U464" s="14" t="str">
        <x:v>Legacy-Werte bleiben nur als historische Rechenhilfe erhalten und werden nicht für den FinalScore verwendet.</x:v>
      </x:c>
    </x:row>
    <x:row r="465" ht="42" customHeight="1">
      <x:c r="A465" s="14" t="str">
        <x:v>WOK-SYS-159</x:v>
      </x:c>
      <x:c r="B465" s="14" t="str">
        <x:v>G47</x:v>
      </x:c>
      <x:c r="C465" s="14" t="str">
        <x:v>Legacy / Migration auf NACE Rev. 2.1 offen</x:v>
      </x:c>
      <x:c r="D465" s="14" t="str">
        <x:v>EU</x:v>
      </x:c>
      <x:c r="E465" s="14"/>
      <x:c r="F465" s="14" t="str">
        <x:v>%</x:v>
      </x:c>
      <x:c r="G465" s="14" t="str">
        <x:v>lower_is_better</x:v>
      </x:c>
      <x:c r="H465" s="14" t="str">
        <x:v>R13</x:v>
      </x:c>
      <x:c r="I465" s="14" t="str">
        <x:v>Optional/Nein</x:v>
      </x:c>
      <x:c r="J465" s="51"/>
      <x:c r="K465" s="51"/>
      <x:c r="L465" s="51"/>
      <x:c r="M465" s="51"/>
      <x:c r="N465" s="51"/>
      <x:c r="O465" s="54"/>
      <x:c r="P465" s="51" t="str">
        <x:v>Optional – kein aktiver Benchmark</x:v>
      </x:c>
      <x:c r="Q465" s="53" t="n">
        <x:v>15.5</x:v>
      </x:c>
      <x:c r="R465" s="53" t="n">
        <x:v>23.25</x:v>
      </x:c>
      <x:c r="S465" s="53" t="n">
        <x:v>38.75</x:v>
      </x:c>
      <x:c r="T465" s="53" t="str">
        <x:v>threshold:0-class</x:v>
      </x:c>
      <x:c r="U465" s="14" t="str">
        <x:v>Legacy-Werte bleiben nur als historische Rechenhilfe erhalten und werden nicht für den FinalScore verwendet.</x:v>
      </x:c>
    </x:row>
    <x:row r="466" ht="42" customHeight="1">
      <x:c r="A466" s="14" t="str">
        <x:v>WOK-SYS-160</x:v>
      </x:c>
      <x:c r="B466" s="14" t="str">
        <x:v>G47</x:v>
      </x:c>
      <x:c r="C466" s="14" t="str">
        <x:v>Legacy / Migration auf NACE Rev. 2.1 offen</x:v>
      </x:c>
      <x:c r="D466" s="14" t="str">
        <x:v>EU</x:v>
      </x:c>
      <x:c r="E466" s="14"/>
      <x:c r="F466" s="14" t="str">
        <x:v>#/Jahr</x:v>
      </x:c>
      <x:c r="G466" s="14" t="str">
        <x:v>higher_is_better</x:v>
      </x:c>
      <x:c r="H466" s="14" t="str">
        <x:v>R20</x:v>
      </x:c>
      <x:c r="I466" s="14" t="str">
        <x:v>Optional/Nein</x:v>
      </x:c>
      <x:c r="J466" s="51"/>
      <x:c r="K466" s="51"/>
      <x:c r="L466" s="51"/>
      <x:c r="M466" s="51"/>
      <x:c r="N466" s="51"/>
      <x:c r="O466" s="54"/>
      <x:c r="P466" s="51" t="str">
        <x:v>Optional – kein aktiver Benchmark</x:v>
      </x:c>
      <x:c r="Q466" s="53" t="n">
        <x:v>1.5</x:v>
      </x:c>
      <x:c r="R466" s="53" t="n">
        <x:v>2.25</x:v>
      </x:c>
      <x:c r="S466" s="53" t="n">
        <x:v>3.75</x:v>
      </x:c>
      <x:c r="T466" s="53" t="str">
        <x:v>threshold:0-class</x:v>
      </x:c>
      <x:c r="U466" s="14" t="str">
        <x:v>Legacy-Werte bleiben nur als historische Rechenhilfe erhalten und werden nicht für den FinalScore verwendet.</x:v>
      </x:c>
    </x:row>
    <x:row r="467" ht="42" customHeight="1">
      <x:c r="A467" s="14" t="str">
        <x:v>WOK-SYS-161</x:v>
      </x:c>
      <x:c r="B467" s="14" t="str">
        <x:v>G47</x:v>
      </x:c>
      <x:c r="C467" s="14" t="str">
        <x:v>Legacy / Migration auf NACE Rev. 2.1 offen</x:v>
      </x:c>
      <x:c r="D467" s="14" t="str">
        <x:v>EU</x:v>
      </x:c>
      <x:c r="E467" s="14"/>
      <x:c r="F467" s="14" t="str">
        <x:v>0–1</x:v>
      </x:c>
      <x:c r="G467" s="14" t="str">
        <x:v>higher_is_better</x:v>
      </x:c>
      <x:c r="H467" s="14" t="str">
        <x:v>R15</x:v>
      </x:c>
      <x:c r="I467" s="14" t="str">
        <x:v>Optional/Nein</x:v>
      </x:c>
      <x:c r="J467" s="51"/>
      <x:c r="K467" s="51"/>
      <x:c r="L467" s="51"/>
      <x:c r="M467" s="51"/>
      <x:c r="N467" s="51"/>
      <x:c r="O467" s="54"/>
      <x:c r="P467" s="51" t="str">
        <x:v>Optional – kein aktiver Benchmark</x:v>
      </x:c>
      <x:c r="Q467" s="53" t="n">
        <x:v>0.645</x:v>
      </x:c>
      <x:c r="R467" s="53" t="n">
        <x:v>0.9675</x:v>
      </x:c>
      <x:c r="S467" s="53" t="n">
        <x:v>1</x:v>
      </x:c>
      <x:c r="T467" s="53" t="str">
        <x:v>threshold:0-class</x:v>
      </x:c>
      <x:c r="U467" s="14" t="str">
        <x:v>Legacy-Werte bleiben nur als historische Rechenhilfe erhalten und werden nicht für den FinalScore verwendet.</x:v>
      </x:c>
    </x:row>
    <x:row r="468" ht="42" customHeight="1">
      <x:c r="A468" s="14" t="str">
        <x:v>WOK-SYS-162</x:v>
      </x:c>
      <x:c r="B468" s="14" t="str">
        <x:v>G47</x:v>
      </x:c>
      <x:c r="C468" s="14" t="str">
        <x:v>Legacy / Migration auf NACE Rev. 2.1 offen</x:v>
      </x:c>
      <x:c r="D468" s="14" t="str">
        <x:v>EU</x:v>
      </x:c>
      <x:c r="E468" s="14"/>
      <x:c r="F468" s="14" t="str">
        <x:v>%</x:v>
      </x:c>
      <x:c r="G468" s="14" t="str">
        <x:v>lower_is_better</x:v>
      </x:c>
      <x:c r="H468" s="14" t="str">
        <x:v>R13</x:v>
      </x:c>
      <x:c r="I468" s="14" t="str">
        <x:v>Optional/Nein</x:v>
      </x:c>
      <x:c r="J468" s="51"/>
      <x:c r="K468" s="51"/>
      <x:c r="L468" s="51"/>
      <x:c r="M468" s="51"/>
      <x:c r="N468" s="51"/>
      <x:c r="O468" s="54"/>
      <x:c r="P468" s="51" t="str">
        <x:v>Optional – kein aktiver Benchmark</x:v>
      </x:c>
      <x:c r="Q468" s="53" t="n">
        <x:v>15.5</x:v>
      </x:c>
      <x:c r="R468" s="53" t="n">
        <x:v>23.25</x:v>
      </x:c>
      <x:c r="S468" s="53" t="n">
        <x:v>38.75</x:v>
      </x:c>
      <x:c r="T468" s="53" t="str">
        <x:v>threshold:0-class</x:v>
      </x:c>
      <x:c r="U468" s="14" t="str">
        <x:v>Legacy-Werte bleiben nur als historische Rechenhilfe erhalten und werden nicht für den FinalScore verwendet.</x:v>
      </x:c>
    </x:row>
    <x:row r="469" ht="42" customHeight="1">
      <x:c r="A469" s="14" t="str">
        <x:v>WOK-SYS-163</x:v>
      </x:c>
      <x:c r="B469" s="14" t="str">
        <x:v>G47</x:v>
      </x:c>
      <x:c r="C469" s="14" t="str">
        <x:v>Legacy / Migration auf NACE Rev. 2.1 offen</x:v>
      </x:c>
      <x:c r="D469" s="14" t="str">
        <x:v>EU</x:v>
      </x:c>
      <x:c r="E469" s="14"/>
      <x:c r="F469" s="14" t="str">
        <x:v>#/Jahr</x:v>
      </x:c>
      <x:c r="G469" s="14" t="str">
        <x:v>higher_is_better</x:v>
      </x:c>
      <x:c r="H469" s="14" t="str">
        <x:v>R20</x:v>
      </x:c>
      <x:c r="I469" s="14" t="str">
        <x:v>Optional/Nein</x:v>
      </x:c>
      <x:c r="J469" s="51"/>
      <x:c r="K469" s="51"/>
      <x:c r="L469" s="51"/>
      <x:c r="M469" s="51"/>
      <x:c r="N469" s="51"/>
      <x:c r="O469" s="54"/>
      <x:c r="P469" s="51" t="str">
        <x:v>Optional – kein aktiver Benchmark</x:v>
      </x:c>
      <x:c r="Q469" s="53" t="n">
        <x:v>1.5</x:v>
      </x:c>
      <x:c r="R469" s="53" t="n">
        <x:v>2.25</x:v>
      </x:c>
      <x:c r="S469" s="53" t="n">
        <x:v>3.75</x:v>
      </x:c>
      <x:c r="T469" s="53" t="str">
        <x:v>threshold:0-class</x:v>
      </x:c>
      <x:c r="U469" s="14" t="str">
        <x:v>Legacy-Werte bleiben nur als historische Rechenhilfe erhalten und werden nicht für den FinalScore verwendet.</x:v>
      </x:c>
    </x:row>
    <x:row r="470" ht="42" customHeight="1">
      <x:c r="A470" s="14" t="str">
        <x:v>WOK-G-194</x:v>
      </x:c>
      <x:c r="B470" s="14" t="str">
        <x:v>G47</x:v>
      </x:c>
      <x:c r="C470" s="14" t="str">
        <x:v>Legacy / Migration auf NACE Rev. 2.1 offen</x:v>
      </x:c>
      <x:c r="D470" s="14" t="str">
        <x:v>EU</x:v>
      </x:c>
      <x:c r="E470" s="14"/>
      <x:c r="F470" s="14" t="str">
        <x:v>Fälle/1.000 FTE</x:v>
      </x:c>
      <x:c r="G470" s="14" t="str">
        <x:v>lower_is_better</x:v>
      </x:c>
      <x:c r="H470" s="14" t="str">
        <x:v>R01</x:v>
      </x:c>
      <x:c r="I470" s="14" t="str">
        <x:v>Optional/Nein</x:v>
      </x:c>
      <x:c r="J470" s="51"/>
      <x:c r="K470" s="51"/>
      <x:c r="L470" s="51"/>
      <x:c r="M470" s="51"/>
      <x:c r="N470" s="51"/>
      <x:c r="O470" s="54"/>
      <x:c r="P470" s="51" t="str">
        <x:v>Optional – kein aktiver Benchmark</x:v>
      </x:c>
      <x:c r="Q470" s="53" t="n">
        <x:v>0.5</x:v>
      </x:c>
      <x:c r="R470" s="53" t="n">
        <x:v>0.75</x:v>
      </x:c>
      <x:c r="S470" s="53" t="n">
        <x:v>1.25</x:v>
      </x:c>
      <x:c r="T470" s="53" t="str">
        <x:v>threshold:0-class</x:v>
      </x:c>
      <x:c r="U470" s="14" t="str">
        <x:v>Legacy-Werte bleiben nur als historische Rechenhilfe erhalten und werden nicht für den FinalScore verwendet.</x:v>
      </x:c>
    </x:row>
    <x:row r="471" ht="42" customHeight="1">
      <x:c r="A471" s="14" t="str">
        <x:v>WOK-G-195</x:v>
      </x:c>
      <x:c r="B471" s="14" t="str">
        <x:v>G47</x:v>
      </x:c>
      <x:c r="C471" s="14" t="str">
        <x:v>Legacy / Migration auf NACE Rev. 2.1 offen</x:v>
      </x:c>
      <x:c r="D471" s="14" t="str">
        <x:v>EU</x:v>
      </x:c>
      <x:c r="E471" s="14"/>
      <x:c r="F471" s="14" t="str">
        <x:v>0–1</x:v>
      </x:c>
      <x:c r="G471" s="14" t="str">
        <x:v>higher_is_better</x:v>
      </x:c>
      <x:c r="H471" s="14" t="str">
        <x:v>R16</x:v>
      </x:c>
      <x:c r="I471" s="14" t="str">
        <x:v>Optional/Nein</x:v>
      </x:c>
      <x:c r="J471" s="51"/>
      <x:c r="K471" s="51"/>
      <x:c r="L471" s="51"/>
      <x:c r="M471" s="51"/>
      <x:c r="N471" s="51"/>
      <x:c r="O471" s="54"/>
      <x:c r="P471" s="51" t="str">
        <x:v>Optional – kein aktiver Benchmark</x:v>
      </x:c>
      <x:c r="Q471" s="53" t="n">
        <x:v>0.6699999999999999</x:v>
      </x:c>
      <x:c r="R471" s="53" t="n">
        <x:v>1</x:v>
      </x:c>
      <x:c r="S471" s="53" t="n">
        <x:v>1</x:v>
      </x:c>
      <x:c r="T471" s="53" t="str">
        <x:v>threshold:0-class</x:v>
      </x:c>
      <x:c r="U471" s="14" t="str">
        <x:v>Legacy-Werte bleiben nur als historische Rechenhilfe erhalten und werden nicht für den FinalScore verwendet.</x:v>
      </x:c>
    </x:row>
    <x:row r="472" ht="42" customHeight="1">
      <x:c r="A472" s="14" t="str">
        <x:v>WOK-G-196</x:v>
      </x:c>
      <x:c r="B472" s="14" t="str">
        <x:v>G47</x:v>
      </x:c>
      <x:c r="C472" s="14" t="str">
        <x:v>Legacy / Migration auf NACE Rev. 2.1 offen</x:v>
      </x:c>
      <x:c r="D472" s="14" t="str">
        <x:v>EU</x:v>
      </x:c>
      <x:c r="E472" s="14"/>
      <x:c r="F472" s="14" t="str">
        <x:v>0–1</x:v>
      </x:c>
      <x:c r="G472" s="14" t="str">
        <x:v>higher_is_better</x:v>
      </x:c>
      <x:c r="H472" s="14" t="str">
        <x:v>R08</x:v>
      </x:c>
      <x:c r="I472" s="14" t="str">
        <x:v>Optional/Nein</x:v>
      </x:c>
      <x:c r="J472" s="51"/>
      <x:c r="K472" s="51"/>
      <x:c r="L472" s="51"/>
      <x:c r="M472" s="51"/>
      <x:c r="N472" s="51"/>
      <x:c r="O472" s="54"/>
      <x:c r="P472" s="51" t="str">
        <x:v>Optional – kein aktiver Benchmark</x:v>
      </x:c>
      <x:c r="Q472" s="53" t="n">
        <x:v>0.5</x:v>
      </x:c>
      <x:c r="R472" s="53" t="n">
        <x:v>0.75</x:v>
      </x:c>
      <x:c r="S472" s="53" t="n">
        <x:v>0.9</x:v>
      </x:c>
      <x:c r="T472" s="53" t="str">
        <x:v>default:higher_is_better_abs</x:v>
      </x:c>
      <x:c r="U472" s="14" t="str">
        <x:v>Legacy-Werte bleiben nur als historische Rechenhilfe erhalten und werden nicht für den FinalScore verwendet.</x:v>
      </x:c>
    </x:row>
    <x:row r="473" ht="42" customHeight="1">
      <x:c r="A473" s="14" t="str">
        <x:v>WOK-SYS-164</x:v>
      </x:c>
      <x:c r="B473" s="14" t="str">
        <x:v>G47</x:v>
      </x:c>
      <x:c r="C473" s="14" t="str">
        <x:v>Legacy / Migration auf NACE Rev. 2.1 offen</x:v>
      </x:c>
      <x:c r="D473" s="14" t="str">
        <x:v>EU</x:v>
      </x:c>
      <x:c r="E473" s="14"/>
      <x:c r="F473" s="14" t="str">
        <x:v>0–1</x:v>
      </x:c>
      <x:c r="G473" s="14" t="str">
        <x:v>higher_is_better</x:v>
      </x:c>
      <x:c r="H473" s="14" t="str">
        <x:v>R15</x:v>
      </x:c>
      <x:c r="I473" s="14" t="str">
        <x:v>Optional/Nein</x:v>
      </x:c>
      <x:c r="J473" s="51"/>
      <x:c r="K473" s="51"/>
      <x:c r="L473" s="51"/>
      <x:c r="M473" s="51"/>
      <x:c r="N473" s="51"/>
      <x:c r="O473" s="54"/>
      <x:c r="P473" s="51" t="str">
        <x:v>Optional – kein aktiver Benchmark</x:v>
      </x:c>
      <x:c r="Q473" s="53" t="n">
        <x:v>0.645</x:v>
      </x:c>
      <x:c r="R473" s="53" t="n">
        <x:v>0.9675</x:v>
      </x:c>
      <x:c r="S473" s="53" t="n">
        <x:v>1</x:v>
      </x:c>
      <x:c r="T473" s="53" t="str">
        <x:v>threshold:0-class</x:v>
      </x:c>
      <x:c r="U473" s="14" t="str">
        <x:v>Legacy-Werte bleiben nur als historische Rechenhilfe erhalten und werden nicht für den FinalScore verwendet.</x:v>
      </x:c>
    </x:row>
    <x:row r="474" ht="42" customHeight="1">
      <x:c r="A474" s="14" t="str">
        <x:v>WOK-SYS-165</x:v>
      </x:c>
      <x:c r="B474" s="14" t="str">
        <x:v>G47</x:v>
      </x:c>
      <x:c r="C474" s="14" t="str">
        <x:v>Legacy / Migration auf NACE Rev. 2.1 offen</x:v>
      </x:c>
      <x:c r="D474" s="14" t="str">
        <x:v>EU</x:v>
      </x:c>
      <x:c r="E474" s="14"/>
      <x:c r="F474" s="14" t="str">
        <x:v>%</x:v>
      </x:c>
      <x:c r="G474" s="14" t="str">
        <x:v>lower_is_better</x:v>
      </x:c>
      <x:c r="H474" s="14" t="str">
        <x:v>R13</x:v>
      </x:c>
      <x:c r="I474" s="14" t="str">
        <x:v>Optional/Nein</x:v>
      </x:c>
      <x:c r="J474" s="51"/>
      <x:c r="K474" s="51"/>
      <x:c r="L474" s="51"/>
      <x:c r="M474" s="51"/>
      <x:c r="N474" s="51"/>
      <x:c r="O474" s="54"/>
      <x:c r="P474" s="51" t="str">
        <x:v>Optional – kein aktiver Benchmark</x:v>
      </x:c>
      <x:c r="Q474" s="53" t="n">
        <x:v>15.5</x:v>
      </x:c>
      <x:c r="R474" s="53" t="n">
        <x:v>23.25</x:v>
      </x:c>
      <x:c r="S474" s="53" t="n">
        <x:v>38.75</x:v>
      </x:c>
      <x:c r="T474" s="53" t="str">
        <x:v>threshold:0-class</x:v>
      </x:c>
      <x:c r="U474" s="14" t="str">
        <x:v>Legacy-Werte bleiben nur als historische Rechenhilfe erhalten und werden nicht für den FinalScore verwendet.</x:v>
      </x:c>
    </x:row>
    <x:row r="475" ht="42" customHeight="1">
      <x:c r="A475" s="14" t="str">
        <x:v>WOK-SYS-166</x:v>
      </x:c>
      <x:c r="B475" s="14" t="str">
        <x:v>G47</x:v>
      </x:c>
      <x:c r="C475" s="14" t="str">
        <x:v>Legacy / Migration auf NACE Rev. 2.1 offen</x:v>
      </x:c>
      <x:c r="D475" s="14" t="str">
        <x:v>EU</x:v>
      </x:c>
      <x:c r="E475" s="14"/>
      <x:c r="F475" s="14" t="str">
        <x:v>#/Jahr</x:v>
      </x:c>
      <x:c r="G475" s="14" t="str">
        <x:v>higher_is_better</x:v>
      </x:c>
      <x:c r="H475" s="14" t="str">
        <x:v>R20</x:v>
      </x:c>
      <x:c r="I475" s="14" t="str">
        <x:v>Optional/Nein</x:v>
      </x:c>
      <x:c r="J475" s="51"/>
      <x:c r="K475" s="51"/>
      <x:c r="L475" s="51"/>
      <x:c r="M475" s="51"/>
      <x:c r="N475" s="51"/>
      <x:c r="O475" s="54"/>
      <x:c r="P475" s="51" t="str">
        <x:v>Optional – kein aktiver Benchmark</x:v>
      </x:c>
      <x:c r="Q475" s="53" t="n">
        <x:v>1.5</x:v>
      </x:c>
      <x:c r="R475" s="53" t="n">
        <x:v>2.25</x:v>
      </x:c>
      <x:c r="S475" s="53" t="n">
        <x:v>3.75</x:v>
      </x:c>
      <x:c r="T475" s="53" t="str">
        <x:v>threshold:0-class</x:v>
      </x:c>
      <x:c r="U475" s="14" t="str">
        <x:v>Legacy-Werte bleiben nur als historische Rechenhilfe erhalten und werden nicht für den FinalScore verwendet.</x:v>
      </x:c>
    </x:row>
    <x:row r="476" ht="42" customHeight="1">
      <x:c r="A476" s="14" t="str">
        <x:v>WOK-G-197</x:v>
      </x:c>
      <x:c r="B476" s="14" t="str">
        <x:v>G47</x:v>
      </x:c>
      <x:c r="C476" s="14" t="str">
        <x:v>Legacy / Migration auf NACE Rev. 2.1 offen</x:v>
      </x:c>
      <x:c r="D476" s="14" t="str">
        <x:v>EU</x:v>
      </x:c>
      <x:c r="E476" s="14"/>
      <x:c r="F476" s="14" t="str">
        <x:v>Fälle/1.000 FTE</x:v>
      </x:c>
      <x:c r="G476" s="14" t="str">
        <x:v>lower_is_better</x:v>
      </x:c>
      <x:c r="H476" s="14" t="str">
        <x:v>R01</x:v>
      </x:c>
      <x:c r="I476" s="14" t="str">
        <x:v>Optional/Nein</x:v>
      </x:c>
      <x:c r="J476" s="51"/>
      <x:c r="K476" s="51"/>
      <x:c r="L476" s="51"/>
      <x:c r="M476" s="51"/>
      <x:c r="N476" s="51"/>
      <x:c r="O476" s="54"/>
      <x:c r="P476" s="51" t="str">
        <x:v>Optional – kein aktiver Benchmark</x:v>
      </x:c>
      <x:c r="Q476" s="53" t="n">
        <x:v>0.5</x:v>
      </x:c>
      <x:c r="R476" s="53" t="n">
        <x:v>0.75</x:v>
      </x:c>
      <x:c r="S476" s="53" t="n">
        <x:v>1.25</x:v>
      </x:c>
      <x:c r="T476" s="53" t="str">
        <x:v>threshold:0-class</x:v>
      </x:c>
      <x:c r="U476" s="14" t="str">
        <x:v>Legacy-Werte bleiben nur als historische Rechenhilfe erhalten und werden nicht für den FinalScore verwendet.</x:v>
      </x:c>
    </x:row>
    <x:row r="477" ht="42" customHeight="1">
      <x:c r="A477" s="14" t="str">
        <x:v>WOK-G-198</x:v>
      </x:c>
      <x:c r="B477" s="14" t="str">
        <x:v>G47</x:v>
      </x:c>
      <x:c r="C477" s="14" t="str">
        <x:v>Legacy / Migration auf NACE Rev. 2.1 offen</x:v>
      </x:c>
      <x:c r="D477" s="14" t="str">
        <x:v>EU</x:v>
      </x:c>
      <x:c r="E477" s="14"/>
      <x:c r="F477" s="14" t="str">
        <x:v>0–1</x:v>
      </x:c>
      <x:c r="G477" s="14" t="str">
        <x:v>higher_is_better</x:v>
      </x:c>
      <x:c r="H477" s="14" t="str">
        <x:v>R16</x:v>
      </x:c>
      <x:c r="I477" s="14" t="str">
        <x:v>Optional/Nein</x:v>
      </x:c>
      <x:c r="J477" s="51"/>
      <x:c r="K477" s="51"/>
      <x:c r="L477" s="51"/>
      <x:c r="M477" s="51"/>
      <x:c r="N477" s="51"/>
      <x:c r="O477" s="54"/>
      <x:c r="P477" s="51" t="str">
        <x:v>Optional – kein aktiver Benchmark</x:v>
      </x:c>
      <x:c r="Q477" s="53" t="n">
        <x:v>0.6699999999999999</x:v>
      </x:c>
      <x:c r="R477" s="53" t="n">
        <x:v>1</x:v>
      </x:c>
      <x:c r="S477" s="53" t="n">
        <x:v>1</x:v>
      </x:c>
      <x:c r="T477" s="53" t="str">
        <x:v>threshold:0-class</x:v>
      </x:c>
      <x:c r="U477" s="14" t="str">
        <x:v>Legacy-Werte bleiben nur als historische Rechenhilfe erhalten und werden nicht für den FinalScore verwendet.</x:v>
      </x:c>
    </x:row>
    <x:row r="478" ht="42" customHeight="1">
      <x:c r="A478" s="14" t="str">
        <x:v>WOK-G-199</x:v>
      </x:c>
      <x:c r="B478" s="14" t="str">
        <x:v>G47</x:v>
      </x:c>
      <x:c r="C478" s="14" t="str">
        <x:v>Legacy / Migration auf NACE Rev. 2.1 offen</x:v>
      </x:c>
      <x:c r="D478" s="14" t="str">
        <x:v>EU</x:v>
      </x:c>
      <x:c r="E478" s="14"/>
      <x:c r="F478" s="14" t="str">
        <x:v>0–1</x:v>
      </x:c>
      <x:c r="G478" s="14" t="str">
        <x:v>higher_is_better</x:v>
      </x:c>
      <x:c r="H478" s="14" t="str">
        <x:v>R08</x:v>
      </x:c>
      <x:c r="I478" s="14" t="str">
        <x:v>Optional/Nein</x:v>
      </x:c>
      <x:c r="J478" s="51"/>
      <x:c r="K478" s="51"/>
      <x:c r="L478" s="51"/>
      <x:c r="M478" s="51"/>
      <x:c r="N478" s="51"/>
      <x:c r="O478" s="54"/>
      <x:c r="P478" s="51" t="str">
        <x:v>Optional – kein aktiver Benchmark</x:v>
      </x:c>
      <x:c r="Q478" s="53" t="n">
        <x:v>0.5</x:v>
      </x:c>
      <x:c r="R478" s="53" t="n">
        <x:v>0.75</x:v>
      </x:c>
      <x:c r="S478" s="53" t="n">
        <x:v>0.9</x:v>
      </x:c>
      <x:c r="T478" s="53" t="str">
        <x:v>default:higher_is_better_abs</x:v>
      </x:c>
      <x:c r="U478" s="14" t="str">
        <x:v>Legacy-Werte bleiben nur als historische Rechenhilfe erhalten und werden nicht für den FinalScore verwendet.</x:v>
      </x:c>
    </x:row>
    <x:row r="479" ht="42" customHeight="1">
      <x:c r="A479" s="14" t="str">
        <x:v>WOK-SC-146</x:v>
      </x:c>
      <x:c r="B479" s="14" t="str">
        <x:v>C20</x:v>
      </x:c>
      <x:c r="C479" s="14" t="str">
        <x:v>Legacy / Migration auf NACE Rev. 2.1 offen</x:v>
      </x:c>
      <x:c r="D479" s="14" t="str">
        <x:v>EU</x:v>
      </x:c>
      <x:c r="E479" s="14"/>
      <x:c r="F479" s="14" t="str">
        <x:v>%</x:v>
      </x:c>
      <x:c r="G479" s="14" t="str">
        <x:v>higher_is_better</x:v>
      </x:c>
      <x:c r="H479" s="14" t="str">
        <x:v>R26</x:v>
      </x:c>
      <x:c r="I479" s="14" t="str">
        <x:v>Optional/Nein</x:v>
      </x:c>
      <x:c r="J479" s="51"/>
      <x:c r="K479" s="51"/>
      <x:c r="L479" s="51"/>
      <x:c r="M479" s="51"/>
      <x:c r="N479" s="51"/>
      <x:c r="O479" s="54"/>
      <x:c r="P479" s="51" t="str">
        <x:v>Optional – kein aktiver Benchmark</x:v>
      </x:c>
      <x:c r="Q479" s="53" t="n">
        <x:v>59.5</x:v>
      </x:c>
      <x:c r="R479" s="53" t="n">
        <x:v>89.25</x:v>
      </x:c>
      <x:c r="S479" s="53" t="n">
        <x:v>100</x:v>
      </x:c>
      <x:c r="T479" s="53" t="str">
        <x:v>threshold:0-class</x:v>
      </x:c>
      <x:c r="U479" s="14" t="str">
        <x:v>Legacy-Werte bleiben nur als historische Rechenhilfe erhalten und werden nicht für den FinalScore verwendet.</x:v>
      </x:c>
    </x:row>
    <x:row r="480" ht="42" customHeight="1">
      <x:c r="A480" s="14" t="str">
        <x:v>WOK-SC-147</x:v>
      </x:c>
      <x:c r="B480" s="14" t="str">
        <x:v>C20</x:v>
      </x:c>
      <x:c r="C480" s="14" t="str">
        <x:v>Legacy / Migration auf NACE Rev. 2.1 offen</x:v>
      </x:c>
      <x:c r="D480" s="14" t="str">
        <x:v>EU</x:v>
      </x:c>
      <x:c r="E480" s="14"/>
      <x:c r="F480" s="14" t="str">
        <x:v>% Lieferanten</x:v>
      </x:c>
      <x:c r="G480" s="14" t="str">
        <x:v>higher_is_better</x:v>
      </x:c>
      <x:c r="H480" s="14" t="str">
        <x:v>R28</x:v>
      </x:c>
      <x:c r="I480" s="14" t="str">
        <x:v>Optional/Nein</x:v>
      </x:c>
      <x:c r="J480" s="51"/>
      <x:c r="K480" s="51"/>
      <x:c r="L480" s="51"/>
      <x:c r="M480" s="51"/>
      <x:c r="N480" s="51"/>
      <x:c r="O480" s="54"/>
      <x:c r="P480" s="51" t="str">
        <x:v>Optional – kein aktiver Benchmark</x:v>
      </x:c>
      <x:c r="Q480" s="53" t="n">
        <x:v>82</x:v>
      </x:c>
      <x:c r="R480" s="53" t="n">
        <x:v>100</x:v>
      </x:c>
      <x:c r="S480" s="53" t="n">
        <x:v>100</x:v>
      </x:c>
      <x:c r="T480" s="53" t="str">
        <x:v>threshold:0-class</x:v>
      </x:c>
      <x:c r="U480" s="14" t="str">
        <x:v>Legacy-Werte bleiben nur als historische Rechenhilfe erhalten und werden nicht für den FinalScore verwendet.</x:v>
      </x:c>
    </x:row>
    <x:row r="481" ht="42" customHeight="1">
      <x:c r="A481" s="14" t="str">
        <x:v>WOK-SC-148</x:v>
      </x:c>
      <x:c r="B481" s="14" t="str">
        <x:v>C20</x:v>
      </x:c>
      <x:c r="C481" s="14" t="str">
        <x:v>Legacy / Migration auf NACE Rev. 2.1 offen</x:v>
      </x:c>
      <x:c r="D481" s="14" t="str">
        <x:v>EU</x:v>
      </x:c>
      <x:c r="E481" s="14"/>
      <x:c r="F481" s="14" t="str">
        <x:v>% Kategorien</x:v>
      </x:c>
      <x:c r="G481" s="14" t="str">
        <x:v>higher_is_better</x:v>
      </x:c>
      <x:c r="H481" s="14" t="str">
        <x:v>R23</x:v>
      </x:c>
      <x:c r="I481" s="14" t="str">
        <x:v>Optional/Nein</x:v>
      </x:c>
      <x:c r="J481" s="51"/>
      <x:c r="K481" s="51"/>
      <x:c r="L481" s="51"/>
      <x:c r="M481" s="51"/>
      <x:c r="N481" s="51"/>
      <x:c r="O481" s="54"/>
      <x:c r="P481" s="51" t="str">
        <x:v>Optional – kein aktiver Benchmark</x:v>
      </x:c>
      <x:c r="Q481" s="53" t="n">
        <x:v>49.5</x:v>
      </x:c>
      <x:c r="R481" s="53" t="n">
        <x:v>74.25</x:v>
      </x:c>
      <x:c r="S481" s="53" t="n">
        <x:v>100</x:v>
      </x:c>
      <x:c r="T481" s="53" t="str">
        <x:v>threshold:0-class</x:v>
      </x:c>
      <x:c r="U481" s="14" t="str">
        <x:v>Legacy-Werte bleiben nur als historische Rechenhilfe erhalten und werden nicht für den FinalScore verwendet.</x:v>
      </x:c>
    </x:row>
    <x:row r="482" ht="42" customHeight="1">
      <x:c r="A482" s="14" t="str">
        <x:v>WOK-SYS-167</x:v>
      </x:c>
      <x:c r="B482" s="14" t="str">
        <x:v>J58</x:v>
      </x:c>
      <x:c r="C482" s="14" t="str">
        <x:v>Legacy / Migration auf NACE Rev. 2.1 offen</x:v>
      </x:c>
      <x:c r="D482" s="14" t="str">
        <x:v>EU</x:v>
      </x:c>
      <x:c r="E482" s="14"/>
      <x:c r="F482" s="14" t="str">
        <x:v>0–1</x:v>
      </x:c>
      <x:c r="G482" s="14" t="str">
        <x:v>higher_is_better</x:v>
      </x:c>
      <x:c r="H482" s="14" t="str">
        <x:v>R15</x:v>
      </x:c>
      <x:c r="I482" s="14" t="str">
        <x:v>Optional/Nein</x:v>
      </x:c>
      <x:c r="J482" s="51"/>
      <x:c r="K482" s="51"/>
      <x:c r="L482" s="51"/>
      <x:c r="M482" s="51"/>
      <x:c r="N482" s="51"/>
      <x:c r="O482" s="54"/>
      <x:c r="P482" s="51" t="str">
        <x:v>Optional – kein aktiver Benchmark</x:v>
      </x:c>
      <x:c r="Q482" s="53" t="n">
        <x:v>0.645</x:v>
      </x:c>
      <x:c r="R482" s="53" t="n">
        <x:v>0.9675</x:v>
      </x:c>
      <x:c r="S482" s="53" t="n">
        <x:v>1</x:v>
      </x:c>
      <x:c r="T482" s="53" t="str">
        <x:v>threshold:0-class</x:v>
      </x:c>
      <x:c r="U482" s="14" t="str">
        <x:v>Legacy-Werte bleiben nur als historische Rechenhilfe erhalten und werden nicht für den FinalScore verwendet.</x:v>
      </x:c>
    </x:row>
    <x:row r="483" ht="42" customHeight="1">
      <x:c r="A483" s="14" t="str">
        <x:v>WOK-SYS-168</x:v>
      </x:c>
      <x:c r="B483" s="14" t="str">
        <x:v>J58</x:v>
      </x:c>
      <x:c r="C483" s="14" t="str">
        <x:v>Legacy / Migration auf NACE Rev. 2.1 offen</x:v>
      </x:c>
      <x:c r="D483" s="14" t="str">
        <x:v>EU</x:v>
      </x:c>
      <x:c r="E483" s="14"/>
      <x:c r="F483" s="14" t="str">
        <x:v>%</x:v>
      </x:c>
      <x:c r="G483" s="14" t="str">
        <x:v>lower_is_better</x:v>
      </x:c>
      <x:c r="H483" s="14" t="str">
        <x:v>R13</x:v>
      </x:c>
      <x:c r="I483" s="14" t="str">
        <x:v>Optional/Nein</x:v>
      </x:c>
      <x:c r="J483" s="51"/>
      <x:c r="K483" s="51"/>
      <x:c r="L483" s="51"/>
      <x:c r="M483" s="51"/>
      <x:c r="N483" s="51"/>
      <x:c r="O483" s="54"/>
      <x:c r="P483" s="51" t="str">
        <x:v>Optional – kein aktiver Benchmark</x:v>
      </x:c>
      <x:c r="Q483" s="53" t="n">
        <x:v>15.5</x:v>
      </x:c>
      <x:c r="R483" s="53" t="n">
        <x:v>23.25</x:v>
      </x:c>
      <x:c r="S483" s="53" t="n">
        <x:v>38.75</x:v>
      </x:c>
      <x:c r="T483" s="53" t="str">
        <x:v>threshold:0-class</x:v>
      </x:c>
      <x:c r="U483" s="14" t="str">
        <x:v>Legacy-Werte bleiben nur als historische Rechenhilfe erhalten und werden nicht für den FinalScore verwendet.</x:v>
      </x:c>
    </x:row>
    <x:row r="484" ht="42" customHeight="1">
      <x:c r="A484" s="14" t="str">
        <x:v>WOK-SYS-169</x:v>
      </x:c>
      <x:c r="B484" s="14" t="str">
        <x:v>J58</x:v>
      </x:c>
      <x:c r="C484" s="14" t="str">
        <x:v>Legacy / Migration auf NACE Rev. 2.1 offen</x:v>
      </x:c>
      <x:c r="D484" s="14" t="str">
        <x:v>EU</x:v>
      </x:c>
      <x:c r="E484" s="14"/>
      <x:c r="F484" s="14" t="str">
        <x:v>#/Jahr</x:v>
      </x:c>
      <x:c r="G484" s="14" t="str">
        <x:v>higher_is_better</x:v>
      </x:c>
      <x:c r="H484" s="14" t="str">
        <x:v>R20</x:v>
      </x:c>
      <x:c r="I484" s="14" t="str">
        <x:v>Optional/Nein</x:v>
      </x:c>
      <x:c r="J484" s="51"/>
      <x:c r="K484" s="51"/>
      <x:c r="L484" s="51"/>
      <x:c r="M484" s="51"/>
      <x:c r="N484" s="51"/>
      <x:c r="O484" s="54"/>
      <x:c r="P484" s="51" t="str">
        <x:v>Optional – kein aktiver Benchmark</x:v>
      </x:c>
      <x:c r="Q484" s="53" t="n">
        <x:v>1.5</x:v>
      </x:c>
      <x:c r="R484" s="53" t="n">
        <x:v>2.25</x:v>
      </x:c>
      <x:c r="S484" s="53" t="n">
        <x:v>3.75</x:v>
      </x:c>
      <x:c r="T484" s="53" t="str">
        <x:v>threshold:0-class</x:v>
      </x:c>
      <x:c r="U484" s="14" t="str">
        <x:v>Legacy-Werte bleiben nur als historische Rechenhilfe erhalten und werden nicht für den FinalScore verwendet.</x:v>
      </x:c>
    </x:row>
    <x:row r="485" ht="42" customHeight="1">
      <x:c r="A485" s="14" t="str">
        <x:v>WOK-SYS-170</x:v>
      </x:c>
      <x:c r="B485" s="14" t="str">
        <x:v>J58</x:v>
      </x:c>
      <x:c r="C485" s="14" t="str">
        <x:v>Legacy / Migration auf NACE Rev. 2.1 offen</x:v>
      </x:c>
      <x:c r="D485" s="14" t="str">
        <x:v>EU</x:v>
      </x:c>
      <x:c r="E485" s="14"/>
      <x:c r="F485" s="14" t="str">
        <x:v>0–1</x:v>
      </x:c>
      <x:c r="G485" s="14" t="str">
        <x:v>higher_is_better</x:v>
      </x:c>
      <x:c r="H485" s="14" t="str">
        <x:v>R15</x:v>
      </x:c>
      <x:c r="I485" s="14" t="str">
        <x:v>Optional/Nein</x:v>
      </x:c>
      <x:c r="J485" s="51"/>
      <x:c r="K485" s="51"/>
      <x:c r="L485" s="51"/>
      <x:c r="M485" s="51"/>
      <x:c r="N485" s="51"/>
      <x:c r="O485" s="54"/>
      <x:c r="P485" s="51" t="str">
        <x:v>Optional – kein aktiver Benchmark</x:v>
      </x:c>
      <x:c r="Q485" s="53" t="n">
        <x:v>0.645</x:v>
      </x:c>
      <x:c r="R485" s="53" t="n">
        <x:v>0.9675</x:v>
      </x:c>
      <x:c r="S485" s="53" t="n">
        <x:v>1</x:v>
      </x:c>
      <x:c r="T485" s="53" t="str">
        <x:v>threshold:0-class</x:v>
      </x:c>
      <x:c r="U485" s="14" t="str">
        <x:v>Legacy-Werte bleiben nur als historische Rechenhilfe erhalten und werden nicht für den FinalScore verwendet.</x:v>
      </x:c>
    </x:row>
    <x:row r="486" ht="42" customHeight="1">
      <x:c r="A486" s="14" t="str">
        <x:v>WOK-SYS-171</x:v>
      </x:c>
      <x:c r="B486" s="14" t="str">
        <x:v>J58</x:v>
      </x:c>
      <x:c r="C486" s="14" t="str">
        <x:v>Legacy / Migration auf NACE Rev. 2.1 offen</x:v>
      </x:c>
      <x:c r="D486" s="14" t="str">
        <x:v>EU</x:v>
      </x:c>
      <x:c r="E486" s="14"/>
      <x:c r="F486" s="14" t="str">
        <x:v>%</x:v>
      </x:c>
      <x:c r="G486" s="14" t="str">
        <x:v>lower_is_better</x:v>
      </x:c>
      <x:c r="H486" s="14" t="str">
        <x:v>R13</x:v>
      </x:c>
      <x:c r="I486" s="14" t="str">
        <x:v>Optional/Nein</x:v>
      </x:c>
      <x:c r="J486" s="51"/>
      <x:c r="K486" s="51"/>
      <x:c r="L486" s="51"/>
      <x:c r="M486" s="51"/>
      <x:c r="N486" s="51"/>
      <x:c r="O486" s="54"/>
      <x:c r="P486" s="51" t="str">
        <x:v>Optional – kein aktiver Benchmark</x:v>
      </x:c>
      <x:c r="Q486" s="53" t="n">
        <x:v>15.5</x:v>
      </x:c>
      <x:c r="R486" s="53" t="n">
        <x:v>23.25</x:v>
      </x:c>
      <x:c r="S486" s="53" t="n">
        <x:v>38.75</x:v>
      </x:c>
      <x:c r="T486" s="53" t="str">
        <x:v>threshold:0-class</x:v>
      </x:c>
      <x:c r="U486" s="14" t="str">
        <x:v>Legacy-Werte bleiben nur als historische Rechenhilfe erhalten und werden nicht für den FinalScore verwendet.</x:v>
      </x:c>
    </x:row>
    <x:row r="487" ht="42" customHeight="1">
      <x:c r="A487" s="14" t="str">
        <x:v>WOK-SYS-172</x:v>
      </x:c>
      <x:c r="B487" s="14" t="str">
        <x:v>J58</x:v>
      </x:c>
      <x:c r="C487" s="14" t="str">
        <x:v>Legacy / Migration auf NACE Rev. 2.1 offen</x:v>
      </x:c>
      <x:c r="D487" s="14" t="str">
        <x:v>EU</x:v>
      </x:c>
      <x:c r="E487" s="14"/>
      <x:c r="F487" s="14" t="str">
        <x:v>#/Jahr</x:v>
      </x:c>
      <x:c r="G487" s="14" t="str">
        <x:v>higher_is_better</x:v>
      </x:c>
      <x:c r="H487" s="14" t="str">
        <x:v>R20</x:v>
      </x:c>
      <x:c r="I487" s="14" t="str">
        <x:v>Optional/Nein</x:v>
      </x:c>
      <x:c r="J487" s="51"/>
      <x:c r="K487" s="51"/>
      <x:c r="L487" s="51"/>
      <x:c r="M487" s="51"/>
      <x:c r="N487" s="51"/>
      <x:c r="O487" s="54"/>
      <x:c r="P487" s="51" t="str">
        <x:v>Optional – kein aktiver Benchmark</x:v>
      </x:c>
      <x:c r="Q487" s="53" t="n">
        <x:v>1.5</x:v>
      </x:c>
      <x:c r="R487" s="53" t="n">
        <x:v>2.25</x:v>
      </x:c>
      <x:c r="S487" s="53" t="n">
        <x:v>3.75</x:v>
      </x:c>
      <x:c r="T487" s="53" t="str">
        <x:v>threshold:0-class</x:v>
      </x:c>
      <x:c r="U487" s="14" t="str">
        <x:v>Legacy-Werte bleiben nur als historische Rechenhilfe erhalten und werden nicht für den FinalScore verwendet.</x:v>
      </x:c>
    </x:row>
    <x:row r="488" ht="42" customHeight="1">
      <x:c r="A488" s="14" t="str">
        <x:v>WOK-G-200</x:v>
      </x:c>
      <x:c r="B488" s="14" t="str">
        <x:v>J58</x:v>
      </x:c>
      <x:c r="C488" s="14" t="str">
        <x:v>Legacy / Migration auf NACE Rev. 2.1 offen</x:v>
      </x:c>
      <x:c r="D488" s="14" t="str">
        <x:v>EU</x:v>
      </x:c>
      <x:c r="E488" s="14"/>
      <x:c r="F488" s="14" t="str">
        <x:v>Fälle/1.000 FTE</x:v>
      </x:c>
      <x:c r="G488" s="14" t="str">
        <x:v>lower_is_better</x:v>
      </x:c>
      <x:c r="H488" s="14" t="str">
        <x:v>R01</x:v>
      </x:c>
      <x:c r="I488" s="14" t="str">
        <x:v>Optional/Nein</x:v>
      </x:c>
      <x:c r="J488" s="51"/>
      <x:c r="K488" s="51"/>
      <x:c r="L488" s="51"/>
      <x:c r="M488" s="51"/>
      <x:c r="N488" s="51"/>
      <x:c r="O488" s="54"/>
      <x:c r="P488" s="51" t="str">
        <x:v>Optional – kein aktiver Benchmark</x:v>
      </x:c>
      <x:c r="Q488" s="53" t="n">
        <x:v>0.5</x:v>
      </x:c>
      <x:c r="R488" s="53" t="n">
        <x:v>0.75</x:v>
      </x:c>
      <x:c r="S488" s="53" t="n">
        <x:v>1.25</x:v>
      </x:c>
      <x:c r="T488" s="53" t="str">
        <x:v>threshold:0-class</x:v>
      </x:c>
      <x:c r="U488" s="14" t="str">
        <x:v>Legacy-Werte bleiben nur als historische Rechenhilfe erhalten und werden nicht für den FinalScore verwendet.</x:v>
      </x:c>
    </x:row>
    <x:row r="489" ht="42" customHeight="1">
      <x:c r="A489" s="14" t="str">
        <x:v>WOK-G-201</x:v>
      </x:c>
      <x:c r="B489" s="14" t="str">
        <x:v>J58</x:v>
      </x:c>
      <x:c r="C489" s="14" t="str">
        <x:v>Legacy / Migration auf NACE Rev. 2.1 offen</x:v>
      </x:c>
      <x:c r="D489" s="14" t="str">
        <x:v>EU</x:v>
      </x:c>
      <x:c r="E489" s="14"/>
      <x:c r="F489" s="14" t="str">
        <x:v>0–1</x:v>
      </x:c>
      <x:c r="G489" s="14" t="str">
        <x:v>higher_is_better</x:v>
      </x:c>
      <x:c r="H489" s="14" t="str">
        <x:v>R16</x:v>
      </x:c>
      <x:c r="I489" s="14" t="str">
        <x:v>Optional/Nein</x:v>
      </x:c>
      <x:c r="J489" s="51"/>
      <x:c r="K489" s="51"/>
      <x:c r="L489" s="51"/>
      <x:c r="M489" s="51"/>
      <x:c r="N489" s="51"/>
      <x:c r="O489" s="54"/>
      <x:c r="P489" s="51" t="str">
        <x:v>Optional – kein aktiver Benchmark</x:v>
      </x:c>
      <x:c r="Q489" s="53" t="n">
        <x:v>0.6699999999999999</x:v>
      </x:c>
      <x:c r="R489" s="53" t="n">
        <x:v>1</x:v>
      </x:c>
      <x:c r="S489" s="53" t="n">
        <x:v>1</x:v>
      </x:c>
      <x:c r="T489" s="53" t="str">
        <x:v>threshold:0-class</x:v>
      </x:c>
      <x:c r="U489" s="14" t="str">
        <x:v>Legacy-Werte bleiben nur als historische Rechenhilfe erhalten und werden nicht für den FinalScore verwendet.</x:v>
      </x:c>
    </x:row>
    <x:row r="490" ht="42" customHeight="1">
      <x:c r="A490" s="14" t="str">
        <x:v>WOK-G-202</x:v>
      </x:c>
      <x:c r="B490" s="14" t="str">
        <x:v>J58</x:v>
      </x:c>
      <x:c r="C490" s="14" t="str">
        <x:v>Legacy / Migration auf NACE Rev. 2.1 offen</x:v>
      </x:c>
      <x:c r="D490" s="14" t="str">
        <x:v>EU</x:v>
      </x:c>
      <x:c r="E490" s="14"/>
      <x:c r="F490" s="14" t="str">
        <x:v>0–1</x:v>
      </x:c>
      <x:c r="G490" s="14" t="str">
        <x:v>higher_is_better</x:v>
      </x:c>
      <x:c r="H490" s="14" t="str">
        <x:v>R08</x:v>
      </x:c>
      <x:c r="I490" s="14" t="str">
        <x:v>Optional/Nein</x:v>
      </x:c>
      <x:c r="J490" s="51"/>
      <x:c r="K490" s="51"/>
      <x:c r="L490" s="51"/>
      <x:c r="M490" s="51"/>
      <x:c r="N490" s="51"/>
      <x:c r="O490" s="54"/>
      <x:c r="P490" s="51" t="str">
        <x:v>Optional – kein aktiver Benchmark</x:v>
      </x:c>
      <x:c r="Q490" s="53" t="n">
        <x:v>0.5</x:v>
      </x:c>
      <x:c r="R490" s="53" t="n">
        <x:v>0.75</x:v>
      </x:c>
      <x:c r="S490" s="53" t="n">
        <x:v>0.9</x:v>
      </x:c>
      <x:c r="T490" s="53" t="str">
        <x:v>default:higher_is_better_abs</x:v>
      </x:c>
      <x:c r="U490" s="14" t="str">
        <x:v>Legacy-Werte bleiben nur als historische Rechenhilfe erhalten und werden nicht für den FinalScore verwendet.</x:v>
      </x:c>
    </x:row>
    <x:row r="491" ht="42" customHeight="1">
      <x:c r="A491" s="14" t="str">
        <x:v>WOK-SYS-173</x:v>
      </x:c>
      <x:c r="B491" s="14" t="str">
        <x:v>J58</x:v>
      </x:c>
      <x:c r="C491" s="14" t="str">
        <x:v>Legacy / Migration auf NACE Rev. 2.1 offen</x:v>
      </x:c>
      <x:c r="D491" s="14" t="str">
        <x:v>EU</x:v>
      </x:c>
      <x:c r="E491" s="14"/>
      <x:c r="F491" s="14" t="str">
        <x:v>0–1</x:v>
      </x:c>
      <x:c r="G491" s="14" t="str">
        <x:v>higher_is_better</x:v>
      </x:c>
      <x:c r="H491" s="14" t="str">
        <x:v>R15</x:v>
      </x:c>
      <x:c r="I491" s="14" t="str">
        <x:v>Optional/Nein</x:v>
      </x:c>
      <x:c r="J491" s="51"/>
      <x:c r="K491" s="51"/>
      <x:c r="L491" s="51"/>
      <x:c r="M491" s="51"/>
      <x:c r="N491" s="51"/>
      <x:c r="O491" s="54"/>
      <x:c r="P491" s="51" t="str">
        <x:v>Optional – kein aktiver Benchmark</x:v>
      </x:c>
      <x:c r="Q491" s="53" t="n">
        <x:v>0.645</x:v>
      </x:c>
      <x:c r="R491" s="53" t="n">
        <x:v>0.9675</x:v>
      </x:c>
      <x:c r="S491" s="53" t="n">
        <x:v>1</x:v>
      </x:c>
      <x:c r="T491" s="53" t="str">
        <x:v>threshold:0-class</x:v>
      </x:c>
      <x:c r="U491" s="14" t="str">
        <x:v>Legacy-Werte bleiben nur als historische Rechenhilfe erhalten und werden nicht für den FinalScore verwendet.</x:v>
      </x:c>
    </x:row>
    <x:row r="492" ht="42" customHeight="1">
      <x:c r="A492" s="14" t="str">
        <x:v>WOK-SYS-174</x:v>
      </x:c>
      <x:c r="B492" s="14" t="str">
        <x:v>J58</x:v>
      </x:c>
      <x:c r="C492" s="14" t="str">
        <x:v>Legacy / Migration auf NACE Rev. 2.1 offen</x:v>
      </x:c>
      <x:c r="D492" s="14" t="str">
        <x:v>EU</x:v>
      </x:c>
      <x:c r="E492" s="14"/>
      <x:c r="F492" s="14" t="str">
        <x:v>%</x:v>
      </x:c>
      <x:c r="G492" s="14" t="str">
        <x:v>lower_is_better</x:v>
      </x:c>
      <x:c r="H492" s="14" t="str">
        <x:v>R13</x:v>
      </x:c>
      <x:c r="I492" s="14" t="str">
        <x:v>Optional/Nein</x:v>
      </x:c>
      <x:c r="J492" s="51"/>
      <x:c r="K492" s="51"/>
      <x:c r="L492" s="51"/>
      <x:c r="M492" s="51"/>
      <x:c r="N492" s="51"/>
      <x:c r="O492" s="54"/>
      <x:c r="P492" s="51" t="str">
        <x:v>Optional – kein aktiver Benchmark</x:v>
      </x:c>
      <x:c r="Q492" s="53" t="n">
        <x:v>15.5</x:v>
      </x:c>
      <x:c r="R492" s="53" t="n">
        <x:v>23.25</x:v>
      </x:c>
      <x:c r="S492" s="53" t="n">
        <x:v>38.75</x:v>
      </x:c>
      <x:c r="T492" s="53" t="str">
        <x:v>threshold:0-class</x:v>
      </x:c>
      <x:c r="U492" s="14" t="str">
        <x:v>Legacy-Werte bleiben nur als historische Rechenhilfe erhalten und werden nicht für den FinalScore verwendet.</x:v>
      </x:c>
    </x:row>
    <x:row r="493" ht="42" customHeight="1">
      <x:c r="A493" s="14" t="str">
        <x:v>WOK-SYS-175</x:v>
      </x:c>
      <x:c r="B493" s="14" t="str">
        <x:v>J58</x:v>
      </x:c>
      <x:c r="C493" s="14" t="str">
        <x:v>Legacy / Migration auf NACE Rev. 2.1 offen</x:v>
      </x:c>
      <x:c r="D493" s="14" t="str">
        <x:v>EU</x:v>
      </x:c>
      <x:c r="E493" s="14"/>
      <x:c r="F493" s="14" t="str">
        <x:v>#/Jahr</x:v>
      </x:c>
      <x:c r="G493" s="14" t="str">
        <x:v>higher_is_better</x:v>
      </x:c>
      <x:c r="H493" s="14" t="str">
        <x:v>R20</x:v>
      </x:c>
      <x:c r="I493" s="14" t="str">
        <x:v>Optional/Nein</x:v>
      </x:c>
      <x:c r="J493" s="51"/>
      <x:c r="K493" s="51"/>
      <x:c r="L493" s="51"/>
      <x:c r="M493" s="51"/>
      <x:c r="N493" s="51"/>
      <x:c r="O493" s="54"/>
      <x:c r="P493" s="51" t="str">
        <x:v>Optional – kein aktiver Benchmark</x:v>
      </x:c>
      <x:c r="Q493" s="53" t="n">
        <x:v>1.5</x:v>
      </x:c>
      <x:c r="R493" s="53" t="n">
        <x:v>2.25</x:v>
      </x:c>
      <x:c r="S493" s="53" t="n">
        <x:v>3.75</x:v>
      </x:c>
      <x:c r="T493" s="53" t="str">
        <x:v>threshold:0-class</x:v>
      </x:c>
      <x:c r="U493" s="14" t="str">
        <x:v>Legacy-Werte bleiben nur als historische Rechenhilfe erhalten und werden nicht für den FinalScore verwendet.</x:v>
      </x:c>
    </x:row>
    <x:row r="494" ht="42" customHeight="1">
      <x:c r="A494" s="14" t="str">
        <x:v>WOK-G-203</x:v>
      </x:c>
      <x:c r="B494" s="14" t="str">
        <x:v>J58</x:v>
      </x:c>
      <x:c r="C494" s="14" t="str">
        <x:v>Legacy / Migration auf NACE Rev. 2.1 offen</x:v>
      </x:c>
      <x:c r="D494" s="14" t="str">
        <x:v>EU</x:v>
      </x:c>
      <x:c r="E494" s="14"/>
      <x:c r="F494" s="14" t="str">
        <x:v>Fälle/1.000 FTE</x:v>
      </x:c>
      <x:c r="G494" s="14" t="str">
        <x:v>lower_is_better</x:v>
      </x:c>
      <x:c r="H494" s="14" t="str">
        <x:v>R01</x:v>
      </x:c>
      <x:c r="I494" s="14" t="str">
        <x:v>Optional/Nein</x:v>
      </x:c>
      <x:c r="J494" s="51"/>
      <x:c r="K494" s="51"/>
      <x:c r="L494" s="51"/>
      <x:c r="M494" s="51"/>
      <x:c r="N494" s="51"/>
      <x:c r="O494" s="54"/>
      <x:c r="P494" s="51" t="str">
        <x:v>Optional – kein aktiver Benchmark</x:v>
      </x:c>
      <x:c r="Q494" s="53" t="n">
        <x:v>0.5</x:v>
      </x:c>
      <x:c r="R494" s="53" t="n">
        <x:v>0.75</x:v>
      </x:c>
      <x:c r="S494" s="53" t="n">
        <x:v>1.25</x:v>
      </x:c>
      <x:c r="T494" s="53" t="str">
        <x:v>threshold:0-class</x:v>
      </x:c>
      <x:c r="U494" s="14" t="str">
        <x:v>Legacy-Werte bleiben nur als historische Rechenhilfe erhalten und werden nicht für den FinalScore verwendet.</x:v>
      </x:c>
    </x:row>
    <x:row r="495" ht="42" customHeight="1">
      <x:c r="A495" s="14" t="str">
        <x:v>WOK-G-204</x:v>
      </x:c>
      <x:c r="B495" s="14" t="str">
        <x:v>J58</x:v>
      </x:c>
      <x:c r="C495" s="14" t="str">
        <x:v>Legacy / Migration auf NACE Rev. 2.1 offen</x:v>
      </x:c>
      <x:c r="D495" s="14" t="str">
        <x:v>EU</x:v>
      </x:c>
      <x:c r="E495" s="14"/>
      <x:c r="F495" s="14" t="str">
        <x:v>0–1</x:v>
      </x:c>
      <x:c r="G495" s="14" t="str">
        <x:v>higher_is_better</x:v>
      </x:c>
      <x:c r="H495" s="14" t="str">
        <x:v>R16</x:v>
      </x:c>
      <x:c r="I495" s="14" t="str">
        <x:v>Optional/Nein</x:v>
      </x:c>
      <x:c r="J495" s="51"/>
      <x:c r="K495" s="51"/>
      <x:c r="L495" s="51"/>
      <x:c r="M495" s="51"/>
      <x:c r="N495" s="51"/>
      <x:c r="O495" s="54"/>
      <x:c r="P495" s="51" t="str">
        <x:v>Optional – kein aktiver Benchmark</x:v>
      </x:c>
      <x:c r="Q495" s="53" t="n">
        <x:v>0.6699999999999999</x:v>
      </x:c>
      <x:c r="R495" s="53" t="n">
        <x:v>1</x:v>
      </x:c>
      <x:c r="S495" s="53" t="n">
        <x:v>1</x:v>
      </x:c>
      <x:c r="T495" s="53" t="str">
        <x:v>threshold:0-class</x:v>
      </x:c>
      <x:c r="U495" s="14" t="str">
        <x:v>Legacy-Werte bleiben nur als historische Rechenhilfe erhalten und werden nicht für den FinalScore verwendet.</x:v>
      </x:c>
    </x:row>
    <x:row r="496" ht="42" customHeight="1">
      <x:c r="A496" s="14" t="str">
        <x:v>WOK-G-205</x:v>
      </x:c>
      <x:c r="B496" s="14" t="str">
        <x:v>J58</x:v>
      </x:c>
      <x:c r="C496" s="14" t="str">
        <x:v>Legacy / Migration auf NACE Rev. 2.1 offen</x:v>
      </x:c>
      <x:c r="D496" s="14" t="str">
        <x:v>EU</x:v>
      </x:c>
      <x:c r="E496" s="14"/>
      <x:c r="F496" s="14" t="str">
        <x:v>0–1</x:v>
      </x:c>
      <x:c r="G496" s="14" t="str">
        <x:v>higher_is_better</x:v>
      </x:c>
      <x:c r="H496" s="14" t="str">
        <x:v>R08</x:v>
      </x:c>
      <x:c r="I496" s="14" t="str">
        <x:v>Optional/Nein</x:v>
      </x:c>
      <x:c r="J496" s="51"/>
      <x:c r="K496" s="51"/>
      <x:c r="L496" s="51"/>
      <x:c r="M496" s="51"/>
      <x:c r="N496" s="51"/>
      <x:c r="O496" s="54"/>
      <x:c r="P496" s="51" t="str">
        <x:v>Optional – kein aktiver Benchmark</x:v>
      </x:c>
      <x:c r="Q496" s="53" t="n">
        <x:v>0.5</x:v>
      </x:c>
      <x:c r="R496" s="53" t="n">
        <x:v>0.75</x:v>
      </x:c>
      <x:c r="S496" s="53" t="n">
        <x:v>0.9</x:v>
      </x:c>
      <x:c r="T496" s="53" t="str">
        <x:v>default:higher_is_better_abs</x:v>
      </x:c>
      <x:c r="U496" s="14" t="str">
        <x:v>Legacy-Werte bleiben nur als historische Rechenhilfe erhalten und werden nicht für den FinalScore verwendet.</x:v>
      </x:c>
    </x:row>
    <x:row r="497" ht="42" customHeight="1">
      <x:c r="A497" s="14" t="str">
        <x:v>WOK-SC-149</x:v>
      </x:c>
      <x:c r="B497" s="14" t="str">
        <x:v>J58</x:v>
      </x:c>
      <x:c r="C497" s="14" t="str">
        <x:v>Legacy / Migration auf NACE Rev. 2.1 offen</x:v>
      </x:c>
      <x:c r="D497" s="14" t="str">
        <x:v>EU</x:v>
      </x:c>
      <x:c r="E497" s="14"/>
      <x:c r="F497" s="14" t="str">
        <x:v>%</x:v>
      </x:c>
      <x:c r="G497" s="14" t="str">
        <x:v>higher_is_better</x:v>
      </x:c>
      <x:c r="H497" s="14" t="str">
        <x:v>R26</x:v>
      </x:c>
      <x:c r="I497" s="14" t="str">
        <x:v>Optional/Nein</x:v>
      </x:c>
      <x:c r="J497" s="51"/>
      <x:c r="K497" s="51"/>
      <x:c r="L497" s="51"/>
      <x:c r="M497" s="51"/>
      <x:c r="N497" s="51"/>
      <x:c r="O497" s="54"/>
      <x:c r="P497" s="51" t="str">
        <x:v>Optional – kein aktiver Benchmark</x:v>
      </x:c>
      <x:c r="Q497" s="53" t="n">
        <x:v>59.5</x:v>
      </x:c>
      <x:c r="R497" s="53" t="n">
        <x:v>89.25</x:v>
      </x:c>
      <x:c r="S497" s="53" t="n">
        <x:v>100</x:v>
      </x:c>
      <x:c r="T497" s="53" t="str">
        <x:v>threshold:0-class</x:v>
      </x:c>
      <x:c r="U497" s="14" t="str">
        <x:v>Legacy-Werte bleiben nur als historische Rechenhilfe erhalten und werden nicht für den FinalScore verwendet.</x:v>
      </x:c>
    </x:row>
    <x:row r="498" ht="42" customHeight="1">
      <x:c r="A498" s="14" t="str">
        <x:v>WOK-SC-150</x:v>
      </x:c>
      <x:c r="B498" s="14" t="str">
        <x:v>J58</x:v>
      </x:c>
      <x:c r="C498" s="14" t="str">
        <x:v>Legacy / Migration auf NACE Rev. 2.1 offen</x:v>
      </x:c>
      <x:c r="D498" s="14" t="str">
        <x:v>EU</x:v>
      </x:c>
      <x:c r="E498" s="14"/>
      <x:c r="F498" s="14" t="str">
        <x:v>% Lieferanten</x:v>
      </x:c>
      <x:c r="G498" s="14" t="str">
        <x:v>higher_is_better</x:v>
      </x:c>
      <x:c r="H498" s="14" t="str">
        <x:v>R28</x:v>
      </x:c>
      <x:c r="I498" s="14" t="str">
        <x:v>Optional/Nein</x:v>
      </x:c>
      <x:c r="J498" s="51"/>
      <x:c r="K498" s="51"/>
      <x:c r="L498" s="51"/>
      <x:c r="M498" s="51"/>
      <x:c r="N498" s="51"/>
      <x:c r="O498" s="54"/>
      <x:c r="P498" s="51" t="str">
        <x:v>Optional – kein aktiver Benchmark</x:v>
      </x:c>
      <x:c r="Q498" s="53" t="n">
        <x:v>82</x:v>
      </x:c>
      <x:c r="R498" s="53" t="n">
        <x:v>100</x:v>
      </x:c>
      <x:c r="S498" s="53" t="n">
        <x:v>100</x:v>
      </x:c>
      <x:c r="T498" s="53" t="str">
        <x:v>threshold:0-class</x:v>
      </x:c>
      <x:c r="U498" s="14" t="str">
        <x:v>Legacy-Werte bleiben nur als historische Rechenhilfe erhalten und werden nicht für den FinalScore verwendet.</x:v>
      </x:c>
    </x:row>
    <x:row r="499" ht="42" customHeight="1">
      <x:c r="A499" s="14" t="str">
        <x:v>WOK-SC-151</x:v>
      </x:c>
      <x:c r="B499" s="14" t="str">
        <x:v>J58</x:v>
      </x:c>
      <x:c r="C499" s="14" t="str">
        <x:v>Legacy / Migration auf NACE Rev. 2.1 offen</x:v>
      </x:c>
      <x:c r="D499" s="14" t="str">
        <x:v>EU</x:v>
      </x:c>
      <x:c r="E499" s="14"/>
      <x:c r="F499" s="14" t="str">
        <x:v>% Kategorien</x:v>
      </x:c>
      <x:c r="G499" s="14" t="str">
        <x:v>higher_is_better</x:v>
      </x:c>
      <x:c r="H499" s="14" t="str">
        <x:v>R23</x:v>
      </x:c>
      <x:c r="I499" s="14" t="str">
        <x:v>Optional/Nein</x:v>
      </x:c>
      <x:c r="J499" s="51"/>
      <x:c r="K499" s="51"/>
      <x:c r="L499" s="51"/>
      <x:c r="M499" s="51"/>
      <x:c r="N499" s="51"/>
      <x:c r="O499" s="54"/>
      <x:c r="P499" s="51" t="str">
        <x:v>Optional – kein aktiver Benchmark</x:v>
      </x:c>
      <x:c r="Q499" s="53" t="n">
        <x:v>49.5</x:v>
      </x:c>
      <x:c r="R499" s="53" t="n">
        <x:v>74.25</x:v>
      </x:c>
      <x:c r="S499" s="53" t="n">
        <x:v>100</x:v>
      </x:c>
      <x:c r="T499" s="53" t="str">
        <x:v>threshold:0-class</x:v>
      </x:c>
      <x:c r="U499" s="14" t="str">
        <x:v>Legacy-Werte bleiben nur als historische Rechenhilfe erhalten und werden nicht für den FinalScore verwendet.</x:v>
      </x:c>
    </x:row>
    <x:row r="500" ht="42" customHeight="1">
      <x:c r="A500" s="14" t="str">
        <x:v>WOK-SYS-176</x:v>
      </x:c>
      <x:c r="B500" s="14" t="str">
        <x:v>G47</x:v>
      </x:c>
      <x:c r="C500" s="14" t="str">
        <x:v>Legacy / Migration auf NACE Rev. 2.1 offen</x:v>
      </x:c>
      <x:c r="D500" s="14" t="str">
        <x:v>EU</x:v>
      </x:c>
      <x:c r="E500" s="14"/>
      <x:c r="F500" s="14" t="str">
        <x:v>0–1</x:v>
      </x:c>
      <x:c r="G500" s="14" t="str">
        <x:v>higher_is_better</x:v>
      </x:c>
      <x:c r="H500" s="14" t="str">
        <x:v>R15</x:v>
      </x:c>
      <x:c r="I500" s="14" t="str">
        <x:v>Optional/Nein</x:v>
      </x:c>
      <x:c r="J500" s="51"/>
      <x:c r="K500" s="51"/>
      <x:c r="L500" s="51"/>
      <x:c r="M500" s="51"/>
      <x:c r="N500" s="51"/>
      <x:c r="O500" s="54"/>
      <x:c r="P500" s="51" t="str">
        <x:v>Optional – kein aktiver Benchmark</x:v>
      </x:c>
      <x:c r="Q500" s="53" t="n">
        <x:v>0.645</x:v>
      </x:c>
      <x:c r="R500" s="53" t="n">
        <x:v>0.9675</x:v>
      </x:c>
      <x:c r="S500" s="53" t="n">
        <x:v>1</x:v>
      </x:c>
      <x:c r="T500" s="53" t="str">
        <x:v>threshold:0-class</x:v>
      </x:c>
      <x:c r="U500" s="14" t="str">
        <x:v>Legacy-Werte bleiben nur als historische Rechenhilfe erhalten und werden nicht für den FinalScore verwendet.</x:v>
      </x:c>
    </x:row>
    <x:row r="501" ht="42" customHeight="1">
      <x:c r="A501" s="14" t="str">
        <x:v>WOK-SYS-177</x:v>
      </x:c>
      <x:c r="B501" s="14" t="str">
        <x:v>G47</x:v>
      </x:c>
      <x:c r="C501" s="14" t="str">
        <x:v>Legacy / Migration auf NACE Rev. 2.1 offen</x:v>
      </x:c>
      <x:c r="D501" s="14" t="str">
        <x:v>EU</x:v>
      </x:c>
      <x:c r="E501" s="14"/>
      <x:c r="F501" s="14" t="str">
        <x:v>%</x:v>
      </x:c>
      <x:c r="G501" s="14" t="str">
        <x:v>lower_is_better</x:v>
      </x:c>
      <x:c r="H501" s="14" t="str">
        <x:v>R13</x:v>
      </x:c>
      <x:c r="I501" s="14" t="str">
        <x:v>Optional/Nein</x:v>
      </x:c>
      <x:c r="J501" s="51"/>
      <x:c r="K501" s="51"/>
      <x:c r="L501" s="51"/>
      <x:c r="M501" s="51"/>
      <x:c r="N501" s="51"/>
      <x:c r="O501" s="54"/>
      <x:c r="P501" s="51" t="str">
        <x:v>Optional – kein aktiver Benchmark</x:v>
      </x:c>
      <x:c r="Q501" s="53" t="n">
        <x:v>15.5</x:v>
      </x:c>
      <x:c r="R501" s="53" t="n">
        <x:v>23.25</x:v>
      </x:c>
      <x:c r="S501" s="53" t="n">
        <x:v>38.75</x:v>
      </x:c>
      <x:c r="T501" s="53" t="str">
        <x:v>threshold:0-class</x:v>
      </x:c>
      <x:c r="U501" s="14" t="str">
        <x:v>Legacy-Werte bleiben nur als historische Rechenhilfe erhalten und werden nicht für den FinalScore verwendet.</x:v>
      </x:c>
    </x:row>
    <x:row r="502" ht="42" customHeight="1">
      <x:c r="A502" s="14" t="str">
        <x:v>WOK-SYS-178</x:v>
      </x:c>
      <x:c r="B502" s="14" t="str">
        <x:v>G47</x:v>
      </x:c>
      <x:c r="C502" s="14" t="str">
        <x:v>Legacy / Migration auf NACE Rev. 2.1 offen</x:v>
      </x:c>
      <x:c r="D502" s="14" t="str">
        <x:v>EU</x:v>
      </x:c>
      <x:c r="E502" s="14"/>
      <x:c r="F502" s="14" t="str">
        <x:v>#/Jahr</x:v>
      </x:c>
      <x:c r="G502" s="14" t="str">
        <x:v>higher_is_better</x:v>
      </x:c>
      <x:c r="H502" s="14" t="str">
        <x:v>R20</x:v>
      </x:c>
      <x:c r="I502" s="14" t="str">
        <x:v>Optional/Nein</x:v>
      </x:c>
      <x:c r="J502" s="51"/>
      <x:c r="K502" s="51"/>
      <x:c r="L502" s="51"/>
      <x:c r="M502" s="51"/>
      <x:c r="N502" s="51"/>
      <x:c r="O502" s="54"/>
      <x:c r="P502" s="51" t="str">
        <x:v>Optional – kein aktiver Benchmark</x:v>
      </x:c>
      <x:c r="Q502" s="53" t="n">
        <x:v>1.5</x:v>
      </x:c>
      <x:c r="R502" s="53" t="n">
        <x:v>2.25</x:v>
      </x:c>
      <x:c r="S502" s="53" t="n">
        <x:v>3.75</x:v>
      </x:c>
      <x:c r="T502" s="53" t="str">
        <x:v>threshold:0-class</x:v>
      </x:c>
      <x:c r="U502" s="14" t="str">
        <x:v>Legacy-Werte bleiben nur als historische Rechenhilfe erhalten und werden nicht für den FinalScore verwendet.</x:v>
      </x:c>
    </x:row>
    <x:row r="503" ht="42" customHeight="1">
      <x:c r="A503" s="14" t="str">
        <x:v>WOK-G-206</x:v>
      </x:c>
      <x:c r="B503" s="14" t="str">
        <x:v>G47</x:v>
      </x:c>
      <x:c r="C503" s="14" t="str">
        <x:v>Legacy / Migration auf NACE Rev. 2.1 offen</x:v>
      </x:c>
      <x:c r="D503" s="14" t="str">
        <x:v>EU</x:v>
      </x:c>
      <x:c r="E503" s="14"/>
      <x:c r="F503" s="14" t="str">
        <x:v>Fälle/1.000 FTE</x:v>
      </x:c>
      <x:c r="G503" s="14" t="str">
        <x:v>lower_is_better</x:v>
      </x:c>
      <x:c r="H503" s="14" t="str">
        <x:v>R01</x:v>
      </x:c>
      <x:c r="I503" s="14" t="str">
        <x:v>Optional/Nein</x:v>
      </x:c>
      <x:c r="J503" s="51"/>
      <x:c r="K503" s="51"/>
      <x:c r="L503" s="51"/>
      <x:c r="M503" s="51"/>
      <x:c r="N503" s="51"/>
      <x:c r="O503" s="54"/>
      <x:c r="P503" s="51" t="str">
        <x:v>Optional – kein aktiver Benchmark</x:v>
      </x:c>
      <x:c r="Q503" s="53" t="n">
        <x:v>0.5</x:v>
      </x:c>
      <x:c r="R503" s="53" t="n">
        <x:v>0.75</x:v>
      </x:c>
      <x:c r="S503" s="53" t="n">
        <x:v>1.25</x:v>
      </x:c>
      <x:c r="T503" s="53" t="str">
        <x:v>threshold:0-class</x:v>
      </x:c>
      <x:c r="U503" s="14" t="str">
        <x:v>Legacy-Werte bleiben nur als historische Rechenhilfe erhalten und werden nicht für den FinalScore verwendet.</x:v>
      </x:c>
    </x:row>
    <x:row r="504" ht="42" customHeight="1">
      <x:c r="A504" s="14" t="str">
        <x:v>WOK-G-207</x:v>
      </x:c>
      <x:c r="B504" s="14" t="str">
        <x:v>G47</x:v>
      </x:c>
      <x:c r="C504" s="14" t="str">
        <x:v>Legacy / Migration auf NACE Rev. 2.1 offen</x:v>
      </x:c>
      <x:c r="D504" s="14" t="str">
        <x:v>EU</x:v>
      </x:c>
      <x:c r="E504" s="14"/>
      <x:c r="F504" s="14" t="str">
        <x:v>0–1</x:v>
      </x:c>
      <x:c r="G504" s="14" t="str">
        <x:v>higher_is_better</x:v>
      </x:c>
      <x:c r="H504" s="14" t="str">
        <x:v>R16</x:v>
      </x:c>
      <x:c r="I504" s="14" t="str">
        <x:v>Optional/Nein</x:v>
      </x:c>
      <x:c r="J504" s="51"/>
      <x:c r="K504" s="51"/>
      <x:c r="L504" s="51"/>
      <x:c r="M504" s="51"/>
      <x:c r="N504" s="51"/>
      <x:c r="O504" s="54"/>
      <x:c r="P504" s="51" t="str">
        <x:v>Optional – kein aktiver Benchmark</x:v>
      </x:c>
      <x:c r="Q504" s="53" t="n">
        <x:v>0.6699999999999999</x:v>
      </x:c>
      <x:c r="R504" s="53" t="n">
        <x:v>1</x:v>
      </x:c>
      <x:c r="S504" s="53" t="n">
        <x:v>1</x:v>
      </x:c>
      <x:c r="T504" s="53" t="str">
        <x:v>threshold:0-class</x:v>
      </x:c>
      <x:c r="U504" s="14" t="str">
        <x:v>Legacy-Werte bleiben nur als historische Rechenhilfe erhalten und werden nicht für den FinalScore verwendet.</x:v>
      </x:c>
    </x:row>
    <x:row r="505" ht="42" customHeight="1">
      <x:c r="A505" s="14" t="str">
        <x:v>WOK-G-208</x:v>
      </x:c>
      <x:c r="B505" s="14" t="str">
        <x:v>G47</x:v>
      </x:c>
      <x:c r="C505" s="14" t="str">
        <x:v>Legacy / Migration auf NACE Rev. 2.1 offen</x:v>
      </x:c>
      <x:c r="D505" s="14" t="str">
        <x:v>EU</x:v>
      </x:c>
      <x:c r="E505" s="14"/>
      <x:c r="F505" s="14" t="str">
        <x:v>0–1</x:v>
      </x:c>
      <x:c r="G505" s="14" t="str">
        <x:v>higher_is_better</x:v>
      </x:c>
      <x:c r="H505" s="14" t="str">
        <x:v>R08</x:v>
      </x:c>
      <x:c r="I505" s="14" t="str">
        <x:v>Optional/Nein</x:v>
      </x:c>
      <x:c r="J505" s="51"/>
      <x:c r="K505" s="51"/>
      <x:c r="L505" s="51"/>
      <x:c r="M505" s="51"/>
      <x:c r="N505" s="51"/>
      <x:c r="O505" s="54"/>
      <x:c r="P505" s="51" t="str">
        <x:v>Optional – kein aktiver Benchmark</x:v>
      </x:c>
      <x:c r="Q505" s="53" t="n">
        <x:v>0.5</x:v>
      </x:c>
      <x:c r="R505" s="53" t="n">
        <x:v>0.75</x:v>
      </x:c>
      <x:c r="S505" s="53" t="n">
        <x:v>0.9</x:v>
      </x:c>
      <x:c r="T505" s="53" t="str">
        <x:v>default:higher_is_better_abs</x:v>
      </x:c>
      <x:c r="U505" s="14" t="str">
        <x:v>Legacy-Werte bleiben nur als historische Rechenhilfe erhalten und werden nicht für den FinalScore verwendet.</x:v>
      </x:c>
    </x:row>
    <x:row r="506" ht="42" customHeight="1">
      <x:c r="A506" s="14" t="str">
        <x:v>WOK-G-209</x:v>
      </x:c>
      <x:c r="B506" s="14" t="str">
        <x:v>G47</x:v>
      </x:c>
      <x:c r="C506" s="14" t="str">
        <x:v>Legacy / Migration auf NACE Rev. 2.1 offen</x:v>
      </x:c>
      <x:c r="D506" s="14" t="str">
        <x:v>EU</x:v>
      </x:c>
      <x:c r="E506" s="14"/>
      <x:c r="F506" s="14" t="str">
        <x:v>Fälle/1.000 FTE</x:v>
      </x:c>
      <x:c r="G506" s="14" t="str">
        <x:v>lower_is_better</x:v>
      </x:c>
      <x:c r="H506" s="14" t="str">
        <x:v>R01</x:v>
      </x:c>
      <x:c r="I506" s="14" t="str">
        <x:v>Optional/Nein</x:v>
      </x:c>
      <x:c r="J506" s="51"/>
      <x:c r="K506" s="51"/>
      <x:c r="L506" s="51"/>
      <x:c r="M506" s="51"/>
      <x:c r="N506" s="51"/>
      <x:c r="O506" s="54"/>
      <x:c r="P506" s="51" t="str">
        <x:v>Optional – kein aktiver Benchmark</x:v>
      </x:c>
      <x:c r="Q506" s="53" t="n">
        <x:v>0.5</x:v>
      </x:c>
      <x:c r="R506" s="53" t="n">
        <x:v>0.75</x:v>
      </x:c>
      <x:c r="S506" s="53" t="n">
        <x:v>1.25</x:v>
      </x:c>
      <x:c r="T506" s="53" t="str">
        <x:v>threshold:0-class</x:v>
      </x:c>
      <x:c r="U506" s="14" t="str">
        <x:v>Legacy-Werte bleiben nur als historische Rechenhilfe erhalten und werden nicht für den FinalScore verwendet.</x:v>
      </x:c>
    </x:row>
    <x:row r="507" ht="42" customHeight="1">
      <x:c r="A507" s="14" t="str">
        <x:v>WOK-G-210</x:v>
      </x:c>
      <x:c r="B507" s="14" t="str">
        <x:v>G47</x:v>
      </x:c>
      <x:c r="C507" s="14" t="str">
        <x:v>Legacy / Migration auf NACE Rev. 2.1 offen</x:v>
      </x:c>
      <x:c r="D507" s="14" t="str">
        <x:v>EU</x:v>
      </x:c>
      <x:c r="E507" s="14"/>
      <x:c r="F507" s="14" t="str">
        <x:v>0–1</x:v>
      </x:c>
      <x:c r="G507" s="14" t="str">
        <x:v>higher_is_better</x:v>
      </x:c>
      <x:c r="H507" s="14" t="str">
        <x:v>R16</x:v>
      </x:c>
      <x:c r="I507" s="14" t="str">
        <x:v>Optional/Nein</x:v>
      </x:c>
      <x:c r="J507" s="51"/>
      <x:c r="K507" s="51"/>
      <x:c r="L507" s="51"/>
      <x:c r="M507" s="51"/>
      <x:c r="N507" s="51"/>
      <x:c r="O507" s="54"/>
      <x:c r="P507" s="51" t="str">
        <x:v>Optional – kein aktiver Benchmark</x:v>
      </x:c>
      <x:c r="Q507" s="53" t="n">
        <x:v>0.6699999999999999</x:v>
      </x:c>
      <x:c r="R507" s="53" t="n">
        <x:v>1</x:v>
      </x:c>
      <x:c r="S507" s="53" t="n">
        <x:v>1</x:v>
      </x:c>
      <x:c r="T507" s="53" t="str">
        <x:v>threshold:0-class</x:v>
      </x:c>
      <x:c r="U507" s="14" t="str">
        <x:v>Legacy-Werte bleiben nur als historische Rechenhilfe erhalten und werden nicht für den FinalScore verwendet.</x:v>
      </x:c>
    </x:row>
    <x:row r="508" ht="42" customHeight="1">
      <x:c r="A508" s="14" t="str">
        <x:v>WOK-G-211</x:v>
      </x:c>
      <x:c r="B508" s="14" t="str">
        <x:v>G47</x:v>
      </x:c>
      <x:c r="C508" s="14" t="str">
        <x:v>Legacy / Migration auf NACE Rev. 2.1 offen</x:v>
      </x:c>
      <x:c r="D508" s="14" t="str">
        <x:v>EU</x:v>
      </x:c>
      <x:c r="E508" s="14"/>
      <x:c r="F508" s="14" t="str">
        <x:v>0–1</x:v>
      </x:c>
      <x:c r="G508" s="14" t="str">
        <x:v>higher_is_better</x:v>
      </x:c>
      <x:c r="H508" s="14" t="str">
        <x:v>R08</x:v>
      </x:c>
      <x:c r="I508" s="14" t="str">
        <x:v>Optional/Nein</x:v>
      </x:c>
      <x:c r="J508" s="51"/>
      <x:c r="K508" s="51"/>
      <x:c r="L508" s="51"/>
      <x:c r="M508" s="51"/>
      <x:c r="N508" s="51"/>
      <x:c r="O508" s="54"/>
      <x:c r="P508" s="51" t="str">
        <x:v>Optional – kein aktiver Benchmark</x:v>
      </x:c>
      <x:c r="Q508" s="53" t="n">
        <x:v>0.5</x:v>
      </x:c>
      <x:c r="R508" s="53" t="n">
        <x:v>0.75</x:v>
      </x:c>
      <x:c r="S508" s="53" t="n">
        <x:v>0.9</x:v>
      </x:c>
      <x:c r="T508" s="53" t="str">
        <x:v>default:higher_is_better_abs</x:v>
      </x:c>
      <x:c r="U508" s="14" t="str">
        <x:v>Legacy-Werte bleiben nur als historische Rechenhilfe erhalten und werden nicht für den FinalScore verwendet.</x:v>
      </x:c>
    </x:row>
    <x:row r="509" ht="42" customHeight="1">
      <x:c r="A509" s="14" t="str">
        <x:v>WOK-SC-152</x:v>
      </x:c>
      <x:c r="B509" s="14" t="str">
        <x:v>C20</x:v>
      </x:c>
      <x:c r="C509" s="14" t="str">
        <x:v>Legacy / Migration auf NACE Rev. 2.1 offen</x:v>
      </x:c>
      <x:c r="D509" s="14" t="str">
        <x:v>EU</x:v>
      </x:c>
      <x:c r="E509" s="14"/>
      <x:c r="F509" s="14" t="str">
        <x:v>%</x:v>
      </x:c>
      <x:c r="G509" s="14" t="str">
        <x:v>higher_is_better</x:v>
      </x:c>
      <x:c r="H509" s="14" t="str">
        <x:v>R26</x:v>
      </x:c>
      <x:c r="I509" s="14" t="str">
        <x:v>Optional/Nein</x:v>
      </x:c>
      <x:c r="J509" s="51"/>
      <x:c r="K509" s="51"/>
      <x:c r="L509" s="51"/>
      <x:c r="M509" s="51"/>
      <x:c r="N509" s="51"/>
      <x:c r="O509" s="54"/>
      <x:c r="P509" s="51" t="str">
        <x:v>Optional – kein aktiver Benchmark</x:v>
      </x:c>
      <x:c r="Q509" s="53" t="n">
        <x:v>59.5</x:v>
      </x:c>
      <x:c r="R509" s="53" t="n">
        <x:v>89.25</x:v>
      </x:c>
      <x:c r="S509" s="53" t="n">
        <x:v>100</x:v>
      </x:c>
      <x:c r="T509" s="53" t="str">
        <x:v>threshold:0-class</x:v>
      </x:c>
      <x:c r="U509" s="14" t="str">
        <x:v>Legacy-Werte bleiben nur als historische Rechenhilfe erhalten und werden nicht für den FinalScore verwendet.</x:v>
      </x:c>
    </x:row>
    <x:row r="510" ht="42" customHeight="1">
      <x:c r="A510" s="14" t="str">
        <x:v>WOK-SC-153</x:v>
      </x:c>
      <x:c r="B510" s="14" t="str">
        <x:v>C20</x:v>
      </x:c>
      <x:c r="C510" s="14" t="str">
        <x:v>Legacy / Migration auf NACE Rev. 2.1 offen</x:v>
      </x:c>
      <x:c r="D510" s="14" t="str">
        <x:v>EU</x:v>
      </x:c>
      <x:c r="E510" s="14"/>
      <x:c r="F510" s="14" t="str">
        <x:v>% Lieferanten</x:v>
      </x:c>
      <x:c r="G510" s="14" t="str">
        <x:v>higher_is_better</x:v>
      </x:c>
      <x:c r="H510" s="14" t="str">
        <x:v>R28</x:v>
      </x:c>
      <x:c r="I510" s="14" t="str">
        <x:v>Optional/Nein</x:v>
      </x:c>
      <x:c r="J510" s="51"/>
      <x:c r="K510" s="51"/>
      <x:c r="L510" s="51"/>
      <x:c r="M510" s="51"/>
      <x:c r="N510" s="51"/>
      <x:c r="O510" s="54"/>
      <x:c r="P510" s="51" t="str">
        <x:v>Optional – kein aktiver Benchmark</x:v>
      </x:c>
      <x:c r="Q510" s="53" t="n">
        <x:v>82</x:v>
      </x:c>
      <x:c r="R510" s="53" t="n">
        <x:v>100</x:v>
      </x:c>
      <x:c r="S510" s="53" t="n">
        <x:v>100</x:v>
      </x:c>
      <x:c r="T510" s="53" t="str">
        <x:v>threshold:0-class</x:v>
      </x:c>
      <x:c r="U510" s="14" t="str">
        <x:v>Legacy-Werte bleiben nur als historische Rechenhilfe erhalten und werden nicht für den FinalScore verwendet.</x:v>
      </x:c>
    </x:row>
    <x:row r="511" ht="42" customHeight="1">
      <x:c r="A511" s="14" t="str">
        <x:v>WOK-SC-154</x:v>
      </x:c>
      <x:c r="B511" s="14" t="str">
        <x:v>C20</x:v>
      </x:c>
      <x:c r="C511" s="14" t="str">
        <x:v>Legacy / Migration auf NACE Rev. 2.1 offen</x:v>
      </x:c>
      <x:c r="D511" s="14" t="str">
        <x:v>EU</x:v>
      </x:c>
      <x:c r="E511" s="14"/>
      <x:c r="F511" s="14" t="str">
        <x:v>% Kategorien</x:v>
      </x:c>
      <x:c r="G511" s="14" t="str">
        <x:v>higher_is_better</x:v>
      </x:c>
      <x:c r="H511" s="14" t="str">
        <x:v>R23</x:v>
      </x:c>
      <x:c r="I511" s="14" t="str">
        <x:v>Optional/Nein</x:v>
      </x:c>
      <x:c r="J511" s="51"/>
      <x:c r="K511" s="51"/>
      <x:c r="L511" s="51"/>
      <x:c r="M511" s="51"/>
      <x:c r="N511" s="51"/>
      <x:c r="O511" s="54"/>
      <x:c r="P511" s="51" t="str">
        <x:v>Optional – kein aktiver Benchmark</x:v>
      </x:c>
      <x:c r="Q511" s="53" t="n">
        <x:v>49.5</x:v>
      </x:c>
      <x:c r="R511" s="53" t="n">
        <x:v>74.25</x:v>
      </x:c>
      <x:c r="S511" s="53" t="n">
        <x:v>100</x:v>
      </x:c>
      <x:c r="T511" s="53" t="str">
        <x:v>threshold:0-class</x:v>
      </x:c>
      <x:c r="U511" s="14" t="str">
        <x:v>Legacy-Werte bleiben nur als historische Rechenhilfe erhalten und werden nicht für den FinalScore verwendet.</x:v>
      </x:c>
    </x:row>
    <x:row r="512" ht="42" customHeight="1">
      <x:c r="A512" s="14" t="str">
        <x:v>WOK-G-212</x:v>
      </x:c>
      <x:c r="B512" s="14" t="str">
        <x:v>G47</x:v>
      </x:c>
      <x:c r="C512" s="14" t="str">
        <x:v>Legacy / Migration auf NACE Rev. 2.1 offen</x:v>
      </x:c>
      <x:c r="D512" s="14" t="str">
        <x:v>EU</x:v>
      </x:c>
      <x:c r="E512" s="14"/>
      <x:c r="F512" s="14" t="str">
        <x:v>Fälle/1.000 FTE</x:v>
      </x:c>
      <x:c r="G512" s="14" t="str">
        <x:v>lower_is_better</x:v>
      </x:c>
      <x:c r="H512" s="14" t="str">
        <x:v>R01</x:v>
      </x:c>
      <x:c r="I512" s="14" t="str">
        <x:v>Optional/Nein</x:v>
      </x:c>
      <x:c r="J512" s="51"/>
      <x:c r="K512" s="51"/>
      <x:c r="L512" s="51"/>
      <x:c r="M512" s="51"/>
      <x:c r="N512" s="51"/>
      <x:c r="O512" s="54"/>
      <x:c r="P512" s="51" t="str">
        <x:v>Optional – kein aktiver Benchmark</x:v>
      </x:c>
      <x:c r="Q512" s="53" t="n">
        <x:v>0.5</x:v>
      </x:c>
      <x:c r="R512" s="53" t="n">
        <x:v>0.75</x:v>
      </x:c>
      <x:c r="S512" s="53" t="n">
        <x:v>1.25</x:v>
      </x:c>
      <x:c r="T512" s="53" t="str">
        <x:v>threshold:0-class</x:v>
      </x:c>
      <x:c r="U512" s="14" t="str">
        <x:v>Legacy-Werte bleiben nur als historische Rechenhilfe erhalten und werden nicht für den FinalScore verwendet.</x:v>
      </x:c>
    </x:row>
    <x:row r="513" ht="42" customHeight="1">
      <x:c r="A513" s="14" t="str">
        <x:v>WOK-G-213</x:v>
      </x:c>
      <x:c r="B513" s="14" t="str">
        <x:v>G47</x:v>
      </x:c>
      <x:c r="C513" s="14" t="str">
        <x:v>Legacy / Migration auf NACE Rev. 2.1 offen</x:v>
      </x:c>
      <x:c r="D513" s="14" t="str">
        <x:v>EU</x:v>
      </x:c>
      <x:c r="E513" s="14"/>
      <x:c r="F513" s="14" t="str">
        <x:v>0–1</x:v>
      </x:c>
      <x:c r="G513" s="14" t="str">
        <x:v>higher_is_better</x:v>
      </x:c>
      <x:c r="H513" s="14" t="str">
        <x:v>R16</x:v>
      </x:c>
      <x:c r="I513" s="14" t="str">
        <x:v>Optional/Nein</x:v>
      </x:c>
      <x:c r="J513" s="51"/>
      <x:c r="K513" s="51"/>
      <x:c r="L513" s="51"/>
      <x:c r="M513" s="51"/>
      <x:c r="N513" s="51"/>
      <x:c r="O513" s="54"/>
      <x:c r="P513" s="51" t="str">
        <x:v>Optional – kein aktiver Benchmark</x:v>
      </x:c>
      <x:c r="Q513" s="53" t="n">
        <x:v>0.6699999999999999</x:v>
      </x:c>
      <x:c r="R513" s="53" t="n">
        <x:v>1</x:v>
      </x:c>
      <x:c r="S513" s="53" t="n">
        <x:v>1</x:v>
      </x:c>
      <x:c r="T513" s="53" t="str">
        <x:v>threshold:0-class</x:v>
      </x:c>
      <x:c r="U513" s="14" t="str">
        <x:v>Legacy-Werte bleiben nur als historische Rechenhilfe erhalten und werden nicht für den FinalScore verwendet.</x:v>
      </x:c>
    </x:row>
    <x:row r="514" ht="42" customHeight="1">
      <x:c r="A514" s="14" t="str">
        <x:v>WOK-G-214</x:v>
      </x:c>
      <x:c r="B514" s="14" t="str">
        <x:v>G47</x:v>
      </x:c>
      <x:c r="C514" s="14" t="str">
        <x:v>Legacy / Migration auf NACE Rev. 2.1 offen</x:v>
      </x:c>
      <x:c r="D514" s="14" t="str">
        <x:v>EU</x:v>
      </x:c>
      <x:c r="E514" s="14"/>
      <x:c r="F514" s="14" t="str">
        <x:v>0–1</x:v>
      </x:c>
      <x:c r="G514" s="14" t="str">
        <x:v>higher_is_better</x:v>
      </x:c>
      <x:c r="H514" s="14" t="str">
        <x:v>R08</x:v>
      </x:c>
      <x:c r="I514" s="14" t="str">
        <x:v>Optional/Nein</x:v>
      </x:c>
      <x:c r="J514" s="51"/>
      <x:c r="K514" s="51"/>
      <x:c r="L514" s="51"/>
      <x:c r="M514" s="51"/>
      <x:c r="N514" s="51"/>
      <x:c r="O514" s="54"/>
      <x:c r="P514" s="51" t="str">
        <x:v>Optional – kein aktiver Benchmark</x:v>
      </x:c>
      <x:c r="Q514" s="53" t="n">
        <x:v>0.5</x:v>
      </x:c>
      <x:c r="R514" s="53" t="n">
        <x:v>0.75</x:v>
      </x:c>
      <x:c r="S514" s="53" t="n">
        <x:v>0.9</x:v>
      </x:c>
      <x:c r="T514" s="53" t="str">
        <x:v>default:higher_is_better_abs</x:v>
      </x:c>
      <x:c r="U514" s="14" t="str">
        <x:v>Legacy-Werte bleiben nur als historische Rechenhilfe erhalten und werden nicht für den FinalScore verwendet.</x:v>
      </x:c>
    </x:row>
    <x:row r="515" ht="42" customHeight="1">
      <x:c r="A515" s="14" t="str">
        <x:v>WOK-SYS-179</x:v>
      </x:c>
      <x:c r="B515" s="14" t="str">
        <x:v>J58</x:v>
      </x:c>
      <x:c r="C515" s="14" t="str">
        <x:v>Legacy / Migration auf NACE Rev. 2.1 offen</x:v>
      </x:c>
      <x:c r="D515" s="14" t="str">
        <x:v>EU</x:v>
      </x:c>
      <x:c r="E515" s="14"/>
      <x:c r="F515" s="14" t="str">
        <x:v>0–1</x:v>
      </x:c>
      <x:c r="G515" s="14" t="str">
        <x:v>higher_is_better</x:v>
      </x:c>
      <x:c r="H515" s="14" t="str">
        <x:v>R15</x:v>
      </x:c>
      <x:c r="I515" s="14" t="str">
        <x:v>Optional/Nein</x:v>
      </x:c>
      <x:c r="J515" s="51"/>
      <x:c r="K515" s="51"/>
      <x:c r="L515" s="51"/>
      <x:c r="M515" s="51"/>
      <x:c r="N515" s="51"/>
      <x:c r="O515" s="54"/>
      <x:c r="P515" s="51" t="str">
        <x:v>Optional – kein aktiver Benchmark</x:v>
      </x:c>
      <x:c r="Q515" s="53" t="n">
        <x:v>0.645</x:v>
      </x:c>
      <x:c r="R515" s="53" t="n">
        <x:v>0.9675</x:v>
      </x:c>
      <x:c r="S515" s="53" t="n">
        <x:v>1</x:v>
      </x:c>
      <x:c r="T515" s="53" t="str">
        <x:v>threshold:0-class</x:v>
      </x:c>
      <x:c r="U515" s="14" t="str">
        <x:v>Legacy-Werte bleiben nur als historische Rechenhilfe erhalten und werden nicht für den FinalScore verwendet.</x:v>
      </x:c>
    </x:row>
    <x:row r="516" ht="42" customHeight="1">
      <x:c r="A516" s="14" t="str">
        <x:v>WOK-SYS-180</x:v>
      </x:c>
      <x:c r="B516" s="14" t="str">
        <x:v>J58</x:v>
      </x:c>
      <x:c r="C516" s="14" t="str">
        <x:v>Legacy / Migration auf NACE Rev. 2.1 offen</x:v>
      </x:c>
      <x:c r="D516" s="14" t="str">
        <x:v>EU</x:v>
      </x:c>
      <x:c r="E516" s="14"/>
      <x:c r="F516" s="14" t="str">
        <x:v>%</x:v>
      </x:c>
      <x:c r="G516" s="14" t="str">
        <x:v>lower_is_better</x:v>
      </x:c>
      <x:c r="H516" s="14" t="str">
        <x:v>R13</x:v>
      </x:c>
      <x:c r="I516" s="14" t="str">
        <x:v>Optional/Nein</x:v>
      </x:c>
      <x:c r="J516" s="51"/>
      <x:c r="K516" s="51"/>
      <x:c r="L516" s="51"/>
      <x:c r="M516" s="51"/>
      <x:c r="N516" s="51"/>
      <x:c r="O516" s="54"/>
      <x:c r="P516" s="51" t="str">
        <x:v>Optional – kein aktiver Benchmark</x:v>
      </x:c>
      <x:c r="Q516" s="53" t="n">
        <x:v>15.5</x:v>
      </x:c>
      <x:c r="R516" s="53" t="n">
        <x:v>23.25</x:v>
      </x:c>
      <x:c r="S516" s="53" t="n">
        <x:v>38.75</x:v>
      </x:c>
      <x:c r="T516" s="53" t="str">
        <x:v>threshold:0-class</x:v>
      </x:c>
      <x:c r="U516" s="14" t="str">
        <x:v>Legacy-Werte bleiben nur als historische Rechenhilfe erhalten und werden nicht für den FinalScore verwendet.</x:v>
      </x:c>
    </x:row>
    <x:row r="517" ht="42" customHeight="1">
      <x:c r="A517" s="14" t="str">
        <x:v>WOK-SYS-181</x:v>
      </x:c>
      <x:c r="B517" s="14" t="str">
        <x:v>J58</x:v>
      </x:c>
      <x:c r="C517" s="14" t="str">
        <x:v>Legacy / Migration auf NACE Rev. 2.1 offen</x:v>
      </x:c>
      <x:c r="D517" s="14" t="str">
        <x:v>EU</x:v>
      </x:c>
      <x:c r="E517" s="14"/>
      <x:c r="F517" s="14" t="str">
        <x:v>#/Jahr</x:v>
      </x:c>
      <x:c r="G517" s="14" t="str">
        <x:v>higher_is_better</x:v>
      </x:c>
      <x:c r="H517" s="14" t="str">
        <x:v>R20</x:v>
      </x:c>
      <x:c r="I517" s="14" t="str">
        <x:v>Optional/Nein</x:v>
      </x:c>
      <x:c r="J517" s="51"/>
      <x:c r="K517" s="51"/>
      <x:c r="L517" s="51"/>
      <x:c r="M517" s="51"/>
      <x:c r="N517" s="51"/>
      <x:c r="O517" s="54"/>
      <x:c r="P517" s="51" t="str">
        <x:v>Optional – kein aktiver Benchmark</x:v>
      </x:c>
      <x:c r="Q517" s="53" t="n">
        <x:v>1.5</x:v>
      </x:c>
      <x:c r="R517" s="53" t="n">
        <x:v>2.25</x:v>
      </x:c>
      <x:c r="S517" s="53" t="n">
        <x:v>3.75</x:v>
      </x:c>
      <x:c r="T517" s="53" t="str">
        <x:v>threshold:0-class</x:v>
      </x:c>
      <x:c r="U517" s="14" t="str">
        <x:v>Legacy-Werte bleiben nur als historische Rechenhilfe erhalten und werden nicht für den FinalScore verwendet.</x:v>
      </x:c>
    </x:row>
    <x:row r="518" ht="42" customHeight="1">
      <x:c r="A518" s="14" t="str">
        <x:v>WOK-SYS-182</x:v>
      </x:c>
      <x:c r="B518" s="14" t="str">
        <x:v>J58</x:v>
      </x:c>
      <x:c r="C518" s="14" t="str">
        <x:v>Legacy / Migration auf NACE Rev. 2.1 offen</x:v>
      </x:c>
      <x:c r="D518" s="14" t="str">
        <x:v>EU</x:v>
      </x:c>
      <x:c r="E518" s="14"/>
      <x:c r="F518" s="14" t="str">
        <x:v>0–1</x:v>
      </x:c>
      <x:c r="G518" s="14" t="str">
        <x:v>higher_is_better</x:v>
      </x:c>
      <x:c r="H518" s="14" t="str">
        <x:v>R15</x:v>
      </x:c>
      <x:c r="I518" s="14" t="str">
        <x:v>Optional/Nein</x:v>
      </x:c>
      <x:c r="J518" s="51"/>
      <x:c r="K518" s="51"/>
      <x:c r="L518" s="51"/>
      <x:c r="M518" s="51"/>
      <x:c r="N518" s="51"/>
      <x:c r="O518" s="54"/>
      <x:c r="P518" s="51" t="str">
        <x:v>Optional – kein aktiver Benchmark</x:v>
      </x:c>
      <x:c r="Q518" s="53" t="n">
        <x:v>0.645</x:v>
      </x:c>
      <x:c r="R518" s="53" t="n">
        <x:v>0.9675</x:v>
      </x:c>
      <x:c r="S518" s="53" t="n">
        <x:v>1</x:v>
      </x:c>
      <x:c r="T518" s="53" t="str">
        <x:v>threshold:0-class</x:v>
      </x:c>
      <x:c r="U518" s="14" t="str">
        <x:v>Legacy-Werte bleiben nur als historische Rechenhilfe erhalten und werden nicht für den FinalScore verwendet.</x:v>
      </x:c>
    </x:row>
    <x:row r="519" ht="42" customHeight="1">
      <x:c r="A519" s="14" t="str">
        <x:v>WOK-SYS-183</x:v>
      </x:c>
      <x:c r="B519" s="14" t="str">
        <x:v>J58</x:v>
      </x:c>
      <x:c r="C519" s="14" t="str">
        <x:v>Legacy / Migration auf NACE Rev. 2.1 offen</x:v>
      </x:c>
      <x:c r="D519" s="14" t="str">
        <x:v>EU</x:v>
      </x:c>
      <x:c r="E519" s="14"/>
      <x:c r="F519" s="14" t="str">
        <x:v>%</x:v>
      </x:c>
      <x:c r="G519" s="14" t="str">
        <x:v>lower_is_better</x:v>
      </x:c>
      <x:c r="H519" s="14" t="str">
        <x:v>R13</x:v>
      </x:c>
      <x:c r="I519" s="14" t="str">
        <x:v>Optional/Nein</x:v>
      </x:c>
      <x:c r="J519" s="51"/>
      <x:c r="K519" s="51"/>
      <x:c r="L519" s="51"/>
      <x:c r="M519" s="51"/>
      <x:c r="N519" s="51"/>
      <x:c r="O519" s="54"/>
      <x:c r="P519" s="51" t="str">
        <x:v>Optional – kein aktiver Benchmark</x:v>
      </x:c>
      <x:c r="Q519" s="53" t="n">
        <x:v>15.5</x:v>
      </x:c>
      <x:c r="R519" s="53" t="n">
        <x:v>23.25</x:v>
      </x:c>
      <x:c r="S519" s="53" t="n">
        <x:v>38.75</x:v>
      </x:c>
      <x:c r="T519" s="53" t="str">
        <x:v>threshold:0-class</x:v>
      </x:c>
      <x:c r="U519" s="14" t="str">
        <x:v>Legacy-Werte bleiben nur als historische Rechenhilfe erhalten und werden nicht für den FinalScore verwendet.</x:v>
      </x:c>
    </x:row>
    <x:row r="520" ht="42" customHeight="1">
      <x:c r="A520" s="14" t="str">
        <x:v>WOK-SYS-184</x:v>
      </x:c>
      <x:c r="B520" s="14" t="str">
        <x:v>J58</x:v>
      </x:c>
      <x:c r="C520" s="14" t="str">
        <x:v>Legacy / Migration auf NACE Rev. 2.1 offen</x:v>
      </x:c>
      <x:c r="D520" s="14" t="str">
        <x:v>EU</x:v>
      </x:c>
      <x:c r="E520" s="14"/>
      <x:c r="F520" s="14" t="str">
        <x:v>#/Jahr</x:v>
      </x:c>
      <x:c r="G520" s="14" t="str">
        <x:v>higher_is_better</x:v>
      </x:c>
      <x:c r="H520" s="14" t="str">
        <x:v>R20</x:v>
      </x:c>
      <x:c r="I520" s="14" t="str">
        <x:v>Optional/Nein</x:v>
      </x:c>
      <x:c r="J520" s="51"/>
      <x:c r="K520" s="51"/>
      <x:c r="L520" s="51"/>
      <x:c r="M520" s="51"/>
      <x:c r="N520" s="51"/>
      <x:c r="O520" s="54"/>
      <x:c r="P520" s="51" t="str">
        <x:v>Optional – kein aktiver Benchmark</x:v>
      </x:c>
      <x:c r="Q520" s="53" t="n">
        <x:v>1.5</x:v>
      </x:c>
      <x:c r="R520" s="53" t="n">
        <x:v>2.25</x:v>
      </x:c>
      <x:c r="S520" s="53" t="n">
        <x:v>3.75</x:v>
      </x:c>
      <x:c r="T520" s="53" t="str">
        <x:v>threshold:0-class</x:v>
      </x:c>
      <x:c r="U520" s="14" t="str">
        <x:v>Legacy-Werte bleiben nur als historische Rechenhilfe erhalten und werden nicht für den FinalScore verwendet.</x:v>
      </x:c>
    </x:row>
    <x:row r="521" ht="42" customHeight="1">
      <x:c r="A521" s="14" t="str">
        <x:v>WOK-SYS-185</x:v>
      </x:c>
      <x:c r="B521" s="14" t="str">
        <x:v>J58</x:v>
      </x:c>
      <x:c r="C521" s="14" t="str">
        <x:v>Legacy / Migration auf NACE Rev. 2.1 offen</x:v>
      </x:c>
      <x:c r="D521" s="14" t="str">
        <x:v>EU</x:v>
      </x:c>
      <x:c r="E521" s="14"/>
      <x:c r="F521" s="14" t="str">
        <x:v>0–1</x:v>
      </x:c>
      <x:c r="G521" s="14" t="str">
        <x:v>higher_is_better</x:v>
      </x:c>
      <x:c r="H521" s="14" t="str">
        <x:v>R15</x:v>
      </x:c>
      <x:c r="I521" s="14" t="str">
        <x:v>Optional/Nein</x:v>
      </x:c>
      <x:c r="J521" s="51"/>
      <x:c r="K521" s="51"/>
      <x:c r="L521" s="51"/>
      <x:c r="M521" s="51"/>
      <x:c r="N521" s="51"/>
      <x:c r="O521" s="54"/>
      <x:c r="P521" s="51" t="str">
        <x:v>Optional – kein aktiver Benchmark</x:v>
      </x:c>
      <x:c r="Q521" s="53" t="n">
        <x:v>0.645</x:v>
      </x:c>
      <x:c r="R521" s="53" t="n">
        <x:v>0.9675</x:v>
      </x:c>
      <x:c r="S521" s="53" t="n">
        <x:v>1</x:v>
      </x:c>
      <x:c r="T521" s="53" t="str">
        <x:v>threshold:0-class</x:v>
      </x:c>
      <x:c r="U521" s="14" t="str">
        <x:v>Legacy-Werte bleiben nur als historische Rechenhilfe erhalten und werden nicht für den FinalScore verwendet.</x:v>
      </x:c>
    </x:row>
    <x:row r="522" ht="42" customHeight="1">
      <x:c r="A522" s="14" t="str">
        <x:v>WOK-SYS-186</x:v>
      </x:c>
      <x:c r="B522" s="14" t="str">
        <x:v>J58</x:v>
      </x:c>
      <x:c r="C522" s="14" t="str">
        <x:v>Legacy / Migration auf NACE Rev. 2.1 offen</x:v>
      </x:c>
      <x:c r="D522" s="14" t="str">
        <x:v>EU</x:v>
      </x:c>
      <x:c r="E522" s="14"/>
      <x:c r="F522" s="14" t="str">
        <x:v>%</x:v>
      </x:c>
      <x:c r="G522" s="14" t="str">
        <x:v>lower_is_better</x:v>
      </x:c>
      <x:c r="H522" s="14" t="str">
        <x:v>R13</x:v>
      </x:c>
      <x:c r="I522" s="14" t="str">
        <x:v>Optional/Nein</x:v>
      </x:c>
      <x:c r="J522" s="51"/>
      <x:c r="K522" s="51"/>
      <x:c r="L522" s="51"/>
      <x:c r="M522" s="51"/>
      <x:c r="N522" s="51"/>
      <x:c r="O522" s="54"/>
      <x:c r="P522" s="51" t="str">
        <x:v>Optional – kein aktiver Benchmark</x:v>
      </x:c>
      <x:c r="Q522" s="53" t="n">
        <x:v>15.5</x:v>
      </x:c>
      <x:c r="R522" s="53" t="n">
        <x:v>23.25</x:v>
      </x:c>
      <x:c r="S522" s="53" t="n">
        <x:v>38.75</x:v>
      </x:c>
      <x:c r="T522" s="53" t="str">
        <x:v>threshold:0-class</x:v>
      </x:c>
      <x:c r="U522" s="14" t="str">
        <x:v>Legacy-Werte bleiben nur als historische Rechenhilfe erhalten und werden nicht für den FinalScore verwendet.</x:v>
      </x:c>
    </x:row>
    <x:row r="523" ht="42" customHeight="1">
      <x:c r="A523" s="14" t="str">
        <x:v>WOK-SYS-187</x:v>
      </x:c>
      <x:c r="B523" s="14" t="str">
        <x:v>J58</x:v>
      </x:c>
      <x:c r="C523" s="14" t="str">
        <x:v>Legacy / Migration auf NACE Rev. 2.1 offen</x:v>
      </x:c>
      <x:c r="D523" s="14" t="str">
        <x:v>EU</x:v>
      </x:c>
      <x:c r="E523" s="14"/>
      <x:c r="F523" s="14" t="str">
        <x:v>#/Jahr</x:v>
      </x:c>
      <x:c r="G523" s="14" t="str">
        <x:v>higher_is_better</x:v>
      </x:c>
      <x:c r="H523" s="14" t="str">
        <x:v>R20</x:v>
      </x:c>
      <x:c r="I523" s="14" t="str">
        <x:v>Optional/Nein</x:v>
      </x:c>
      <x:c r="J523" s="51"/>
      <x:c r="K523" s="51"/>
      <x:c r="L523" s="51"/>
      <x:c r="M523" s="51"/>
      <x:c r="N523" s="51"/>
      <x:c r="O523" s="54"/>
      <x:c r="P523" s="51" t="str">
        <x:v>Optional – kein aktiver Benchmark</x:v>
      </x:c>
      <x:c r="Q523" s="53" t="n">
        <x:v>1.5</x:v>
      </x:c>
      <x:c r="R523" s="53" t="n">
        <x:v>2.25</x:v>
      </x:c>
      <x:c r="S523" s="53" t="n">
        <x:v>3.75</x:v>
      </x:c>
      <x:c r="T523" s="53" t="str">
        <x:v>threshold:0-class</x:v>
      </x:c>
      <x:c r="U523" s="14" t="str">
        <x:v>Legacy-Werte bleiben nur als historische Rechenhilfe erhalten und werden nicht für den FinalScore verwendet.</x:v>
      </x:c>
    </x:row>
    <x:row r="524" ht="42" customHeight="1">
      <x:c r="A524" s="14" t="str">
        <x:v>WOK-G-215</x:v>
      </x:c>
      <x:c r="B524" s="14" t="str">
        <x:v>J58</x:v>
      </x:c>
      <x:c r="C524" s="14" t="str">
        <x:v>Legacy / Migration auf NACE Rev. 2.1 offen</x:v>
      </x:c>
      <x:c r="D524" s="14" t="str">
        <x:v>EU</x:v>
      </x:c>
      <x:c r="E524" s="14"/>
      <x:c r="F524" s="14" t="str">
        <x:v>Fälle/1.000 FTE</x:v>
      </x:c>
      <x:c r="G524" s="14" t="str">
        <x:v>lower_is_better</x:v>
      </x:c>
      <x:c r="H524" s="14" t="str">
        <x:v>R01</x:v>
      </x:c>
      <x:c r="I524" s="14" t="str">
        <x:v>Optional/Nein</x:v>
      </x:c>
      <x:c r="J524" s="51"/>
      <x:c r="K524" s="51"/>
      <x:c r="L524" s="51"/>
      <x:c r="M524" s="51"/>
      <x:c r="N524" s="51"/>
      <x:c r="O524" s="54"/>
      <x:c r="P524" s="51" t="str">
        <x:v>Optional – kein aktiver Benchmark</x:v>
      </x:c>
      <x:c r="Q524" s="53" t="n">
        <x:v>0.5</x:v>
      </x:c>
      <x:c r="R524" s="53" t="n">
        <x:v>0.75</x:v>
      </x:c>
      <x:c r="S524" s="53" t="n">
        <x:v>1.25</x:v>
      </x:c>
      <x:c r="T524" s="53" t="str">
        <x:v>threshold:0-class</x:v>
      </x:c>
      <x:c r="U524" s="14" t="str">
        <x:v>Legacy-Werte bleiben nur als historische Rechenhilfe erhalten und werden nicht für den FinalScore verwendet.</x:v>
      </x:c>
    </x:row>
    <x:row r="525" ht="42" customHeight="1">
      <x:c r="A525" s="14" t="str">
        <x:v>WOK-G-216</x:v>
      </x:c>
      <x:c r="B525" s="14" t="str">
        <x:v>J58</x:v>
      </x:c>
      <x:c r="C525" s="14" t="str">
        <x:v>Legacy / Migration auf NACE Rev. 2.1 offen</x:v>
      </x:c>
      <x:c r="D525" s="14" t="str">
        <x:v>EU</x:v>
      </x:c>
      <x:c r="E525" s="14"/>
      <x:c r="F525" s="14" t="str">
        <x:v>0–1</x:v>
      </x:c>
      <x:c r="G525" s="14" t="str">
        <x:v>higher_is_better</x:v>
      </x:c>
      <x:c r="H525" s="14" t="str">
        <x:v>R16</x:v>
      </x:c>
      <x:c r="I525" s="14" t="str">
        <x:v>Optional/Nein</x:v>
      </x:c>
      <x:c r="J525" s="51"/>
      <x:c r="K525" s="51"/>
      <x:c r="L525" s="51"/>
      <x:c r="M525" s="51"/>
      <x:c r="N525" s="51"/>
      <x:c r="O525" s="54"/>
      <x:c r="P525" s="51" t="str">
        <x:v>Optional – kein aktiver Benchmark</x:v>
      </x:c>
      <x:c r="Q525" s="53" t="n">
        <x:v>0.6699999999999999</x:v>
      </x:c>
      <x:c r="R525" s="53" t="n">
        <x:v>1</x:v>
      </x:c>
      <x:c r="S525" s="53" t="n">
        <x:v>1</x:v>
      </x:c>
      <x:c r="T525" s="53" t="str">
        <x:v>threshold:0-class</x:v>
      </x:c>
      <x:c r="U525" s="14" t="str">
        <x:v>Legacy-Werte bleiben nur als historische Rechenhilfe erhalten und werden nicht für den FinalScore verwendet.</x:v>
      </x:c>
    </x:row>
    <x:row r="526" ht="42" customHeight="1">
      <x:c r="A526" s="14" t="str">
        <x:v>WOK-G-217</x:v>
      </x:c>
      <x:c r="B526" s="14" t="str">
        <x:v>J58</x:v>
      </x:c>
      <x:c r="C526" s="14" t="str">
        <x:v>Legacy / Migration auf NACE Rev. 2.1 offen</x:v>
      </x:c>
      <x:c r="D526" s="14" t="str">
        <x:v>EU</x:v>
      </x:c>
      <x:c r="E526" s="14"/>
      <x:c r="F526" s="14" t="str">
        <x:v>0–1</x:v>
      </x:c>
      <x:c r="G526" s="14" t="str">
        <x:v>higher_is_better</x:v>
      </x:c>
      <x:c r="H526" s="14" t="str">
        <x:v>R08</x:v>
      </x:c>
      <x:c r="I526" s="14" t="str">
        <x:v>Optional/Nein</x:v>
      </x:c>
      <x:c r="J526" s="51"/>
      <x:c r="K526" s="51"/>
      <x:c r="L526" s="51"/>
      <x:c r="M526" s="51"/>
      <x:c r="N526" s="51"/>
      <x:c r="O526" s="54"/>
      <x:c r="P526" s="51" t="str">
        <x:v>Optional – kein aktiver Benchmark</x:v>
      </x:c>
      <x:c r="Q526" s="53" t="n">
        <x:v>0.5</x:v>
      </x:c>
      <x:c r="R526" s="53" t="n">
        <x:v>0.75</x:v>
      </x:c>
      <x:c r="S526" s="53" t="n">
        <x:v>0.9</x:v>
      </x:c>
      <x:c r="T526" s="53" t="str">
        <x:v>default:higher_is_better_abs</x:v>
      </x:c>
      <x:c r="U526" s="14" t="str">
        <x:v>Legacy-Werte bleiben nur als historische Rechenhilfe erhalten und werden nicht für den FinalScore verwendet.</x:v>
      </x:c>
    </x:row>
    <x:row r="527" ht="42" customHeight="1">
      <x:c r="A527" s="14" t="str">
        <x:v>WOK-SYS-188</x:v>
      </x:c>
      <x:c r="B527" s="14" t="str">
        <x:v>G47</x:v>
      </x:c>
      <x:c r="C527" s="14" t="str">
        <x:v>Legacy / Migration auf NACE Rev. 2.1 offen</x:v>
      </x:c>
      <x:c r="D527" s="14" t="str">
        <x:v>EU</x:v>
      </x:c>
      <x:c r="E527" s="14"/>
      <x:c r="F527" s="14" t="str">
        <x:v>0–1</x:v>
      </x:c>
      <x:c r="G527" s="14" t="str">
        <x:v>higher_is_better</x:v>
      </x:c>
      <x:c r="H527" s="14" t="str">
        <x:v>R15</x:v>
      </x:c>
      <x:c r="I527" s="14" t="str">
        <x:v>Optional/Nein</x:v>
      </x:c>
      <x:c r="J527" s="51"/>
      <x:c r="K527" s="51"/>
      <x:c r="L527" s="51"/>
      <x:c r="M527" s="51"/>
      <x:c r="N527" s="51"/>
      <x:c r="O527" s="54"/>
      <x:c r="P527" s="51" t="str">
        <x:v>Optional – kein aktiver Benchmark</x:v>
      </x:c>
      <x:c r="Q527" s="53" t="n">
        <x:v>0.645</x:v>
      </x:c>
      <x:c r="R527" s="53" t="n">
        <x:v>0.9675</x:v>
      </x:c>
      <x:c r="S527" s="53" t="n">
        <x:v>1</x:v>
      </x:c>
      <x:c r="T527" s="53" t="str">
        <x:v>threshold:0-class</x:v>
      </x:c>
      <x:c r="U527" s="14" t="str">
        <x:v>Legacy-Werte bleiben nur als historische Rechenhilfe erhalten und werden nicht für den FinalScore verwendet.</x:v>
      </x:c>
    </x:row>
    <x:row r="528" ht="42" customHeight="1">
      <x:c r="A528" s="14" t="str">
        <x:v>WOK-SYS-189</x:v>
      </x:c>
      <x:c r="B528" s="14" t="str">
        <x:v>G47</x:v>
      </x:c>
      <x:c r="C528" s="14" t="str">
        <x:v>Legacy / Migration auf NACE Rev. 2.1 offen</x:v>
      </x:c>
      <x:c r="D528" s="14" t="str">
        <x:v>EU</x:v>
      </x:c>
      <x:c r="E528" s="14"/>
      <x:c r="F528" s="14" t="str">
        <x:v>%</x:v>
      </x:c>
      <x:c r="G528" s="14" t="str">
        <x:v>lower_is_better</x:v>
      </x:c>
      <x:c r="H528" s="14" t="str">
        <x:v>R13</x:v>
      </x:c>
      <x:c r="I528" s="14" t="str">
        <x:v>Optional/Nein</x:v>
      </x:c>
      <x:c r="J528" s="51"/>
      <x:c r="K528" s="51"/>
      <x:c r="L528" s="51"/>
      <x:c r="M528" s="51"/>
      <x:c r="N528" s="51"/>
      <x:c r="O528" s="54"/>
      <x:c r="P528" s="51" t="str">
        <x:v>Optional – kein aktiver Benchmark</x:v>
      </x:c>
      <x:c r="Q528" s="53" t="n">
        <x:v>15.5</x:v>
      </x:c>
      <x:c r="R528" s="53" t="n">
        <x:v>23.25</x:v>
      </x:c>
      <x:c r="S528" s="53" t="n">
        <x:v>38.75</x:v>
      </x:c>
      <x:c r="T528" s="53" t="str">
        <x:v>threshold:0-class</x:v>
      </x:c>
      <x:c r="U528" s="14" t="str">
        <x:v>Legacy-Werte bleiben nur als historische Rechenhilfe erhalten und werden nicht für den FinalScore verwendet.</x:v>
      </x:c>
    </x:row>
    <x:row r="529" ht="42" customHeight="1">
      <x:c r="A529" s="14" t="str">
        <x:v>WOK-SYS-190</x:v>
      </x:c>
      <x:c r="B529" s="14" t="str">
        <x:v>G47</x:v>
      </x:c>
      <x:c r="C529" s="14" t="str">
        <x:v>Legacy / Migration auf NACE Rev. 2.1 offen</x:v>
      </x:c>
      <x:c r="D529" s="14" t="str">
        <x:v>EU</x:v>
      </x:c>
      <x:c r="E529" s="14"/>
      <x:c r="F529" s="14" t="str">
        <x:v>#/Jahr</x:v>
      </x:c>
      <x:c r="G529" s="14" t="str">
        <x:v>higher_is_better</x:v>
      </x:c>
      <x:c r="H529" s="14" t="str">
        <x:v>R20</x:v>
      </x:c>
      <x:c r="I529" s="14" t="str">
        <x:v>Optional/Nein</x:v>
      </x:c>
      <x:c r="J529" s="51"/>
      <x:c r="K529" s="51"/>
      <x:c r="L529" s="51"/>
      <x:c r="M529" s="51"/>
      <x:c r="N529" s="51"/>
      <x:c r="O529" s="54"/>
      <x:c r="P529" s="51" t="str">
        <x:v>Optional – kein aktiver Benchmark</x:v>
      </x:c>
      <x:c r="Q529" s="53" t="n">
        <x:v>1.5</x:v>
      </x:c>
      <x:c r="R529" s="53" t="n">
        <x:v>2.25</x:v>
      </x:c>
      <x:c r="S529" s="53" t="n">
        <x:v>3.75</x:v>
      </x:c>
      <x:c r="T529" s="53" t="str">
        <x:v>threshold:0-class</x:v>
      </x:c>
      <x:c r="U529" s="14" t="str">
        <x:v>Legacy-Werte bleiben nur als historische Rechenhilfe erhalten und werden nicht für den FinalScore verwendet.</x:v>
      </x:c>
    </x:row>
    <x:row r="530" ht="42" customHeight="1">
      <x:c r="A530" s="14" t="str">
        <x:v>WOK-G-218</x:v>
      </x:c>
      <x:c r="B530" s="14" t="str">
        <x:v>J58</x:v>
      </x:c>
      <x:c r="C530" s="14" t="str">
        <x:v>Legacy / Migration auf NACE Rev. 2.1 offen</x:v>
      </x:c>
      <x:c r="D530" s="14" t="str">
        <x:v>EU</x:v>
      </x:c>
      <x:c r="E530" s="14"/>
      <x:c r="F530" s="14" t="str">
        <x:v>Fälle/1.000 FTE</x:v>
      </x:c>
      <x:c r="G530" s="14" t="str">
        <x:v>lower_is_better</x:v>
      </x:c>
      <x:c r="H530" s="14" t="str">
        <x:v>R01</x:v>
      </x:c>
      <x:c r="I530" s="14" t="str">
        <x:v>Optional/Nein</x:v>
      </x:c>
      <x:c r="J530" s="51"/>
      <x:c r="K530" s="51"/>
      <x:c r="L530" s="51"/>
      <x:c r="M530" s="51"/>
      <x:c r="N530" s="51"/>
      <x:c r="O530" s="54"/>
      <x:c r="P530" s="51" t="str">
        <x:v>Optional – kein aktiver Benchmark</x:v>
      </x:c>
      <x:c r="Q530" s="53" t="n">
        <x:v>0.5</x:v>
      </x:c>
      <x:c r="R530" s="53" t="n">
        <x:v>0.75</x:v>
      </x:c>
      <x:c r="S530" s="53" t="n">
        <x:v>1.25</x:v>
      </x:c>
      <x:c r="T530" s="53" t="str">
        <x:v>threshold:0-class</x:v>
      </x:c>
      <x:c r="U530" s="14" t="str">
        <x:v>Legacy-Werte bleiben nur als historische Rechenhilfe erhalten und werden nicht für den FinalScore verwendet.</x:v>
      </x:c>
    </x:row>
    <x:row r="531" ht="42" customHeight="1">
      <x:c r="A531" s="14" t="str">
        <x:v>WOK-G-219</x:v>
      </x:c>
      <x:c r="B531" s="14" t="str">
        <x:v>J58</x:v>
      </x:c>
      <x:c r="C531" s="14" t="str">
        <x:v>Legacy / Migration auf NACE Rev. 2.1 offen</x:v>
      </x:c>
      <x:c r="D531" s="14" t="str">
        <x:v>EU</x:v>
      </x:c>
      <x:c r="E531" s="14"/>
      <x:c r="F531" s="14" t="str">
        <x:v>0–1</x:v>
      </x:c>
      <x:c r="G531" s="14" t="str">
        <x:v>higher_is_better</x:v>
      </x:c>
      <x:c r="H531" s="14" t="str">
        <x:v>R16</x:v>
      </x:c>
      <x:c r="I531" s="14" t="str">
        <x:v>Optional/Nein</x:v>
      </x:c>
      <x:c r="J531" s="51"/>
      <x:c r="K531" s="51"/>
      <x:c r="L531" s="51"/>
      <x:c r="M531" s="51"/>
      <x:c r="N531" s="51"/>
      <x:c r="O531" s="54"/>
      <x:c r="P531" s="51" t="str">
        <x:v>Optional – kein aktiver Benchmark</x:v>
      </x:c>
      <x:c r="Q531" s="53" t="n">
        <x:v>0.6699999999999999</x:v>
      </x:c>
      <x:c r="R531" s="53" t="n">
        <x:v>1</x:v>
      </x:c>
      <x:c r="S531" s="53" t="n">
        <x:v>1</x:v>
      </x:c>
      <x:c r="T531" s="53" t="str">
        <x:v>threshold:0-class</x:v>
      </x:c>
      <x:c r="U531" s="14" t="str">
        <x:v>Legacy-Werte bleiben nur als historische Rechenhilfe erhalten und werden nicht für den FinalScore verwendet.</x:v>
      </x:c>
    </x:row>
    <x:row r="532" ht="42" customHeight="1">
      <x:c r="A532" s="14" t="str">
        <x:v>WOK-G-220</x:v>
      </x:c>
      <x:c r="B532" s="14" t="str">
        <x:v>J58</x:v>
      </x:c>
      <x:c r="C532" s="14" t="str">
        <x:v>Legacy / Migration auf NACE Rev. 2.1 offen</x:v>
      </x:c>
      <x:c r="D532" s="14" t="str">
        <x:v>EU</x:v>
      </x:c>
      <x:c r="E532" s="14"/>
      <x:c r="F532" s="14" t="str">
        <x:v>0–1</x:v>
      </x:c>
      <x:c r="G532" s="14" t="str">
        <x:v>higher_is_better</x:v>
      </x:c>
      <x:c r="H532" s="14" t="str">
        <x:v>R08</x:v>
      </x:c>
      <x:c r="I532" s="14" t="str">
        <x:v>Optional/Nein</x:v>
      </x:c>
      <x:c r="J532" s="51"/>
      <x:c r="K532" s="51"/>
      <x:c r="L532" s="51"/>
      <x:c r="M532" s="51"/>
      <x:c r="N532" s="51"/>
      <x:c r="O532" s="54"/>
      <x:c r="P532" s="51" t="str">
        <x:v>Optional – kein aktiver Benchmark</x:v>
      </x:c>
      <x:c r="Q532" s="53" t="n">
        <x:v>0.5</x:v>
      </x:c>
      <x:c r="R532" s="53" t="n">
        <x:v>0.75</x:v>
      </x:c>
      <x:c r="S532" s="53" t="n">
        <x:v>0.9</x:v>
      </x:c>
      <x:c r="T532" s="53" t="str">
        <x:v>default:higher_is_better_abs</x:v>
      </x:c>
      <x:c r="U532" s="14" t="str">
        <x:v>Legacy-Werte bleiben nur als historische Rechenhilfe erhalten und werden nicht für den FinalScore verwendet.</x:v>
      </x:c>
    </x:row>
    <x:row r="533" ht="42" customHeight="1">
      <x:c r="A533" s="14" t="str">
        <x:v>WOK-SC-155</x:v>
      </x:c>
      <x:c r="B533" s="14" t="str">
        <x:v>J58</x:v>
      </x:c>
      <x:c r="C533" s="14" t="str">
        <x:v>Legacy / Migration auf NACE Rev. 2.1 offen</x:v>
      </x:c>
      <x:c r="D533" s="14" t="str">
        <x:v>EU</x:v>
      </x:c>
      <x:c r="E533" s="14"/>
      <x:c r="F533" s="14" t="str">
        <x:v>%</x:v>
      </x:c>
      <x:c r="G533" s="14" t="str">
        <x:v>higher_is_better</x:v>
      </x:c>
      <x:c r="H533" s="14" t="str">
        <x:v>R26</x:v>
      </x:c>
      <x:c r="I533" s="14" t="str">
        <x:v>Optional/Nein</x:v>
      </x:c>
      <x:c r="J533" s="51"/>
      <x:c r="K533" s="51"/>
      <x:c r="L533" s="51"/>
      <x:c r="M533" s="51"/>
      <x:c r="N533" s="51"/>
      <x:c r="O533" s="54"/>
      <x:c r="P533" s="51" t="str">
        <x:v>Optional – kein aktiver Benchmark</x:v>
      </x:c>
      <x:c r="Q533" s="53" t="n">
        <x:v>59.5</x:v>
      </x:c>
      <x:c r="R533" s="53" t="n">
        <x:v>89.25</x:v>
      </x:c>
      <x:c r="S533" s="53" t="n">
        <x:v>100</x:v>
      </x:c>
      <x:c r="T533" s="53" t="str">
        <x:v>threshold:0-class</x:v>
      </x:c>
      <x:c r="U533" s="14" t="str">
        <x:v>Legacy-Werte bleiben nur als historische Rechenhilfe erhalten und werden nicht für den FinalScore verwendet.</x:v>
      </x:c>
    </x:row>
    <x:row r="534" ht="42" customHeight="1">
      <x:c r="A534" s="14" t="str">
        <x:v>WOK-SC-156</x:v>
      </x:c>
      <x:c r="B534" s="14" t="str">
        <x:v>J58</x:v>
      </x:c>
      <x:c r="C534" s="14" t="str">
        <x:v>Legacy / Migration auf NACE Rev. 2.1 offen</x:v>
      </x:c>
      <x:c r="D534" s="14" t="str">
        <x:v>EU</x:v>
      </x:c>
      <x:c r="E534" s="14"/>
      <x:c r="F534" s="14" t="str">
        <x:v>% Lieferanten</x:v>
      </x:c>
      <x:c r="G534" s="14" t="str">
        <x:v>higher_is_better</x:v>
      </x:c>
      <x:c r="H534" s="14" t="str">
        <x:v>R28</x:v>
      </x:c>
      <x:c r="I534" s="14" t="str">
        <x:v>Optional/Nein</x:v>
      </x:c>
      <x:c r="J534" s="51"/>
      <x:c r="K534" s="51"/>
      <x:c r="L534" s="51"/>
      <x:c r="M534" s="51"/>
      <x:c r="N534" s="51"/>
      <x:c r="O534" s="54"/>
      <x:c r="P534" s="51" t="str">
        <x:v>Optional – kein aktiver Benchmark</x:v>
      </x:c>
      <x:c r="Q534" s="53" t="n">
        <x:v>82</x:v>
      </x:c>
      <x:c r="R534" s="53" t="n">
        <x:v>100</x:v>
      </x:c>
      <x:c r="S534" s="53" t="n">
        <x:v>100</x:v>
      </x:c>
      <x:c r="T534" s="53" t="str">
        <x:v>threshold:0-class</x:v>
      </x:c>
      <x:c r="U534" s="14" t="str">
        <x:v>Legacy-Werte bleiben nur als historische Rechenhilfe erhalten und werden nicht für den FinalScore verwendet.</x:v>
      </x:c>
    </x:row>
    <x:row r="535" ht="42" customHeight="1">
      <x:c r="A535" s="14" t="str">
        <x:v>WOK-SC-157</x:v>
      </x:c>
      <x:c r="B535" s="14" t="str">
        <x:v>J58</x:v>
      </x:c>
      <x:c r="C535" s="14" t="str">
        <x:v>Legacy / Migration auf NACE Rev. 2.1 offen</x:v>
      </x:c>
      <x:c r="D535" s="14" t="str">
        <x:v>EU</x:v>
      </x:c>
      <x:c r="E535" s="14"/>
      <x:c r="F535" s="14" t="str">
        <x:v>% Kategorien</x:v>
      </x:c>
      <x:c r="G535" s="14" t="str">
        <x:v>higher_is_better</x:v>
      </x:c>
      <x:c r="H535" s="14" t="str">
        <x:v>R23</x:v>
      </x:c>
      <x:c r="I535" s="14" t="str">
        <x:v>Optional/Nein</x:v>
      </x:c>
      <x:c r="J535" s="51"/>
      <x:c r="K535" s="51"/>
      <x:c r="L535" s="51"/>
      <x:c r="M535" s="51"/>
      <x:c r="N535" s="51"/>
      <x:c r="O535" s="54"/>
      <x:c r="P535" s="51" t="str">
        <x:v>Optional – kein aktiver Benchmark</x:v>
      </x:c>
      <x:c r="Q535" s="53" t="n">
        <x:v>49.5</x:v>
      </x:c>
      <x:c r="R535" s="53" t="n">
        <x:v>74.25</x:v>
      </x:c>
      <x:c r="S535" s="53" t="n">
        <x:v>100</x:v>
      </x:c>
      <x:c r="T535" s="53" t="str">
        <x:v>threshold:0-class</x:v>
      </x:c>
      <x:c r="U535" s="14" t="str">
        <x:v>Legacy-Werte bleiben nur als historische Rechenhilfe erhalten und werden nicht für den FinalScore verwendet.</x:v>
      </x:c>
    </x:row>
    <x:row r="536" ht="42" customHeight="1">
      <x:c r="A536" s="14" t="str">
        <x:v>WOK-G-221</x:v>
      </x:c>
      <x:c r="B536" s="14" t="str">
        <x:v>G47</x:v>
      </x:c>
      <x:c r="C536" s="14" t="str">
        <x:v>Legacy / Migration auf NACE Rev. 2.1 offen</x:v>
      </x:c>
      <x:c r="D536" s="14" t="str">
        <x:v>EU</x:v>
      </x:c>
      <x:c r="E536" s="14"/>
      <x:c r="F536" s="14" t="str">
        <x:v>Fälle/1.000 FTE</x:v>
      </x:c>
      <x:c r="G536" s="14" t="str">
        <x:v>lower_is_better</x:v>
      </x:c>
      <x:c r="H536" s="14" t="str">
        <x:v>R01</x:v>
      </x:c>
      <x:c r="I536" s="14" t="str">
        <x:v>Optional/Nein</x:v>
      </x:c>
      <x:c r="J536" s="51"/>
      <x:c r="K536" s="51"/>
      <x:c r="L536" s="51"/>
      <x:c r="M536" s="51"/>
      <x:c r="N536" s="51"/>
      <x:c r="O536" s="54"/>
      <x:c r="P536" s="51" t="str">
        <x:v>Optional – kein aktiver Benchmark</x:v>
      </x:c>
      <x:c r="Q536" s="53" t="n">
        <x:v>0.5</x:v>
      </x:c>
      <x:c r="R536" s="53" t="n">
        <x:v>0.75</x:v>
      </x:c>
      <x:c r="S536" s="53" t="n">
        <x:v>1.25</x:v>
      </x:c>
      <x:c r="T536" s="53" t="str">
        <x:v>threshold:0-class</x:v>
      </x:c>
      <x:c r="U536" s="14" t="str">
        <x:v>Legacy-Werte bleiben nur als historische Rechenhilfe erhalten und werden nicht für den FinalScore verwendet.</x:v>
      </x:c>
    </x:row>
    <x:row r="537" ht="42" customHeight="1">
      <x:c r="A537" s="14" t="str">
        <x:v>WOK-G-222</x:v>
      </x:c>
      <x:c r="B537" s="14" t="str">
        <x:v>G47</x:v>
      </x:c>
      <x:c r="C537" s="14" t="str">
        <x:v>Legacy / Migration auf NACE Rev. 2.1 offen</x:v>
      </x:c>
      <x:c r="D537" s="14" t="str">
        <x:v>EU</x:v>
      </x:c>
      <x:c r="E537" s="14"/>
      <x:c r="F537" s="14" t="str">
        <x:v>0–1</x:v>
      </x:c>
      <x:c r="G537" s="14" t="str">
        <x:v>higher_is_better</x:v>
      </x:c>
      <x:c r="H537" s="14" t="str">
        <x:v>R16</x:v>
      </x:c>
      <x:c r="I537" s="14" t="str">
        <x:v>Optional/Nein</x:v>
      </x:c>
      <x:c r="J537" s="51"/>
      <x:c r="K537" s="51"/>
      <x:c r="L537" s="51"/>
      <x:c r="M537" s="51"/>
      <x:c r="N537" s="51"/>
      <x:c r="O537" s="54"/>
      <x:c r="P537" s="51" t="str">
        <x:v>Optional – kein aktiver Benchmark</x:v>
      </x:c>
      <x:c r="Q537" s="53" t="n">
        <x:v>0.6699999999999999</x:v>
      </x:c>
      <x:c r="R537" s="53" t="n">
        <x:v>1</x:v>
      </x:c>
      <x:c r="S537" s="53" t="n">
        <x:v>1</x:v>
      </x:c>
      <x:c r="T537" s="53" t="str">
        <x:v>threshold:0-class</x:v>
      </x:c>
      <x:c r="U537" s="14" t="str">
        <x:v>Legacy-Werte bleiben nur als historische Rechenhilfe erhalten und werden nicht für den FinalScore verwendet.</x:v>
      </x:c>
    </x:row>
    <x:row r="538" ht="42" customHeight="1">
      <x:c r="A538" s="14" t="str">
        <x:v>WOK-G-223</x:v>
      </x:c>
      <x:c r="B538" s="14" t="str">
        <x:v>G47</x:v>
      </x:c>
      <x:c r="C538" s="14" t="str">
        <x:v>Legacy / Migration auf NACE Rev. 2.1 offen</x:v>
      </x:c>
      <x:c r="D538" s="14" t="str">
        <x:v>EU</x:v>
      </x:c>
      <x:c r="E538" s="14"/>
      <x:c r="F538" s="14" t="str">
        <x:v>0–1</x:v>
      </x:c>
      <x:c r="G538" s="14" t="str">
        <x:v>higher_is_better</x:v>
      </x:c>
      <x:c r="H538" s="14" t="str">
        <x:v>R08</x:v>
      </x:c>
      <x:c r="I538" s="14" t="str">
        <x:v>Optional/Nein</x:v>
      </x:c>
      <x:c r="J538" s="51"/>
      <x:c r="K538" s="51"/>
      <x:c r="L538" s="51"/>
      <x:c r="M538" s="51"/>
      <x:c r="N538" s="51"/>
      <x:c r="O538" s="54"/>
      <x:c r="P538" s="51" t="str">
        <x:v>Optional – kein aktiver Benchmark</x:v>
      </x:c>
      <x:c r="Q538" s="53" t="n">
        <x:v>0.5</x:v>
      </x:c>
      <x:c r="R538" s="53" t="n">
        <x:v>0.75</x:v>
      </x:c>
      <x:c r="S538" s="53" t="n">
        <x:v>0.9</x:v>
      </x:c>
      <x:c r="T538" s="53" t="str">
        <x:v>default:higher_is_better_abs</x:v>
      </x:c>
      <x:c r="U538" s="14" t="str">
        <x:v>Legacy-Werte bleiben nur als historische Rechenhilfe erhalten und werden nicht für den FinalScore verwendet.</x:v>
      </x:c>
    </x:row>
    <x:row r="539" ht="42" customHeight="1">
      <x:c r="A539" s="14" t="str">
        <x:v>WOK-E-224</x:v>
      </x:c>
      <x:c r="B539" s="14" t="str">
        <x:v>G47</x:v>
      </x:c>
      <x:c r="C539" s="14" t="str">
        <x:v>Legacy / Migration auf NACE Rev. 2.1 offen</x:v>
      </x:c>
      <x:c r="D539" s="14" t="str">
        <x:v>EU</x:v>
      </x:c>
      <x:c r="E539" s="14"/>
      <x:c r="F539" s="14" t="str">
        <x:v>% Umsatz</x:v>
      </x:c>
      <x:c r="G539" s="14" t="str">
        <x:v>higher_is_better</x:v>
      </x:c>
      <x:c r="H539" s="14" t="str">
        <x:v>R19</x:v>
      </x:c>
      <x:c r="I539" s="14" t="str">
        <x:v>Optional/Nein</x:v>
      </x:c>
      <x:c r="J539" s="51"/>
      <x:c r="K539" s="51"/>
      <x:c r="L539" s="51"/>
      <x:c r="M539" s="51"/>
      <x:c r="N539" s="51"/>
      <x:c r="O539" s="54"/>
      <x:c r="P539" s="51" t="str">
        <x:v>Optional – kein aktiver Benchmark</x:v>
      </x:c>
      <x:c r="Q539" s="53" t="n">
        <x:v>1.95</x:v>
      </x:c>
      <x:c r="R539" s="53" t="n">
        <x:v>2.925</x:v>
      </x:c>
      <x:c r="S539" s="53" t="n">
        <x:v>4.875</x:v>
      </x:c>
      <x:c r="T539" s="53" t="str">
        <x:v>threshold:0-class</x:v>
      </x:c>
      <x:c r="U539" s="14" t="str">
        <x:v>Legacy-Werte bleiben nur als historische Rechenhilfe erhalten und werden nicht für den FinalScore verwendet.</x:v>
      </x:c>
    </x:row>
    <x:row r="540" ht="42" customHeight="1">
      <x:c r="A540" s="14" t="str">
        <x:v>WOK-E-225</x:v>
      </x:c>
      <x:c r="B540" s="14" t="str">
        <x:v>G47</x:v>
      </x:c>
      <x:c r="C540" s="14" t="str">
        <x:v>Legacy / Migration auf NACE Rev. 2.1 offen</x:v>
      </x:c>
      <x:c r="D540" s="14" t="str">
        <x:v>EU</x:v>
      </x:c>
      <x:c r="E540" s="14"/>
      <x:c r="F540" s="14" t="str">
        <x:v>%</x:v>
      </x:c>
      <x:c r="G540" s="14" t="str">
        <x:v>higher_is_better</x:v>
      </x:c>
      <x:c r="H540" s="14" t="str">
        <x:v>R17</x:v>
      </x:c>
      <x:c r="I540" s="14" t="str">
        <x:v>Optional/Nein</x:v>
      </x:c>
      <x:c r="J540" s="51"/>
      <x:c r="K540" s="51"/>
      <x:c r="L540" s="51"/>
      <x:c r="M540" s="51"/>
      <x:c r="N540" s="51"/>
      <x:c r="O540" s="54"/>
      <x:c r="P540" s="51" t="str">
        <x:v>Optional – kein aktiver Benchmark</x:v>
      </x:c>
      <x:c r="Q540" s="53" t="n">
        <x:v>17</x:v>
      </x:c>
      <x:c r="R540" s="53" t="n">
        <x:v>25.5</x:v>
      </x:c>
      <x:c r="S540" s="53" t="n">
        <x:v>42.5</x:v>
      </x:c>
      <x:c r="T540" s="53" t="str">
        <x:v>threshold:0-class</x:v>
      </x:c>
      <x:c r="U540" s="14" t="str">
        <x:v>Legacy-Werte bleiben nur als historische Rechenhilfe erhalten und werden nicht für den FinalScore verwendet.</x:v>
      </x:c>
    </x:row>
    <x:row r="541" ht="42" customHeight="1">
      <x:c r="A541" s="14" t="str">
        <x:v>WOK-E-226</x:v>
      </x:c>
      <x:c r="B541" s="14" t="str">
        <x:v>G47</x:v>
      </x:c>
      <x:c r="C541" s="14" t="str">
        <x:v>Legacy / Migration auf NACE Rev. 2.1 offen</x:v>
      </x:c>
      <x:c r="D541" s="14" t="str">
        <x:v>EU</x:v>
      </x:c>
      <x:c r="E541" s="14"/>
      <x:c r="F541" s="14" t="str">
        <x:v>kWh/t bzw. t CO₂e/t</x:v>
      </x:c>
      <x:c r="G541" s="14" t="str">
        <x:v>lower_is_better</x:v>
      </x:c>
      <x:c r="H541" s="14" t="str">
        <x:v>R06</x:v>
      </x:c>
      <x:c r="I541" s="14" t="str">
        <x:v>Ja</x:v>
      </x:c>
      <x:c r="J541" s="51"/>
      <x:c r="K541" s="51"/>
      <x:c r="L541" s="51"/>
      <x:c r="M541" s="51"/>
      <x:c r="N541" s="51"/>
      <x:c r="O541" s="54"/>
      <x:c r="P541" s="51" t="str">
        <x:v>Offen – validierter Benchmark fehlt</x:v>
      </x:c>
      <x:c r="Q541" s="53" t="n">
        <x:v>1</x:v>
      </x:c>
      <x:c r="R541" s="53" t="n">
        <x:v>1.5</x:v>
      </x:c>
      <x:c r="S541" s="53" t="n">
        <x:v>2.5</x:v>
      </x:c>
      <x:c r="T541" s="53" t="str">
        <x:v>default:lower_is_better_abs</x:v>
      </x:c>
      <x:c r="U541" s="14" t="str">
        <x:v>Vor Aktivierung repräsentative Population, Region, Technologieklasse, Statistik, Quelle und Gültigkeitszeitraum dokumentieren.</x:v>
      </x:c>
    </x:row>
    <x:row r="542" ht="42" customHeight="1">
      <x:c r="A542" s="14" t="str">
        <x:v>WOK-G-224</x:v>
      </x:c>
      <x:c r="B542" s="14" t="str">
        <x:v>G47</x:v>
      </x:c>
      <x:c r="C542" s="14" t="str">
        <x:v>Legacy / Migration auf NACE Rev. 2.1 offen</x:v>
      </x:c>
      <x:c r="D542" s="14" t="str">
        <x:v>EU</x:v>
      </x:c>
      <x:c r="E542" s="14"/>
      <x:c r="F542" s="14" t="str">
        <x:v>Fälle/Mio</x:v>
      </x:c>
      <x:c r="G542" s="14" t="str">
        <x:v>lower_is_better</x:v>
      </x:c>
      <x:c r="H542" s="14" t="str">
        <x:v>R02</x:v>
      </x:c>
      <x:c r="I542" s="14" t="str">
        <x:v>Optional/Nein</x:v>
      </x:c>
      <x:c r="J542" s="51"/>
      <x:c r="K542" s="51"/>
      <x:c r="L542" s="51"/>
      <x:c r="M542" s="51"/>
      <x:c r="N542" s="51"/>
      <x:c r="O542" s="54"/>
      <x:c r="P542" s="51" t="str">
        <x:v>Optional – kein aktiver Benchmark</x:v>
      </x:c>
      <x:c r="Q542" s="53" t="n">
        <x:v>3</x:v>
      </x:c>
      <x:c r="R542" s="53" t="n">
        <x:v>4.5</x:v>
      </x:c>
      <x:c r="S542" s="53" t="n">
        <x:v>7.5</x:v>
      </x:c>
      <x:c r="T542" s="53" t="str">
        <x:v>threshold:0-class</x:v>
      </x:c>
      <x:c r="U542" s="14" t="str">
        <x:v>Legacy-Werte bleiben nur als historische Rechenhilfe erhalten und werden nicht für den FinalScore verwendet.</x:v>
      </x:c>
    </x:row>
    <x:row r="543" ht="42" customHeight="1">
      <x:c r="A543" s="14" t="str">
        <x:v>WOK-G-225</x:v>
      </x:c>
      <x:c r="B543" s="14" t="str">
        <x:v>G47</x:v>
      </x:c>
      <x:c r="C543" s="14" t="str">
        <x:v>Legacy / Migration auf NACE Rev. 2.1 offen</x:v>
      </x:c>
      <x:c r="D543" s="14" t="str">
        <x:v>EU</x:v>
      </x:c>
      <x:c r="E543" s="14"/>
      <x:c r="F543" s="14" t="str">
        <x:v>%</x:v>
      </x:c>
      <x:c r="G543" s="14" t="str">
        <x:v>higher_is_better</x:v>
      </x:c>
      <x:c r="H543" s="14" t="str">
        <x:v>R25</x:v>
      </x:c>
      <x:c r="I543" s="14" t="str">
        <x:v>Optional/Nein</x:v>
      </x:c>
      <x:c r="J543" s="51"/>
      <x:c r="K543" s="51"/>
      <x:c r="L543" s="51"/>
      <x:c r="M543" s="51"/>
      <x:c r="N543" s="51"/>
      <x:c r="O543" s="54"/>
      <x:c r="P543" s="51" t="str">
        <x:v>Optional – kein aktiver Benchmark</x:v>
      </x:c>
      <x:c r="Q543" s="53" t="n">
        <x:v>50</x:v>
      </x:c>
      <x:c r="R543" s="53" t="n">
        <x:v>75</x:v>
      </x:c>
      <x:c r="S543" s="53" t="n">
        <x:v>100</x:v>
      </x:c>
      <x:c r="T543" s="53" t="str">
        <x:v>default:higher_is_better_pct</x:v>
      </x:c>
      <x:c r="U543" s="14" t="str">
        <x:v>Legacy-Werte bleiben nur als historische Rechenhilfe erhalten und werden nicht für den FinalScore verwendet.</x:v>
      </x:c>
    </x:row>
    <x:row r="544" ht="42" customHeight="1">
      <x:c r="A544" s="14" t="str">
        <x:v>WOK-G-226</x:v>
      </x:c>
      <x:c r="B544" s="14" t="str">
        <x:v>G47</x:v>
      </x:c>
      <x:c r="C544" s="14" t="str">
        <x:v>Legacy / Migration auf NACE Rev. 2.1 offen</x:v>
      </x:c>
      <x:c r="D544" s="14" t="str">
        <x:v>EU</x:v>
      </x:c>
      <x:c r="E544" s="14"/>
      <x:c r="F544" s="14" t="str">
        <x:v>0–1</x:v>
      </x:c>
      <x:c r="G544" s="14" t="str">
        <x:v>higher_is_better</x:v>
      </x:c>
      <x:c r="H544" s="14" t="str">
        <x:v>R16</x:v>
      </x:c>
      <x:c r="I544" s="14" t="str">
        <x:v>Optional/Nein</x:v>
      </x:c>
      <x:c r="J544" s="51"/>
      <x:c r="K544" s="51"/>
      <x:c r="L544" s="51"/>
      <x:c r="M544" s="51"/>
      <x:c r="N544" s="51"/>
      <x:c r="O544" s="54"/>
      <x:c r="P544" s="51" t="str">
        <x:v>Optional – kein aktiver Benchmark</x:v>
      </x:c>
      <x:c r="Q544" s="53" t="n">
        <x:v>0.6699999999999999</x:v>
      </x:c>
      <x:c r="R544" s="53" t="n">
        <x:v>1</x:v>
      </x:c>
      <x:c r="S544" s="53" t="n">
        <x:v>1</x:v>
      </x:c>
      <x:c r="T544" s="53" t="str">
        <x:v>threshold:0-class</x:v>
      </x:c>
      <x:c r="U544" s="14" t="str">
        <x:v>Legacy-Werte bleiben nur als historische Rechenhilfe erhalten und werden nicht für den FinalScore verwendet.</x:v>
      </x:c>
    </x:row>
    <x:row r="545" ht="42" customHeight="1">
      <x:c r="A545" s="14" t="str">
        <x:v>WOK-SC-158</x:v>
      </x:c>
      <x:c r="B545" s="14" t="str">
        <x:v>C20</x:v>
      </x:c>
      <x:c r="C545" s="14" t="str">
        <x:v>Legacy / Migration auf NACE Rev. 2.1 offen</x:v>
      </x:c>
      <x:c r="D545" s="14" t="str">
        <x:v>EU</x:v>
      </x:c>
      <x:c r="E545" s="14"/>
      <x:c r="F545" s="14" t="str">
        <x:v>%</x:v>
      </x:c>
      <x:c r="G545" s="14" t="str">
        <x:v>higher_is_better</x:v>
      </x:c>
      <x:c r="H545" s="14" t="str">
        <x:v>R26</x:v>
      </x:c>
      <x:c r="I545" s="14" t="str">
        <x:v>Optional/Nein</x:v>
      </x:c>
      <x:c r="J545" s="51"/>
      <x:c r="K545" s="51"/>
      <x:c r="L545" s="51"/>
      <x:c r="M545" s="51"/>
      <x:c r="N545" s="51"/>
      <x:c r="O545" s="54"/>
      <x:c r="P545" s="51" t="str">
        <x:v>Optional – kein aktiver Benchmark</x:v>
      </x:c>
      <x:c r="Q545" s="53" t="n">
        <x:v>59.5</x:v>
      </x:c>
      <x:c r="R545" s="53" t="n">
        <x:v>89.25</x:v>
      </x:c>
      <x:c r="S545" s="53" t="n">
        <x:v>100</x:v>
      </x:c>
      <x:c r="T545" s="53" t="str">
        <x:v>threshold:0-class</x:v>
      </x:c>
      <x:c r="U545" s="14" t="str">
        <x:v>Legacy-Werte bleiben nur als historische Rechenhilfe erhalten und werden nicht für den FinalScore verwendet.</x:v>
      </x:c>
    </x:row>
    <x:row r="546" ht="42" customHeight="1">
      <x:c r="A546" s="14" t="str">
        <x:v>WOK-SC-159</x:v>
      </x:c>
      <x:c r="B546" s="14" t="str">
        <x:v>C20</x:v>
      </x:c>
      <x:c r="C546" s="14" t="str">
        <x:v>Legacy / Migration auf NACE Rev. 2.1 offen</x:v>
      </x:c>
      <x:c r="D546" s="14" t="str">
        <x:v>EU</x:v>
      </x:c>
      <x:c r="E546" s="14"/>
      <x:c r="F546" s="14" t="str">
        <x:v>% Lieferanten</x:v>
      </x:c>
      <x:c r="G546" s="14" t="str">
        <x:v>higher_is_better</x:v>
      </x:c>
      <x:c r="H546" s="14" t="str">
        <x:v>R28</x:v>
      </x:c>
      <x:c r="I546" s="14" t="str">
        <x:v>Optional/Nein</x:v>
      </x:c>
      <x:c r="J546" s="51"/>
      <x:c r="K546" s="51"/>
      <x:c r="L546" s="51"/>
      <x:c r="M546" s="51"/>
      <x:c r="N546" s="51"/>
      <x:c r="O546" s="54"/>
      <x:c r="P546" s="51" t="str">
        <x:v>Optional – kein aktiver Benchmark</x:v>
      </x:c>
      <x:c r="Q546" s="53" t="n">
        <x:v>82</x:v>
      </x:c>
      <x:c r="R546" s="53" t="n">
        <x:v>100</x:v>
      </x:c>
      <x:c r="S546" s="53" t="n">
        <x:v>100</x:v>
      </x:c>
      <x:c r="T546" s="53" t="str">
        <x:v>threshold:0-class</x:v>
      </x:c>
      <x:c r="U546" s="14" t="str">
        <x:v>Legacy-Werte bleiben nur als historische Rechenhilfe erhalten und werden nicht für den FinalScore verwendet.</x:v>
      </x:c>
    </x:row>
    <x:row r="547" ht="42" customHeight="1">
      <x:c r="A547" s="14" t="str">
        <x:v>WOK-SC-160</x:v>
      </x:c>
      <x:c r="B547" s="14" t="str">
        <x:v>C20</x:v>
      </x:c>
      <x:c r="C547" s="14" t="str">
        <x:v>Legacy / Migration auf NACE Rev. 2.1 offen</x:v>
      </x:c>
      <x:c r="D547" s="14" t="str">
        <x:v>EU</x:v>
      </x:c>
      <x:c r="E547" s="14"/>
      <x:c r="F547" s="14" t="str">
        <x:v>% Kategorien</x:v>
      </x:c>
      <x:c r="G547" s="14" t="str">
        <x:v>higher_is_better</x:v>
      </x:c>
      <x:c r="H547" s="14" t="str">
        <x:v>R23</x:v>
      </x:c>
      <x:c r="I547" s="14" t="str">
        <x:v>Optional/Nein</x:v>
      </x:c>
      <x:c r="J547" s="51"/>
      <x:c r="K547" s="51"/>
      <x:c r="L547" s="51"/>
      <x:c r="M547" s="51"/>
      <x:c r="N547" s="51"/>
      <x:c r="O547" s="54"/>
      <x:c r="P547" s="51" t="str">
        <x:v>Optional – kein aktiver Benchmark</x:v>
      </x:c>
      <x:c r="Q547" s="53" t="n">
        <x:v>49.5</x:v>
      </x:c>
      <x:c r="R547" s="53" t="n">
        <x:v>74.25</x:v>
      </x:c>
      <x:c r="S547" s="53" t="n">
        <x:v>100</x:v>
      </x:c>
      <x:c r="T547" s="53" t="str">
        <x:v>threshold:0-class</x:v>
      </x:c>
      <x:c r="U547" s="14" t="str">
        <x:v>Legacy-Werte bleiben nur als historische Rechenhilfe erhalten und werden nicht für den FinalScore verwendet.</x:v>
      </x:c>
    </x:row>
    <x:row r="548" ht="42" customHeight="1">
      <x:c r="A548" s="14" t="str">
        <x:v>WOK-SYS-191</x:v>
      </x:c>
      <x:c r="B548" s="14" t="str">
        <x:v>G47</x:v>
      </x:c>
      <x:c r="C548" s="14" t="str">
        <x:v>Legacy / Migration auf NACE Rev. 2.1 offen</x:v>
      </x:c>
      <x:c r="D548" s="14" t="str">
        <x:v>EU</x:v>
      </x:c>
      <x:c r="E548" s="14"/>
      <x:c r="F548" s="14" t="str">
        <x:v>0–1</x:v>
      </x:c>
      <x:c r="G548" s="14" t="str">
        <x:v>higher_is_better</x:v>
      </x:c>
      <x:c r="H548" s="14" t="str">
        <x:v>R15</x:v>
      </x:c>
      <x:c r="I548" s="14" t="str">
        <x:v>Optional/Nein</x:v>
      </x:c>
      <x:c r="J548" s="51"/>
      <x:c r="K548" s="51"/>
      <x:c r="L548" s="51"/>
      <x:c r="M548" s="51"/>
      <x:c r="N548" s="51"/>
      <x:c r="O548" s="54"/>
      <x:c r="P548" s="51" t="str">
        <x:v>Optional – kein aktiver Benchmark</x:v>
      </x:c>
      <x:c r="Q548" s="53" t="n">
        <x:v>0.645</x:v>
      </x:c>
      <x:c r="R548" s="53" t="n">
        <x:v>0.9675</x:v>
      </x:c>
      <x:c r="S548" s="53" t="n">
        <x:v>1</x:v>
      </x:c>
      <x:c r="T548" s="53" t="str">
        <x:v>threshold:0-class</x:v>
      </x:c>
      <x:c r="U548" s="14" t="str">
        <x:v>Legacy-Werte bleiben nur als historische Rechenhilfe erhalten und werden nicht für den FinalScore verwendet.</x:v>
      </x:c>
    </x:row>
    <x:row r="549" ht="42" customHeight="1">
      <x:c r="A549" s="14" t="str">
        <x:v>WOK-SYS-192</x:v>
      </x:c>
      <x:c r="B549" s="14" t="str">
        <x:v>G47</x:v>
      </x:c>
      <x:c r="C549" s="14" t="str">
        <x:v>Legacy / Migration auf NACE Rev. 2.1 offen</x:v>
      </x:c>
      <x:c r="D549" s="14" t="str">
        <x:v>EU</x:v>
      </x:c>
      <x:c r="E549" s="14"/>
      <x:c r="F549" s="14" t="str">
        <x:v>%</x:v>
      </x:c>
      <x:c r="G549" s="14" t="str">
        <x:v>lower_is_better</x:v>
      </x:c>
      <x:c r="H549" s="14" t="str">
        <x:v>R13</x:v>
      </x:c>
      <x:c r="I549" s="14" t="str">
        <x:v>Optional/Nein</x:v>
      </x:c>
      <x:c r="J549" s="51"/>
      <x:c r="K549" s="51"/>
      <x:c r="L549" s="51"/>
      <x:c r="M549" s="51"/>
      <x:c r="N549" s="51"/>
      <x:c r="O549" s="54"/>
      <x:c r="P549" s="51" t="str">
        <x:v>Optional – kein aktiver Benchmark</x:v>
      </x:c>
      <x:c r="Q549" s="53" t="n">
        <x:v>15.5</x:v>
      </x:c>
      <x:c r="R549" s="53" t="n">
        <x:v>23.25</x:v>
      </x:c>
      <x:c r="S549" s="53" t="n">
        <x:v>38.75</x:v>
      </x:c>
      <x:c r="T549" s="53" t="str">
        <x:v>threshold:0-class</x:v>
      </x:c>
      <x:c r="U549" s="14" t="str">
        <x:v>Legacy-Werte bleiben nur als historische Rechenhilfe erhalten und werden nicht für den FinalScore verwendet.</x:v>
      </x:c>
    </x:row>
    <x:row r="550" ht="42" customHeight="1">
      <x:c r="A550" s="14" t="str">
        <x:v>WOK-SYS-193</x:v>
      </x:c>
      <x:c r="B550" s="14" t="str">
        <x:v>G47</x:v>
      </x:c>
      <x:c r="C550" s="14" t="str">
        <x:v>Legacy / Migration auf NACE Rev. 2.1 offen</x:v>
      </x:c>
      <x:c r="D550" s="14" t="str">
        <x:v>EU</x:v>
      </x:c>
      <x:c r="E550" s="14"/>
      <x:c r="F550" s="14" t="str">
        <x:v>#/Jahr</x:v>
      </x:c>
      <x:c r="G550" s="14" t="str">
        <x:v>higher_is_better</x:v>
      </x:c>
      <x:c r="H550" s="14" t="str">
        <x:v>R20</x:v>
      </x:c>
      <x:c r="I550" s="14" t="str">
        <x:v>Optional/Nein</x:v>
      </x:c>
      <x:c r="J550" s="51"/>
      <x:c r="K550" s="51"/>
      <x:c r="L550" s="51"/>
      <x:c r="M550" s="51"/>
      <x:c r="N550" s="51"/>
      <x:c r="O550" s="54"/>
      <x:c r="P550" s="51" t="str">
        <x:v>Optional – kein aktiver Benchmark</x:v>
      </x:c>
      <x:c r="Q550" s="53" t="n">
        <x:v>1.5</x:v>
      </x:c>
      <x:c r="R550" s="53" t="n">
        <x:v>2.25</x:v>
      </x:c>
      <x:c r="S550" s="53" t="n">
        <x:v>3.75</x:v>
      </x:c>
      <x:c r="T550" s="53" t="str">
        <x:v>threshold:0-class</x:v>
      </x:c>
      <x:c r="U550" s="14" t="str">
        <x:v>Legacy-Werte bleiben nur als historische Rechenhilfe erhalten und werden nicht für den FinalScore verwendet.</x:v>
      </x:c>
    </x:row>
    <x:row r="551" ht="42" customHeight="1">
      <x:c r="A551" s="14" t="str">
        <x:v>WOK-RE-122</x:v>
      </x:c>
      <x:c r="B551" s="14" t="str">
        <x:v>H49</x:v>
      </x:c>
      <x:c r="C551" s="14" t="str">
        <x:v>Legacy / Migration auf NACE Rev. 2.1 offen</x:v>
      </x:c>
      <x:c r="D551" s="14" t="str">
        <x:v>EU</x:v>
      </x:c>
      <x:c r="E551" s="14"/>
      <x:c r="F551" s="14" t="str">
        <x:v>kWh/m²a</x:v>
      </x:c>
      <x:c r="G551" s="14" t="str">
        <x:v>lower_is_better</x:v>
      </x:c>
      <x:c r="H551" s="14" t="str">
        <x:v>R05</x:v>
      </x:c>
      <x:c r="I551" s="14" t="str">
        <x:v>Ja</x:v>
      </x:c>
      <x:c r="J551" s="51"/>
      <x:c r="K551" s="51"/>
      <x:c r="L551" s="51"/>
      <x:c r="M551" s="51"/>
      <x:c r="N551" s="51"/>
      <x:c r="O551" s="54"/>
      <x:c r="P551" s="51" t="str">
        <x:v>Offen – validierter Benchmark fehlt</x:v>
      </x:c>
      <x:c r="Q551" s="53" t="n">
        <x:v>1</x:v>
      </x:c>
      <x:c r="R551" s="53" t="n">
        <x:v>1.5</x:v>
      </x:c>
      <x:c r="S551" s="53" t="n">
        <x:v>2.5</x:v>
      </x:c>
      <x:c r="T551" s="53" t="str">
        <x:v>default:lower_is_better_abs</x:v>
      </x:c>
      <x:c r="U551" s="14" t="str">
        <x:v>Vor Aktivierung repräsentative Population, Region, Technologieklasse, Statistik, Quelle und Gültigkeitszeitraum dokumentieren.</x:v>
      </x:c>
    </x:row>
    <x:row r="552" ht="42" customHeight="1">
      <x:c r="A552" s="14" t="str">
        <x:v>WOK-RE-123</x:v>
      </x:c>
      <x:c r="B552" s="14" t="str">
        <x:v>H49</x:v>
      </x:c>
      <x:c r="C552" s="14" t="str">
        <x:v>Legacy / Migration auf NACE Rev. 2.1 offen</x:v>
      </x:c>
      <x:c r="D552" s="14" t="str">
        <x:v>EU</x:v>
      </x:c>
      <x:c r="E552" s="14"/>
      <x:c r="F552" s="14" t="str">
        <x:v>kg CO₂e/m²</x:v>
      </x:c>
      <x:c r="G552" s="14" t="str">
        <x:v>lower_is_better</x:v>
      </x:c>
      <x:c r="H552" s="14" t="str">
        <x:v>R06</x:v>
      </x:c>
      <x:c r="I552" s="14" t="str">
        <x:v>Ja</x:v>
      </x:c>
      <x:c r="J552" s="51"/>
      <x:c r="K552" s="51"/>
      <x:c r="L552" s="51"/>
      <x:c r="M552" s="51"/>
      <x:c r="N552" s="51"/>
      <x:c r="O552" s="54"/>
      <x:c r="P552" s="51" t="str">
        <x:v>Offen – validierter Benchmark fehlt</x:v>
      </x:c>
      <x:c r="Q552" s="53" t="n">
        <x:v>1</x:v>
      </x:c>
      <x:c r="R552" s="53" t="n">
        <x:v>1.5</x:v>
      </x:c>
      <x:c r="S552" s="53" t="n">
        <x:v>2.5</x:v>
      </x:c>
      <x:c r="T552" s="53" t="str">
        <x:v>default:lower_is_better_abs</x:v>
      </x:c>
      <x:c r="U552" s="14" t="str">
        <x:v>Vor Aktivierung repräsentative Population, Region, Technologieklasse, Statistik, Quelle und Gültigkeitszeitraum dokumentieren.</x:v>
      </x:c>
    </x:row>
    <x:row r="553" ht="42" customHeight="1">
      <x:c r="A553" s="14" t="str">
        <x:v>WOK-RE-124</x:v>
      </x:c>
      <x:c r="B553" s="14" t="str">
        <x:v>H49</x:v>
      </x:c>
      <x:c r="C553" s="14" t="str">
        <x:v>Legacy / Migration auf NACE Rev. 2.1 offen</x:v>
      </x:c>
      <x:c r="D553" s="14" t="str">
        <x:v>EU</x:v>
      </x:c>
      <x:c r="E553" s="14"/>
      <x:c r="F553" s="14" t="str">
        <x:v>0–1</x:v>
      </x:c>
      <x:c r="G553" s="14" t="str">
        <x:v>higher_is_better</x:v>
      </x:c>
      <x:c r="H553" s="14" t="str">
        <x:v>R14</x:v>
      </x:c>
      <x:c r="I553" s="14" t="str">
        <x:v>Optional/Nein</x:v>
      </x:c>
      <x:c r="J553" s="51"/>
      <x:c r="K553" s="51"/>
      <x:c r="L553" s="51"/>
      <x:c r="M553" s="51"/>
      <x:c r="N553" s="51"/>
      <x:c r="O553" s="54"/>
      <x:c r="P553" s="51" t="str">
        <x:v>Optional – kein aktiver Benchmark</x:v>
      </x:c>
      <x:c r="Q553" s="53" t="n">
        <x:v>0.495</x:v>
      </x:c>
      <x:c r="R553" s="53" t="n">
        <x:v>0.7424999999999999</x:v>
      </x:c>
      <x:c r="S553" s="53" t="n">
        <x:v>1</x:v>
      </x:c>
      <x:c r="T553" s="53" t="str">
        <x:v>threshold:0-class</x:v>
      </x:c>
      <x:c r="U553" s="14" t="str">
        <x:v>Legacy-Werte bleiben nur als historische Rechenhilfe erhalten und werden nicht für den FinalScore verwendet.</x:v>
      </x:c>
    </x:row>
    <x:row r="554" ht="42" customHeight="1">
      <x:c r="A554" s="14" t="str">
        <x:v>WOK-G-227</x:v>
      </x:c>
      <x:c r="B554" s="14" t="str">
        <x:v>J61</x:v>
      </x:c>
      <x:c r="C554" s="14" t="str">
        <x:v>Legacy / Migration auf NACE Rev. 2.1 offen</x:v>
      </x:c>
      <x:c r="D554" s="14" t="str">
        <x:v>EU</x:v>
      </x:c>
      <x:c r="E554" s="14"/>
      <x:c r="F554" s="14" t="str">
        <x:v>Fälle/1.000 FTE</x:v>
      </x:c>
      <x:c r="G554" s="14" t="str">
        <x:v>lower_is_better</x:v>
      </x:c>
      <x:c r="H554" s="14" t="str">
        <x:v>R01</x:v>
      </x:c>
      <x:c r="I554" s="14" t="str">
        <x:v>Optional/Nein</x:v>
      </x:c>
      <x:c r="J554" s="51"/>
      <x:c r="K554" s="51"/>
      <x:c r="L554" s="51"/>
      <x:c r="M554" s="51"/>
      <x:c r="N554" s="51"/>
      <x:c r="O554" s="54"/>
      <x:c r="P554" s="51" t="str">
        <x:v>Optional – kein aktiver Benchmark</x:v>
      </x:c>
      <x:c r="Q554" s="53" t="n">
        <x:v>0.5</x:v>
      </x:c>
      <x:c r="R554" s="53" t="n">
        <x:v>0.75</x:v>
      </x:c>
      <x:c r="S554" s="53" t="n">
        <x:v>1.25</x:v>
      </x:c>
      <x:c r="T554" s="53" t="str">
        <x:v>threshold:0-class</x:v>
      </x:c>
      <x:c r="U554" s="14" t="str">
        <x:v>Legacy-Werte bleiben nur als historische Rechenhilfe erhalten und werden nicht für den FinalScore verwendet.</x:v>
      </x:c>
    </x:row>
    <x:row r="555" ht="42" customHeight="1">
      <x:c r="A555" s="14" t="str">
        <x:v>WOK-G-228</x:v>
      </x:c>
      <x:c r="B555" s="14" t="str">
        <x:v>J61</x:v>
      </x:c>
      <x:c r="C555" s="14" t="str">
        <x:v>Legacy / Migration auf NACE Rev. 2.1 offen</x:v>
      </x:c>
      <x:c r="D555" s="14" t="str">
        <x:v>EU</x:v>
      </x:c>
      <x:c r="E555" s="14"/>
      <x:c r="F555" s="14" t="str">
        <x:v>0–1</x:v>
      </x:c>
      <x:c r="G555" s="14" t="str">
        <x:v>higher_is_better</x:v>
      </x:c>
      <x:c r="H555" s="14" t="str">
        <x:v>R16</x:v>
      </x:c>
      <x:c r="I555" s="14" t="str">
        <x:v>Optional/Nein</x:v>
      </x:c>
      <x:c r="J555" s="51"/>
      <x:c r="K555" s="51"/>
      <x:c r="L555" s="51"/>
      <x:c r="M555" s="51"/>
      <x:c r="N555" s="51"/>
      <x:c r="O555" s="54"/>
      <x:c r="P555" s="51" t="str">
        <x:v>Optional – kein aktiver Benchmark</x:v>
      </x:c>
      <x:c r="Q555" s="53" t="n">
        <x:v>0.6699999999999999</x:v>
      </x:c>
      <x:c r="R555" s="53" t="n">
        <x:v>1</x:v>
      </x:c>
      <x:c r="S555" s="53" t="n">
        <x:v>1</x:v>
      </x:c>
      <x:c r="T555" s="53" t="str">
        <x:v>threshold:0-class</x:v>
      </x:c>
      <x:c r="U555" s="14" t="str">
        <x:v>Legacy-Werte bleiben nur als historische Rechenhilfe erhalten und werden nicht für den FinalScore verwendet.</x:v>
      </x:c>
    </x:row>
    <x:row r="556" ht="42" customHeight="1">
      <x:c r="A556" s="14" t="str">
        <x:v>WOK-G-229</x:v>
      </x:c>
      <x:c r="B556" s="14" t="str">
        <x:v>J61</x:v>
      </x:c>
      <x:c r="C556" s="14" t="str">
        <x:v>Legacy / Migration auf NACE Rev. 2.1 offen</x:v>
      </x:c>
      <x:c r="D556" s="14" t="str">
        <x:v>EU</x:v>
      </x:c>
      <x:c r="E556" s="14"/>
      <x:c r="F556" s="14" t="str">
        <x:v>0–1</x:v>
      </x:c>
      <x:c r="G556" s="14" t="str">
        <x:v>higher_is_better</x:v>
      </x:c>
      <x:c r="H556" s="14" t="str">
        <x:v>R08</x:v>
      </x:c>
      <x:c r="I556" s="14" t="str">
        <x:v>Optional/Nein</x:v>
      </x:c>
      <x:c r="J556" s="51"/>
      <x:c r="K556" s="51"/>
      <x:c r="L556" s="51"/>
      <x:c r="M556" s="51"/>
      <x:c r="N556" s="51"/>
      <x:c r="O556" s="54"/>
      <x:c r="P556" s="51" t="str">
        <x:v>Optional – kein aktiver Benchmark</x:v>
      </x:c>
      <x:c r="Q556" s="53" t="n">
        <x:v>0.5</x:v>
      </x:c>
      <x:c r="R556" s="53" t="n">
        <x:v>0.75</x:v>
      </x:c>
      <x:c r="S556" s="53" t="n">
        <x:v>0.9</x:v>
      </x:c>
      <x:c r="T556" s="53" t="str">
        <x:v>default:higher_is_better_abs</x:v>
      </x:c>
      <x:c r="U556" s="14" t="str">
        <x:v>Legacy-Werte bleiben nur als historische Rechenhilfe erhalten und werden nicht für den FinalScore verwendet.</x:v>
      </x:c>
    </x:row>
    <x:row r="557" ht="42" customHeight="1">
      <x:c r="A557" s="14" t="str">
        <x:v>WOK-G-230</x:v>
      </x:c>
      <x:c r="B557" s="14" t="str">
        <x:v>G47</x:v>
      </x:c>
      <x:c r="C557" s="14" t="str">
        <x:v>Legacy / Migration auf NACE Rev. 2.1 offen</x:v>
      </x:c>
      <x:c r="D557" s="14" t="str">
        <x:v>EU</x:v>
      </x:c>
      <x:c r="E557" s="14"/>
      <x:c r="F557" s="14" t="str">
        <x:v>Fälle/Mio</x:v>
      </x:c>
      <x:c r="G557" s="14" t="str">
        <x:v>lower_is_better</x:v>
      </x:c>
      <x:c r="H557" s="14" t="str">
        <x:v>R02</x:v>
      </x:c>
      <x:c r="I557" s="14" t="str">
        <x:v>Optional/Nein</x:v>
      </x:c>
      <x:c r="J557" s="51"/>
      <x:c r="K557" s="51"/>
      <x:c r="L557" s="51"/>
      <x:c r="M557" s="51"/>
      <x:c r="N557" s="51"/>
      <x:c r="O557" s="54"/>
      <x:c r="P557" s="51" t="str">
        <x:v>Optional – kein aktiver Benchmark</x:v>
      </x:c>
      <x:c r="Q557" s="53" t="n">
        <x:v>3</x:v>
      </x:c>
      <x:c r="R557" s="53" t="n">
        <x:v>4.5</x:v>
      </x:c>
      <x:c r="S557" s="53" t="n">
        <x:v>7.5</x:v>
      </x:c>
      <x:c r="T557" s="53" t="str">
        <x:v>threshold:0-class</x:v>
      </x:c>
      <x:c r="U557" s="14" t="str">
        <x:v>Legacy-Werte bleiben nur als historische Rechenhilfe erhalten und werden nicht für den FinalScore verwendet.</x:v>
      </x:c>
    </x:row>
    <x:row r="558" ht="42" customHeight="1">
      <x:c r="A558" s="14" t="str">
        <x:v>WOK-G-231</x:v>
      </x:c>
      <x:c r="B558" s="14" t="str">
        <x:v>G47</x:v>
      </x:c>
      <x:c r="C558" s="14" t="str">
        <x:v>Legacy / Migration auf NACE Rev. 2.1 offen</x:v>
      </x:c>
      <x:c r="D558" s="14" t="str">
        <x:v>EU</x:v>
      </x:c>
      <x:c r="E558" s="14"/>
      <x:c r="F558" s="14" t="str">
        <x:v>%</x:v>
      </x:c>
      <x:c r="G558" s="14" t="str">
        <x:v>higher_is_better</x:v>
      </x:c>
      <x:c r="H558" s="14" t="str">
        <x:v>R25</x:v>
      </x:c>
      <x:c r="I558" s="14" t="str">
        <x:v>Optional/Nein</x:v>
      </x:c>
      <x:c r="J558" s="51"/>
      <x:c r="K558" s="51"/>
      <x:c r="L558" s="51"/>
      <x:c r="M558" s="51"/>
      <x:c r="N558" s="51"/>
      <x:c r="O558" s="54"/>
      <x:c r="P558" s="51" t="str">
        <x:v>Optional – kein aktiver Benchmark</x:v>
      </x:c>
      <x:c r="Q558" s="53" t="n">
        <x:v>50</x:v>
      </x:c>
      <x:c r="R558" s="53" t="n">
        <x:v>75</x:v>
      </x:c>
      <x:c r="S558" s="53" t="n">
        <x:v>100</x:v>
      </x:c>
      <x:c r="T558" s="53" t="str">
        <x:v>default:higher_is_better_pct</x:v>
      </x:c>
      <x:c r="U558" s="14" t="str">
        <x:v>Legacy-Werte bleiben nur als historische Rechenhilfe erhalten und werden nicht für den FinalScore verwendet.</x:v>
      </x:c>
    </x:row>
    <x:row r="559" ht="42" customHeight="1">
      <x:c r="A559" s="14" t="str">
        <x:v>WOK-G-232</x:v>
      </x:c>
      <x:c r="B559" s="14" t="str">
        <x:v>G47</x:v>
      </x:c>
      <x:c r="C559" s="14" t="str">
        <x:v>Legacy / Migration auf NACE Rev. 2.1 offen</x:v>
      </x:c>
      <x:c r="D559" s="14" t="str">
        <x:v>EU</x:v>
      </x:c>
      <x:c r="E559" s="14"/>
      <x:c r="F559" s="14" t="str">
        <x:v>0–1</x:v>
      </x:c>
      <x:c r="G559" s="14" t="str">
        <x:v>higher_is_better</x:v>
      </x:c>
      <x:c r="H559" s="14" t="str">
        <x:v>R16</x:v>
      </x:c>
      <x:c r="I559" s="14" t="str">
        <x:v>Optional/Nein</x:v>
      </x:c>
      <x:c r="J559" s="51"/>
      <x:c r="K559" s="51"/>
      <x:c r="L559" s="51"/>
      <x:c r="M559" s="51"/>
      <x:c r="N559" s="51"/>
      <x:c r="O559" s="54"/>
      <x:c r="P559" s="51" t="str">
        <x:v>Optional – kein aktiver Benchmark</x:v>
      </x:c>
      <x:c r="Q559" s="53" t="n">
        <x:v>0.6699999999999999</x:v>
      </x:c>
      <x:c r="R559" s="53" t="n">
        <x:v>1</x:v>
      </x:c>
      <x:c r="S559" s="53" t="n">
        <x:v>1</x:v>
      </x:c>
      <x:c r="T559" s="53" t="str">
        <x:v>threshold:0-class</x:v>
      </x:c>
      <x:c r="U559" s="14" t="str">
        <x:v>Legacy-Werte bleiben nur als historische Rechenhilfe erhalten und werden nicht für den FinalScore verwendet.</x:v>
      </x:c>
    </x:row>
    <x:row r="560" ht="42" customHeight="1">
      <x:c r="A560" s="14" t="str">
        <x:v>WOK-G-233</x:v>
      </x:c>
      <x:c r="B560" s="14" t="str">
        <x:v>J61</x:v>
      </x:c>
      <x:c r="C560" s="14" t="str">
        <x:v>Legacy / Migration auf NACE Rev. 2.1 offen</x:v>
      </x:c>
      <x:c r="D560" s="14" t="str">
        <x:v>EU</x:v>
      </x:c>
      <x:c r="E560" s="14"/>
      <x:c r="F560" s="14" t="str">
        <x:v>Fälle/1.000 FTE</x:v>
      </x:c>
      <x:c r="G560" s="14" t="str">
        <x:v>lower_is_better</x:v>
      </x:c>
      <x:c r="H560" s="14" t="str">
        <x:v>R01</x:v>
      </x:c>
      <x:c r="I560" s="14" t="str">
        <x:v>Optional/Nein</x:v>
      </x:c>
      <x:c r="J560" s="51"/>
      <x:c r="K560" s="51"/>
      <x:c r="L560" s="51"/>
      <x:c r="M560" s="51"/>
      <x:c r="N560" s="51"/>
      <x:c r="O560" s="54"/>
      <x:c r="P560" s="51" t="str">
        <x:v>Optional – kein aktiver Benchmark</x:v>
      </x:c>
      <x:c r="Q560" s="53" t="n">
        <x:v>0.5</x:v>
      </x:c>
      <x:c r="R560" s="53" t="n">
        <x:v>0.75</x:v>
      </x:c>
      <x:c r="S560" s="53" t="n">
        <x:v>1.25</x:v>
      </x:c>
      <x:c r="T560" s="53" t="str">
        <x:v>threshold:0-class</x:v>
      </x:c>
      <x:c r="U560" s="14" t="str">
        <x:v>Legacy-Werte bleiben nur als historische Rechenhilfe erhalten und werden nicht für den FinalScore verwendet.</x:v>
      </x:c>
    </x:row>
    <x:row r="561" ht="42" customHeight="1">
      <x:c r="A561" s="14" t="str">
        <x:v>WOK-G-234</x:v>
      </x:c>
      <x:c r="B561" s="14" t="str">
        <x:v>J61</x:v>
      </x:c>
      <x:c r="C561" s="14" t="str">
        <x:v>Legacy / Migration auf NACE Rev. 2.1 offen</x:v>
      </x:c>
      <x:c r="D561" s="14" t="str">
        <x:v>EU</x:v>
      </x:c>
      <x:c r="E561" s="14"/>
      <x:c r="F561" s="14" t="str">
        <x:v>0–1</x:v>
      </x:c>
      <x:c r="G561" s="14" t="str">
        <x:v>higher_is_better</x:v>
      </x:c>
      <x:c r="H561" s="14" t="str">
        <x:v>R16</x:v>
      </x:c>
      <x:c r="I561" s="14" t="str">
        <x:v>Optional/Nein</x:v>
      </x:c>
      <x:c r="J561" s="51"/>
      <x:c r="K561" s="51"/>
      <x:c r="L561" s="51"/>
      <x:c r="M561" s="51"/>
      <x:c r="N561" s="51"/>
      <x:c r="O561" s="54"/>
      <x:c r="P561" s="51" t="str">
        <x:v>Optional – kein aktiver Benchmark</x:v>
      </x:c>
      <x:c r="Q561" s="53" t="n">
        <x:v>0.6699999999999999</x:v>
      </x:c>
      <x:c r="R561" s="53" t="n">
        <x:v>1</x:v>
      </x:c>
      <x:c r="S561" s="53" t="n">
        <x:v>1</x:v>
      </x:c>
      <x:c r="T561" s="53" t="str">
        <x:v>threshold:0-class</x:v>
      </x:c>
      <x:c r="U561" s="14" t="str">
        <x:v>Legacy-Werte bleiben nur als historische Rechenhilfe erhalten und werden nicht für den FinalScore verwendet.</x:v>
      </x:c>
    </x:row>
    <x:row r="562" ht="42" customHeight="1">
      <x:c r="A562" s="14" t="str">
        <x:v>WOK-G-235</x:v>
      </x:c>
      <x:c r="B562" s="14" t="str">
        <x:v>J61</x:v>
      </x:c>
      <x:c r="C562" s="14" t="str">
        <x:v>Legacy / Migration auf NACE Rev. 2.1 offen</x:v>
      </x:c>
      <x:c r="D562" s="14" t="str">
        <x:v>EU</x:v>
      </x:c>
      <x:c r="E562" s="14"/>
      <x:c r="F562" s="14" t="str">
        <x:v>0–1</x:v>
      </x:c>
      <x:c r="G562" s="14" t="str">
        <x:v>higher_is_better</x:v>
      </x:c>
      <x:c r="H562" s="14" t="str">
        <x:v>R08</x:v>
      </x:c>
      <x:c r="I562" s="14" t="str">
        <x:v>Optional/Nein</x:v>
      </x:c>
      <x:c r="J562" s="51"/>
      <x:c r="K562" s="51"/>
      <x:c r="L562" s="51"/>
      <x:c r="M562" s="51"/>
      <x:c r="N562" s="51"/>
      <x:c r="O562" s="54"/>
      <x:c r="P562" s="51" t="str">
        <x:v>Optional – kein aktiver Benchmark</x:v>
      </x:c>
      <x:c r="Q562" s="53" t="n">
        <x:v>0.5</x:v>
      </x:c>
      <x:c r="R562" s="53" t="n">
        <x:v>0.75</x:v>
      </x:c>
      <x:c r="S562" s="53" t="n">
        <x:v>0.9</x:v>
      </x:c>
      <x:c r="T562" s="53" t="str">
        <x:v>default:higher_is_better_abs</x:v>
      </x:c>
      <x:c r="U562" s="14" t="str">
        <x:v>Legacy-Werte bleiben nur als historische Rechenhilfe erhalten und werden nicht für den FinalScore verwendet.</x:v>
      </x:c>
    </x:row>
    <x:row r="563" ht="42" customHeight="1">
      <x:c r="A563" s="14" t="str">
        <x:v>WOK-SYS-194</x:v>
      </x:c>
      <x:c r="B563" s="14" t="str">
        <x:v>J61</x:v>
      </x:c>
      <x:c r="C563" s="14" t="str">
        <x:v>Legacy / Migration auf NACE Rev. 2.1 offen</x:v>
      </x:c>
      <x:c r="D563" s="14" t="str">
        <x:v>EU</x:v>
      </x:c>
      <x:c r="E563" s="14"/>
      <x:c r="F563" s="14" t="str">
        <x:v>0–1</x:v>
      </x:c>
      <x:c r="G563" s="14" t="str">
        <x:v>higher_is_better</x:v>
      </x:c>
      <x:c r="H563" s="14" t="str">
        <x:v>R15</x:v>
      </x:c>
      <x:c r="I563" s="14" t="str">
        <x:v>Optional/Nein</x:v>
      </x:c>
      <x:c r="J563" s="51"/>
      <x:c r="K563" s="51"/>
      <x:c r="L563" s="51"/>
      <x:c r="M563" s="51"/>
      <x:c r="N563" s="51"/>
      <x:c r="O563" s="54"/>
      <x:c r="P563" s="51" t="str">
        <x:v>Optional – kein aktiver Benchmark</x:v>
      </x:c>
      <x:c r="Q563" s="53" t="n">
        <x:v>0.645</x:v>
      </x:c>
      <x:c r="R563" s="53" t="n">
        <x:v>0.9675</x:v>
      </x:c>
      <x:c r="S563" s="53" t="n">
        <x:v>1</x:v>
      </x:c>
      <x:c r="T563" s="53" t="str">
        <x:v>threshold:0-class</x:v>
      </x:c>
      <x:c r="U563" s="14" t="str">
        <x:v>Legacy-Werte bleiben nur als historische Rechenhilfe erhalten und werden nicht für den FinalScore verwendet.</x:v>
      </x:c>
    </x:row>
    <x:row r="564" ht="42" customHeight="1">
      <x:c r="A564" s="14" t="str">
        <x:v>WOK-SYS-195</x:v>
      </x:c>
      <x:c r="B564" s="14" t="str">
        <x:v>J61</x:v>
      </x:c>
      <x:c r="C564" s="14" t="str">
        <x:v>Legacy / Migration auf NACE Rev. 2.1 offen</x:v>
      </x:c>
      <x:c r="D564" s="14" t="str">
        <x:v>EU</x:v>
      </x:c>
      <x:c r="E564" s="14"/>
      <x:c r="F564" s="14" t="str">
        <x:v>%</x:v>
      </x:c>
      <x:c r="G564" s="14" t="str">
        <x:v>lower_is_better</x:v>
      </x:c>
      <x:c r="H564" s="14" t="str">
        <x:v>R13</x:v>
      </x:c>
      <x:c r="I564" s="14" t="str">
        <x:v>Optional/Nein</x:v>
      </x:c>
      <x:c r="J564" s="51"/>
      <x:c r="K564" s="51"/>
      <x:c r="L564" s="51"/>
      <x:c r="M564" s="51"/>
      <x:c r="N564" s="51"/>
      <x:c r="O564" s="54"/>
      <x:c r="P564" s="51" t="str">
        <x:v>Optional – kein aktiver Benchmark</x:v>
      </x:c>
      <x:c r="Q564" s="53" t="n">
        <x:v>15.5</x:v>
      </x:c>
      <x:c r="R564" s="53" t="n">
        <x:v>23.25</x:v>
      </x:c>
      <x:c r="S564" s="53" t="n">
        <x:v>38.75</x:v>
      </x:c>
      <x:c r="T564" s="53" t="str">
        <x:v>threshold:0-class</x:v>
      </x:c>
      <x:c r="U564" s="14" t="str">
        <x:v>Legacy-Werte bleiben nur als historische Rechenhilfe erhalten und werden nicht für den FinalScore verwendet.</x:v>
      </x:c>
    </x:row>
    <x:row r="565" ht="42" customHeight="1">
      <x:c r="A565" s="14" t="str">
        <x:v>WOK-SYS-196</x:v>
      </x:c>
      <x:c r="B565" s="14" t="str">
        <x:v>J61</x:v>
      </x:c>
      <x:c r="C565" s="14" t="str">
        <x:v>Legacy / Migration auf NACE Rev. 2.1 offen</x:v>
      </x:c>
      <x:c r="D565" s="14" t="str">
        <x:v>EU</x:v>
      </x:c>
      <x:c r="E565" s="14"/>
      <x:c r="F565" s="14" t="str">
        <x:v>#/Jahr</x:v>
      </x:c>
      <x:c r="G565" s="14" t="str">
        <x:v>higher_is_better</x:v>
      </x:c>
      <x:c r="H565" s="14" t="str">
        <x:v>R20</x:v>
      </x:c>
      <x:c r="I565" s="14" t="str">
        <x:v>Optional/Nein</x:v>
      </x:c>
      <x:c r="J565" s="51"/>
      <x:c r="K565" s="51"/>
      <x:c r="L565" s="51"/>
      <x:c r="M565" s="51"/>
      <x:c r="N565" s="51"/>
      <x:c r="O565" s="54"/>
      <x:c r="P565" s="51" t="str">
        <x:v>Optional – kein aktiver Benchmark</x:v>
      </x:c>
      <x:c r="Q565" s="53" t="n">
        <x:v>1.5</x:v>
      </x:c>
      <x:c r="R565" s="53" t="n">
        <x:v>2.25</x:v>
      </x:c>
      <x:c r="S565" s="53" t="n">
        <x:v>3.75</x:v>
      </x:c>
      <x:c r="T565" s="53" t="str">
        <x:v>threshold:0-class</x:v>
      </x:c>
      <x:c r="U565" s="14" t="str">
        <x:v>Legacy-Werte bleiben nur als historische Rechenhilfe erhalten und werden nicht für den FinalScore verwendet.</x:v>
      </x:c>
    </x:row>
    <x:row r="566" ht="42" customHeight="1">
      <x:c r="A566" s="14" t="str">
        <x:v>WOK-SC-161</x:v>
      </x:c>
      <x:c r="B566" s="14" t="str">
        <x:v>C20</x:v>
      </x:c>
      <x:c r="C566" s="14" t="str">
        <x:v>Legacy / Migration auf NACE Rev. 2.1 offen</x:v>
      </x:c>
      <x:c r="D566" s="14" t="str">
        <x:v>EU</x:v>
      </x:c>
      <x:c r="E566" s="14"/>
      <x:c r="F566" s="14" t="str">
        <x:v>%</x:v>
      </x:c>
      <x:c r="G566" s="14" t="str">
        <x:v>higher_is_better</x:v>
      </x:c>
      <x:c r="H566" s="14" t="str">
        <x:v>R26</x:v>
      </x:c>
      <x:c r="I566" s="14" t="str">
        <x:v>Optional/Nein</x:v>
      </x:c>
      <x:c r="J566" s="51"/>
      <x:c r="K566" s="51"/>
      <x:c r="L566" s="51"/>
      <x:c r="M566" s="51"/>
      <x:c r="N566" s="51"/>
      <x:c r="O566" s="54"/>
      <x:c r="P566" s="51" t="str">
        <x:v>Optional – kein aktiver Benchmark</x:v>
      </x:c>
      <x:c r="Q566" s="53" t="n">
        <x:v>59.5</x:v>
      </x:c>
      <x:c r="R566" s="53" t="n">
        <x:v>89.25</x:v>
      </x:c>
      <x:c r="S566" s="53" t="n">
        <x:v>100</x:v>
      </x:c>
      <x:c r="T566" s="53" t="str">
        <x:v>threshold:0-class</x:v>
      </x:c>
      <x:c r="U566" s="14" t="str">
        <x:v>Legacy-Werte bleiben nur als historische Rechenhilfe erhalten und werden nicht für den FinalScore verwendet.</x:v>
      </x:c>
    </x:row>
    <x:row r="567" ht="42" customHeight="1">
      <x:c r="A567" s="14" t="str">
        <x:v>WOK-SC-162</x:v>
      </x:c>
      <x:c r="B567" s="14" t="str">
        <x:v>C20</x:v>
      </x:c>
      <x:c r="C567" s="14" t="str">
        <x:v>Legacy / Migration auf NACE Rev. 2.1 offen</x:v>
      </x:c>
      <x:c r="D567" s="14" t="str">
        <x:v>EU</x:v>
      </x:c>
      <x:c r="E567" s="14"/>
      <x:c r="F567" s="14" t="str">
        <x:v>% Lieferanten</x:v>
      </x:c>
      <x:c r="G567" s="14" t="str">
        <x:v>higher_is_better</x:v>
      </x:c>
      <x:c r="H567" s="14" t="str">
        <x:v>R28</x:v>
      </x:c>
      <x:c r="I567" s="14" t="str">
        <x:v>Optional/Nein</x:v>
      </x:c>
      <x:c r="J567" s="51"/>
      <x:c r="K567" s="51"/>
      <x:c r="L567" s="51"/>
      <x:c r="M567" s="51"/>
      <x:c r="N567" s="51"/>
      <x:c r="O567" s="54"/>
      <x:c r="P567" s="51" t="str">
        <x:v>Optional – kein aktiver Benchmark</x:v>
      </x:c>
      <x:c r="Q567" s="53" t="n">
        <x:v>82</x:v>
      </x:c>
      <x:c r="R567" s="53" t="n">
        <x:v>100</x:v>
      </x:c>
      <x:c r="S567" s="53" t="n">
        <x:v>100</x:v>
      </x:c>
      <x:c r="T567" s="53" t="str">
        <x:v>threshold:0-class</x:v>
      </x:c>
      <x:c r="U567" s="14" t="str">
        <x:v>Legacy-Werte bleiben nur als historische Rechenhilfe erhalten und werden nicht für den FinalScore verwendet.</x:v>
      </x:c>
    </x:row>
    <x:row r="568" ht="42" customHeight="1">
      <x:c r="A568" s="14" t="str">
        <x:v>WOK-SC-163</x:v>
      </x:c>
      <x:c r="B568" s="14" t="str">
        <x:v>C20</x:v>
      </x:c>
      <x:c r="C568" s="14" t="str">
        <x:v>Legacy / Migration auf NACE Rev. 2.1 offen</x:v>
      </x:c>
      <x:c r="D568" s="14" t="str">
        <x:v>EU</x:v>
      </x:c>
      <x:c r="E568" s="14"/>
      <x:c r="F568" s="14" t="str">
        <x:v>% Kategorien</x:v>
      </x:c>
      <x:c r="G568" s="14" t="str">
        <x:v>higher_is_better</x:v>
      </x:c>
      <x:c r="H568" s="14" t="str">
        <x:v>R23</x:v>
      </x:c>
      <x:c r="I568" s="14" t="str">
        <x:v>Optional/Nein</x:v>
      </x:c>
      <x:c r="J568" s="51"/>
      <x:c r="K568" s="51"/>
      <x:c r="L568" s="51"/>
      <x:c r="M568" s="51"/>
      <x:c r="N568" s="51"/>
      <x:c r="O568" s="54"/>
      <x:c r="P568" s="51" t="str">
        <x:v>Optional – kein aktiver Benchmark</x:v>
      </x:c>
      <x:c r="Q568" s="53" t="n">
        <x:v>49.5</x:v>
      </x:c>
      <x:c r="R568" s="53" t="n">
        <x:v>74.25</x:v>
      </x:c>
      <x:c r="S568" s="53" t="n">
        <x:v>100</x:v>
      </x:c>
      <x:c r="T568" s="53" t="str">
        <x:v>threshold:0-class</x:v>
      </x:c>
      <x:c r="U568" s="14" t="str">
        <x:v>Legacy-Werte bleiben nur als historische Rechenhilfe erhalten und werden nicht für den FinalScore verwendet.</x:v>
      </x:c>
    </x:row>
    <x:row r="569" ht="42" customHeight="1">
      <x:c r="A569" s="14" t="str">
        <x:v>WOK-P-131</x:v>
      </x:c>
      <x:c r="B569" s="14" t="str">
        <x:v>J61</x:v>
      </x:c>
      <x:c r="C569" s="14" t="str">
        <x:v>Legacy / Migration auf NACE Rev. 2.1 offen</x:v>
      </x:c>
      <x:c r="D569" s="14" t="str">
        <x:v>EU</x:v>
      </x:c>
      <x:c r="E569" s="14"/>
      <x:c r="F569" s="14" t="str">
        <x:v>kg CO₂e/Einheit</x:v>
      </x:c>
      <x:c r="G569" s="14" t="str">
        <x:v>lower_is_better</x:v>
      </x:c>
      <x:c r="H569" s="14" t="str">
        <x:v>R07</x:v>
      </x:c>
      <x:c r="I569" s="14" t="str">
        <x:v>Ja</x:v>
      </x:c>
      <x:c r="J569" s="51"/>
      <x:c r="K569" s="51"/>
      <x:c r="L569" s="51"/>
      <x:c r="M569" s="51"/>
      <x:c r="N569" s="51"/>
      <x:c r="O569" s="54"/>
      <x:c r="P569" s="51" t="str">
        <x:v>Offen – validierter Benchmark fehlt</x:v>
      </x:c>
      <x:c r="Q569" s="53" t="n">
        <x:v>1</x:v>
      </x:c>
      <x:c r="R569" s="53" t="n">
        <x:v>1.5</x:v>
      </x:c>
      <x:c r="S569" s="53" t="n">
        <x:v>2.5</x:v>
      </x:c>
      <x:c r="T569" s="53" t="str">
        <x:v>default:lower_is_better_abs</x:v>
      </x:c>
      <x:c r="U569" s="14" t="str">
        <x:v>Vor Aktivierung repräsentative Population, Region, Technologieklasse, Statistik, Quelle und Gültigkeitszeitraum dokumentieren.</x:v>
      </x:c>
    </x:row>
    <x:row r="570" ht="42" customHeight="1">
      <x:c r="A570" s="14" t="str">
        <x:v>WOK-P-132</x:v>
      </x:c>
      <x:c r="B570" s="14" t="str">
        <x:v>J61</x:v>
      </x:c>
      <x:c r="C570" s="14" t="str">
        <x:v>Legacy / Migration auf NACE Rev. 2.1 offen</x:v>
      </x:c>
      <x:c r="D570" s="14" t="str">
        <x:v>EU</x:v>
      </x:c>
      <x:c r="E570" s="14"/>
      <x:c r="F570" s="14" t="str">
        <x:v>Score 0–10</x:v>
      </x:c>
      <x:c r="G570" s="14" t="str">
        <x:v>higher_is_better</x:v>
      </x:c>
      <x:c r="H570" s="14" t="str">
        <x:v>R24</x:v>
      </x:c>
      <x:c r="I570" s="14" t="str">
        <x:v>Optional/Nein</x:v>
      </x:c>
      <x:c r="J570" s="51"/>
      <x:c r="K570" s="51"/>
      <x:c r="L570" s="51"/>
      <x:c r="M570" s="51"/>
      <x:c r="N570" s="51"/>
      <x:c r="O570" s="54"/>
      <x:c r="P570" s="51" t="str">
        <x:v>Optional – kein aktiver Benchmark</x:v>
      </x:c>
      <x:c r="Q570" s="53" t="n">
        <x:v>4.95</x:v>
      </x:c>
      <x:c r="R570" s="53" t="n">
        <x:v>1</x:v>
      </x:c>
      <x:c r="S570" s="53" t="n">
        <x:v>1</x:v>
      </x:c>
      <x:c r="T570" s="53" t="str">
        <x:v>threshold:0-class</x:v>
      </x:c>
      <x:c r="U570" s="14" t="str">
        <x:v>Legacy-Werte bleiben nur als historische Rechenhilfe erhalten und werden nicht für den FinalScore verwendet.</x:v>
      </x:c>
    </x:row>
    <x:row r="571" ht="42" customHeight="1">
      <x:c r="A571" s="14" t="str">
        <x:v>WOK-P-133</x:v>
      </x:c>
      <x:c r="B571" s="14" t="str">
        <x:v>J61</x:v>
      </x:c>
      <x:c r="C571" s="14" t="str">
        <x:v>Legacy / Migration auf NACE Rev. 2.1 offen</x:v>
      </x:c>
      <x:c r="D571" s="14" t="str">
        <x:v>EU</x:v>
      </x:c>
      <x:c r="E571" s="14"/>
      <x:c r="F571" s="14" t="str">
        <x:v>%</x:v>
      </x:c>
      <x:c r="G571" s="14" t="str">
        <x:v>higher_is_better</x:v>
      </x:c>
      <x:c r="H571" s="14" t="str">
        <x:v>R22</x:v>
      </x:c>
      <x:c r="I571" s="14" t="str">
        <x:v>Optional/Nein</x:v>
      </x:c>
      <x:c r="J571" s="51"/>
      <x:c r="K571" s="51"/>
      <x:c r="L571" s="51"/>
      <x:c r="M571" s="51"/>
      <x:c r="N571" s="51"/>
      <x:c r="O571" s="54"/>
      <x:c r="P571" s="51" t="str">
        <x:v>Optional – kein aktiver Benchmark</x:v>
      </x:c>
      <x:c r="Q571" s="53" t="n">
        <x:v>39.5</x:v>
      </x:c>
      <x:c r="R571" s="53" t="n">
        <x:v>59.25</x:v>
      </x:c>
      <x:c r="S571" s="53" t="n">
        <x:v>98.75</x:v>
      </x:c>
      <x:c r="T571" s="53" t="str">
        <x:v>threshold:0-class</x:v>
      </x:c>
      <x:c r="U571" s="14" t="str">
        <x:v>Legacy-Werte bleiben nur als historische Rechenhilfe erhalten und werden nicht für den FinalScore verwendet.</x:v>
      </x:c>
    </x:row>
    <x:row r="572" ht="42" customHeight="1">
      <x:c r="A572" s="14" t="str">
        <x:v>WOK-SYS-197</x:v>
      </x:c>
      <x:c r="B572" s="14" t="str">
        <x:v>G47</x:v>
      </x:c>
      <x:c r="C572" s="14" t="str">
        <x:v>Legacy / Migration auf NACE Rev. 2.1 offen</x:v>
      </x:c>
      <x:c r="D572" s="14" t="str">
        <x:v>EU</x:v>
      </x:c>
      <x:c r="E572" s="14"/>
      <x:c r="F572" s="14" t="str">
        <x:v>0–1</x:v>
      </x:c>
      <x:c r="G572" s="14" t="str">
        <x:v>higher_is_better</x:v>
      </x:c>
      <x:c r="H572" s="14" t="str">
        <x:v>R15</x:v>
      </x:c>
      <x:c r="I572" s="14" t="str">
        <x:v>Optional/Nein</x:v>
      </x:c>
      <x:c r="J572" s="51"/>
      <x:c r="K572" s="51"/>
      <x:c r="L572" s="51"/>
      <x:c r="M572" s="51"/>
      <x:c r="N572" s="51"/>
      <x:c r="O572" s="54"/>
      <x:c r="P572" s="51" t="str">
        <x:v>Optional – kein aktiver Benchmark</x:v>
      </x:c>
      <x:c r="Q572" s="53" t="n">
        <x:v>0.645</x:v>
      </x:c>
      <x:c r="R572" s="53" t="n">
        <x:v>0.9675</x:v>
      </x:c>
      <x:c r="S572" s="53" t="n">
        <x:v>1</x:v>
      </x:c>
      <x:c r="T572" s="53" t="str">
        <x:v>threshold:0-class</x:v>
      </x:c>
      <x:c r="U572" s="14" t="str">
        <x:v>Legacy-Werte bleiben nur als historische Rechenhilfe erhalten und werden nicht für den FinalScore verwendet.</x:v>
      </x:c>
    </x:row>
    <x:row r="573" ht="42" customHeight="1">
      <x:c r="A573" s="14" t="str">
        <x:v>WOK-SYS-198</x:v>
      </x:c>
      <x:c r="B573" s="14" t="str">
        <x:v>G47</x:v>
      </x:c>
      <x:c r="C573" s="14" t="str">
        <x:v>Legacy / Migration auf NACE Rev. 2.1 offen</x:v>
      </x:c>
      <x:c r="D573" s="14" t="str">
        <x:v>EU</x:v>
      </x:c>
      <x:c r="E573" s="14"/>
      <x:c r="F573" s="14" t="str">
        <x:v>%</x:v>
      </x:c>
      <x:c r="G573" s="14" t="str">
        <x:v>lower_is_better</x:v>
      </x:c>
      <x:c r="H573" s="14" t="str">
        <x:v>R13</x:v>
      </x:c>
      <x:c r="I573" s="14" t="str">
        <x:v>Optional/Nein</x:v>
      </x:c>
      <x:c r="J573" s="51"/>
      <x:c r="K573" s="51"/>
      <x:c r="L573" s="51"/>
      <x:c r="M573" s="51"/>
      <x:c r="N573" s="51"/>
      <x:c r="O573" s="54"/>
      <x:c r="P573" s="51" t="str">
        <x:v>Optional – kein aktiver Benchmark</x:v>
      </x:c>
      <x:c r="Q573" s="53" t="n">
        <x:v>15.5</x:v>
      </x:c>
      <x:c r="R573" s="53" t="n">
        <x:v>23.25</x:v>
      </x:c>
      <x:c r="S573" s="53" t="n">
        <x:v>38.75</x:v>
      </x:c>
      <x:c r="T573" s="53" t="str">
        <x:v>threshold:0-class</x:v>
      </x:c>
      <x:c r="U573" s="14" t="str">
        <x:v>Legacy-Werte bleiben nur als historische Rechenhilfe erhalten und werden nicht für den FinalScore verwendet.</x:v>
      </x:c>
    </x:row>
    <x:row r="574" ht="42" customHeight="1">
      <x:c r="A574" s="14" t="str">
        <x:v>WOK-SYS-199</x:v>
      </x:c>
      <x:c r="B574" s="14" t="str">
        <x:v>G47</x:v>
      </x:c>
      <x:c r="C574" s="14" t="str">
        <x:v>Legacy / Migration auf NACE Rev. 2.1 offen</x:v>
      </x:c>
      <x:c r="D574" s="14" t="str">
        <x:v>EU</x:v>
      </x:c>
      <x:c r="E574" s="14"/>
      <x:c r="F574" s="14" t="str">
        <x:v>#/Jahr</x:v>
      </x:c>
      <x:c r="G574" s="14" t="str">
        <x:v>higher_is_better</x:v>
      </x:c>
      <x:c r="H574" s="14" t="str">
        <x:v>R20</x:v>
      </x:c>
      <x:c r="I574" s="14" t="str">
        <x:v>Optional/Nein</x:v>
      </x:c>
      <x:c r="J574" s="51"/>
      <x:c r="K574" s="51"/>
      <x:c r="L574" s="51"/>
      <x:c r="M574" s="51"/>
      <x:c r="N574" s="51"/>
      <x:c r="O574" s="54"/>
      <x:c r="P574" s="51" t="str">
        <x:v>Optional – kein aktiver Benchmark</x:v>
      </x:c>
      <x:c r="Q574" s="53" t="n">
        <x:v>1.5</x:v>
      </x:c>
      <x:c r="R574" s="53" t="n">
        <x:v>2.25</x:v>
      </x:c>
      <x:c r="S574" s="53" t="n">
        <x:v>3.75</x:v>
      </x:c>
      <x:c r="T574" s="53" t="str">
        <x:v>threshold:0-class</x:v>
      </x:c>
      <x:c r="U574" s="14" t="str">
        <x:v>Legacy-Werte bleiben nur als historische Rechenhilfe erhalten und werden nicht für den FinalScore verwendet.</x:v>
      </x:c>
    </x:row>
    <x:row r="575" ht="42" customHeight="1">
      <x:c r="A575" s="14" t="str">
        <x:v>WOK-SYS-200</x:v>
      </x:c>
      <x:c r="B575" s="14" t="str">
        <x:v>G47</x:v>
      </x:c>
      <x:c r="C575" s="14" t="str">
        <x:v>Legacy / Migration auf NACE Rev. 2.1 offen</x:v>
      </x:c>
      <x:c r="D575" s="14" t="str">
        <x:v>EU</x:v>
      </x:c>
      <x:c r="E575" s="14"/>
      <x:c r="F575" s="14" t="str">
        <x:v>0–1</x:v>
      </x:c>
      <x:c r="G575" s="14" t="str">
        <x:v>higher_is_better</x:v>
      </x:c>
      <x:c r="H575" s="14" t="str">
        <x:v>R15</x:v>
      </x:c>
      <x:c r="I575" s="14" t="str">
        <x:v>Optional/Nein</x:v>
      </x:c>
      <x:c r="J575" s="51"/>
      <x:c r="K575" s="51"/>
      <x:c r="L575" s="51"/>
      <x:c r="M575" s="51"/>
      <x:c r="N575" s="51"/>
      <x:c r="O575" s="54"/>
      <x:c r="P575" s="51" t="str">
        <x:v>Optional – kein aktiver Benchmark</x:v>
      </x:c>
      <x:c r="Q575" s="53" t="n">
        <x:v>0.645</x:v>
      </x:c>
      <x:c r="R575" s="53" t="n">
        <x:v>0.9675</x:v>
      </x:c>
      <x:c r="S575" s="53" t="n">
        <x:v>1</x:v>
      </x:c>
      <x:c r="T575" s="53" t="str">
        <x:v>threshold:0-class</x:v>
      </x:c>
      <x:c r="U575" s="14" t="str">
        <x:v>Legacy-Werte bleiben nur als historische Rechenhilfe erhalten und werden nicht für den FinalScore verwendet.</x:v>
      </x:c>
    </x:row>
    <x:row r="576" ht="42" customHeight="1">
      <x:c r="A576" s="14" t="str">
        <x:v>WOK-SYS-201</x:v>
      </x:c>
      <x:c r="B576" s="14" t="str">
        <x:v>G47</x:v>
      </x:c>
      <x:c r="C576" s="14" t="str">
        <x:v>Legacy / Migration auf NACE Rev. 2.1 offen</x:v>
      </x:c>
      <x:c r="D576" s="14" t="str">
        <x:v>EU</x:v>
      </x:c>
      <x:c r="E576" s="14"/>
      <x:c r="F576" s="14" t="str">
        <x:v>%</x:v>
      </x:c>
      <x:c r="G576" s="14" t="str">
        <x:v>lower_is_better</x:v>
      </x:c>
      <x:c r="H576" s="14" t="str">
        <x:v>R13</x:v>
      </x:c>
      <x:c r="I576" s="14" t="str">
        <x:v>Optional/Nein</x:v>
      </x:c>
      <x:c r="J576" s="51"/>
      <x:c r="K576" s="51"/>
      <x:c r="L576" s="51"/>
      <x:c r="M576" s="51"/>
      <x:c r="N576" s="51"/>
      <x:c r="O576" s="54"/>
      <x:c r="P576" s="51" t="str">
        <x:v>Optional – kein aktiver Benchmark</x:v>
      </x:c>
      <x:c r="Q576" s="53" t="n">
        <x:v>15.5</x:v>
      </x:c>
      <x:c r="R576" s="53" t="n">
        <x:v>23.25</x:v>
      </x:c>
      <x:c r="S576" s="53" t="n">
        <x:v>38.75</x:v>
      </x:c>
      <x:c r="T576" s="53" t="str">
        <x:v>threshold:0-class</x:v>
      </x:c>
      <x:c r="U576" s="14" t="str">
        <x:v>Legacy-Werte bleiben nur als historische Rechenhilfe erhalten und werden nicht für den FinalScore verwendet.</x:v>
      </x:c>
    </x:row>
    <x:row r="577" ht="42" customHeight="1">
      <x:c r="A577" s="14" t="str">
        <x:v>WOK-SYS-202</x:v>
      </x:c>
      <x:c r="B577" s="14" t="str">
        <x:v>G47</x:v>
      </x:c>
      <x:c r="C577" s="14" t="str">
        <x:v>Legacy / Migration auf NACE Rev. 2.1 offen</x:v>
      </x:c>
      <x:c r="D577" s="14" t="str">
        <x:v>EU</x:v>
      </x:c>
      <x:c r="E577" s="14"/>
      <x:c r="F577" s="14" t="str">
        <x:v>#/Jahr</x:v>
      </x:c>
      <x:c r="G577" s="14" t="str">
        <x:v>higher_is_better</x:v>
      </x:c>
      <x:c r="H577" s="14" t="str">
        <x:v>R20</x:v>
      </x:c>
      <x:c r="I577" s="14" t="str">
        <x:v>Optional/Nein</x:v>
      </x:c>
      <x:c r="J577" s="51"/>
      <x:c r="K577" s="51"/>
      <x:c r="L577" s="51"/>
      <x:c r="M577" s="51"/>
      <x:c r="N577" s="51"/>
      <x:c r="O577" s="54"/>
      <x:c r="P577" s="51" t="str">
        <x:v>Optional – kein aktiver Benchmark</x:v>
      </x:c>
      <x:c r="Q577" s="53" t="n">
        <x:v>1.5</x:v>
      </x:c>
      <x:c r="R577" s="53" t="n">
        <x:v>2.25</x:v>
      </x:c>
      <x:c r="S577" s="53" t="n">
        <x:v>3.75</x:v>
      </x:c>
      <x:c r="T577" s="53" t="str">
        <x:v>threshold:0-class</x:v>
      </x:c>
      <x:c r="U577" s="14" t="str">
        <x:v>Legacy-Werte bleiben nur als historische Rechenhilfe erhalten und werden nicht für den FinalScore verwendet.</x:v>
      </x:c>
    </x:row>
    <x:row r="578" ht="42" customHeight="1">
      <x:c r="A578" s="14" t="str">
        <x:v>WOK-G-236</x:v>
      </x:c>
      <x:c r="B578" s="14" t="str">
        <x:v>G47</x:v>
      </x:c>
      <x:c r="C578" s="14" t="str">
        <x:v>Legacy / Migration auf NACE Rev. 2.1 offen</x:v>
      </x:c>
      <x:c r="D578" s="14" t="str">
        <x:v>EU</x:v>
      </x:c>
      <x:c r="E578" s="14"/>
      <x:c r="F578" s="14" t="str">
        <x:v>Fälle/1.000 FTE</x:v>
      </x:c>
      <x:c r="G578" s="14" t="str">
        <x:v>lower_is_better</x:v>
      </x:c>
      <x:c r="H578" s="14" t="str">
        <x:v>R01</x:v>
      </x:c>
      <x:c r="I578" s="14" t="str">
        <x:v>Optional/Nein</x:v>
      </x:c>
      <x:c r="J578" s="51"/>
      <x:c r="K578" s="51"/>
      <x:c r="L578" s="51"/>
      <x:c r="M578" s="51"/>
      <x:c r="N578" s="51"/>
      <x:c r="O578" s="54"/>
      <x:c r="P578" s="51" t="str">
        <x:v>Optional – kein aktiver Benchmark</x:v>
      </x:c>
      <x:c r="Q578" s="53" t="n">
        <x:v>0.5</x:v>
      </x:c>
      <x:c r="R578" s="53" t="n">
        <x:v>0.75</x:v>
      </x:c>
      <x:c r="S578" s="53" t="n">
        <x:v>1.25</x:v>
      </x:c>
      <x:c r="T578" s="53" t="str">
        <x:v>threshold:0-class</x:v>
      </x:c>
      <x:c r="U578" s="14" t="str">
        <x:v>Legacy-Werte bleiben nur als historische Rechenhilfe erhalten und werden nicht für den FinalScore verwendet.</x:v>
      </x:c>
    </x:row>
    <x:row r="579" ht="42" customHeight="1">
      <x:c r="A579" s="14" t="str">
        <x:v>WOK-G-237</x:v>
      </x:c>
      <x:c r="B579" s="14" t="str">
        <x:v>G47</x:v>
      </x:c>
      <x:c r="C579" s="14" t="str">
        <x:v>Legacy / Migration auf NACE Rev. 2.1 offen</x:v>
      </x:c>
      <x:c r="D579" s="14" t="str">
        <x:v>EU</x:v>
      </x:c>
      <x:c r="E579" s="14"/>
      <x:c r="F579" s="14" t="str">
        <x:v>0–1</x:v>
      </x:c>
      <x:c r="G579" s="14" t="str">
        <x:v>higher_is_better</x:v>
      </x:c>
      <x:c r="H579" s="14" t="str">
        <x:v>R16</x:v>
      </x:c>
      <x:c r="I579" s="14" t="str">
        <x:v>Optional/Nein</x:v>
      </x:c>
      <x:c r="J579" s="51"/>
      <x:c r="K579" s="51"/>
      <x:c r="L579" s="51"/>
      <x:c r="M579" s="51"/>
      <x:c r="N579" s="51"/>
      <x:c r="O579" s="54"/>
      <x:c r="P579" s="51" t="str">
        <x:v>Optional – kein aktiver Benchmark</x:v>
      </x:c>
      <x:c r="Q579" s="53" t="n">
        <x:v>0.6699999999999999</x:v>
      </x:c>
      <x:c r="R579" s="53" t="n">
        <x:v>1</x:v>
      </x:c>
      <x:c r="S579" s="53" t="n">
        <x:v>1</x:v>
      </x:c>
      <x:c r="T579" s="53" t="str">
        <x:v>threshold:0-class</x:v>
      </x:c>
      <x:c r="U579" s="14" t="str">
        <x:v>Legacy-Werte bleiben nur als historische Rechenhilfe erhalten und werden nicht für den FinalScore verwendet.</x:v>
      </x:c>
    </x:row>
    <x:row r="580" ht="42" customHeight="1">
      <x:c r="A580" s="14" t="str">
        <x:v>WOK-G-238</x:v>
      </x:c>
      <x:c r="B580" s="14" t="str">
        <x:v>G47</x:v>
      </x:c>
      <x:c r="C580" s="14" t="str">
        <x:v>Legacy / Migration auf NACE Rev. 2.1 offen</x:v>
      </x:c>
      <x:c r="D580" s="14" t="str">
        <x:v>EU</x:v>
      </x:c>
      <x:c r="E580" s="14"/>
      <x:c r="F580" s="14" t="str">
        <x:v>0–1</x:v>
      </x:c>
      <x:c r="G580" s="14" t="str">
        <x:v>higher_is_better</x:v>
      </x:c>
      <x:c r="H580" s="14" t="str">
        <x:v>R08</x:v>
      </x:c>
      <x:c r="I580" s="14" t="str">
        <x:v>Optional/Nein</x:v>
      </x:c>
      <x:c r="J580" s="51"/>
      <x:c r="K580" s="51"/>
      <x:c r="L580" s="51"/>
      <x:c r="M580" s="51"/>
      <x:c r="N580" s="51"/>
      <x:c r="O580" s="54"/>
      <x:c r="P580" s="51" t="str">
        <x:v>Optional – kein aktiver Benchmark</x:v>
      </x:c>
      <x:c r="Q580" s="53" t="n">
        <x:v>0.5</x:v>
      </x:c>
      <x:c r="R580" s="53" t="n">
        <x:v>0.75</x:v>
      </x:c>
      <x:c r="S580" s="53" t="n">
        <x:v>0.9</x:v>
      </x:c>
      <x:c r="T580" s="53" t="str">
        <x:v>default:higher_is_better_abs</x:v>
      </x:c>
      <x:c r="U580" s="14" t="str">
        <x:v>Legacy-Werte bleiben nur als historische Rechenhilfe erhalten und werden nicht für den FinalScore verwendet.</x:v>
      </x:c>
    </x:row>
    <x:row r="581" ht="42" customHeight="1">
      <x:c r="A581" s="14" t="str">
        <x:v>WOK-SC-164</x:v>
      </x:c>
      <x:c r="B581" s="14" t="str">
        <x:v>C20</x:v>
      </x:c>
      <x:c r="C581" s="14" t="str">
        <x:v>Legacy / Migration auf NACE Rev. 2.1 offen</x:v>
      </x:c>
      <x:c r="D581" s="14" t="str">
        <x:v>EU</x:v>
      </x:c>
      <x:c r="E581" s="14"/>
      <x:c r="F581" s="14" t="str">
        <x:v>%</x:v>
      </x:c>
      <x:c r="G581" s="14" t="str">
        <x:v>higher_is_better</x:v>
      </x:c>
      <x:c r="H581" s="14" t="str">
        <x:v>R26</x:v>
      </x:c>
      <x:c r="I581" s="14" t="str">
        <x:v>Optional/Nein</x:v>
      </x:c>
      <x:c r="J581" s="51"/>
      <x:c r="K581" s="51"/>
      <x:c r="L581" s="51"/>
      <x:c r="M581" s="51"/>
      <x:c r="N581" s="51"/>
      <x:c r="O581" s="54"/>
      <x:c r="P581" s="51" t="str">
        <x:v>Optional – kein aktiver Benchmark</x:v>
      </x:c>
      <x:c r="Q581" s="53" t="n">
        <x:v>59.5</x:v>
      </x:c>
      <x:c r="R581" s="53" t="n">
        <x:v>89.25</x:v>
      </x:c>
      <x:c r="S581" s="53" t="n">
        <x:v>100</x:v>
      </x:c>
      <x:c r="T581" s="53" t="str">
        <x:v>threshold:0-class</x:v>
      </x:c>
      <x:c r="U581" s="14" t="str">
        <x:v>Legacy-Werte bleiben nur als historische Rechenhilfe erhalten und werden nicht für den FinalScore verwendet.</x:v>
      </x:c>
    </x:row>
    <x:row r="582" ht="42" customHeight="1">
      <x:c r="A582" s="14" t="str">
        <x:v>WOK-SC-165</x:v>
      </x:c>
      <x:c r="B582" s="14" t="str">
        <x:v>C20</x:v>
      </x:c>
      <x:c r="C582" s="14" t="str">
        <x:v>Legacy / Migration auf NACE Rev. 2.1 offen</x:v>
      </x:c>
      <x:c r="D582" s="14" t="str">
        <x:v>EU</x:v>
      </x:c>
      <x:c r="E582" s="14"/>
      <x:c r="F582" s="14" t="str">
        <x:v>% Lieferanten</x:v>
      </x:c>
      <x:c r="G582" s="14" t="str">
        <x:v>higher_is_better</x:v>
      </x:c>
      <x:c r="H582" s="14" t="str">
        <x:v>R28</x:v>
      </x:c>
      <x:c r="I582" s="14" t="str">
        <x:v>Optional/Nein</x:v>
      </x:c>
      <x:c r="J582" s="51"/>
      <x:c r="K582" s="51"/>
      <x:c r="L582" s="51"/>
      <x:c r="M582" s="51"/>
      <x:c r="N582" s="51"/>
      <x:c r="O582" s="54"/>
      <x:c r="P582" s="51" t="str">
        <x:v>Optional – kein aktiver Benchmark</x:v>
      </x:c>
      <x:c r="Q582" s="53" t="n">
        <x:v>82</x:v>
      </x:c>
      <x:c r="R582" s="53" t="n">
        <x:v>100</x:v>
      </x:c>
      <x:c r="S582" s="53" t="n">
        <x:v>100</x:v>
      </x:c>
      <x:c r="T582" s="53" t="str">
        <x:v>threshold:0-class</x:v>
      </x:c>
      <x:c r="U582" s="14" t="str">
        <x:v>Legacy-Werte bleiben nur als historische Rechenhilfe erhalten und werden nicht für den FinalScore verwendet.</x:v>
      </x:c>
    </x:row>
    <x:row r="583" ht="42" customHeight="1">
      <x:c r="A583" s="14" t="str">
        <x:v>WOK-SC-166</x:v>
      </x:c>
      <x:c r="B583" s="14" t="str">
        <x:v>C20</x:v>
      </x:c>
      <x:c r="C583" s="14" t="str">
        <x:v>Legacy / Migration auf NACE Rev. 2.1 offen</x:v>
      </x:c>
      <x:c r="D583" s="14" t="str">
        <x:v>EU</x:v>
      </x:c>
      <x:c r="E583" s="14"/>
      <x:c r="F583" s="14" t="str">
        <x:v>% Kategorien</x:v>
      </x:c>
      <x:c r="G583" s="14" t="str">
        <x:v>higher_is_better</x:v>
      </x:c>
      <x:c r="H583" s="14" t="str">
        <x:v>R23</x:v>
      </x:c>
      <x:c r="I583" s="14" t="str">
        <x:v>Optional/Nein</x:v>
      </x:c>
      <x:c r="J583" s="51"/>
      <x:c r="K583" s="51"/>
      <x:c r="L583" s="51"/>
      <x:c r="M583" s="51"/>
      <x:c r="N583" s="51"/>
      <x:c r="O583" s="54"/>
      <x:c r="P583" s="51" t="str">
        <x:v>Optional – kein aktiver Benchmark</x:v>
      </x:c>
      <x:c r="Q583" s="53" t="n">
        <x:v>49.5</x:v>
      </x:c>
      <x:c r="R583" s="53" t="n">
        <x:v>74.25</x:v>
      </x:c>
      <x:c r="S583" s="53" t="n">
        <x:v>100</x:v>
      </x:c>
      <x:c r="T583" s="53" t="str">
        <x:v>threshold:0-class</x:v>
      </x:c>
      <x:c r="U583" s="14" t="str">
        <x:v>Legacy-Werte bleiben nur als historische Rechenhilfe erhalten und werden nicht für den FinalScore verwendet.</x:v>
      </x:c>
    </x:row>
    <x:row r="584" ht="42" customHeight="1">
      <x:c r="A584" s="14" t="str">
        <x:v>WOK-E-227</x:v>
      </x:c>
      <x:c r="B584" s="14" t="str">
        <x:v>C20</x:v>
      </x:c>
      <x:c r="C584" s="14" t="str">
        <x:v>Legacy / Migration auf NACE Rev. 2.1 offen</x:v>
      </x:c>
      <x:c r="D584" s="14" t="str">
        <x:v>EU</x:v>
      </x:c>
      <x:c r="E584" s="14"/>
      <x:c r="F584" s="14" t="str">
        <x:v>%</x:v>
      </x:c>
      <x:c r="G584" s="14" t="str">
        <x:v>higher_is_better</x:v>
      </x:c>
      <x:c r="H584" s="14" t="str">
        <x:v>R25</x:v>
      </x:c>
      <x:c r="I584" s="14" t="str">
        <x:v>Optional/Nein</x:v>
      </x:c>
      <x:c r="J584" s="51"/>
      <x:c r="K584" s="51"/>
      <x:c r="L584" s="51"/>
      <x:c r="M584" s="51"/>
      <x:c r="N584" s="51"/>
      <x:c r="O584" s="54"/>
      <x:c r="P584" s="51" t="str">
        <x:v>Optional – kein aktiver Benchmark</x:v>
      </x:c>
      <x:c r="Q584" s="53" t="n">
        <x:v>50</x:v>
      </x:c>
      <x:c r="R584" s="53" t="n">
        <x:v>75</x:v>
      </x:c>
      <x:c r="S584" s="53" t="n">
        <x:v>100</x:v>
      </x:c>
      <x:c r="T584" s="53" t="str">
        <x:v>default:higher_is_better_pct</x:v>
      </x:c>
      <x:c r="U584" s="14" t="str">
        <x:v>Legacy-Werte bleiben nur als historische Rechenhilfe erhalten und werden nicht für den FinalScore verwendet.</x:v>
      </x:c>
    </x:row>
    <x:row r="585" ht="42" customHeight="1">
      <x:c r="A585" s="14" t="str">
        <x:v>WOK-E-228</x:v>
      </x:c>
      <x:c r="B585" s="14" t="str">
        <x:v>C20</x:v>
      </x:c>
      <x:c r="C585" s="14" t="str">
        <x:v>Legacy / Migration auf NACE Rev. 2.1 offen</x:v>
      </x:c>
      <x:c r="D585" s="14" t="str">
        <x:v>EU</x:v>
      </x:c>
      <x:c r="E585" s="14"/>
      <x:c r="F585" s="14" t="str">
        <x:v>kWh/€ Mio bzw. kWh/t</x:v>
      </x:c>
      <x:c r="G585" s="14" t="str">
        <x:v>lower_is_better</x:v>
      </x:c>
      <x:c r="H585" s="14" t="str">
        <x:v>R06</x:v>
      </x:c>
      <x:c r="I585" s="14" t="str">
        <x:v>Ja</x:v>
      </x:c>
      <x:c r="J585" s="51"/>
      <x:c r="K585" s="51"/>
      <x:c r="L585" s="51"/>
      <x:c r="M585" s="51"/>
      <x:c r="N585" s="51"/>
      <x:c r="O585" s="54"/>
      <x:c r="P585" s="51" t="str">
        <x:v>Offen – validierter Benchmark fehlt</x:v>
      </x:c>
      <x:c r="Q585" s="53" t="n">
        <x:v>1</x:v>
      </x:c>
      <x:c r="R585" s="53" t="n">
        <x:v>1.5</x:v>
      </x:c>
      <x:c r="S585" s="53" t="n">
        <x:v>2.5</x:v>
      </x:c>
      <x:c r="T585" s="53" t="str">
        <x:v>default:lower_is_better_abs</x:v>
      </x:c>
      <x:c r="U585" s="14" t="str">
        <x:v>Vor Aktivierung repräsentative Population, Region, Technologieklasse, Statistik, Quelle und Gültigkeitszeitraum dokumentieren.</x:v>
      </x:c>
    </x:row>
    <x:row r="586" ht="42" customHeight="1">
      <x:c r="A586" s="14" t="str">
        <x:v>WOK-E-229</x:v>
      </x:c>
      <x:c r="B586" s="14" t="str">
        <x:v>C20</x:v>
      </x:c>
      <x:c r="C586" s="14" t="str">
        <x:v>Legacy / Migration auf NACE Rev. 2.1 offen</x:v>
      </x:c>
      <x:c r="D586" s="14" t="str">
        <x:v>EU</x:v>
      </x:c>
      <x:c r="E586" s="14"/>
      <x:c r="F586" s="14" t="str">
        <x:v>PUE</x:v>
      </x:c>
      <x:c r="G586" s="14" t="str">
        <x:v>lower_is_better</x:v>
      </x:c>
      <x:c r="H586" s="14" t="str">
        <x:v>R09</x:v>
      </x:c>
      <x:c r="I586" s="14" t="str">
        <x:v>Optional/Nein</x:v>
      </x:c>
      <x:c r="J586" s="51"/>
      <x:c r="K586" s="51"/>
      <x:c r="L586" s="51"/>
      <x:c r="M586" s="51"/>
      <x:c r="N586" s="51"/>
      <x:c r="O586" s="54"/>
      <x:c r="P586" s="51" t="str">
        <x:v>Optional – kein aktiver Benchmark</x:v>
      </x:c>
      <x:c r="Q586" s="53" t="n">
        <x:v>1.505</x:v>
      </x:c>
      <x:c r="R586" s="53" t="n">
        <x:v>2.2575</x:v>
      </x:c>
      <x:c r="S586" s="53" t="n">
        <x:v>3.7625</x:v>
      </x:c>
      <x:c r="T586" s="53" t="str">
        <x:v>threshold:0-class</x:v>
      </x:c>
      <x:c r="U586" s="14" t="str">
        <x:v>Legacy-Werte bleiben nur als historische Rechenhilfe erhalten und werden nicht für den FinalScore verwendet.</x:v>
      </x:c>
    </x:row>
    <x:row r="587" ht="42" customHeight="1">
      <x:c r="A587" s="14" t="str">
        <x:v>WOK-P-134</x:v>
      </x:c>
      <x:c r="B587" s="14" t="str">
        <x:v>J61</x:v>
      </x:c>
      <x:c r="C587" s="14" t="str">
        <x:v>Legacy / Migration auf NACE Rev. 2.1 offen</x:v>
      </x:c>
      <x:c r="D587" s="14" t="str">
        <x:v>EU</x:v>
      </x:c>
      <x:c r="E587" s="14"/>
      <x:c r="F587" s="14" t="str">
        <x:v>kg CO₂e/Einheit</x:v>
      </x:c>
      <x:c r="G587" s="14" t="str">
        <x:v>lower_is_better</x:v>
      </x:c>
      <x:c r="H587" s="14" t="str">
        <x:v>R07</x:v>
      </x:c>
      <x:c r="I587" s="14" t="str">
        <x:v>Ja</x:v>
      </x:c>
      <x:c r="J587" s="51"/>
      <x:c r="K587" s="51"/>
      <x:c r="L587" s="51"/>
      <x:c r="M587" s="51"/>
      <x:c r="N587" s="51"/>
      <x:c r="O587" s="54"/>
      <x:c r="P587" s="51" t="str">
        <x:v>Offen – validierter Benchmark fehlt</x:v>
      </x:c>
      <x:c r="Q587" s="53" t="n">
        <x:v>1</x:v>
      </x:c>
      <x:c r="R587" s="53" t="n">
        <x:v>1.5</x:v>
      </x:c>
      <x:c r="S587" s="53" t="n">
        <x:v>2.5</x:v>
      </x:c>
      <x:c r="T587" s="53" t="str">
        <x:v>default:lower_is_better_abs</x:v>
      </x:c>
      <x:c r="U587" s="14" t="str">
        <x:v>Vor Aktivierung repräsentative Population, Region, Technologieklasse, Statistik, Quelle und Gültigkeitszeitraum dokumentieren.</x:v>
      </x:c>
    </x:row>
    <x:row r="588" ht="42" customHeight="1">
      <x:c r="A588" s="14" t="str">
        <x:v>WOK-P-135</x:v>
      </x:c>
      <x:c r="B588" s="14" t="str">
        <x:v>J61</x:v>
      </x:c>
      <x:c r="C588" s="14" t="str">
        <x:v>Legacy / Migration auf NACE Rev. 2.1 offen</x:v>
      </x:c>
      <x:c r="D588" s="14" t="str">
        <x:v>EU</x:v>
      </x:c>
      <x:c r="E588" s="14"/>
      <x:c r="F588" s="14" t="str">
        <x:v>Score 0–10</x:v>
      </x:c>
      <x:c r="G588" s="14" t="str">
        <x:v>higher_is_better</x:v>
      </x:c>
      <x:c r="H588" s="14" t="str">
        <x:v>R24</x:v>
      </x:c>
      <x:c r="I588" s="14" t="str">
        <x:v>Optional/Nein</x:v>
      </x:c>
      <x:c r="J588" s="51"/>
      <x:c r="K588" s="51"/>
      <x:c r="L588" s="51"/>
      <x:c r="M588" s="51"/>
      <x:c r="N588" s="51"/>
      <x:c r="O588" s="54"/>
      <x:c r="P588" s="51" t="str">
        <x:v>Optional – kein aktiver Benchmark</x:v>
      </x:c>
      <x:c r="Q588" s="53" t="n">
        <x:v>4.95</x:v>
      </x:c>
      <x:c r="R588" s="53" t="n">
        <x:v>1</x:v>
      </x:c>
      <x:c r="S588" s="53" t="n">
        <x:v>1</x:v>
      </x:c>
      <x:c r="T588" s="53" t="str">
        <x:v>threshold:0-class</x:v>
      </x:c>
      <x:c r="U588" s="14" t="str">
        <x:v>Legacy-Werte bleiben nur als historische Rechenhilfe erhalten und werden nicht für den FinalScore verwendet.</x:v>
      </x:c>
    </x:row>
    <x:row r="589" ht="42" customHeight="1">
      <x:c r="A589" s="14" t="str">
        <x:v>WOK-P-136</x:v>
      </x:c>
      <x:c r="B589" s="14" t="str">
        <x:v>J61</x:v>
      </x:c>
      <x:c r="C589" s="14" t="str">
        <x:v>Legacy / Migration auf NACE Rev. 2.1 offen</x:v>
      </x:c>
      <x:c r="D589" s="14" t="str">
        <x:v>EU</x:v>
      </x:c>
      <x:c r="E589" s="14"/>
      <x:c r="F589" s="14" t="str">
        <x:v>%</x:v>
      </x:c>
      <x:c r="G589" s="14" t="str">
        <x:v>higher_is_better</x:v>
      </x:c>
      <x:c r="H589" s="14" t="str">
        <x:v>R22</x:v>
      </x:c>
      <x:c r="I589" s="14" t="str">
        <x:v>Optional/Nein</x:v>
      </x:c>
      <x:c r="J589" s="51"/>
      <x:c r="K589" s="51"/>
      <x:c r="L589" s="51"/>
      <x:c r="M589" s="51"/>
      <x:c r="N589" s="51"/>
      <x:c r="O589" s="54"/>
      <x:c r="P589" s="51" t="str">
        <x:v>Optional – kein aktiver Benchmark</x:v>
      </x:c>
      <x:c r="Q589" s="53" t="n">
        <x:v>39.5</x:v>
      </x:c>
      <x:c r="R589" s="53" t="n">
        <x:v>59.25</x:v>
      </x:c>
      <x:c r="S589" s="53" t="n">
        <x:v>98.75</x:v>
      </x:c>
      <x:c r="T589" s="53" t="str">
        <x:v>threshold:0-class</x:v>
      </x:c>
      <x:c r="U589" s="14" t="str">
        <x:v>Legacy-Werte bleiben nur als historische Rechenhilfe erhalten und werden nicht für den FinalScore verwendet.</x:v>
      </x:c>
    </x:row>
    <x:row r="590" ht="42" customHeight="1">
      <x:c r="A590" s="14" t="str">
        <x:v>WOK-SYS-203</x:v>
      </x:c>
      <x:c r="B590" s="14" t="str">
        <x:v>G47</x:v>
      </x:c>
      <x:c r="C590" s="14" t="str">
        <x:v>Legacy / Migration auf NACE Rev. 2.1 offen</x:v>
      </x:c>
      <x:c r="D590" s="14" t="str">
        <x:v>EU</x:v>
      </x:c>
      <x:c r="E590" s="14"/>
      <x:c r="F590" s="14" t="str">
        <x:v>0–1</x:v>
      </x:c>
      <x:c r="G590" s="14" t="str">
        <x:v>higher_is_better</x:v>
      </x:c>
      <x:c r="H590" s="14" t="str">
        <x:v>R15</x:v>
      </x:c>
      <x:c r="I590" s="14" t="str">
        <x:v>Optional/Nein</x:v>
      </x:c>
      <x:c r="J590" s="51"/>
      <x:c r="K590" s="51"/>
      <x:c r="L590" s="51"/>
      <x:c r="M590" s="51"/>
      <x:c r="N590" s="51"/>
      <x:c r="O590" s="54"/>
      <x:c r="P590" s="51" t="str">
        <x:v>Optional – kein aktiver Benchmark</x:v>
      </x:c>
      <x:c r="Q590" s="53" t="n">
        <x:v>0.645</x:v>
      </x:c>
      <x:c r="R590" s="53" t="n">
        <x:v>0.9675</x:v>
      </x:c>
      <x:c r="S590" s="53" t="n">
        <x:v>1</x:v>
      </x:c>
      <x:c r="T590" s="53" t="str">
        <x:v>threshold:0-class</x:v>
      </x:c>
      <x:c r="U590" s="14" t="str">
        <x:v>Legacy-Werte bleiben nur als historische Rechenhilfe erhalten und werden nicht für den FinalScore verwendet.</x:v>
      </x:c>
    </x:row>
    <x:row r="591" ht="42" customHeight="1">
      <x:c r="A591" s="14" t="str">
        <x:v>WOK-SYS-204</x:v>
      </x:c>
      <x:c r="B591" s="14" t="str">
        <x:v>G47</x:v>
      </x:c>
      <x:c r="C591" s="14" t="str">
        <x:v>Legacy / Migration auf NACE Rev. 2.1 offen</x:v>
      </x:c>
      <x:c r="D591" s="14" t="str">
        <x:v>EU</x:v>
      </x:c>
      <x:c r="E591" s="14"/>
      <x:c r="F591" s="14" t="str">
        <x:v>%</x:v>
      </x:c>
      <x:c r="G591" s="14" t="str">
        <x:v>lower_is_better</x:v>
      </x:c>
      <x:c r="H591" s="14" t="str">
        <x:v>R13</x:v>
      </x:c>
      <x:c r="I591" s="14" t="str">
        <x:v>Optional/Nein</x:v>
      </x:c>
      <x:c r="J591" s="51"/>
      <x:c r="K591" s="51"/>
      <x:c r="L591" s="51"/>
      <x:c r="M591" s="51"/>
      <x:c r="N591" s="51"/>
      <x:c r="O591" s="54"/>
      <x:c r="P591" s="51" t="str">
        <x:v>Optional – kein aktiver Benchmark</x:v>
      </x:c>
      <x:c r="Q591" s="53" t="n">
        <x:v>15.5</x:v>
      </x:c>
      <x:c r="R591" s="53" t="n">
        <x:v>23.25</x:v>
      </x:c>
      <x:c r="S591" s="53" t="n">
        <x:v>38.75</x:v>
      </x:c>
      <x:c r="T591" s="53" t="str">
        <x:v>threshold:0-class</x:v>
      </x:c>
      <x:c r="U591" s="14" t="str">
        <x:v>Legacy-Werte bleiben nur als historische Rechenhilfe erhalten und werden nicht für den FinalScore verwendet.</x:v>
      </x:c>
    </x:row>
    <x:row r="592" ht="42" customHeight="1">
      <x:c r="A592" s="14" t="str">
        <x:v>WOK-SYS-205</x:v>
      </x:c>
      <x:c r="B592" s="14" t="str">
        <x:v>G47</x:v>
      </x:c>
      <x:c r="C592" s="14" t="str">
        <x:v>Legacy / Migration auf NACE Rev. 2.1 offen</x:v>
      </x:c>
      <x:c r="D592" s="14" t="str">
        <x:v>EU</x:v>
      </x:c>
      <x:c r="E592" s="14"/>
      <x:c r="F592" s="14" t="str">
        <x:v>#/Jahr</x:v>
      </x:c>
      <x:c r="G592" s="14" t="str">
        <x:v>higher_is_better</x:v>
      </x:c>
      <x:c r="H592" s="14" t="str">
        <x:v>R20</x:v>
      </x:c>
      <x:c r="I592" s="14" t="str">
        <x:v>Optional/Nein</x:v>
      </x:c>
      <x:c r="J592" s="51"/>
      <x:c r="K592" s="51"/>
      <x:c r="L592" s="51"/>
      <x:c r="M592" s="51"/>
      <x:c r="N592" s="51"/>
      <x:c r="O592" s="54"/>
      <x:c r="P592" s="51" t="str">
        <x:v>Optional – kein aktiver Benchmark</x:v>
      </x:c>
      <x:c r="Q592" s="53" t="n">
        <x:v>1.5</x:v>
      </x:c>
      <x:c r="R592" s="53" t="n">
        <x:v>2.25</x:v>
      </x:c>
      <x:c r="S592" s="53" t="n">
        <x:v>3.75</x:v>
      </x:c>
      <x:c r="T592" s="53" t="str">
        <x:v>threshold:0-class</x:v>
      </x:c>
      <x:c r="U592" s="14" t="str">
        <x:v>Legacy-Werte bleiben nur als historische Rechenhilfe erhalten und werden nicht für den FinalScore verwendet.</x:v>
      </x:c>
    </x:row>
    <x:row r="593" ht="42" customHeight="1">
      <x:c r="A593" s="14" t="str">
        <x:v>WOK-SYS-206</x:v>
      </x:c>
      <x:c r="B593" s="14" t="str">
        <x:v>G47</x:v>
      </x:c>
      <x:c r="C593" s="14" t="str">
        <x:v>Legacy / Migration auf NACE Rev. 2.1 offen</x:v>
      </x:c>
      <x:c r="D593" s="14" t="str">
        <x:v>EU</x:v>
      </x:c>
      <x:c r="E593" s="14"/>
      <x:c r="F593" s="14" t="str">
        <x:v>0–1</x:v>
      </x:c>
      <x:c r="G593" s="14" t="str">
        <x:v>higher_is_better</x:v>
      </x:c>
      <x:c r="H593" s="14" t="str">
        <x:v>R15</x:v>
      </x:c>
      <x:c r="I593" s="14" t="str">
        <x:v>Optional/Nein</x:v>
      </x:c>
      <x:c r="J593" s="51"/>
      <x:c r="K593" s="51"/>
      <x:c r="L593" s="51"/>
      <x:c r="M593" s="51"/>
      <x:c r="N593" s="51"/>
      <x:c r="O593" s="54"/>
      <x:c r="P593" s="51" t="str">
        <x:v>Optional – kein aktiver Benchmark</x:v>
      </x:c>
      <x:c r="Q593" s="53" t="n">
        <x:v>0.645</x:v>
      </x:c>
      <x:c r="R593" s="53" t="n">
        <x:v>0.9675</x:v>
      </x:c>
      <x:c r="S593" s="53" t="n">
        <x:v>1</x:v>
      </x:c>
      <x:c r="T593" s="53" t="str">
        <x:v>threshold:0-class</x:v>
      </x:c>
      <x:c r="U593" s="14" t="str">
        <x:v>Legacy-Werte bleiben nur als historische Rechenhilfe erhalten und werden nicht für den FinalScore verwendet.</x:v>
      </x:c>
    </x:row>
    <x:row r="594" ht="42" customHeight="1">
      <x:c r="A594" s="14" t="str">
        <x:v>WOK-SYS-207</x:v>
      </x:c>
      <x:c r="B594" s="14" t="str">
        <x:v>G47</x:v>
      </x:c>
      <x:c r="C594" s="14" t="str">
        <x:v>Legacy / Migration auf NACE Rev. 2.1 offen</x:v>
      </x:c>
      <x:c r="D594" s="14" t="str">
        <x:v>EU</x:v>
      </x:c>
      <x:c r="E594" s="14"/>
      <x:c r="F594" s="14" t="str">
        <x:v>%</x:v>
      </x:c>
      <x:c r="G594" s="14" t="str">
        <x:v>lower_is_better</x:v>
      </x:c>
      <x:c r="H594" s="14" t="str">
        <x:v>R13</x:v>
      </x:c>
      <x:c r="I594" s="14" t="str">
        <x:v>Optional/Nein</x:v>
      </x:c>
      <x:c r="J594" s="51"/>
      <x:c r="K594" s="51"/>
      <x:c r="L594" s="51"/>
      <x:c r="M594" s="51"/>
      <x:c r="N594" s="51"/>
      <x:c r="O594" s="54"/>
      <x:c r="P594" s="51" t="str">
        <x:v>Optional – kein aktiver Benchmark</x:v>
      </x:c>
      <x:c r="Q594" s="53" t="n">
        <x:v>15.5</x:v>
      </x:c>
      <x:c r="R594" s="53" t="n">
        <x:v>23.25</x:v>
      </x:c>
      <x:c r="S594" s="53" t="n">
        <x:v>38.75</x:v>
      </x:c>
      <x:c r="T594" s="53" t="str">
        <x:v>threshold:0-class</x:v>
      </x:c>
      <x:c r="U594" s="14" t="str">
        <x:v>Legacy-Werte bleiben nur als historische Rechenhilfe erhalten und werden nicht für den FinalScore verwendet.</x:v>
      </x:c>
    </x:row>
    <x:row r="595" ht="42" customHeight="1">
      <x:c r="A595" s="14" t="str">
        <x:v>WOK-SYS-208</x:v>
      </x:c>
      <x:c r="B595" s="14" t="str">
        <x:v>G47</x:v>
      </x:c>
      <x:c r="C595" s="14" t="str">
        <x:v>Legacy / Migration auf NACE Rev. 2.1 offen</x:v>
      </x:c>
      <x:c r="D595" s="14" t="str">
        <x:v>EU</x:v>
      </x:c>
      <x:c r="E595" s="14"/>
      <x:c r="F595" s="14" t="str">
        <x:v>#/Jahr</x:v>
      </x:c>
      <x:c r="G595" s="14" t="str">
        <x:v>higher_is_better</x:v>
      </x:c>
      <x:c r="H595" s="14" t="str">
        <x:v>R20</x:v>
      </x:c>
      <x:c r="I595" s="14" t="str">
        <x:v>Optional/Nein</x:v>
      </x:c>
      <x:c r="J595" s="51"/>
      <x:c r="K595" s="51"/>
      <x:c r="L595" s="51"/>
      <x:c r="M595" s="51"/>
      <x:c r="N595" s="51"/>
      <x:c r="O595" s="54"/>
      <x:c r="P595" s="51" t="str">
        <x:v>Optional – kein aktiver Benchmark</x:v>
      </x:c>
      <x:c r="Q595" s="53" t="n">
        <x:v>1.5</x:v>
      </x:c>
      <x:c r="R595" s="53" t="n">
        <x:v>2.25</x:v>
      </x:c>
      <x:c r="S595" s="53" t="n">
        <x:v>3.75</x:v>
      </x:c>
      <x:c r="T595" s="53" t="str">
        <x:v>threshold:0-class</x:v>
      </x:c>
      <x:c r="U595" s="14" t="str">
        <x:v>Legacy-Werte bleiben nur als historische Rechenhilfe erhalten und werden nicht für den FinalScore verwendet.</x:v>
      </x:c>
    </x:row>
    <x:row r="596" ht="42" customHeight="1">
      <x:c r="A596" s="14" t="str">
        <x:v>WOK-G-239</x:v>
      </x:c>
      <x:c r="B596" s="14" t="str">
        <x:v>G47</x:v>
      </x:c>
      <x:c r="C596" s="14" t="str">
        <x:v>Legacy / Migration auf NACE Rev. 2.1 offen</x:v>
      </x:c>
      <x:c r="D596" s="14" t="str">
        <x:v>EU</x:v>
      </x:c>
      <x:c r="E596" s="14"/>
      <x:c r="F596" s="14" t="str">
        <x:v>Fälle/1.000 FTE</x:v>
      </x:c>
      <x:c r="G596" s="14" t="str">
        <x:v>lower_is_better</x:v>
      </x:c>
      <x:c r="H596" s="14" t="str">
        <x:v>R01</x:v>
      </x:c>
      <x:c r="I596" s="14" t="str">
        <x:v>Optional/Nein</x:v>
      </x:c>
      <x:c r="J596" s="51"/>
      <x:c r="K596" s="51"/>
      <x:c r="L596" s="51"/>
      <x:c r="M596" s="51"/>
      <x:c r="N596" s="51"/>
      <x:c r="O596" s="54"/>
      <x:c r="P596" s="51" t="str">
        <x:v>Optional – kein aktiver Benchmark</x:v>
      </x:c>
      <x:c r="Q596" s="53" t="n">
        <x:v>0.5</x:v>
      </x:c>
      <x:c r="R596" s="53" t="n">
        <x:v>0.75</x:v>
      </x:c>
      <x:c r="S596" s="53" t="n">
        <x:v>1.25</x:v>
      </x:c>
      <x:c r="T596" s="53" t="str">
        <x:v>threshold:0-class</x:v>
      </x:c>
      <x:c r="U596" s="14" t="str">
        <x:v>Legacy-Werte bleiben nur als historische Rechenhilfe erhalten und werden nicht für den FinalScore verwendet.</x:v>
      </x:c>
    </x:row>
    <x:row r="597" ht="42" customHeight="1">
      <x:c r="A597" s="14" t="str">
        <x:v>WOK-G-240</x:v>
      </x:c>
      <x:c r="B597" s="14" t="str">
        <x:v>G47</x:v>
      </x:c>
      <x:c r="C597" s="14" t="str">
        <x:v>Legacy / Migration auf NACE Rev. 2.1 offen</x:v>
      </x:c>
      <x:c r="D597" s="14" t="str">
        <x:v>EU</x:v>
      </x:c>
      <x:c r="E597" s="14"/>
      <x:c r="F597" s="14" t="str">
        <x:v>0–1</x:v>
      </x:c>
      <x:c r="G597" s="14" t="str">
        <x:v>higher_is_better</x:v>
      </x:c>
      <x:c r="H597" s="14" t="str">
        <x:v>R16</x:v>
      </x:c>
      <x:c r="I597" s="14" t="str">
        <x:v>Optional/Nein</x:v>
      </x:c>
      <x:c r="J597" s="51"/>
      <x:c r="K597" s="51"/>
      <x:c r="L597" s="51"/>
      <x:c r="M597" s="51"/>
      <x:c r="N597" s="51"/>
      <x:c r="O597" s="54"/>
      <x:c r="P597" s="51" t="str">
        <x:v>Optional – kein aktiver Benchmark</x:v>
      </x:c>
      <x:c r="Q597" s="53" t="n">
        <x:v>0.6699999999999999</x:v>
      </x:c>
      <x:c r="R597" s="53" t="n">
        <x:v>1</x:v>
      </x:c>
      <x:c r="S597" s="53" t="n">
        <x:v>1</x:v>
      </x:c>
      <x:c r="T597" s="53" t="str">
        <x:v>threshold:0-class</x:v>
      </x:c>
      <x:c r="U597" s="14" t="str">
        <x:v>Legacy-Werte bleiben nur als historische Rechenhilfe erhalten und werden nicht für den FinalScore verwendet.</x:v>
      </x:c>
    </x:row>
    <x:row r="598" ht="42" customHeight="1">
      <x:c r="A598" s="14" t="str">
        <x:v>WOK-G-241</x:v>
      </x:c>
      <x:c r="B598" s="14" t="str">
        <x:v>G47</x:v>
      </x:c>
      <x:c r="C598" s="14" t="str">
        <x:v>Legacy / Migration auf NACE Rev. 2.1 offen</x:v>
      </x:c>
      <x:c r="D598" s="14" t="str">
        <x:v>EU</x:v>
      </x:c>
      <x:c r="E598" s="14"/>
      <x:c r="F598" s="14" t="str">
        <x:v>0–1</x:v>
      </x:c>
      <x:c r="G598" s="14" t="str">
        <x:v>higher_is_better</x:v>
      </x:c>
      <x:c r="H598" s="14" t="str">
        <x:v>R08</x:v>
      </x:c>
      <x:c r="I598" s="14" t="str">
        <x:v>Optional/Nein</x:v>
      </x:c>
      <x:c r="J598" s="51"/>
      <x:c r="K598" s="51"/>
      <x:c r="L598" s="51"/>
      <x:c r="M598" s="51"/>
      <x:c r="N598" s="51"/>
      <x:c r="O598" s="54"/>
      <x:c r="P598" s="51" t="str">
        <x:v>Optional – kein aktiver Benchmark</x:v>
      </x:c>
      <x:c r="Q598" s="53" t="n">
        <x:v>0.5</x:v>
      </x:c>
      <x:c r="R598" s="53" t="n">
        <x:v>0.75</x:v>
      </x:c>
      <x:c r="S598" s="53" t="n">
        <x:v>0.9</x:v>
      </x:c>
      <x:c r="T598" s="53" t="str">
        <x:v>default:higher_is_better_abs</x:v>
      </x:c>
      <x:c r="U598" s="14" t="str">
        <x:v>Legacy-Werte bleiben nur als historische Rechenhilfe erhalten und werden nicht für den FinalScore verwendet.</x:v>
      </x:c>
    </x:row>
    <x:row r="599" ht="42" customHeight="1">
      <x:c r="A599" s="14" t="str">
        <x:v>WOK-SC-167</x:v>
      </x:c>
      <x:c r="B599" s="14" t="str">
        <x:v>G47</x:v>
      </x:c>
      <x:c r="C599" s="14" t="str">
        <x:v>Legacy / Migration auf NACE Rev. 2.1 offen</x:v>
      </x:c>
      <x:c r="D599" s="14" t="str">
        <x:v>EU</x:v>
      </x:c>
      <x:c r="E599" s="14"/>
      <x:c r="F599" s="14" t="str">
        <x:v>%</x:v>
      </x:c>
      <x:c r="G599" s="14" t="str">
        <x:v>higher_is_better</x:v>
      </x:c>
      <x:c r="H599" s="14" t="str">
        <x:v>R26</x:v>
      </x:c>
      <x:c r="I599" s="14" t="str">
        <x:v>Optional/Nein</x:v>
      </x:c>
      <x:c r="J599" s="51"/>
      <x:c r="K599" s="51"/>
      <x:c r="L599" s="51"/>
      <x:c r="M599" s="51"/>
      <x:c r="N599" s="51"/>
      <x:c r="O599" s="54"/>
      <x:c r="P599" s="51" t="str">
        <x:v>Optional – kein aktiver Benchmark</x:v>
      </x:c>
      <x:c r="Q599" s="53" t="n">
        <x:v>59.5</x:v>
      </x:c>
      <x:c r="R599" s="53" t="n">
        <x:v>89.25</x:v>
      </x:c>
      <x:c r="S599" s="53" t="n">
        <x:v>100</x:v>
      </x:c>
      <x:c r="T599" s="53" t="str">
        <x:v>threshold:0-class</x:v>
      </x:c>
      <x:c r="U599" s="14" t="str">
        <x:v>Legacy-Werte bleiben nur als historische Rechenhilfe erhalten und werden nicht für den FinalScore verwendet.</x:v>
      </x:c>
    </x:row>
    <x:row r="600" ht="42" customHeight="1">
      <x:c r="A600" s="14" t="str">
        <x:v>WOK-SC-168</x:v>
      </x:c>
      <x:c r="B600" s="14" t="str">
        <x:v>G47</x:v>
      </x:c>
      <x:c r="C600" s="14" t="str">
        <x:v>Legacy / Migration auf NACE Rev. 2.1 offen</x:v>
      </x:c>
      <x:c r="D600" s="14" t="str">
        <x:v>EU</x:v>
      </x:c>
      <x:c r="E600" s="14"/>
      <x:c r="F600" s="14" t="str">
        <x:v>% Lieferanten</x:v>
      </x:c>
      <x:c r="G600" s="14" t="str">
        <x:v>higher_is_better</x:v>
      </x:c>
      <x:c r="H600" s="14" t="str">
        <x:v>R28</x:v>
      </x:c>
      <x:c r="I600" s="14" t="str">
        <x:v>Optional/Nein</x:v>
      </x:c>
      <x:c r="J600" s="51"/>
      <x:c r="K600" s="51"/>
      <x:c r="L600" s="51"/>
      <x:c r="M600" s="51"/>
      <x:c r="N600" s="51"/>
      <x:c r="O600" s="54"/>
      <x:c r="P600" s="51" t="str">
        <x:v>Optional – kein aktiver Benchmark</x:v>
      </x:c>
      <x:c r="Q600" s="53" t="n">
        <x:v>82</x:v>
      </x:c>
      <x:c r="R600" s="53" t="n">
        <x:v>100</x:v>
      </x:c>
      <x:c r="S600" s="53" t="n">
        <x:v>100</x:v>
      </x:c>
      <x:c r="T600" s="53" t="str">
        <x:v>threshold:0-class</x:v>
      </x:c>
      <x:c r="U600" s="14" t="str">
        <x:v>Legacy-Werte bleiben nur als historische Rechenhilfe erhalten und werden nicht für den FinalScore verwendet.</x:v>
      </x:c>
    </x:row>
    <x:row r="601" ht="42" customHeight="1">
      <x:c r="A601" s="14" t="str">
        <x:v>WOK-SC-169</x:v>
      </x:c>
      <x:c r="B601" s="14" t="str">
        <x:v>G47</x:v>
      </x:c>
      <x:c r="C601" s="14" t="str">
        <x:v>Legacy / Migration auf NACE Rev. 2.1 offen</x:v>
      </x:c>
      <x:c r="D601" s="14" t="str">
        <x:v>EU</x:v>
      </x:c>
      <x:c r="E601" s="14"/>
      <x:c r="F601" s="14" t="str">
        <x:v>% Kategorien</x:v>
      </x:c>
      <x:c r="G601" s="14" t="str">
        <x:v>higher_is_better</x:v>
      </x:c>
      <x:c r="H601" s="14" t="str">
        <x:v>R23</x:v>
      </x:c>
      <x:c r="I601" s="14" t="str">
        <x:v>Optional/Nein</x:v>
      </x:c>
      <x:c r="J601" s="51"/>
      <x:c r="K601" s="51"/>
      <x:c r="L601" s="51"/>
      <x:c r="M601" s="51"/>
      <x:c r="N601" s="51"/>
      <x:c r="O601" s="54"/>
      <x:c r="P601" s="51" t="str">
        <x:v>Optional – kein aktiver Benchmark</x:v>
      </x:c>
      <x:c r="Q601" s="53" t="n">
        <x:v>49.5</x:v>
      </x:c>
      <x:c r="R601" s="53" t="n">
        <x:v>74.25</x:v>
      </x:c>
      <x:c r="S601" s="53" t="n">
        <x:v>100</x:v>
      </x:c>
      <x:c r="T601" s="53" t="str">
        <x:v>threshold:0-class</x:v>
      </x:c>
      <x:c r="U601" s="14" t="str">
        <x:v>Legacy-Werte bleiben nur als historische Rechenhilfe erhalten und werden nicht für den FinalScore verwendet.</x:v>
      </x:c>
    </x:row>
    <x:row r="602" ht="42" customHeight="1">
      <x:c r="A602" s="14" t="str">
        <x:v>WOK-RE-125</x:v>
      </x:c>
      <x:c r="B602" s="14" t="str">
        <x:v>L68</x:v>
      </x:c>
      <x:c r="C602" s="14" t="str">
        <x:v>Legacy / Migration auf NACE Rev. 2.1 offen</x:v>
      </x:c>
      <x:c r="D602" s="14" t="str">
        <x:v>EU</x:v>
      </x:c>
      <x:c r="E602" s="14"/>
      <x:c r="F602" s="14" t="str">
        <x:v>kWh/m²a</x:v>
      </x:c>
      <x:c r="G602" s="14" t="str">
        <x:v>lower_is_better</x:v>
      </x:c>
      <x:c r="H602" s="14" t="str">
        <x:v>R05</x:v>
      </x:c>
      <x:c r="I602" s="14" t="str">
        <x:v>Ja</x:v>
      </x:c>
      <x:c r="J602" s="51"/>
      <x:c r="K602" s="51"/>
      <x:c r="L602" s="51"/>
      <x:c r="M602" s="51"/>
      <x:c r="N602" s="51"/>
      <x:c r="O602" s="54"/>
      <x:c r="P602" s="51" t="str">
        <x:v>Offen – validierter Benchmark fehlt</x:v>
      </x:c>
      <x:c r="Q602" s="53" t="n">
        <x:v>1</x:v>
      </x:c>
      <x:c r="R602" s="53" t="n">
        <x:v>1.5</x:v>
      </x:c>
      <x:c r="S602" s="53" t="n">
        <x:v>2.5</x:v>
      </x:c>
      <x:c r="T602" s="53" t="str">
        <x:v>default:lower_is_better_abs</x:v>
      </x:c>
      <x:c r="U602" s="14" t="str">
        <x:v>Vor Aktivierung repräsentative Population, Region, Technologieklasse, Statistik, Quelle und Gültigkeitszeitraum dokumentieren.</x:v>
      </x:c>
    </x:row>
    <x:row r="603" ht="42" customHeight="1">
      <x:c r="A603" s="14" t="str">
        <x:v>WOK-RE-126</x:v>
      </x:c>
      <x:c r="B603" s="14" t="str">
        <x:v>L68</x:v>
      </x:c>
      <x:c r="C603" s="14" t="str">
        <x:v>Legacy / Migration auf NACE Rev. 2.1 offen</x:v>
      </x:c>
      <x:c r="D603" s="14" t="str">
        <x:v>EU</x:v>
      </x:c>
      <x:c r="E603" s="14"/>
      <x:c r="F603" s="14" t="str">
        <x:v>kg CO₂e/m²</x:v>
      </x:c>
      <x:c r="G603" s="14" t="str">
        <x:v>lower_is_better</x:v>
      </x:c>
      <x:c r="H603" s="14" t="str">
        <x:v>R06</x:v>
      </x:c>
      <x:c r="I603" s="14" t="str">
        <x:v>Ja</x:v>
      </x:c>
      <x:c r="J603" s="51"/>
      <x:c r="K603" s="51"/>
      <x:c r="L603" s="51"/>
      <x:c r="M603" s="51"/>
      <x:c r="N603" s="51"/>
      <x:c r="O603" s="54"/>
      <x:c r="P603" s="51" t="str">
        <x:v>Offen – validierter Benchmark fehlt</x:v>
      </x:c>
      <x:c r="Q603" s="53" t="n">
        <x:v>1</x:v>
      </x:c>
      <x:c r="R603" s="53" t="n">
        <x:v>1.5</x:v>
      </x:c>
      <x:c r="S603" s="53" t="n">
        <x:v>2.5</x:v>
      </x:c>
      <x:c r="T603" s="53" t="str">
        <x:v>default:lower_is_better_abs</x:v>
      </x:c>
      <x:c r="U603" s="14" t="str">
        <x:v>Vor Aktivierung repräsentative Population, Region, Technologieklasse, Statistik, Quelle und Gültigkeitszeitraum dokumentieren.</x:v>
      </x:c>
    </x:row>
    <x:row r="604" ht="42" customHeight="1">
      <x:c r="A604" s="14" t="str">
        <x:v>WOK-RE-127</x:v>
      </x:c>
      <x:c r="B604" s="14" t="str">
        <x:v>L68</x:v>
      </x:c>
      <x:c r="C604" s="14" t="str">
        <x:v>Legacy / Migration auf NACE Rev. 2.1 offen</x:v>
      </x:c>
      <x:c r="D604" s="14" t="str">
        <x:v>EU</x:v>
      </x:c>
      <x:c r="E604" s="14"/>
      <x:c r="F604" s="14" t="str">
        <x:v>0–1</x:v>
      </x:c>
      <x:c r="G604" s="14" t="str">
        <x:v>higher_is_better</x:v>
      </x:c>
      <x:c r="H604" s="14" t="str">
        <x:v>R14</x:v>
      </x:c>
      <x:c r="I604" s="14" t="str">
        <x:v>Optional/Nein</x:v>
      </x:c>
      <x:c r="J604" s="51"/>
      <x:c r="K604" s="51"/>
      <x:c r="L604" s="51"/>
      <x:c r="M604" s="51"/>
      <x:c r="N604" s="51"/>
      <x:c r="O604" s="54"/>
      <x:c r="P604" s="51" t="str">
        <x:v>Optional – kein aktiver Benchmark</x:v>
      </x:c>
      <x:c r="Q604" s="53" t="n">
        <x:v>0.495</x:v>
      </x:c>
      <x:c r="R604" s="53" t="n">
        <x:v>0.7424999999999999</x:v>
      </x:c>
      <x:c r="S604" s="53" t="n">
        <x:v>1</x:v>
      </x:c>
      <x:c r="T604" s="53" t="str">
        <x:v>threshold:0-class</x:v>
      </x:c>
      <x:c r="U604" s="14" t="str">
        <x:v>Legacy-Werte bleiben nur als historische Rechenhilfe erhalten und werden nicht für den FinalScore verwendet.</x:v>
      </x:c>
    </x:row>
    <x:row r="605" ht="42" customHeight="1">
      <x:c r="A605" s="14" t="str">
        <x:v>WOK-SYS-209</x:v>
      </x:c>
      <x:c r="B605" s="14" t="str">
        <x:v>G47</x:v>
      </x:c>
      <x:c r="C605" s="14" t="str">
        <x:v>Legacy / Migration auf NACE Rev. 2.1 offen</x:v>
      </x:c>
      <x:c r="D605" s="14" t="str">
        <x:v>EU</x:v>
      </x:c>
      <x:c r="E605" s="14"/>
      <x:c r="F605" s="14" t="str">
        <x:v>0–1</x:v>
      </x:c>
      <x:c r="G605" s="14" t="str">
        <x:v>higher_is_better</x:v>
      </x:c>
      <x:c r="H605" s="14" t="str">
        <x:v>R15</x:v>
      </x:c>
      <x:c r="I605" s="14" t="str">
        <x:v>Optional/Nein</x:v>
      </x:c>
      <x:c r="J605" s="51"/>
      <x:c r="K605" s="51"/>
      <x:c r="L605" s="51"/>
      <x:c r="M605" s="51"/>
      <x:c r="N605" s="51"/>
      <x:c r="O605" s="54"/>
      <x:c r="P605" s="51" t="str">
        <x:v>Optional – kein aktiver Benchmark</x:v>
      </x:c>
      <x:c r="Q605" s="53" t="n">
        <x:v>0.645</x:v>
      </x:c>
      <x:c r="R605" s="53" t="n">
        <x:v>0.9675</x:v>
      </x:c>
      <x:c r="S605" s="53" t="n">
        <x:v>1</x:v>
      </x:c>
      <x:c r="T605" s="53" t="str">
        <x:v>threshold:0-class</x:v>
      </x:c>
      <x:c r="U605" s="14" t="str">
        <x:v>Legacy-Werte bleiben nur als historische Rechenhilfe erhalten und werden nicht für den FinalScore verwendet.</x:v>
      </x:c>
    </x:row>
    <x:row r="606" ht="42" customHeight="1">
      <x:c r="A606" s="14" t="str">
        <x:v>WOK-SYS-210</x:v>
      </x:c>
      <x:c r="B606" s="14" t="str">
        <x:v>G47</x:v>
      </x:c>
      <x:c r="C606" s="14" t="str">
        <x:v>Legacy / Migration auf NACE Rev. 2.1 offen</x:v>
      </x:c>
      <x:c r="D606" s="14" t="str">
        <x:v>EU</x:v>
      </x:c>
      <x:c r="E606" s="14"/>
      <x:c r="F606" s="14" t="str">
        <x:v>%</x:v>
      </x:c>
      <x:c r="G606" s="14" t="str">
        <x:v>lower_is_better</x:v>
      </x:c>
      <x:c r="H606" s="14" t="str">
        <x:v>R13</x:v>
      </x:c>
      <x:c r="I606" s="14" t="str">
        <x:v>Optional/Nein</x:v>
      </x:c>
      <x:c r="J606" s="51"/>
      <x:c r="K606" s="51"/>
      <x:c r="L606" s="51"/>
      <x:c r="M606" s="51"/>
      <x:c r="N606" s="51"/>
      <x:c r="O606" s="54"/>
      <x:c r="P606" s="51" t="str">
        <x:v>Optional – kein aktiver Benchmark</x:v>
      </x:c>
      <x:c r="Q606" s="53" t="n">
        <x:v>15.5</x:v>
      </x:c>
      <x:c r="R606" s="53" t="n">
        <x:v>23.25</x:v>
      </x:c>
      <x:c r="S606" s="53" t="n">
        <x:v>38.75</x:v>
      </x:c>
      <x:c r="T606" s="53" t="str">
        <x:v>threshold:0-class</x:v>
      </x:c>
      <x:c r="U606" s="14" t="str">
        <x:v>Legacy-Werte bleiben nur als historische Rechenhilfe erhalten und werden nicht für den FinalScore verwendet.</x:v>
      </x:c>
    </x:row>
    <x:row r="607" ht="42" customHeight="1">
      <x:c r="A607" s="14" t="str">
        <x:v>WOK-SYS-211</x:v>
      </x:c>
      <x:c r="B607" s="14" t="str">
        <x:v>G47</x:v>
      </x:c>
      <x:c r="C607" s="14" t="str">
        <x:v>Legacy / Migration auf NACE Rev. 2.1 offen</x:v>
      </x:c>
      <x:c r="D607" s="14" t="str">
        <x:v>EU</x:v>
      </x:c>
      <x:c r="E607" s="14"/>
      <x:c r="F607" s="14" t="str">
        <x:v>#/Jahr</x:v>
      </x:c>
      <x:c r="G607" s="14" t="str">
        <x:v>higher_is_better</x:v>
      </x:c>
      <x:c r="H607" s="14" t="str">
        <x:v>R20</x:v>
      </x:c>
      <x:c r="I607" s="14" t="str">
        <x:v>Optional/Nein</x:v>
      </x:c>
      <x:c r="J607" s="51"/>
      <x:c r="K607" s="51"/>
      <x:c r="L607" s="51"/>
      <x:c r="M607" s="51"/>
      <x:c r="N607" s="51"/>
      <x:c r="O607" s="54"/>
      <x:c r="P607" s="51" t="str">
        <x:v>Optional – kein aktiver Benchmark</x:v>
      </x:c>
      <x:c r="Q607" s="53" t="n">
        <x:v>1.5</x:v>
      </x:c>
      <x:c r="R607" s="53" t="n">
        <x:v>2.25</x:v>
      </x:c>
      <x:c r="S607" s="53" t="n">
        <x:v>3.75</x:v>
      </x:c>
      <x:c r="T607" s="53" t="str">
        <x:v>threshold:0-class</x:v>
      </x:c>
      <x:c r="U607" s="14" t="str">
        <x:v>Legacy-Werte bleiben nur als historische Rechenhilfe erhalten und werden nicht für den FinalScore verwendet.</x:v>
      </x:c>
    </x:row>
    <x:row r="608" ht="42" customHeight="1">
      <x:c r="A608" s="14" t="str">
        <x:v>WOK-SYS-212</x:v>
      </x:c>
      <x:c r="B608" s="14" t="str">
        <x:v>G47</x:v>
      </x:c>
      <x:c r="C608" s="14" t="str">
        <x:v>Legacy / Migration auf NACE Rev. 2.1 offen</x:v>
      </x:c>
      <x:c r="D608" s="14" t="str">
        <x:v>EU</x:v>
      </x:c>
      <x:c r="E608" s="14"/>
      <x:c r="F608" s="14" t="str">
        <x:v>0–1</x:v>
      </x:c>
      <x:c r="G608" s="14" t="str">
        <x:v>higher_is_better</x:v>
      </x:c>
      <x:c r="H608" s="14" t="str">
        <x:v>R15</x:v>
      </x:c>
      <x:c r="I608" s="14" t="str">
        <x:v>Optional/Nein</x:v>
      </x:c>
      <x:c r="J608" s="51"/>
      <x:c r="K608" s="51"/>
      <x:c r="L608" s="51"/>
      <x:c r="M608" s="51"/>
      <x:c r="N608" s="51"/>
      <x:c r="O608" s="54"/>
      <x:c r="P608" s="51" t="str">
        <x:v>Optional – kein aktiver Benchmark</x:v>
      </x:c>
      <x:c r="Q608" s="53" t="n">
        <x:v>0.645</x:v>
      </x:c>
      <x:c r="R608" s="53" t="n">
        <x:v>0.9675</x:v>
      </x:c>
      <x:c r="S608" s="53" t="n">
        <x:v>1</x:v>
      </x:c>
      <x:c r="T608" s="53" t="str">
        <x:v>threshold:0-class</x:v>
      </x:c>
      <x:c r="U608" s="14" t="str">
        <x:v>Legacy-Werte bleiben nur als historische Rechenhilfe erhalten und werden nicht für den FinalScore verwendet.</x:v>
      </x:c>
    </x:row>
    <x:row r="609" ht="42" customHeight="1">
      <x:c r="A609" s="14" t="str">
        <x:v>WOK-SYS-213</x:v>
      </x:c>
      <x:c r="B609" s="14" t="str">
        <x:v>G47</x:v>
      </x:c>
      <x:c r="C609" s="14" t="str">
        <x:v>Legacy / Migration auf NACE Rev. 2.1 offen</x:v>
      </x:c>
      <x:c r="D609" s="14" t="str">
        <x:v>EU</x:v>
      </x:c>
      <x:c r="E609" s="14"/>
      <x:c r="F609" s="14" t="str">
        <x:v>%</x:v>
      </x:c>
      <x:c r="G609" s="14" t="str">
        <x:v>lower_is_better</x:v>
      </x:c>
      <x:c r="H609" s="14" t="str">
        <x:v>R13</x:v>
      </x:c>
      <x:c r="I609" s="14" t="str">
        <x:v>Optional/Nein</x:v>
      </x:c>
      <x:c r="J609" s="51"/>
      <x:c r="K609" s="51"/>
      <x:c r="L609" s="51"/>
      <x:c r="M609" s="51"/>
      <x:c r="N609" s="51"/>
      <x:c r="O609" s="54"/>
      <x:c r="P609" s="51" t="str">
        <x:v>Optional – kein aktiver Benchmark</x:v>
      </x:c>
      <x:c r="Q609" s="53" t="n">
        <x:v>15.5</x:v>
      </x:c>
      <x:c r="R609" s="53" t="n">
        <x:v>23.25</x:v>
      </x:c>
      <x:c r="S609" s="53" t="n">
        <x:v>38.75</x:v>
      </x:c>
      <x:c r="T609" s="53" t="str">
        <x:v>threshold:0-class</x:v>
      </x:c>
      <x:c r="U609" s="14" t="str">
        <x:v>Legacy-Werte bleiben nur als historische Rechenhilfe erhalten und werden nicht für den FinalScore verwendet.</x:v>
      </x:c>
    </x:row>
    <x:row r="610" ht="42" customHeight="1">
      <x:c r="A610" s="14" t="str">
        <x:v>WOK-SYS-214</x:v>
      </x:c>
      <x:c r="B610" s="14" t="str">
        <x:v>G47</x:v>
      </x:c>
      <x:c r="C610" s="14" t="str">
        <x:v>Legacy / Migration auf NACE Rev. 2.1 offen</x:v>
      </x:c>
      <x:c r="D610" s="14" t="str">
        <x:v>EU</x:v>
      </x:c>
      <x:c r="E610" s="14"/>
      <x:c r="F610" s="14" t="str">
        <x:v>#/Jahr</x:v>
      </x:c>
      <x:c r="G610" s="14" t="str">
        <x:v>higher_is_better</x:v>
      </x:c>
      <x:c r="H610" s="14" t="str">
        <x:v>R20</x:v>
      </x:c>
      <x:c r="I610" s="14" t="str">
        <x:v>Optional/Nein</x:v>
      </x:c>
      <x:c r="J610" s="51"/>
      <x:c r="K610" s="51"/>
      <x:c r="L610" s="51"/>
      <x:c r="M610" s="51"/>
      <x:c r="N610" s="51"/>
      <x:c r="O610" s="54"/>
      <x:c r="P610" s="51" t="str">
        <x:v>Optional – kein aktiver Benchmark</x:v>
      </x:c>
      <x:c r="Q610" s="53" t="n">
        <x:v>1.5</x:v>
      </x:c>
      <x:c r="R610" s="53" t="n">
        <x:v>2.25</x:v>
      </x:c>
      <x:c r="S610" s="53" t="n">
        <x:v>3.75</x:v>
      </x:c>
      <x:c r="T610" s="53" t="str">
        <x:v>threshold:0-class</x:v>
      </x:c>
      <x:c r="U610" s="14" t="str">
        <x:v>Legacy-Werte bleiben nur als historische Rechenhilfe erhalten und werden nicht für den FinalScore verwendet.</x:v>
      </x:c>
    </x:row>
    <x:row r="611" ht="42" customHeight="1">
      <x:c r="A611" s="14" t="str">
        <x:v>WOK-G-242</x:v>
      </x:c>
      <x:c r="B611" s="14" t="str">
        <x:v>G47</x:v>
      </x:c>
      <x:c r="C611" s="14" t="str">
        <x:v>Legacy / Migration auf NACE Rev. 2.1 offen</x:v>
      </x:c>
      <x:c r="D611" s="14" t="str">
        <x:v>EU</x:v>
      </x:c>
      <x:c r="E611" s="14"/>
      <x:c r="F611" s="14" t="str">
        <x:v>Fälle/1.000 FTE</x:v>
      </x:c>
      <x:c r="G611" s="14" t="str">
        <x:v>lower_is_better</x:v>
      </x:c>
      <x:c r="H611" s="14" t="str">
        <x:v>R01</x:v>
      </x:c>
      <x:c r="I611" s="14" t="str">
        <x:v>Optional/Nein</x:v>
      </x:c>
      <x:c r="J611" s="51"/>
      <x:c r="K611" s="51"/>
      <x:c r="L611" s="51"/>
      <x:c r="M611" s="51"/>
      <x:c r="N611" s="51"/>
      <x:c r="O611" s="54"/>
      <x:c r="P611" s="51" t="str">
        <x:v>Optional – kein aktiver Benchmark</x:v>
      </x:c>
      <x:c r="Q611" s="53" t="n">
        <x:v>0.5</x:v>
      </x:c>
      <x:c r="R611" s="53" t="n">
        <x:v>0.75</x:v>
      </x:c>
      <x:c r="S611" s="53" t="n">
        <x:v>1.25</x:v>
      </x:c>
      <x:c r="T611" s="53" t="str">
        <x:v>threshold:0-class</x:v>
      </x:c>
      <x:c r="U611" s="14" t="str">
        <x:v>Legacy-Werte bleiben nur als historische Rechenhilfe erhalten und werden nicht für den FinalScore verwendet.</x:v>
      </x:c>
    </x:row>
    <x:row r="612" ht="42" customHeight="1">
      <x:c r="A612" s="14" t="str">
        <x:v>WOK-G-243</x:v>
      </x:c>
      <x:c r="B612" s="14" t="str">
        <x:v>G47</x:v>
      </x:c>
      <x:c r="C612" s="14" t="str">
        <x:v>Legacy / Migration auf NACE Rev. 2.1 offen</x:v>
      </x:c>
      <x:c r="D612" s="14" t="str">
        <x:v>EU</x:v>
      </x:c>
      <x:c r="E612" s="14"/>
      <x:c r="F612" s="14" t="str">
        <x:v>0–1</x:v>
      </x:c>
      <x:c r="G612" s="14" t="str">
        <x:v>higher_is_better</x:v>
      </x:c>
      <x:c r="H612" s="14" t="str">
        <x:v>R16</x:v>
      </x:c>
      <x:c r="I612" s="14" t="str">
        <x:v>Optional/Nein</x:v>
      </x:c>
      <x:c r="J612" s="51"/>
      <x:c r="K612" s="51"/>
      <x:c r="L612" s="51"/>
      <x:c r="M612" s="51"/>
      <x:c r="N612" s="51"/>
      <x:c r="O612" s="54"/>
      <x:c r="P612" s="51" t="str">
        <x:v>Optional – kein aktiver Benchmark</x:v>
      </x:c>
      <x:c r="Q612" s="53" t="n">
        <x:v>0.6699999999999999</x:v>
      </x:c>
      <x:c r="R612" s="53" t="n">
        <x:v>1</x:v>
      </x:c>
      <x:c r="S612" s="53" t="n">
        <x:v>1</x:v>
      </x:c>
      <x:c r="T612" s="53" t="str">
        <x:v>threshold:0-class</x:v>
      </x:c>
      <x:c r="U612" s="14" t="str">
        <x:v>Legacy-Werte bleiben nur als historische Rechenhilfe erhalten und werden nicht für den FinalScore verwendet.</x:v>
      </x:c>
    </x:row>
    <x:row r="613" ht="42" customHeight="1">
      <x:c r="A613" s="14" t="str">
        <x:v>WOK-G-244</x:v>
      </x:c>
      <x:c r="B613" s="14" t="str">
        <x:v>G47</x:v>
      </x:c>
      <x:c r="C613" s="14" t="str">
        <x:v>Legacy / Migration auf NACE Rev. 2.1 offen</x:v>
      </x:c>
      <x:c r="D613" s="14" t="str">
        <x:v>EU</x:v>
      </x:c>
      <x:c r="E613" s="14"/>
      <x:c r="F613" s="14" t="str">
        <x:v>0–1</x:v>
      </x:c>
      <x:c r="G613" s="14" t="str">
        <x:v>higher_is_better</x:v>
      </x:c>
      <x:c r="H613" s="14" t="str">
        <x:v>R08</x:v>
      </x:c>
      <x:c r="I613" s="14" t="str">
        <x:v>Optional/Nein</x:v>
      </x:c>
      <x:c r="J613" s="51"/>
      <x:c r="K613" s="51"/>
      <x:c r="L613" s="51"/>
      <x:c r="M613" s="51"/>
      <x:c r="N613" s="51"/>
      <x:c r="O613" s="54"/>
      <x:c r="P613" s="51" t="str">
        <x:v>Optional – kein aktiver Benchmark</x:v>
      </x:c>
      <x:c r="Q613" s="53" t="n">
        <x:v>0.5</x:v>
      </x:c>
      <x:c r="R613" s="53" t="n">
        <x:v>0.75</x:v>
      </x:c>
      <x:c r="S613" s="53" t="n">
        <x:v>0.9</x:v>
      </x:c>
      <x:c r="T613" s="53" t="str">
        <x:v>default:higher_is_better_abs</x:v>
      </x:c>
      <x:c r="U613" s="14" t="str">
        <x:v>Legacy-Werte bleiben nur als historische Rechenhilfe erhalten und werden nicht für den FinalScore verwendet.</x:v>
      </x:c>
    </x:row>
    <x:row r="614" ht="42" customHeight="1">
      <x:c r="A614" s="14" t="str">
        <x:v>WOK-SC-170</x:v>
      </x:c>
      <x:c r="B614" s="14" t="str">
        <x:v>C20</x:v>
      </x:c>
      <x:c r="C614" s="14" t="str">
        <x:v>Legacy / Migration auf NACE Rev. 2.1 offen</x:v>
      </x:c>
      <x:c r="D614" s="14" t="str">
        <x:v>EU</x:v>
      </x:c>
      <x:c r="E614" s="14"/>
      <x:c r="F614" s="14" t="str">
        <x:v>%</x:v>
      </x:c>
      <x:c r="G614" s="14" t="str">
        <x:v>higher_is_better</x:v>
      </x:c>
      <x:c r="H614" s="14" t="str">
        <x:v>R26</x:v>
      </x:c>
      <x:c r="I614" s="14" t="str">
        <x:v>Optional/Nein</x:v>
      </x:c>
      <x:c r="J614" s="51"/>
      <x:c r="K614" s="51"/>
      <x:c r="L614" s="51"/>
      <x:c r="M614" s="51"/>
      <x:c r="N614" s="51"/>
      <x:c r="O614" s="54"/>
      <x:c r="P614" s="51" t="str">
        <x:v>Optional – kein aktiver Benchmark</x:v>
      </x:c>
      <x:c r="Q614" s="53" t="n">
        <x:v>59.5</x:v>
      </x:c>
      <x:c r="R614" s="53" t="n">
        <x:v>89.25</x:v>
      </x:c>
      <x:c r="S614" s="53" t="n">
        <x:v>100</x:v>
      </x:c>
      <x:c r="T614" s="53" t="str">
        <x:v>threshold:0-class</x:v>
      </x:c>
      <x:c r="U614" s="14" t="str">
        <x:v>Legacy-Werte bleiben nur als historische Rechenhilfe erhalten und werden nicht für den FinalScore verwendet.</x:v>
      </x:c>
    </x:row>
    <x:row r="615" ht="42" customHeight="1">
      <x:c r="A615" s="14" t="str">
        <x:v>WOK-SC-171</x:v>
      </x:c>
      <x:c r="B615" s="14" t="str">
        <x:v>C20</x:v>
      </x:c>
      <x:c r="C615" s="14" t="str">
        <x:v>Legacy / Migration auf NACE Rev. 2.1 offen</x:v>
      </x:c>
      <x:c r="D615" s="14" t="str">
        <x:v>EU</x:v>
      </x:c>
      <x:c r="E615" s="14"/>
      <x:c r="F615" s="14" t="str">
        <x:v>% Lieferanten</x:v>
      </x:c>
      <x:c r="G615" s="14" t="str">
        <x:v>higher_is_better</x:v>
      </x:c>
      <x:c r="H615" s="14" t="str">
        <x:v>R28</x:v>
      </x:c>
      <x:c r="I615" s="14" t="str">
        <x:v>Optional/Nein</x:v>
      </x:c>
      <x:c r="J615" s="51"/>
      <x:c r="K615" s="51"/>
      <x:c r="L615" s="51"/>
      <x:c r="M615" s="51"/>
      <x:c r="N615" s="51"/>
      <x:c r="O615" s="54"/>
      <x:c r="P615" s="51" t="str">
        <x:v>Optional – kein aktiver Benchmark</x:v>
      </x:c>
      <x:c r="Q615" s="53" t="n">
        <x:v>82</x:v>
      </x:c>
      <x:c r="R615" s="53" t="n">
        <x:v>100</x:v>
      </x:c>
      <x:c r="S615" s="53" t="n">
        <x:v>100</x:v>
      </x:c>
      <x:c r="T615" s="53" t="str">
        <x:v>threshold:0-class</x:v>
      </x:c>
      <x:c r="U615" s="14" t="str">
        <x:v>Legacy-Werte bleiben nur als historische Rechenhilfe erhalten und werden nicht für den FinalScore verwendet.</x:v>
      </x:c>
    </x:row>
    <x:row r="616" ht="42" customHeight="1">
      <x:c r="A616" s="14" t="str">
        <x:v>WOK-SC-172</x:v>
      </x:c>
      <x:c r="B616" s="14" t="str">
        <x:v>C20</x:v>
      </x:c>
      <x:c r="C616" s="14" t="str">
        <x:v>Legacy / Migration auf NACE Rev. 2.1 offen</x:v>
      </x:c>
      <x:c r="D616" s="14" t="str">
        <x:v>EU</x:v>
      </x:c>
      <x:c r="E616" s="14"/>
      <x:c r="F616" s="14" t="str">
        <x:v>% Kategorien</x:v>
      </x:c>
      <x:c r="G616" s="14" t="str">
        <x:v>higher_is_better</x:v>
      </x:c>
      <x:c r="H616" s="14" t="str">
        <x:v>R23</x:v>
      </x:c>
      <x:c r="I616" s="14" t="str">
        <x:v>Optional/Nein</x:v>
      </x:c>
      <x:c r="J616" s="51"/>
      <x:c r="K616" s="51"/>
      <x:c r="L616" s="51"/>
      <x:c r="M616" s="51"/>
      <x:c r="N616" s="51"/>
      <x:c r="O616" s="54"/>
      <x:c r="P616" s="51" t="str">
        <x:v>Optional – kein aktiver Benchmark</x:v>
      </x:c>
      <x:c r="Q616" s="53" t="n">
        <x:v>49.5</x:v>
      </x:c>
      <x:c r="R616" s="53" t="n">
        <x:v>74.25</x:v>
      </x:c>
      <x:c r="S616" s="53" t="n">
        <x:v>100</x:v>
      </x:c>
      <x:c r="T616" s="53" t="str">
        <x:v>threshold:0-class</x:v>
      </x:c>
      <x:c r="U616" s="14" t="str">
        <x:v>Legacy-Werte bleiben nur als historische Rechenhilfe erhalten und werden nicht für den FinalScore verwendet.</x:v>
      </x:c>
    </x:row>
    <x:row r="617" ht="42" customHeight="1">
      <x:c r="A617" s="14" t="str">
        <x:v>WOK-SYS-215</x:v>
      </x:c>
      <x:c r="B617" s="14" t="str">
        <x:v>G47</x:v>
      </x:c>
      <x:c r="C617" s="14" t="str">
        <x:v>Legacy / Migration auf NACE Rev. 2.1 offen</x:v>
      </x:c>
      <x:c r="D617" s="14" t="str">
        <x:v>EU</x:v>
      </x:c>
      <x:c r="E617" s="14"/>
      <x:c r="F617" s="14" t="str">
        <x:v>0–1</x:v>
      </x:c>
      <x:c r="G617" s="14" t="str">
        <x:v>higher_is_better</x:v>
      </x:c>
      <x:c r="H617" s="14" t="str">
        <x:v>R15</x:v>
      </x:c>
      <x:c r="I617" s="14" t="str">
        <x:v>Optional/Nein</x:v>
      </x:c>
      <x:c r="J617" s="51"/>
      <x:c r="K617" s="51"/>
      <x:c r="L617" s="51"/>
      <x:c r="M617" s="51"/>
      <x:c r="N617" s="51"/>
      <x:c r="O617" s="54"/>
      <x:c r="P617" s="51" t="str">
        <x:v>Optional – kein aktiver Benchmark</x:v>
      </x:c>
      <x:c r="Q617" s="53" t="n">
        <x:v>0.645</x:v>
      </x:c>
      <x:c r="R617" s="53" t="n">
        <x:v>0.9675</x:v>
      </x:c>
      <x:c r="S617" s="53" t="n">
        <x:v>1</x:v>
      </x:c>
      <x:c r="T617" s="53" t="str">
        <x:v>threshold:0-class</x:v>
      </x:c>
      <x:c r="U617" s="14" t="str">
        <x:v>Legacy-Werte bleiben nur als historische Rechenhilfe erhalten und werden nicht für den FinalScore verwendet.</x:v>
      </x:c>
    </x:row>
    <x:row r="618" ht="42" customHeight="1">
      <x:c r="A618" s="14" t="str">
        <x:v>WOK-SYS-216</x:v>
      </x:c>
      <x:c r="B618" s="14" t="str">
        <x:v>G47</x:v>
      </x:c>
      <x:c r="C618" s="14" t="str">
        <x:v>Legacy / Migration auf NACE Rev. 2.1 offen</x:v>
      </x:c>
      <x:c r="D618" s="14" t="str">
        <x:v>EU</x:v>
      </x:c>
      <x:c r="E618" s="14"/>
      <x:c r="F618" s="14" t="str">
        <x:v>%</x:v>
      </x:c>
      <x:c r="G618" s="14" t="str">
        <x:v>lower_is_better</x:v>
      </x:c>
      <x:c r="H618" s="14" t="str">
        <x:v>R13</x:v>
      </x:c>
      <x:c r="I618" s="14" t="str">
        <x:v>Optional/Nein</x:v>
      </x:c>
      <x:c r="J618" s="51"/>
      <x:c r="K618" s="51"/>
      <x:c r="L618" s="51"/>
      <x:c r="M618" s="51"/>
      <x:c r="N618" s="51"/>
      <x:c r="O618" s="54"/>
      <x:c r="P618" s="51" t="str">
        <x:v>Optional – kein aktiver Benchmark</x:v>
      </x:c>
      <x:c r="Q618" s="53" t="n">
        <x:v>15.5</x:v>
      </x:c>
      <x:c r="R618" s="53" t="n">
        <x:v>23.25</x:v>
      </x:c>
      <x:c r="S618" s="53" t="n">
        <x:v>38.75</x:v>
      </x:c>
      <x:c r="T618" s="53" t="str">
        <x:v>threshold:0-class</x:v>
      </x:c>
      <x:c r="U618" s="14" t="str">
        <x:v>Legacy-Werte bleiben nur als historische Rechenhilfe erhalten und werden nicht für den FinalScore verwendet.</x:v>
      </x:c>
    </x:row>
    <x:row r="619" ht="42" customHeight="1">
      <x:c r="A619" s="14" t="str">
        <x:v>WOK-SYS-217</x:v>
      </x:c>
      <x:c r="B619" s="14" t="str">
        <x:v>G47</x:v>
      </x:c>
      <x:c r="C619" s="14" t="str">
        <x:v>Legacy / Migration auf NACE Rev. 2.1 offen</x:v>
      </x:c>
      <x:c r="D619" s="14" t="str">
        <x:v>EU</x:v>
      </x:c>
      <x:c r="E619" s="14"/>
      <x:c r="F619" s="14" t="str">
        <x:v>#/Jahr</x:v>
      </x:c>
      <x:c r="G619" s="14" t="str">
        <x:v>higher_is_better</x:v>
      </x:c>
      <x:c r="H619" s="14" t="str">
        <x:v>R20</x:v>
      </x:c>
      <x:c r="I619" s="14" t="str">
        <x:v>Optional/Nein</x:v>
      </x:c>
      <x:c r="J619" s="51"/>
      <x:c r="K619" s="51"/>
      <x:c r="L619" s="51"/>
      <x:c r="M619" s="51"/>
      <x:c r="N619" s="51"/>
      <x:c r="O619" s="54"/>
      <x:c r="P619" s="51" t="str">
        <x:v>Optional – kein aktiver Benchmark</x:v>
      </x:c>
      <x:c r="Q619" s="53" t="n">
        <x:v>1.5</x:v>
      </x:c>
      <x:c r="R619" s="53" t="n">
        <x:v>2.25</x:v>
      </x:c>
      <x:c r="S619" s="53" t="n">
        <x:v>3.75</x:v>
      </x:c>
      <x:c r="T619" s="53" t="str">
        <x:v>threshold:0-class</x:v>
      </x:c>
      <x:c r="U619" s="14" t="str">
        <x:v>Legacy-Werte bleiben nur als historische Rechenhilfe erhalten und werden nicht für den FinalScore verwendet.</x:v>
      </x:c>
    </x:row>
    <x:row r="620" ht="42" customHeight="1">
      <x:c r="A620" s="14" t="str">
        <x:v>WOK-G-245</x:v>
      </x:c>
      <x:c r="B620" s="14" t="str">
        <x:v>G47</x:v>
      </x:c>
      <x:c r="C620" s="14" t="str">
        <x:v>Legacy / Migration auf NACE Rev. 2.1 offen</x:v>
      </x:c>
      <x:c r="D620" s="14" t="str">
        <x:v>EU</x:v>
      </x:c>
      <x:c r="E620" s="14"/>
      <x:c r="F620" s="14" t="str">
        <x:v>Fälle/1.000 FTE</x:v>
      </x:c>
      <x:c r="G620" s="14" t="str">
        <x:v>lower_is_better</x:v>
      </x:c>
      <x:c r="H620" s="14" t="str">
        <x:v>R01</x:v>
      </x:c>
      <x:c r="I620" s="14" t="str">
        <x:v>Optional/Nein</x:v>
      </x:c>
      <x:c r="J620" s="51"/>
      <x:c r="K620" s="51"/>
      <x:c r="L620" s="51"/>
      <x:c r="M620" s="51"/>
      <x:c r="N620" s="51"/>
      <x:c r="O620" s="54"/>
      <x:c r="P620" s="51" t="str">
        <x:v>Optional – kein aktiver Benchmark</x:v>
      </x:c>
      <x:c r="Q620" s="53" t="n">
        <x:v>0.5</x:v>
      </x:c>
      <x:c r="R620" s="53" t="n">
        <x:v>0.75</x:v>
      </x:c>
      <x:c r="S620" s="53" t="n">
        <x:v>1.25</x:v>
      </x:c>
      <x:c r="T620" s="53" t="str">
        <x:v>threshold:0-class</x:v>
      </x:c>
      <x:c r="U620" s="14" t="str">
        <x:v>Legacy-Werte bleiben nur als historische Rechenhilfe erhalten und werden nicht für den FinalScore verwendet.</x:v>
      </x:c>
    </x:row>
    <x:row r="621" ht="42" customHeight="1">
      <x:c r="A621" s="14" t="str">
        <x:v>WOK-G-246</x:v>
      </x:c>
      <x:c r="B621" s="14" t="str">
        <x:v>G47</x:v>
      </x:c>
      <x:c r="C621" s="14" t="str">
        <x:v>Legacy / Migration auf NACE Rev. 2.1 offen</x:v>
      </x:c>
      <x:c r="D621" s="14" t="str">
        <x:v>EU</x:v>
      </x:c>
      <x:c r="E621" s="14"/>
      <x:c r="F621" s="14" t="str">
        <x:v>0–1</x:v>
      </x:c>
      <x:c r="G621" s="14" t="str">
        <x:v>higher_is_better</x:v>
      </x:c>
      <x:c r="H621" s="14" t="str">
        <x:v>R16</x:v>
      </x:c>
      <x:c r="I621" s="14" t="str">
        <x:v>Optional/Nein</x:v>
      </x:c>
      <x:c r="J621" s="51"/>
      <x:c r="K621" s="51"/>
      <x:c r="L621" s="51"/>
      <x:c r="M621" s="51"/>
      <x:c r="N621" s="51"/>
      <x:c r="O621" s="54"/>
      <x:c r="P621" s="51" t="str">
        <x:v>Optional – kein aktiver Benchmark</x:v>
      </x:c>
      <x:c r="Q621" s="53" t="n">
        <x:v>0.6699999999999999</x:v>
      </x:c>
      <x:c r="R621" s="53" t="n">
        <x:v>1</x:v>
      </x:c>
      <x:c r="S621" s="53" t="n">
        <x:v>1</x:v>
      </x:c>
      <x:c r="T621" s="53" t="str">
        <x:v>threshold:0-class</x:v>
      </x:c>
      <x:c r="U621" s="14" t="str">
        <x:v>Legacy-Werte bleiben nur als historische Rechenhilfe erhalten und werden nicht für den FinalScore verwendet.</x:v>
      </x:c>
    </x:row>
    <x:row r="622" ht="42" customHeight="1">
      <x:c r="A622" s="14" t="str">
        <x:v>WOK-G-247</x:v>
      </x:c>
      <x:c r="B622" s="14" t="str">
        <x:v>G47</x:v>
      </x:c>
      <x:c r="C622" s="14" t="str">
        <x:v>Legacy / Migration auf NACE Rev. 2.1 offen</x:v>
      </x:c>
      <x:c r="D622" s="14" t="str">
        <x:v>EU</x:v>
      </x:c>
      <x:c r="E622" s="14"/>
      <x:c r="F622" s="14" t="str">
        <x:v>0–1</x:v>
      </x:c>
      <x:c r="G622" s="14" t="str">
        <x:v>higher_is_better</x:v>
      </x:c>
      <x:c r="H622" s="14" t="str">
        <x:v>R08</x:v>
      </x:c>
      <x:c r="I622" s="14" t="str">
        <x:v>Optional/Nein</x:v>
      </x:c>
      <x:c r="J622" s="51"/>
      <x:c r="K622" s="51"/>
      <x:c r="L622" s="51"/>
      <x:c r="M622" s="51"/>
      <x:c r="N622" s="51"/>
      <x:c r="O622" s="54"/>
      <x:c r="P622" s="51" t="str">
        <x:v>Optional – kein aktiver Benchmark</x:v>
      </x:c>
      <x:c r="Q622" s="53" t="n">
        <x:v>0.5</x:v>
      </x:c>
      <x:c r="R622" s="53" t="n">
        <x:v>0.75</x:v>
      </x:c>
      <x:c r="S622" s="53" t="n">
        <x:v>0.9</x:v>
      </x:c>
      <x:c r="T622" s="53" t="str">
        <x:v>default:higher_is_better_abs</x:v>
      </x:c>
      <x:c r="U622" s="14" t="str">
        <x:v>Legacy-Werte bleiben nur als historische Rechenhilfe erhalten und werden nicht für den FinalScore verwendet.</x:v>
      </x:c>
    </x:row>
    <x:row r="623" ht="42" customHeight="1">
      <x:c r="A623" s="14" t="str">
        <x:v>WOK-SYS-218</x:v>
      </x:c>
      <x:c r="B623" s="14" t="str">
        <x:v>G47</x:v>
      </x:c>
      <x:c r="C623" s="14" t="str">
        <x:v>Legacy / Migration auf NACE Rev. 2.1 offen</x:v>
      </x:c>
      <x:c r="D623" s="14" t="str">
        <x:v>EU</x:v>
      </x:c>
      <x:c r="E623" s="14"/>
      <x:c r="F623" s="14" t="str">
        <x:v>0–1</x:v>
      </x:c>
      <x:c r="G623" s="14" t="str">
        <x:v>higher_is_better</x:v>
      </x:c>
      <x:c r="H623" s="14" t="str">
        <x:v>R15</x:v>
      </x:c>
      <x:c r="I623" s="14" t="str">
        <x:v>Optional/Nein</x:v>
      </x:c>
      <x:c r="J623" s="51"/>
      <x:c r="K623" s="51"/>
      <x:c r="L623" s="51"/>
      <x:c r="M623" s="51"/>
      <x:c r="N623" s="51"/>
      <x:c r="O623" s="54"/>
      <x:c r="P623" s="51" t="str">
        <x:v>Optional – kein aktiver Benchmark</x:v>
      </x:c>
      <x:c r="Q623" s="53" t="n">
        <x:v>0.645</x:v>
      </x:c>
      <x:c r="R623" s="53" t="n">
        <x:v>0.9675</x:v>
      </x:c>
      <x:c r="S623" s="53" t="n">
        <x:v>1</x:v>
      </x:c>
      <x:c r="T623" s="53" t="str">
        <x:v>threshold:0-class</x:v>
      </x:c>
      <x:c r="U623" s="14" t="str">
        <x:v>Legacy-Werte bleiben nur als historische Rechenhilfe erhalten und werden nicht für den FinalScore verwendet.</x:v>
      </x:c>
    </x:row>
    <x:row r="624" ht="42" customHeight="1">
      <x:c r="A624" s="14" t="str">
        <x:v>WOK-SYS-219</x:v>
      </x:c>
      <x:c r="B624" s="14" t="str">
        <x:v>G47</x:v>
      </x:c>
      <x:c r="C624" s="14" t="str">
        <x:v>Legacy / Migration auf NACE Rev. 2.1 offen</x:v>
      </x:c>
      <x:c r="D624" s="14" t="str">
        <x:v>EU</x:v>
      </x:c>
      <x:c r="E624" s="14"/>
      <x:c r="F624" s="14" t="str">
        <x:v>%</x:v>
      </x:c>
      <x:c r="G624" s="14" t="str">
        <x:v>lower_is_better</x:v>
      </x:c>
      <x:c r="H624" s="14" t="str">
        <x:v>R13</x:v>
      </x:c>
      <x:c r="I624" s="14" t="str">
        <x:v>Optional/Nein</x:v>
      </x:c>
      <x:c r="J624" s="51"/>
      <x:c r="K624" s="51"/>
      <x:c r="L624" s="51"/>
      <x:c r="M624" s="51"/>
      <x:c r="N624" s="51"/>
      <x:c r="O624" s="54"/>
      <x:c r="P624" s="51" t="str">
        <x:v>Optional – kein aktiver Benchmark</x:v>
      </x:c>
      <x:c r="Q624" s="53" t="n">
        <x:v>15.5</x:v>
      </x:c>
      <x:c r="R624" s="53" t="n">
        <x:v>23.25</x:v>
      </x:c>
      <x:c r="S624" s="53" t="n">
        <x:v>38.75</x:v>
      </x:c>
      <x:c r="T624" s="53" t="str">
        <x:v>threshold:0-class</x:v>
      </x:c>
      <x:c r="U624" s="14" t="str">
        <x:v>Legacy-Werte bleiben nur als historische Rechenhilfe erhalten und werden nicht für den FinalScore verwendet.</x:v>
      </x:c>
    </x:row>
    <x:row r="625" ht="42" customHeight="1">
      <x:c r="A625" s="14" t="str">
        <x:v>WOK-SYS-220</x:v>
      </x:c>
      <x:c r="B625" s="14" t="str">
        <x:v>G47</x:v>
      </x:c>
      <x:c r="C625" s="14" t="str">
        <x:v>Legacy / Migration auf NACE Rev. 2.1 offen</x:v>
      </x:c>
      <x:c r="D625" s="14" t="str">
        <x:v>EU</x:v>
      </x:c>
      <x:c r="E625" s="14"/>
      <x:c r="F625" s="14" t="str">
        <x:v>#/Jahr</x:v>
      </x:c>
      <x:c r="G625" s="14" t="str">
        <x:v>higher_is_better</x:v>
      </x:c>
      <x:c r="H625" s="14" t="str">
        <x:v>R20</x:v>
      </x:c>
      <x:c r="I625" s="14" t="str">
        <x:v>Optional/Nein</x:v>
      </x:c>
      <x:c r="J625" s="51"/>
      <x:c r="K625" s="51"/>
      <x:c r="L625" s="51"/>
      <x:c r="M625" s="51"/>
      <x:c r="N625" s="51"/>
      <x:c r="O625" s="54"/>
      <x:c r="P625" s="51" t="str">
        <x:v>Optional – kein aktiver Benchmark</x:v>
      </x:c>
      <x:c r="Q625" s="53" t="n">
        <x:v>1.5</x:v>
      </x:c>
      <x:c r="R625" s="53" t="n">
        <x:v>2.25</x:v>
      </x:c>
      <x:c r="S625" s="53" t="n">
        <x:v>3.75</x:v>
      </x:c>
      <x:c r="T625" s="53" t="str">
        <x:v>threshold:0-class</x:v>
      </x:c>
      <x:c r="U625" s="14" t="str">
        <x:v>Legacy-Werte bleiben nur als historische Rechenhilfe erhalten und werden nicht für den FinalScore verwendet.</x:v>
      </x:c>
    </x:row>
  </x:sheetData>
  <x:mergeCells>
    <x:mergeCell ref="A1:U1"/>
    <x:mergeCell ref="A2:U2"/>
  </x:mergeCells>
  <x:conditionalFormatting sqref="P5:P625">
    <x:cfRule type="expression" dxfId="6" priority="1">
      <x:formula>P5="Aktiv"</x:formula>
    </x:cfRule>
    <x:cfRule type="expression" dxfId="7" priority="2">
      <x:formula>LEFT(P5,5)="Offen"</x:formula>
    </x:cfRule>
    <x:cfRule type="expression" dxfId="8" priority="3">
      <x:formula>LEFT(P5,9)="Gesperrt"</x:formula>
    </x:cfRule>
  </x:conditionalFormatting>
  <x:dataValidations count="1">
    <x:dataValidation type="list" sqref="P5:P625">
      <x:formula1>"Offen – validierter Benchmark fehlt,Offen – SBTi/Benchmarkprüfung fehlt,Optional – kein aktiver Benchmark,Aktiv,Gesperrt – fachlich 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6e825bc7254c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24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28" hidden="0" customWidth="1"/>
    <x:col min="16" max="16" width="34" hidden="0" customWidth="1"/>
    <x:col min="17" max="17" width="34" hidden="0" customWidth="1"/>
    <x:col min="18" max="18" width="50" hidden="0" customWidth="1"/>
    <x:col min="19" max="19" width="14" hidden="0" customWidth="1"/>
  </x:cols>
  <x:sheetData>
    <x:row r="1" ht="32" customHeight="1">
      <x:c r="A1" s="5" t="str">
        <x:v>03 · Scoring Rules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6" customHeight="1">
      <x:c r="A2" s="9" t="str">
        <x:v>28 normalisierte Schwellenmuster. v1.4 ändert keine Schwellen stillschweigend: numerische Regeln bleiben versioniert; qualitative und benchmarkabhängige Regeln verlangen eigene Evidenz.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4" ht="34" customHeight="1">
      <x:c r="A4" s="49" t="str">
        <x:v>Rule_ID</x:v>
      </x:c>
      <x:c r="B4" s="49" t="str">
        <x:v>Schwelle_original</x:v>
      </x:c>
      <x:c r="C4" s="49" t="str">
        <x:v>Regeltyp</x:v>
      </x:c>
      <x:c r="D4" s="49" t="str">
        <x:v>Richtung</x:v>
      </x:c>
      <x:c r="E4" s="49" t="str">
        <x:v>Eingabemodus</x:v>
      </x:c>
      <x:c r="F4" s="49" t="str">
        <x:v>B1</x:v>
      </x:c>
      <x:c r="G4" s="49" t="str">
        <x:v>B2</x:v>
      </x:c>
      <x:c r="H4" s="49" t="str">
        <x:v>B3</x:v>
      </x:c>
      <x:c r="I4" s="49" t="str">
        <x:v>B4</x:v>
      </x:c>
      <x:c r="J4" s="49" t="str">
        <x:v>S1</x:v>
      </x:c>
      <x:c r="K4" s="49" t="str">
        <x:v>S2</x:v>
      </x:c>
      <x:c r="L4" s="49" t="str">
        <x:v>S3</x:v>
      </x:c>
      <x:c r="M4" s="49" t="str">
        <x:v>S4</x:v>
      </x:c>
      <x:c r="N4" s="49" t="str">
        <x:v>S5</x:v>
      </x:c>
      <x:c r="O4" s="49" t="str">
        <x:v>Schwellenkategorie</x:v>
      </x:c>
      <x:c r="P4" s="49" t="str">
        <x:v>Status</x:v>
      </x:c>
      <x:c r="Q4" s="49" t="str">
        <x:v>Grenzwertbasis</x:v>
      </x:c>
      <x:c r="R4" s="49" t="str">
        <x:v>Hinweis</x:v>
      </x:c>
      <x:c r="S4" s="49" t="str">
        <x:v>Anzahl_Items</x:v>
      </x:c>
    </x:row>
    <x:row r="5" ht="54" customHeight="1">
      <x:c r="A5" s="14" t="str">
        <x:v>R01</x:v>
      </x:c>
      <x:c r="B5" s="14" t="str">
        <x:v>0:+3; ≤0,2:+2; ≤0,5:0; ≤1:‑2; &gt;1:‑3</x:v>
      </x:c>
      <x:c r="C5" s="14" t="str">
        <x:v>NUM_LOW</x:v>
      </x:c>
      <x:c r="D5" s="14" t="str">
        <x:v>Niedriger ist besser</x:v>
      </x:c>
      <x:c r="E5" s="14" t="str">
        <x:v>Numerischer Messwert</x:v>
      </x:c>
      <x:c r="F5" s="59" t="n">
        <x:v>0</x:v>
      </x:c>
      <x:c r="G5" s="59" t="n">
        <x:v>0.2</x:v>
      </x:c>
      <x:c r="H5" s="59" t="n">
        <x:v>0.5</x:v>
      </x:c>
      <x:c r="I5" s="59" t="n">
        <x:v>1</x:v>
      </x:c>
      <x:c r="J5" s="58" t="n">
        <x:v>3</x:v>
      </x:c>
      <x:c r="K5" s="58" t="n">
        <x:v>2</x:v>
      </x:c>
      <x:c r="L5" s="58" t="n">
        <x:v>0</x:v>
      </x:c>
      <x:c r="M5" s="58" t="n">
        <x:v>-2</x:v>
      </x:c>
      <x:c r="N5" s="58" t="n">
        <x:v>-3</x:v>
      </x:c>
      <x:c r="O5" s="14" t="str">
        <x:v>Feste WÖk-Kalibrierung</x:v>
      </x:c>
      <x:c r="P5" s="14" t="str">
        <x:v>Arbeitskalibrierung – fachlich zu validieren</x:v>
      </x:c>
      <x:c r="Q5" s="14" t="str">
        <x:v>WÖk-interne Klassenlogik</x:v>
      </x:c>
      <x:c r="R5" s="14" t="str">
        <x:v>Vollständige fünfstufige numerische Regel.</x:v>
      </x:c>
      <x:c r="S5" s="14" t="n">
        <x:v>46</x:v>
      </x:c>
    </x:row>
    <x:row r="6" ht="54" customHeight="1">
      <x:c r="A6" s="14" t="str">
        <x:v>R02</x:v>
      </x:c>
      <x:c r="B6" s="14" t="str">
        <x:v>0:+3; ≤1:+2; ≤3:0; ≤5:‑2; &gt;5:‑3</x:v>
      </x:c>
      <x:c r="C6" s="14" t="str">
        <x:v>NUM_LOW</x:v>
      </x:c>
      <x:c r="D6" s="14" t="str">
        <x:v>Niedriger ist besser</x:v>
      </x:c>
      <x:c r="E6" s="14" t="str">
        <x:v>Numerischer Messwert</x:v>
      </x:c>
      <x:c r="F6" s="59" t="n">
        <x:v>0</x:v>
      </x:c>
      <x:c r="G6" s="59" t="n">
        <x:v>1</x:v>
      </x:c>
      <x:c r="H6" s="59" t="n">
        <x:v>3</x:v>
      </x:c>
      <x:c r="I6" s="59" t="n">
        <x:v>5</x:v>
      </x:c>
      <x:c r="J6" s="58" t="n">
        <x:v>3</x:v>
      </x:c>
      <x:c r="K6" s="58" t="n">
        <x:v>2</x:v>
      </x:c>
      <x:c r="L6" s="58" t="n">
        <x:v>0</x:v>
      </x:c>
      <x:c r="M6" s="58" t="n">
        <x:v>-2</x:v>
      </x:c>
      <x:c r="N6" s="58" t="n">
        <x:v>-3</x:v>
      </x:c>
      <x:c r="O6" s="14" t="str">
        <x:v>Feste WÖk-Kalibrierung</x:v>
      </x:c>
      <x:c r="P6" s="14" t="str">
        <x:v>Arbeitskalibrierung – fachlich zu validieren</x:v>
      </x:c>
      <x:c r="Q6" s="14" t="str">
        <x:v>WÖk-interne Klassenlogik</x:v>
      </x:c>
      <x:c r="R6" s="14" t="str">
        <x:v>Vollständige fünfstufige numerische Regel.</x:v>
      </x:c>
      <x:c r="S6" s="14" t="n">
        <x:v>30</x:v>
      </x:c>
    </x:row>
    <x:row r="7" ht="54" customHeight="1">
      <x:c r="A7" s="14" t="str">
        <x:v>R03</x:v>
      </x:c>
      <x:c r="B7" s="14" t="str">
        <x:v>Net Gain:+3; No Net Loss:0; Net Loss:‑2/‑3</x:v>
      </x:c>
      <x:c r="C7" s="14" t="str">
        <x:v>QUALITATIVE</x:v>
      </x:c>
      <x:c r="D7" s="14" t="str">
        <x:v>Qualitative Klassen</x:v>
      </x:c>
      <x:c r="E7" s="14" t="str">
        <x:v>Assurance-Score (−3…+3)</x:v>
      </x:c>
      <x:c r="F7" s="59"/>
      <x:c r="G7" s="59"/>
      <x:c r="H7" s="59"/>
      <x:c r="I7" s="59"/>
      <x:c r="J7" s="58"/>
      <x:c r="K7" s="58"/>
      <x:c r="L7" s="58"/>
      <x:c r="M7" s="58"/>
      <x:c r="N7" s="58"/>
      <x:c r="O7" s="14" t="str">
        <x:v>Qualitativ</x:v>
      </x:c>
      <x:c r="P7" s="14" t="str">
        <x:v>Assurance und Kriterienkatalog erforderlich</x:v>
      </x:c>
      <x:c r="Q7" s="14" t="str">
        <x:v>WÖk-Kategorien; fachliche Definition je Wirkungsfeld</x:v>
      </x:c>
      <x:c r="R7" s="14" t="str">
        <x:v>Net Gain/No Net Loss/Net Loss ist ohne feldspezifischen Nachweis nicht automatisierbar.</x:v>
      </x:c>
      <x:c r="S7" s="14" t="n">
        <x:v>8</x:v>
      </x:c>
    </x:row>
    <x:row r="8" ht="54" customHeight="1">
      <x:c r="A8" s="14" t="str">
        <x:v>R04</x:v>
      </x:c>
      <x:c r="B8" s="14" t="str">
        <x:v>SBTi 1,5°C:+3; &lt;2°C:+2; Branchenmittel:0; &gt;150%:‑2; &gt;250%:‑3</x:v>
      </x:c>
      <x:c r="C8" s="14" t="str">
        <x:v>MANUAL_HYBRID</x:v>
      </x:c>
      <x:c r="D8" s="14" t="str">
        <x:v>Zielpfad/Benchmark</x:v>
      </x:c>
      <x:c r="E8" s="14" t="str">
        <x:v>Assurance-Score (−3…+3)</x:v>
      </x:c>
      <x:c r="F8" s="59"/>
      <x:c r="G8" s="59"/>
      <x:c r="H8" s="59"/>
      <x:c r="I8" s="59"/>
      <x:c r="J8" s="58"/>
      <x:c r="K8" s="58"/>
      <x:c r="L8" s="58"/>
      <x:c r="M8" s="58"/>
      <x:c r="N8" s="58"/>
      <x:c r="O8" s="14" t="str">
        <x:v>Benchmarkabhängig</x:v>
      </x:c>
      <x:c r="P8" s="14" t="str">
        <x:v>SBTi-Validierung und Branchenbenchmark erforderlich</x:v>
      </x:c>
      <x:c r="Q8" s="14" t="str">
        <x:v>SBTi-Zielvalidierung plus Branchenbenchmark</x:v>
      </x:c>
      <x:c r="R8" s="14" t="str">
        <x:v>Zielstatus und tatsächliche Performance müssen getrennt geprüft werden.</x:v>
      </x:c>
      <x:c r="S8" s="14" t="n">
        <x:v>2</x:v>
      </x:c>
    </x:row>
    <x:row r="9" ht="54" customHeight="1">
      <x:c r="A9" s="14" t="str">
        <x:v>R05</x:v>
      </x:c>
      <x:c r="B9" s="14" t="str">
        <x:v>Top 15%:+3; +15–30%:+2; +31–60%:0; &gt;+60%:‑2/‑3</x:v>
      </x:c>
      <x:c r="C9" s="14" t="str">
        <x:v>BENCHMARK</x:v>
      </x:c>
      <x:c r="D9" s="14" t="str">
        <x:v>Benchmarkabhängig</x:v>
      </x:c>
      <x:c r="E9" s="14" t="str">
        <x:v>Messwert + aktiver Benchmark</x:v>
      </x:c>
      <x:c r="F9" s="59"/>
      <x:c r="G9" s="59"/>
      <x:c r="H9" s="59"/>
      <x:c r="I9" s="59"/>
      <x:c r="J9" s="58"/>
      <x:c r="K9" s="58"/>
      <x:c r="L9" s="58"/>
      <x:c r="M9" s="58"/>
      <x:c r="N9" s="58"/>
      <x:c r="O9" s="14" t="str">
        <x:v>Benchmarkabhängig</x:v>
      </x:c>
      <x:c r="P9" s="14" t="str">
        <x:v>Validierter Benchmark fehlt</x:v>
      </x:c>
      <x:c r="Q9" s="14" t="str">
        <x:v>Branche/Region/Technologie</x:v>
      </x:c>
      <x:c r="R9" s="14" t="str">
        <x:v>Die Grenze &gt;+60 % ist derzeit nicht eindeutig in −2/−3 aufgelöst.</x:v>
      </x:c>
      <x:c r="S9" s="14" t="n">
        <x:v>9</x:v>
      </x:c>
    </x:row>
    <x:row r="10" ht="54" customHeight="1">
      <x:c r="A10" s="14" t="str">
        <x:v>R06</x:v>
      </x:c>
      <x:c r="B10" s="14" t="str">
        <x:v>Top‑10%:+3; Mittel:0; &gt;150%:‑2; &gt;250%:‑3</x:v>
      </x:c>
      <x:c r="C10" s="14" t="str">
        <x:v>BENCHMARK</x:v>
      </x:c>
      <x:c r="D10" s="14" t="str">
        <x:v>Benchmarkabhängig</x:v>
      </x:c>
      <x:c r="E10" s="14" t="str">
        <x:v>Messwert + aktiver Benchmark</x:v>
      </x:c>
      <x:c r="F10" s="59"/>
      <x:c r="G10" s="59"/>
      <x:c r="H10" s="59"/>
      <x:c r="I10" s="59"/>
      <x:c r="J10" s="58"/>
      <x:c r="K10" s="58"/>
      <x:c r="L10" s="58"/>
      <x:c r="M10" s="58"/>
      <x:c r="N10" s="58"/>
      <x:c r="O10" s="14" t="str">
        <x:v>Benchmarkabhängig</x:v>
      </x:c>
      <x:c r="P10" s="14" t="str">
        <x:v>Validierter Benchmark fehlt</x:v>
      </x:c>
      <x:c r="Q10" s="14" t="str">
        <x:v>Branche/Region/Technologie</x:v>
      </x:c>
      <x:c r="R10" s="14" t="str">
        <x:v>Top-10-Prozent, Mittelwert, 150 % und 250 % müssen aus einer dokumentierten Grundgesamtheit stammen.</x:v>
      </x:c>
      <x:c r="S10" s="14" t="n">
        <x:v>49</x:v>
      </x:c>
    </x:row>
    <x:row r="11" ht="54" customHeight="1">
      <x:c r="A11" s="14" t="str">
        <x:v>R07</x:v>
      </x:c>
      <x:c r="B11" s="14" t="str">
        <x:v>Top‑10%:+3; ±Benchmark:0; &gt;150%:‑2; &gt;250%:‑3</x:v>
      </x:c>
      <x:c r="C11" s="14" t="str">
        <x:v>BENCHMARK</x:v>
      </x:c>
      <x:c r="D11" s="14" t="str">
        <x:v>Benchmarkabhängig</x:v>
      </x:c>
      <x:c r="E11" s="14" t="str">
        <x:v>Messwert + aktiver Benchmark</x:v>
      </x:c>
      <x:c r="F11" s="59"/>
      <x:c r="G11" s="59"/>
      <x:c r="H11" s="59"/>
      <x:c r="I11" s="59"/>
      <x:c r="J11" s="58"/>
      <x:c r="K11" s="58"/>
      <x:c r="L11" s="58"/>
      <x:c r="M11" s="58"/>
      <x:c r="N11" s="58"/>
      <x:c r="O11" s="14" t="str">
        <x:v>Benchmarkabhängig</x:v>
      </x:c>
      <x:c r="P11" s="14" t="str">
        <x:v>Validierter Benchmark fehlt</x:v>
      </x:c>
      <x:c r="Q11" s="14" t="str">
        <x:v>Produktgruppe/Region/Technologie</x:v>
      </x:c>
      <x:c r="R11" s="14" t="str">
        <x:v>Produktspezifische Referenzpopulation erforderlich.</x:v>
      </x:c>
      <x:c r="S11" s="14" t="n">
        <x:v>12</x:v>
      </x:c>
    </x:row>
    <x:row r="12" ht="54" customHeight="1">
      <x:c r="A12" s="14" t="str">
        <x:v>R08</x:v>
      </x:c>
      <x:c r="B12" s="14" t="str">
        <x:v>vollständig:+3; teilweise:+2; minimal:0; schlecht:‑2</x:v>
      </x:c>
      <x:c r="C12" s="14" t="str">
        <x:v>QUALITATIVE</x:v>
      </x:c>
      <x:c r="D12" s="14" t="str">
        <x:v>Qualitative Klassen</x:v>
      </x:c>
      <x:c r="E12" s="14" t="str">
        <x:v>Assurance-Score (−3…+3)</x:v>
      </x:c>
      <x:c r="F12" s="59"/>
      <x:c r="G12" s="59"/>
      <x:c r="H12" s="59"/>
      <x:c r="I12" s="59"/>
      <x:c r="J12" s="58"/>
      <x:c r="K12" s="58"/>
      <x:c r="L12" s="58"/>
      <x:c r="M12" s="58"/>
      <x:c r="N12" s="58"/>
      <x:c r="O12" s="14" t="str">
        <x:v>Qualitativ</x:v>
      </x:c>
      <x:c r="P12" s="14" t="str">
        <x:v>Assurance und Kriterienkatalog erforderlich</x:v>
      </x:c>
      <x:c r="Q12" s="14" t="str">
        <x:v>WÖk-interne Kategorien</x:v>
      </x:c>
      <x:c r="R12" s="14" t="str">
        <x:v>Die Kategorie −3 fehlt; Vollständigkeit und Wirksamkeit sind feldspezifisch zu definieren.</x:v>
      </x:c>
      <x:c r="S12" s="14" t="n">
        <x:v>46</x:v>
      </x:c>
    </x:row>
    <x:row r="13" ht="54" customHeight="1">
      <x:c r="A13" s="14" t="str">
        <x:v>R09</x:v>
      </x:c>
      <x:c r="B13" s="14" t="str">
        <x:v>≤1,2:+3; 1,21–1,4:+2; 1,41–1,6:0; 1,61–1,8:‑2; &gt;1,8:‑3</x:v>
      </x:c>
      <x:c r="C13" s="14" t="str">
        <x:v>NUM_LOW</x:v>
      </x:c>
      <x:c r="D13" s="14" t="str">
        <x:v>Niedriger ist besser</x:v>
      </x:c>
      <x:c r="E13" s="14" t="str">
        <x:v>Numerischer Messwert</x:v>
      </x:c>
      <x:c r="F13" s="59" t="n">
        <x:v>1.2</x:v>
      </x:c>
      <x:c r="G13" s="59" t="n">
        <x:v>1.4</x:v>
      </x:c>
      <x:c r="H13" s="59" t="n">
        <x:v>1.6</x:v>
      </x:c>
      <x:c r="I13" s="59" t="n">
        <x:v>1.8</x:v>
      </x:c>
      <x:c r="J13" s="58" t="n">
        <x:v>3</x:v>
      </x:c>
      <x:c r="K13" s="58" t="n">
        <x:v>2</x:v>
      </x:c>
      <x:c r="L13" s="58" t="n">
        <x:v>0</x:v>
      </x:c>
      <x:c r="M13" s="58" t="n">
        <x:v>-2</x:v>
      </x:c>
      <x:c r="N13" s="58" t="n">
        <x:v>-3</x:v>
      </x:c>
      <x:c r="O13" s="14" t="str">
        <x:v>Feste WÖk-Kalibrierung</x:v>
      </x:c>
      <x:c r="P13" s="14" t="str">
        <x:v>Messstandard belegt; Klassen sind WÖk-Kalibrierung</x:v>
      </x:c>
      <x:c r="Q13" s="14" t="str">
        <x:v>PUE-Messung nach ISO/IEC 30134-2; Klassen intern</x:v>
      </x:c>
      <x:c r="R13" s="14" t="str">
        <x:v>Klimazone und Rechenzentrumstyp sind bei der Validierung zu berücksichtigen.</x:v>
      </x:c>
      <x:c r="S13" s="14" t="n">
        <x:v>9</x:v>
      </x:c>
    </x:row>
    <x:row r="14" ht="54" customHeight="1">
      <x:c r="A14" s="14" t="str">
        <x:v>R10</x:v>
      </x:c>
      <x:c r="B14" s="14" t="str">
        <x:v>≤100:+3; 101–250:0; &gt;250:‑2</x:v>
      </x:c>
      <x:c r="C14" s="14" t="str">
        <x:v>NUM_LOW</x:v>
      </x:c>
      <x:c r="D14" s="14" t="str">
        <x:v>Niedriger ist besser</x:v>
      </x:c>
      <x:c r="E14" s="14" t="str">
        <x:v>Numerischer Messwert</x:v>
      </x:c>
      <x:c r="F14" s="59" t="n">
        <x:v>100</x:v>
      </x:c>
      <x:c r="G14" s="59" t="n">
        <x:v>250</x:v>
      </x:c>
      <x:c r="H14" s="59" t="n">
        <x:v>1e+99</x:v>
      </x:c>
      <x:c r="I14" s="59" t="n">
        <x:v>1e+99</x:v>
      </x:c>
      <x:c r="J14" s="58" t="n">
        <x:v>3</x:v>
      </x:c>
      <x:c r="K14" s="58" t="n">
        <x:v>0</x:v>
      </x:c>
      <x:c r="L14" s="58" t="n">
        <x:v>-2</x:v>
      </x:c>
      <x:c r="M14" s="58" t="n">
        <x:v>-2</x:v>
      </x:c>
      <x:c r="N14" s="58" t="n">
        <x:v>-2</x:v>
      </x:c>
      <x:c r="O14" s="14" t="str">
        <x:v>Feste WÖk-Grobkalibrierung</x:v>
      </x:c>
      <x:c r="P14" s="14" t="str">
        <x:v>Klassen +2 und −3 fehlen</x:v>
      </x:c>
      <x:c r="Q14" s="14" t="str">
        <x:v>WÖk-interne Grobkalibrierung</x:v>
      </x:c>
      <x:c r="R14" s="14" t="str">
        <x:v>Automatik bildet nur die explizit vorhandenen Klassen ab.</x:v>
      </x:c>
      <x:c r="S14" s="14" t="n">
        <x:v>8</x:v>
      </x:c>
    </x:row>
    <x:row r="15" ht="54" customHeight="1">
      <x:c r="A15" s="14" t="str">
        <x:v>R11</x:v>
      </x:c>
      <x:c r="B15" s="14" t="str">
        <x:v>≤2:+3; ≤5:+2; ≤8:0; &gt;8:‑2/‑3</x:v>
      </x:c>
      <x:c r="C15" s="14" t="str">
        <x:v>NUM_LOW</x:v>
      </x:c>
      <x:c r="D15" s="14" t="str">
        <x:v>Niedriger ist besser</x:v>
      </x:c>
      <x:c r="E15" s="14" t="str">
        <x:v>Numerischer Messwert</x:v>
      </x:c>
      <x:c r="F15" s="59" t="n">
        <x:v>2</x:v>
      </x:c>
      <x:c r="G15" s="59" t="n">
        <x:v>5</x:v>
      </x:c>
      <x:c r="H15" s="59" t="n">
        <x:v>8</x:v>
      </x:c>
      <x:c r="I15" s="59" t="n">
        <x:v>1e+99</x:v>
      </x:c>
      <x:c r="J15" s="58" t="n">
        <x:v>3</x:v>
      </x:c>
      <x:c r="K15" s="58" t="n">
        <x:v>2</x:v>
      </x:c>
      <x:c r="L15" s="58" t="n">
        <x:v>0</x:v>
      </x:c>
      <x:c r="M15" s="58" t="n">
        <x:v>-2</x:v>
      </x:c>
      <x:c r="N15" s="58" t="n">
        <x:v>-2</x:v>
      </x:c>
      <x:c r="O15" s="14" t="str">
        <x:v>Unvollständige Grenzauflösung</x:v>
      </x:c>
      <x:c r="P15" s="14" t="str">
        <x:v>Grenze zwischen −2 und −3 offen</x:v>
      </x:c>
      <x:c r="Q15" s="14" t="str">
        <x:v>WÖk-Arbeitskalibrierung</x:v>
      </x:c>
      <x:c r="R15" s="14" t="str">
        <x:v>Werte &gt;8 werden bis zur Fachentscheidung konservativ mit −2 bewertet; manuelle Verschärfung über Assurance möglich.</x:v>
      </x:c>
      <x:c r="S15" s="14" t="n">
        <x:v>5</x:v>
      </x:c>
    </x:row>
    <x:row r="16" ht="54" customHeight="1">
      <x:c r="A16" s="14" t="str">
        <x:v>R12</x:v>
      </x:c>
      <x:c r="B16" s="14" t="str">
        <x:v>≤50% Grenzwert:+3; ≤75%:+2; ≤100%:0; 101–120%:‑2; &gt;120%:‑3</x:v>
      </x:c>
      <x:c r="C16" s="14" t="str">
        <x:v>LEGAL_RATIO</x:v>
      </x:c>
      <x:c r="D16" s="14" t="str">
        <x:v>Niedriger Anteil am Grenzwert ist besser</x:v>
      </x:c>
      <x:c r="E16" s="14" t="str">
        <x:v>Messwert in % des Rechts-/Genehmigungsgrenzwerts</x:v>
      </x:c>
      <x:c r="F16" s="59" t="n">
        <x:v>50</x:v>
      </x:c>
      <x:c r="G16" s="59" t="n">
        <x:v>75</x:v>
      </x:c>
      <x:c r="H16" s="59" t="n">
        <x:v>100</x:v>
      </x:c>
      <x:c r="I16" s="59" t="n">
        <x:v>120</x:v>
      </x:c>
      <x:c r="J16" s="58" t="n">
        <x:v>3</x:v>
      </x:c>
      <x:c r="K16" s="58" t="n">
        <x:v>2</x:v>
      </x:c>
      <x:c r="L16" s="58" t="n">
        <x:v>0</x:v>
      </x:c>
      <x:c r="M16" s="58" t="n">
        <x:v>-2</x:v>
      </x:c>
      <x:c r="N16" s="58" t="n">
        <x:v>-3</x:v>
      </x:c>
      <x:c r="O16" s="14" t="str">
        <x:v>Rechts-/Genehmigungsgrenze</x:v>
      </x:c>
      <x:c r="P16" s="14" t="str">
        <x:v>Rechtsfundstelle je Fall erforderlich</x:v>
      </x:c>
      <x:c r="Q16" s="14" t="str">
        <x:v>Jeweils anwendbare Rechtsnorm/Genehmigung</x:v>
      </x:c>
      <x:c r="R16" s="14" t="str">
        <x:v>Nicht der absolute Messwert, sondern Messwert ÷ Grenzwert × 100 wird bewertet.</x:v>
      </x:c>
      <x:c r="S16" s="14" t="n">
        <x:v>10</x:v>
      </x:c>
    </x:row>
    <x:row r="17" ht="54" customHeight="1">
      <x:c r="A17" s="14" t="str">
        <x:v>R13</x:v>
      </x:c>
      <x:c r="B17" s="14" t="str">
        <x:v>≤5:+3; 6–10:+2; 11–20:0; 21–30:‑2; &gt;30:‑3</x:v>
      </x:c>
      <x:c r="C17" s="14" t="str">
        <x:v>NUM_LOW</x:v>
      </x:c>
      <x:c r="D17" s="14" t="str">
        <x:v>Niedriger ist besser</x:v>
      </x:c>
      <x:c r="E17" s="14" t="str">
        <x:v>Numerischer Messwert</x:v>
      </x:c>
      <x:c r="F17" s="59" t="n">
        <x:v>5</x:v>
      </x:c>
      <x:c r="G17" s="59" t="n">
        <x:v>10</x:v>
      </x:c>
      <x:c r="H17" s="59" t="n">
        <x:v>20</x:v>
      </x:c>
      <x:c r="I17" s="59" t="n">
        <x:v>30</x:v>
      </x:c>
      <x:c r="J17" s="58" t="n">
        <x:v>3</x:v>
      </x:c>
      <x:c r="K17" s="58" t="n">
        <x:v>2</x:v>
      </x:c>
      <x:c r="L17" s="58" t="n">
        <x:v>0</x:v>
      </x:c>
      <x:c r="M17" s="58" t="n">
        <x:v>-2</x:v>
      </x:c>
      <x:c r="N17" s="58" t="n">
        <x:v>-3</x:v>
      </x:c>
      <x:c r="O17" s="14" t="str">
        <x:v>Feste WÖk-Kalibrierung</x:v>
      </x:c>
      <x:c r="P17" s="14" t="str">
        <x:v>Arbeitskalibrierung – fachlich zu validieren</x:v>
      </x:c>
      <x:c r="Q17" s="14" t="str">
        <x:v>WÖk-interne Klassenlogik</x:v>
      </x:c>
      <x:c r="R17" s="14" t="str">
        <x:v>Vollständige fünfstufige numerische Regel.</x:v>
      </x:c>
      <x:c r="S17" s="14" t="n">
        <x:v>40</x:v>
      </x:c>
    </x:row>
    <x:row r="18" ht="54" customHeight="1">
      <x:c r="A18" s="14" t="str">
        <x:v>R14</x:v>
      </x:c>
      <x:c r="B18" s="14" t="str">
        <x:v>≥0,8:+3; 0,6–0,79:+2; 0,4–0,59:0; 0,2–0,39:‑2; &lt;0,2:‑3</x:v>
      </x:c>
      <x:c r="C18" s="14" t="str">
        <x:v>NUM_HIGH</x:v>
      </x:c>
      <x:c r="D18" s="14" t="str">
        <x:v>Höher ist besser</x:v>
      </x:c>
      <x:c r="E18" s="14" t="str">
        <x:v>Numerischer Messwert</x:v>
      </x:c>
      <x:c r="F18" s="59" t="n">
        <x:v>0.2</x:v>
      </x:c>
      <x:c r="G18" s="59" t="n">
        <x:v>0.4</x:v>
      </x:c>
      <x:c r="H18" s="59" t="n">
        <x:v>0.6</x:v>
      </x:c>
      <x:c r="I18" s="59" t="n">
        <x:v>0.8</x:v>
      </x:c>
      <x:c r="J18" s="58" t="n">
        <x:v>-3</x:v>
      </x:c>
      <x:c r="K18" s="58" t="n">
        <x:v>-2</x:v>
      </x:c>
      <x:c r="L18" s="58" t="n">
        <x:v>0</x:v>
      </x:c>
      <x:c r="M18" s="58" t="n">
        <x:v>2</x:v>
      </x:c>
      <x:c r="N18" s="58" t="n">
        <x:v>3</x:v>
      </x:c>
      <x:c r="O18" s="14" t="str">
        <x:v>Feste WÖk-Kalibrierung</x:v>
      </x:c>
      <x:c r="P18" s="14" t="str">
        <x:v>Arbeitskalibrierung – fachlich zu validieren</x:v>
      </x:c>
      <x:c r="Q18" s="14" t="str">
        <x:v>WÖk-interne Klassenlogik</x:v>
      </x:c>
      <x:c r="R18" s="14" t="str">
        <x:v>Vollständige fünfstufige numerische Regel.</x:v>
      </x:c>
      <x:c r="S18" s="14" t="n">
        <x:v>9</x:v>
      </x:c>
    </x:row>
    <x:row r="19" ht="54" customHeight="1">
      <x:c r="A19" s="14" t="str">
        <x:v>R15</x:v>
      </x:c>
      <x:c r="B19" s="14" t="str">
        <x:v>≥0,8:+3; 0,7–0,79:+2; 0,6–0,69:0; 0,5–0,59:‑2; &lt;0,5:‑3</x:v>
      </x:c>
      <x:c r="C19" s="14" t="str">
        <x:v>NUM_HIGH</x:v>
      </x:c>
      <x:c r="D19" s="14" t="str">
        <x:v>Höher ist besser</x:v>
      </x:c>
      <x:c r="E19" s="14" t="str">
        <x:v>Numerischer Messwert</x:v>
      </x:c>
      <x:c r="F19" s="59" t="n">
        <x:v>0.5</x:v>
      </x:c>
      <x:c r="G19" s="59" t="n">
        <x:v>0.6</x:v>
      </x:c>
      <x:c r="H19" s="59" t="n">
        <x:v>0.7</x:v>
      </x:c>
      <x:c r="I19" s="59" t="n">
        <x:v>0.8</x:v>
      </x:c>
      <x:c r="J19" s="58" t="n">
        <x:v>-3</x:v>
      </x:c>
      <x:c r="K19" s="58" t="n">
        <x:v>-2</x:v>
      </x:c>
      <x:c r="L19" s="58" t="n">
        <x:v>0</x:v>
      </x:c>
      <x:c r="M19" s="58" t="n">
        <x:v>2</x:v>
      </x:c>
      <x:c r="N19" s="58" t="n">
        <x:v>3</x:v>
      </x:c>
      <x:c r="O19" s="14" t="str">
        <x:v>Feste WÖk-Kalibrierung</x:v>
      </x:c>
      <x:c r="P19" s="14" t="str">
        <x:v>Arbeitskalibrierung – fachlich zu validieren</x:v>
      </x:c>
      <x:c r="Q19" s="14" t="str">
        <x:v>WÖk-interne Klassenlogik</x:v>
      </x:c>
      <x:c r="R19" s="14" t="str">
        <x:v>Vollständige fünfstufige numerische Regel.</x:v>
      </x:c>
      <x:c r="S19" s="14" t="n">
        <x:v>40</x:v>
      </x:c>
    </x:row>
    <x:row r="20" ht="54" customHeight="1">
      <x:c r="A20" s="14" t="str">
        <x:v>R16</x:v>
      </x:c>
      <x:c r="B20" s="14" t="str">
        <x:v>≥0,9:+3; 0,75–0,89:+2; 0,6–0,74:0; 0,4–0,59:‑2; &lt;0,4:‑3</x:v>
      </x:c>
      <x:c r="C20" s="14" t="str">
        <x:v>NUM_HIGH</x:v>
      </x:c>
      <x:c r="D20" s="14" t="str">
        <x:v>Höher ist besser</x:v>
      </x:c>
      <x:c r="E20" s="14" t="str">
        <x:v>Numerischer Messwert</x:v>
      </x:c>
      <x:c r="F20" s="59" t="n">
        <x:v>0.4</x:v>
      </x:c>
      <x:c r="G20" s="59" t="n">
        <x:v>0.6</x:v>
      </x:c>
      <x:c r="H20" s="59" t="n">
        <x:v>0.75</x:v>
      </x:c>
      <x:c r="I20" s="59" t="n">
        <x:v>0.9</x:v>
      </x:c>
      <x:c r="J20" s="58" t="n">
        <x:v>-3</x:v>
      </x:c>
      <x:c r="K20" s="58" t="n">
        <x:v>-2</x:v>
      </x:c>
      <x:c r="L20" s="58" t="n">
        <x:v>0</x:v>
      </x:c>
      <x:c r="M20" s="58" t="n">
        <x:v>2</x:v>
      </x:c>
      <x:c r="N20" s="58" t="n">
        <x:v>3</x:v>
      </x:c>
      <x:c r="O20" s="14" t="str">
        <x:v>Feste WÖk-Kalibrierung</x:v>
      </x:c>
      <x:c r="P20" s="14" t="str">
        <x:v>Arbeitskalibrierung – fachlich zu validieren</x:v>
      </x:c>
      <x:c r="Q20" s="14" t="str">
        <x:v>WÖk-interne Klassenlogik</x:v>
      </x:c>
      <x:c r="R20" s="14" t="str">
        <x:v>Vollständige fünfstufige numerische Regel.</x:v>
      </x:c>
      <x:c r="S20" s="14" t="n">
        <x:v>50</x:v>
      </x:c>
    </x:row>
    <x:row r="21" ht="54" customHeight="1">
      <x:c r="A21" s="14" t="str">
        <x:v>R17</x:v>
      </x:c>
      <x:c r="B21" s="14" t="str">
        <x:v>≥40:+3; 25–39:+2; 10–24:0; 5–9:‑2; &lt;5:‑3</x:v>
      </x:c>
      <x:c r="C21" s="14" t="str">
        <x:v>NUM_HIGH</x:v>
      </x:c>
      <x:c r="D21" s="14" t="str">
        <x:v>Höher ist besser</x:v>
      </x:c>
      <x:c r="E21" s="14" t="str">
        <x:v>Numerischer Messwert</x:v>
      </x:c>
      <x:c r="F21" s="59" t="n">
        <x:v>5</x:v>
      </x:c>
      <x:c r="G21" s="59" t="n">
        <x:v>10</x:v>
      </x:c>
      <x:c r="H21" s="59" t="n">
        <x:v>25</x:v>
      </x:c>
      <x:c r="I21" s="59" t="n">
        <x:v>40</x:v>
      </x:c>
      <x:c r="J21" s="58" t="n">
        <x:v>-3</x:v>
      </x:c>
      <x:c r="K21" s="58" t="n">
        <x:v>-2</x:v>
      </x:c>
      <x:c r="L21" s="58" t="n">
        <x:v>0</x:v>
      </x:c>
      <x:c r="M21" s="58" t="n">
        <x:v>2</x:v>
      </x:c>
      <x:c r="N21" s="58" t="n">
        <x:v>3</x:v>
      </x:c>
      <x:c r="O21" s="14" t="str">
        <x:v>Feste WÖk-Kalibrierung</x:v>
      </x:c>
      <x:c r="P21" s="14" t="str">
        <x:v>Arbeitskalibrierung – fachlich zu validieren</x:v>
      </x:c>
      <x:c r="Q21" s="14" t="str">
        <x:v>WÖk-interne Klassenlogik</x:v>
      </x:c>
      <x:c r="R21" s="14" t="str">
        <x:v>Vollständige fünfstufige numerische Regel.</x:v>
      </x:c>
      <x:c r="S21" s="14" t="n">
        <x:v>4</x:v>
      </x:c>
    </x:row>
    <x:row r="22" ht="54" customHeight="1">
      <x:c r="A22" s="14" t="str">
        <x:v>R18</x:v>
      </x:c>
      <x:c r="B22" s="14" t="str">
        <x:v>≥50:+3; ≥40:+2; ≥30:0; &lt;30:‑2/‑3</x:v>
      </x:c>
      <x:c r="C22" s="14" t="str">
        <x:v>NUM_HIGH</x:v>
      </x:c>
      <x:c r="D22" s="14" t="str">
        <x:v>Höher ist besser</x:v>
      </x:c>
      <x:c r="E22" s="14" t="str">
        <x:v>Numerischer Messwert</x:v>
      </x:c>
      <x:c r="F22" s="59" t="n">
        <x:v>30</x:v>
      </x:c>
      <x:c r="G22" s="59" t="n">
        <x:v>40</x:v>
      </x:c>
      <x:c r="H22" s="59" t="n">
        <x:v>50</x:v>
      </x:c>
      <x:c r="I22" s="59" t="n">
        <x:v>1e+99</x:v>
      </x:c>
      <x:c r="J22" s="58" t="n">
        <x:v>-2</x:v>
      </x:c>
      <x:c r="K22" s="58" t="n">
        <x:v>0</x:v>
      </x:c>
      <x:c r="L22" s="58" t="n">
        <x:v>2</x:v>
      </x:c>
      <x:c r="M22" s="58" t="n">
        <x:v>3</x:v>
      </x:c>
      <x:c r="N22" s="58" t="n">
        <x:v>3</x:v>
      </x:c>
      <x:c r="O22" s="14" t="str">
        <x:v>Unvollständige Grenzauflösung</x:v>
      </x:c>
      <x:c r="P22" s="14" t="str">
        <x:v>Grenze zwischen −2 und −3 offen</x:v>
      </x:c>
      <x:c r="Q22" s="14" t="str">
        <x:v>WÖk-Arbeitskalibrierung</x:v>
      </x:c>
      <x:c r="R22" s="14" t="str">
        <x:v>Werte &lt;30 werden bis zur Fachentscheidung mit −2 bewertet; manuelle Verschärfung über Assurance möglich.</x:v>
      </x:c>
      <x:c r="S22" s="14" t="n">
        <x:v>5</x:v>
      </x:c>
    </x:row>
    <x:row r="23" ht="54" customHeight="1">
      <x:c r="A23" s="14" t="str">
        <x:v>R19</x:v>
      </x:c>
      <x:c r="B23" s="14" t="str">
        <x:v>≥5:+3; 3–4,9:+2; 1–2,9:0; 0,5–0,9:‑2; &lt;0,5:‑3</x:v>
      </x:c>
      <x:c r="C23" s="14" t="str">
        <x:v>NUM_HIGH</x:v>
      </x:c>
      <x:c r="D23" s="14" t="str">
        <x:v>Höher ist besser</x:v>
      </x:c>
      <x:c r="E23" s="14" t="str">
        <x:v>Numerischer Messwert</x:v>
      </x:c>
      <x:c r="F23" s="59" t="n">
        <x:v>0.5</x:v>
      </x:c>
      <x:c r="G23" s="59" t="n">
        <x:v>1</x:v>
      </x:c>
      <x:c r="H23" s="59" t="n">
        <x:v>3</x:v>
      </x:c>
      <x:c r="I23" s="59" t="n">
        <x:v>5</x:v>
      </x:c>
      <x:c r="J23" s="58" t="n">
        <x:v>-3</x:v>
      </x:c>
      <x:c r="K23" s="58" t="n">
        <x:v>-2</x:v>
      </x:c>
      <x:c r="L23" s="58" t="n">
        <x:v>0</x:v>
      </x:c>
      <x:c r="M23" s="58" t="n">
        <x:v>2</x:v>
      </x:c>
      <x:c r="N23" s="58" t="n">
        <x:v>3</x:v>
      </x:c>
      <x:c r="O23" s="14" t="str">
        <x:v>Feste WÖk-Kalibrierung</x:v>
      </x:c>
      <x:c r="P23" s="14" t="str">
        <x:v>Arbeitskalibrierung – fachlich zu validieren</x:v>
      </x:c>
      <x:c r="Q23" s="14" t="str">
        <x:v>WÖk-interne Klassenlogik</x:v>
      </x:c>
      <x:c r="R23" s="14" t="str">
        <x:v>Vollständige fünfstufige numerische Regel.</x:v>
      </x:c>
      <x:c r="S23" s="14" t="n">
        <x:v>4</x:v>
      </x:c>
    </x:row>
    <x:row r="24" ht="54" customHeight="1">
      <x:c r="A24" s="14" t="str">
        <x:v>R20</x:v>
      </x:c>
      <x:c r="B24" s="14" t="str">
        <x:v>≥5:+3; 3–4:+2; 1–2:0; 0:‑2</x:v>
      </x:c>
      <x:c r="C24" s="14" t="str">
        <x:v>NUM_HIGH</x:v>
      </x:c>
      <x:c r="D24" s="14" t="str">
        <x:v>Höher ist besser</x:v>
      </x:c>
      <x:c r="E24" s="14" t="str">
        <x:v>Numerischer Messwert</x:v>
      </x:c>
      <x:c r="F24" s="59" t="n">
        <x:v>0</x:v>
      </x:c>
      <x:c r="G24" s="59" t="n">
        <x:v>1</x:v>
      </x:c>
      <x:c r="H24" s="59" t="n">
        <x:v>3</x:v>
      </x:c>
      <x:c r="I24" s="59" t="n">
        <x:v>5</x:v>
      </x:c>
      <x:c r="J24" s="58" t="n">
        <x:v>-3</x:v>
      </x:c>
      <x:c r="K24" s="58" t="n">
        <x:v>-2</x:v>
      </x:c>
      <x:c r="L24" s="58" t="n">
        <x:v>0</x:v>
      </x:c>
      <x:c r="M24" s="58" t="n">
        <x:v>2</x:v>
      </x:c>
      <x:c r="N24" s="58" t="n">
        <x:v>3</x:v>
      </x:c>
      <x:c r="O24" s="14" t="str">
        <x:v>Feste WÖk-Grobkalibrierung</x:v>
      </x:c>
      <x:c r="P24" s="14" t="str">
        <x:v>Klasse −3 nur für negative/unzulässige Werte ergänzt</x:v>
      </x:c>
      <x:c r="Q24" s="14" t="str">
        <x:v>WÖk-interne Grobkalibrierung</x:v>
      </x:c>
      <x:c r="R24" s="14" t="str">
        <x:v>Für sachlogisch nichtnegative Zählwerte ist 0 die schlechteste reguläre Klasse (−2).</x:v>
      </x:c>
      <x:c r="S24" s="14" t="n">
        <x:v>40</x:v>
      </x:c>
    </x:row>
    <x:row r="25" ht="54" customHeight="1">
      <x:c r="A25" s="14" t="str">
        <x:v>R21</x:v>
      </x:c>
      <x:c r="B25" s="14" t="str">
        <x:v>≥6:+3; 4–5,9:+2; 2–3,9:0; 1–1,9:‑2; &lt;1:‑3</x:v>
      </x:c>
      <x:c r="C25" s="14" t="str">
        <x:v>NUM_HIGH</x:v>
      </x:c>
      <x:c r="D25" s="14" t="str">
        <x:v>Höher ist besser</x:v>
      </x:c>
      <x:c r="E25" s="14" t="str">
        <x:v>Numerischer Messwert</x:v>
      </x:c>
      <x:c r="F25" s="59" t="n">
        <x:v>1</x:v>
      </x:c>
      <x:c r="G25" s="59" t="n">
        <x:v>2</x:v>
      </x:c>
      <x:c r="H25" s="59" t="n">
        <x:v>4</x:v>
      </x:c>
      <x:c r="I25" s="59" t="n">
        <x:v>6</x:v>
      </x:c>
      <x:c r="J25" s="58" t="n">
        <x:v>-3</x:v>
      </x:c>
      <x:c r="K25" s="58" t="n">
        <x:v>-2</x:v>
      </x:c>
      <x:c r="L25" s="58" t="n">
        <x:v>0</x:v>
      </x:c>
      <x:c r="M25" s="58" t="n">
        <x:v>2</x:v>
      </x:c>
      <x:c r="N25" s="58" t="n">
        <x:v>3</x:v>
      </x:c>
      <x:c r="O25" s="14" t="str">
        <x:v>Feste WÖk-Kalibrierung</x:v>
      </x:c>
      <x:c r="P25" s="14" t="str">
        <x:v>Arbeitskalibrierung – fachlich zu validieren</x:v>
      </x:c>
      <x:c r="Q25" s="14" t="str">
        <x:v>WÖk-interne Klassenlogik</x:v>
      </x:c>
      <x:c r="R25" s="14" t="str">
        <x:v>Vollständige fünfstufige numerische Regel.</x:v>
      </x:c>
      <x:c r="S25" s="14" t="n">
        <x:v>5</x:v>
      </x:c>
    </x:row>
    <x:row r="26" ht="54" customHeight="1">
      <x:c r="A26" s="14" t="str">
        <x:v>R22</x:v>
      </x:c>
      <x:c r="B26" s="14" t="str">
        <x:v>≥70:+3; 50–69:+2; 30–49:0; 15–29:‑2; &lt;15:‑3</x:v>
      </x:c>
      <x:c r="C26" s="14" t="str">
        <x:v>NUM_HIGH</x:v>
      </x:c>
      <x:c r="D26" s="14" t="str">
        <x:v>Höher ist besser</x:v>
      </x:c>
      <x:c r="E26" s="14" t="str">
        <x:v>Numerischer Messwert</x:v>
      </x:c>
      <x:c r="F26" s="59" t="n">
        <x:v>15</x:v>
      </x:c>
      <x:c r="G26" s="59" t="n">
        <x:v>30</x:v>
      </x:c>
      <x:c r="H26" s="59" t="n">
        <x:v>50</x:v>
      </x:c>
      <x:c r="I26" s="59" t="n">
        <x:v>70</x:v>
      </x:c>
      <x:c r="J26" s="58" t="n">
        <x:v>-3</x:v>
      </x:c>
      <x:c r="K26" s="58" t="n">
        <x:v>-2</x:v>
      </x:c>
      <x:c r="L26" s="58" t="n">
        <x:v>0</x:v>
      </x:c>
      <x:c r="M26" s="58" t="n">
        <x:v>2</x:v>
      </x:c>
      <x:c r="N26" s="58" t="n">
        <x:v>3</x:v>
      </x:c>
      <x:c r="O26" s="14" t="str">
        <x:v>Feste WÖk-Kalibrierung</x:v>
      </x:c>
      <x:c r="P26" s="14" t="str">
        <x:v>Arbeitskalibrierung – fachlich zu validieren</x:v>
      </x:c>
      <x:c r="Q26" s="14" t="str">
        <x:v>WÖk-interne Klassenlogik</x:v>
      </x:c>
      <x:c r="R26" s="14" t="str">
        <x:v>Vollständige fünfstufige numerische Regel.</x:v>
      </x:c>
      <x:c r="S26" s="14" t="n">
        <x:v>12</x:v>
      </x:c>
    </x:row>
    <x:row r="27" ht="54" customHeight="1">
      <x:c r="A27" s="14" t="str">
        <x:v>R23</x:v>
      </x:c>
      <x:c r="B27" s="14" t="str">
        <x:v>≥80:+3; 60–79:+2; 40–59:0; 20–39:‑2; &lt;20:‑3</x:v>
      </x:c>
      <x:c r="C27" s="14" t="str">
        <x:v>NUM_HIGH</x:v>
      </x:c>
      <x:c r="D27" s="14" t="str">
        <x:v>Höher ist besser</x:v>
      </x:c>
      <x:c r="E27" s="14" t="str">
        <x:v>Numerischer Messwert</x:v>
      </x:c>
      <x:c r="F27" s="59" t="n">
        <x:v>20</x:v>
      </x:c>
      <x:c r="G27" s="59" t="n">
        <x:v>40</x:v>
      </x:c>
      <x:c r="H27" s="59" t="n">
        <x:v>60</x:v>
      </x:c>
      <x:c r="I27" s="59" t="n">
        <x:v>80</x:v>
      </x:c>
      <x:c r="J27" s="58" t="n">
        <x:v>-3</x:v>
      </x:c>
      <x:c r="K27" s="58" t="n">
        <x:v>-2</x:v>
      </x:c>
      <x:c r="L27" s="58" t="n">
        <x:v>0</x:v>
      </x:c>
      <x:c r="M27" s="58" t="n">
        <x:v>2</x:v>
      </x:c>
      <x:c r="N27" s="58" t="n">
        <x:v>3</x:v>
      </x:c>
      <x:c r="O27" s="14" t="str">
        <x:v>Feste WÖk-Kalibrierung</x:v>
      </x:c>
      <x:c r="P27" s="14" t="str">
        <x:v>Arbeitskalibrierung – fachlich zu validieren</x:v>
      </x:c>
      <x:c r="Q27" s="14" t="str">
        <x:v>WÖk-interne Klassenlogik</x:v>
      </x:c>
      <x:c r="R27" s="14" t="str">
        <x:v>Vollständige fünfstufige numerische Regel.</x:v>
      </x:c>
      <x:c r="S27" s="14" t="n">
        <x:v>25</x:v>
      </x:c>
    </x:row>
    <x:row r="28" ht="54" customHeight="1">
      <x:c r="A28" s="14" t="str">
        <x:v>R24</x:v>
      </x:c>
      <x:c r="B28" s="14" t="str">
        <x:v>≥8:+3; 6–7,9:+2; 4–5,9:0; 2–3,9:‑2; &lt;2:‑3</x:v>
      </x:c>
      <x:c r="C28" s="14" t="str">
        <x:v>NUM_HIGH</x:v>
      </x:c>
      <x:c r="D28" s="14" t="str">
        <x:v>Höher ist besser</x:v>
      </x:c>
      <x:c r="E28" s="14" t="str">
        <x:v>Produktspezifischer Reparierbarkeitsindex</x:v>
      </x:c>
      <x:c r="F28" s="59" t="n">
        <x:v>2</x:v>
      </x:c>
      <x:c r="G28" s="59" t="n">
        <x:v>4</x:v>
      </x:c>
      <x:c r="H28" s="59" t="n">
        <x:v>6</x:v>
      </x:c>
      <x:c r="I28" s="59" t="n">
        <x:v>8</x:v>
      </x:c>
      <x:c r="J28" s="58" t="n">
        <x:v>-3</x:v>
      </x:c>
      <x:c r="K28" s="58" t="n">
        <x:v>-2</x:v>
      </x:c>
      <x:c r="L28" s="58" t="n">
        <x:v>0</x:v>
      </x:c>
      <x:c r="M28" s="58" t="n">
        <x:v>2</x:v>
      </x:c>
      <x:c r="N28" s="58" t="n">
        <x:v>3</x:v>
      </x:c>
      <x:c r="O28" s="14" t="str">
        <x:v>Produktspezifische Indexkalibrierung</x:v>
      </x:c>
      <x:c r="P28" s="14" t="str">
        <x:v>Indexsystem und Produktgruppe müssen ausgewiesen werden</x:v>
      </x:c>
      <x:c r="Q28" s="14" t="str">
        <x:v>FR-/EU-Reparierbarkeitssystem je Produktgruppe</x:v>
      </x:c>
      <x:c r="R28" s="14" t="str">
        <x:v>Französischer Index und EU-Score sind nicht pauschal austauschbar.</x:v>
      </x:c>
      <x:c r="S28" s="14" t="n">
        <x:v>12</x:v>
      </x:c>
    </x:row>
    <x:row r="29" ht="54" customHeight="1">
      <x:c r="A29" s="14" t="str">
        <x:v>R25</x:v>
      </x:c>
      <x:c r="B29" s="14" t="str">
        <x:v>≥90%:+3; 70–89%:+2; 50–69%:0; 30–49%:‑2; &lt;30%:‑3</x:v>
      </x:c>
      <x:c r="C29" s="14" t="str">
        <x:v>NUM_HIGH</x:v>
      </x:c>
      <x:c r="D29" s="14" t="str">
        <x:v>Höher ist besser</x:v>
      </x:c>
      <x:c r="E29" s="14" t="str">
        <x:v>Prozentwert</x:v>
      </x:c>
      <x:c r="F29" s="59" t="n">
        <x:v>30</x:v>
      </x:c>
      <x:c r="G29" s="59" t="n">
        <x:v>50</x:v>
      </x:c>
      <x:c r="H29" s="59" t="n">
        <x:v>70</x:v>
      </x:c>
      <x:c r="I29" s="59" t="n">
        <x:v>90</x:v>
      </x:c>
      <x:c r="J29" s="58" t="n">
        <x:v>-3</x:v>
      </x:c>
      <x:c r="K29" s="58" t="n">
        <x:v>-2</x:v>
      </x:c>
      <x:c r="L29" s="58" t="n">
        <x:v>0</x:v>
      </x:c>
      <x:c r="M29" s="58" t="n">
        <x:v>2</x:v>
      </x:c>
      <x:c r="N29" s="58" t="n">
        <x:v>3</x:v>
      </x:c>
      <x:c r="O29" s="14" t="str">
        <x:v>Feste WÖk-Kalibrierung</x:v>
      </x:c>
      <x:c r="P29" s="14" t="str">
        <x:v>Arbeitskalibrierung – fachlich zu validieren</x:v>
      </x:c>
      <x:c r="Q29" s="14" t="str">
        <x:v>WÖk-interne Klassenlogik</x:v>
      </x:c>
      <x:c r="R29" s="14" t="str">
        <x:v>Vollständige fünfstufige Prozentregel.</x:v>
      </x:c>
      <x:c r="S29" s="14" t="n">
        <x:v>47</x:v>
      </x:c>
    </x:row>
    <x:row r="30" ht="54" customHeight="1">
      <x:c r="A30" s="14" t="str">
        <x:v>R26</x:v>
      </x:c>
      <x:c r="B30" s="14" t="str">
        <x:v>≥90:+3; 70–89:+2; 50–69:0; 30–49:‑2; &lt;30:‑3</x:v>
      </x:c>
      <x:c r="C30" s="14" t="str">
        <x:v>NUM_HIGH</x:v>
      </x:c>
      <x:c r="D30" s="14" t="str">
        <x:v>Höher ist besser</x:v>
      </x:c>
      <x:c r="E30" s="14" t="str">
        <x:v>Numerischer Wert / Prozentwert gemäß Einheit</x:v>
      </x:c>
      <x:c r="F30" s="59" t="n">
        <x:v>30</x:v>
      </x:c>
      <x:c r="G30" s="59" t="n">
        <x:v>50</x:v>
      </x:c>
      <x:c r="H30" s="59" t="n">
        <x:v>70</x:v>
      </x:c>
      <x:c r="I30" s="59" t="n">
        <x:v>90</x:v>
      </x:c>
      <x:c r="J30" s="58" t="n">
        <x:v>-3</x:v>
      </x:c>
      <x:c r="K30" s="58" t="n">
        <x:v>-2</x:v>
      </x:c>
      <x:c r="L30" s="58" t="n">
        <x:v>0</x:v>
      </x:c>
      <x:c r="M30" s="58" t="n">
        <x:v>2</x:v>
      </x:c>
      <x:c r="N30" s="58" t="n">
        <x:v>3</x:v>
      </x:c>
      <x:c r="O30" s="14" t="str">
        <x:v>Feste WÖk-Kalibrierung</x:v>
      </x:c>
      <x:c r="P30" s="14" t="str">
        <x:v>Arbeitskalibrierung – fachlich zu validieren</x:v>
      </x:c>
      <x:c r="Q30" s="14" t="str">
        <x:v>WÖk-interne Klassenlogik</x:v>
      </x:c>
      <x:c r="R30" s="14" t="str">
        <x:v>Vollständige fünfstufige numerische Regel.</x:v>
      </x:c>
      <x:c r="S30" s="14" t="n">
        <x:v>43</x:v>
      </x:c>
    </x:row>
    <x:row r="31" ht="54" customHeight="1">
      <x:c r="A31" s="14" t="str">
        <x:v>R27</x:v>
      </x:c>
      <x:c r="B31" s="14" t="str">
        <x:v>≥95:+3; 80–94:+2; 60–79:0; 40–59:‑2; &lt;40:‑3</x:v>
      </x:c>
      <x:c r="C31" s="14" t="str">
        <x:v>NUM_HIGH</x:v>
      </x:c>
      <x:c r="D31" s="14" t="str">
        <x:v>Höher ist besser</x:v>
      </x:c>
      <x:c r="E31" s="14" t="str">
        <x:v>Numerischer Wert / Prozentwert gemäß Einheit</x:v>
      </x:c>
      <x:c r="F31" s="59" t="n">
        <x:v>40</x:v>
      </x:c>
      <x:c r="G31" s="59" t="n">
        <x:v>60</x:v>
      </x:c>
      <x:c r="H31" s="59" t="n">
        <x:v>80</x:v>
      </x:c>
      <x:c r="I31" s="59" t="n">
        <x:v>95</x:v>
      </x:c>
      <x:c r="J31" s="58" t="n">
        <x:v>-3</x:v>
      </x:c>
      <x:c r="K31" s="58" t="n">
        <x:v>-2</x:v>
      </x:c>
      <x:c r="L31" s="58" t="n">
        <x:v>0</x:v>
      </x:c>
      <x:c r="M31" s="58" t="n">
        <x:v>2</x:v>
      </x:c>
      <x:c r="N31" s="58" t="n">
        <x:v>3</x:v>
      </x:c>
      <x:c r="O31" s="14" t="str">
        <x:v>Feste WÖk-Kalibrierung</x:v>
      </x:c>
      <x:c r="P31" s="14" t="str">
        <x:v>Arbeitskalibrierung – fachlich zu validieren</x:v>
      </x:c>
      <x:c r="Q31" s="14" t="str">
        <x:v>WÖk-interne Klassenlogik</x:v>
      </x:c>
      <x:c r="R31" s="14" t="str">
        <x:v>Vollständige fünfstufige numerische Regel.</x:v>
      </x:c>
      <x:c r="S31" s="14" t="n">
        <x:v>18</x:v>
      </x:c>
    </x:row>
    <x:row r="32" ht="54" customHeight="1">
      <x:c r="A32" s="14" t="str">
        <x:v>R28</x:v>
      </x:c>
      <x:c r="B32" s="14" t="str">
        <x:v>≥98:+3; 90–97:+2; 75–89:0; 50–74:‑2; &lt;50:‑3</x:v>
      </x:c>
      <x:c r="C32" s="14" t="str">
        <x:v>NUM_HIGH</x:v>
      </x:c>
      <x:c r="D32" s="14" t="str">
        <x:v>Höher ist besser</x:v>
      </x:c>
      <x:c r="E32" s="14" t="str">
        <x:v>Numerischer Wert / Prozentwert gemäß Einheit</x:v>
      </x:c>
      <x:c r="F32" s="59" t="n">
        <x:v>50</x:v>
      </x:c>
      <x:c r="G32" s="59" t="n">
        <x:v>75</x:v>
      </x:c>
      <x:c r="H32" s="59" t="n">
        <x:v>90</x:v>
      </x:c>
      <x:c r="I32" s="59" t="n">
        <x:v>98</x:v>
      </x:c>
      <x:c r="J32" s="58" t="n">
        <x:v>-3</x:v>
      </x:c>
      <x:c r="K32" s="58" t="n">
        <x:v>-2</x:v>
      </x:c>
      <x:c r="L32" s="58" t="n">
        <x:v>0</x:v>
      </x:c>
      <x:c r="M32" s="58" t="n">
        <x:v>2</x:v>
      </x:c>
      <x:c r="N32" s="58" t="n">
        <x:v>3</x:v>
      </x:c>
      <x:c r="O32" s="14" t="str">
        <x:v>Feste WÖk-Kalibrierung</x:v>
      </x:c>
      <x:c r="P32" s="14" t="str">
        <x:v>Arbeitskalibrierung – fachlich zu validieren</x:v>
      </x:c>
      <x:c r="Q32" s="14" t="str">
        <x:v>WÖk-interne Klassenlogik</x:v>
      </x:c>
      <x:c r="R32" s="14" t="str">
        <x:v>Vollständige fünfstufige numerische Regel.</x:v>
      </x:c>
      <x:c r="S32" s="14" t="n">
        <x:v>33</x:v>
      </x:c>
    </x:row>
  </x:sheetData>
  <x:mergeCells>
    <x:mergeCell ref="A1:S1"/>
    <x:mergeCell ref="A2:S2"/>
  </x:mergeCells>
  <x:conditionalFormatting sqref="O5:O32">
    <x:cfRule type="expression" dxfId="9" priority="1">
      <x:formula>O5="Benchmarkabhängig"</x:formula>
    </x:cfRule>
    <x:cfRule type="expression" dxfId="10" priority="2">
      <x:formula>O5="Qualitativ"</x:formula>
    </x:cfRule>
    <x:cfRule type="expression" dxfId="11" priority="3">
      <x:formula>O5="Unvollständige Grenzauflösung"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b22723fdcc46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34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04 · Tarifmodell</x:v>
      </x:c>
      <x:c r="B1" s="5"/>
      <x:c r="C1" s="5"/>
      <x:c r="D1" s="5"/>
      <x:c r="E1" s="5"/>
      <x:c r="F1" s="5"/>
      <x:c r="G1" s="5"/>
      <x:c r="H1" s="5"/>
    </x:row>
    <x:row r="2">
      <x:c r="A2" s="9" t="str">
        <x:v>Aktive Fassung: WÖk-Arbeitsmodell v1.3. Keine geltende Rechtsnorm. Historische Modelle werden separat und ohne Rechenwirkung dokumentiert.</x:v>
      </x:c>
      <x:c r="B2" s="9"/>
      <x:c r="C2" s="9"/>
      <x:c r="D2" s="9"/>
      <x:c r="E2" s="9"/>
      <x:c r="F2" s="9"/>
      <x:c r="G2" s="9"/>
      <x:c r="H2" s="9"/>
    </x:row>
    <x:row r="5">
      <x:c r="A5" s="49" t="str">
        <x:v>FinalScore</x:v>
      </x:c>
      <x:c r="B5" s="49" t="str">
        <x:v>Steuerklasse</x:v>
      </x:c>
      <x:c r="C5" s="49" t="str">
        <x:v>Steuersatz_pct</x:v>
      </x:c>
      <x:c r="D5" s="49" t="str">
        <x:v>Status</x:v>
      </x:c>
      <x:c r="E5" s="49" t="str">
        <x:v>Kommentar</x:v>
      </x:c>
    </x:row>
    <x:row r="6">
      <x:c r="A6" s="14" t="n">
        <x:v>-3</x:v>
      </x:c>
      <x:c r="B6" s="14" t="str">
        <x:v>Hoch schädlich</x:v>
      </x:c>
      <x:c r="C6" s="60" t="n">
        <x:v>25</x:v>
      </x:c>
      <x:c r="D6" s="14" t="str">
        <x:v>Aktives WÖk-Arbeitsmodell v1.3</x:v>
      </x:c>
      <x:c r="E6" s="14" t="str">
        <x:v>Höchste Belastung; rote Linien und Prüfpflicht beachten.</x:v>
      </x:c>
    </x:row>
    <x:row r="7">
      <x:c r="A7" s="14" t="n">
        <x:v>-2</x:v>
      </x:c>
      <x:c r="B7" s="14" t="str">
        <x:v>Schädlich</x:v>
      </x:c>
      <x:c r="C7" s="60" t="n">
        <x:v>20</x:v>
      </x:c>
      <x:c r="D7" s="14" t="str">
        <x:v>Aktives WÖk-Arbeitsmodell v1.3</x:v>
      </x:c>
      <x:c r="E7" s="14" t="str">
        <x:v>Deutlich negative Wirkung.</x:v>
      </x:c>
    </x:row>
    <x:row r="8">
      <x:c r="A8" s="14" t="n">
        <x:v>-1</x:v>
      </x:c>
      <x:c r="B8" s="14" t="str">
        <x:v>Schwach</x:v>
      </x:c>
      <x:c r="C8" s="60" t="n">
        <x:v>15</x:v>
      </x:c>
      <x:c r="D8" s="14" t="str">
        <x:v>Aktives WÖk-Arbeitsmodell v1.3</x:v>
      </x:c>
      <x:c r="E8" s="14" t="str">
        <x:v>Negative Wirkung.</x:v>
      </x:c>
    </x:row>
    <x:row r="9">
      <x:c r="A9" s="14" t="n">
        <x:v>0</x:v>
      </x:c>
      <x:c r="B9" s="14" t="str">
        <x:v>Neutral</x:v>
      </x:c>
      <x:c r="C9" s="60" t="n">
        <x:v>10</x:v>
      </x:c>
      <x:c r="D9" s="14" t="str">
        <x:v>Aktives WÖk-Arbeitsmodell v1.3</x:v>
      </x:c>
      <x:c r="E9" s="14" t="str">
        <x:v>Keine belastbare positive Netto-Wirkung.</x:v>
      </x:c>
    </x:row>
    <x:row r="10">
      <x:c r="A10" s="14" t="n">
        <x:v>1</x:v>
      </x:c>
      <x:c r="B10" s="14" t="str">
        <x:v>Gut</x:v>
      </x:c>
      <x:c r="C10" s="60" t="n">
        <x:v>5</x:v>
      </x:c>
      <x:c r="D10" s="14" t="str">
        <x:v>Aktives WÖk-Arbeitsmodell v1.3</x:v>
      </x:c>
      <x:c r="E10" s="14" t="str">
        <x:v>Positive Wirkung unterhalb Transformationsniveau.</x:v>
      </x:c>
    </x:row>
    <x:row r="11">
      <x:c r="A11" s="14" t="n">
        <x:v>2</x:v>
      </x:c>
      <x:c r="B11" s="14" t="str">
        <x:v>Sehr gut</x:v>
      </x:c>
      <x:c r="C11" s="60" t="n">
        <x:v>0</x:v>
      </x:c>
      <x:c r="D11" s="14" t="str">
        <x:v>Aktives WÖk-Arbeitsmodell v1.3</x:v>
      </x:c>
      <x:c r="E11" s="14" t="str">
        <x:v>Starke positive Wirkung.</x:v>
      </x:c>
    </x:row>
    <x:row r="12">
      <x:c r="A12" s="14" t="n">
        <x:v>3</x:v>
      </x:c>
      <x:c r="B12" s="14" t="str">
        <x:v>Transformativ</x:v>
      </x:c>
      <x:c r="C12" s="60" t="n">
        <x:v>0</x:v>
      </x:c>
      <x:c r="D12" s="14" t="str">
        <x:v>Aktives WÖk-Arbeitsmodell v1.3</x:v>
      </x:c>
      <x:c r="E12" s="14" t="str">
        <x:v>Systemisch transformativ; Nachweis- und Nichtkompensationsprinzip gelten weiter.</x:v>
      </x:c>
    </x:row>
    <x:row r="15">
      <x:c r="A15" s="49" t="str">
        <x:v>Historisches Modell</x:v>
      </x:c>
      <x:c r="B15" s="49" t="str">
        <x:v>Bedingung</x:v>
      </x:c>
      <x:c r="C15" s="49" t="str">
        <x:v>Satz_pct</x:v>
      </x:c>
      <x:c r="D15" s="49" t="str">
        <x:v>Status</x:v>
      </x:c>
    </x:row>
    <x:row r="16">
      <x:c r="A16" s="53" t="str">
        <x:v>Fünfklassenmodell 2025</x:v>
      </x:c>
      <x:c r="B16" s="53" t="str">
        <x:v>Schädlich / mindestens ein Feld negativ</x:v>
      </x:c>
      <x:c r="C16" s="63" t="n">
        <x:v>25</x:v>
      </x:c>
      <x:c r="D16" s="53" t="str">
        <x:v>Historische Referenz – nicht aktiv</x:v>
      </x:c>
    </x:row>
    <x:row r="17">
      <x:c r="A17" s="53" t="str">
        <x:v>Fünfklassenmodell 2025</x:v>
      </x:c>
      <x:c r="B17" s="53" t="str">
        <x:v>Neutral</x:v>
      </x:c>
      <x:c r="C17" s="63" t="n">
        <x:v>19</x:v>
      </x:c>
      <x:c r="D17" s="53" t="str">
        <x:v>Historische Referenz – nicht aktiv</x:v>
      </x:c>
    </x:row>
    <x:row r="18">
      <x:c r="A18" s="53" t="str">
        <x:v>Fünfklassenmodell 2025</x:v>
      </x:c>
      <x:c r="B18" s="53" t="str">
        <x:v>Gut</x:v>
      </x:c>
      <x:c r="C18" s="63" t="n">
        <x:v>12</x:v>
      </x:c>
      <x:c r="D18" s="53" t="str">
        <x:v>Historische Referenz – nicht aktiv</x:v>
      </x:c>
    </x:row>
    <x:row r="19">
      <x:c r="A19" s="53" t="str">
        <x:v>Fünfklassenmodell 2025</x:v>
      </x:c>
      <x:c r="B19" s="53" t="str">
        <x:v>Sehr gut</x:v>
      </x:c>
      <x:c r="C19" s="63" t="n">
        <x:v>5</x:v>
      </x:c>
      <x:c r="D19" s="53" t="str">
        <x:v>Historische Referenz – nicht aktiv</x:v>
      </x:c>
    </x:row>
    <x:row r="20">
      <x:c r="A20" s="53" t="str">
        <x:v>Fünfklassenmodell 2025</x:v>
      </x:c>
      <x:c r="B20" s="53" t="str">
        <x:v>Transformativ</x:v>
      </x:c>
      <x:c r="C20" s="63" t="n">
        <x:v>0</x:v>
      </x:c>
      <x:c r="D20" s="53" t="str">
        <x:v>Historische Referenz – nicht aktiv</x:v>
      </x:c>
    </x:row>
    <x:row r="22">
      <x:c r="A22" s="44" t="str">
        <x:v>Governance-Hinweis: Eine steuerliche Zuordnung darf nur erfolgen, wenn Messwert, Systemgrenze, Quelle, Datenstand und erforderliche Assurance vorliegen. Ein Score von +2 oder +3 hebt negative rote Linien in anderen Wirkungsfeldern nicht auf.</x:v>
      </x:c>
      <x:c r="B22" s="44"/>
      <x:c r="C22" s="44"/>
      <x:c r="D22" s="44"/>
      <x:c r="E22" s="44"/>
      <x:c r="F22" s="44"/>
      <x:c r="G22" s="44"/>
      <x:c r="H22" s="44"/>
    </x:row>
    <x:row r="23">
      <x:c r="A23" s="44"/>
      <x:c r="B23" s="44"/>
      <x:c r="C23" s="44"/>
      <x:c r="D23" s="44"/>
      <x:c r="E23" s="44"/>
      <x:c r="F23" s="44"/>
      <x:c r="G23" s="44"/>
      <x:c r="H23" s="44"/>
    </x:row>
    <x:row r="24">
      <x:c r="A24" s="44"/>
      <x:c r="B24" s="44"/>
      <x:c r="C24" s="44"/>
      <x:c r="D24" s="44"/>
      <x:c r="E24" s="44"/>
      <x:c r="F24" s="44"/>
      <x:c r="G24" s="44"/>
      <x:c r="H24" s="44"/>
    </x:row>
  </x:sheetData>
  <x:mergeCells>
    <x:mergeCell ref="A1:H1"/>
    <x:mergeCell ref="A2:H2"/>
    <x:mergeCell ref="A22:H24"/>
  </x:mergeCells>
  <x:conditionalFormatting sqref="A6:C12">
    <x:cfRule type="colorScale" priority="1">
      <x:colorScale>
        <x:cfvo type="min"/>
        <x:cfvo type="percentile" val="50"/>
        <x:cfvo type="max"/>
        <x:color rgb="FFFDE2E2"/>
        <x:color rgb="FFFFF4CC"/>
        <x:color rgb="FFE3F4E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15f7f479b5694e12"/>
    <x:tablePart xmlns:r="http://schemas.openxmlformats.org/officeDocument/2006/relationships" r:id="R7ac55ffef39a4a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42" hidden="0" customWidth="1"/>
    <x:col min="5" max="5" width="46" hidden="0" customWidth="1"/>
    <x:col min="6" max="6" width="44" hidden="0" customWidth="1"/>
    <x:col min="7" max="7" width="16" hidden="0" customWidth="1"/>
  </x:cols>
  <x:sheetData>
    <x:row r="1" ht="32" customHeight="1">
      <x:c r="A1" s="5" t="str">
        <x:v>05 · Changelog v1.2 → v1.4 FINAL</x:v>
      </x:c>
      <x:c r="B1" s="5"/>
      <x:c r="C1" s="5"/>
      <x:c r="D1" s="5"/>
      <x:c r="E1" s="5"/>
      <x:c r="F1" s="5"/>
      <x:c r="G1" s="5"/>
    </x:row>
    <x:row r="2" ht="36" customHeight="1">
      <x:c r="A2" s="9" t="str">
        <x:v>Nachvollziehbare Änderungen an Datenmodell, Scoring, Quellen, Governance, Terminologie und Transparenz.</x:v>
      </x:c>
      <x:c r="B2" s="9"/>
      <x:c r="C2" s="9"/>
      <x:c r="D2" s="9"/>
      <x:c r="E2" s="9"/>
      <x:c r="F2" s="9"/>
      <x:c r="G2" s="9"/>
    </x:row>
    <x:row r="4" ht="34" customHeight="1">
      <x:c r="A4" s="49" t="str">
        <x:v>Change_ID</x:v>
      </x:c>
      <x:c r="B4" s="49" t="str">
        <x:v>Bereich</x:v>
      </x:c>
      <x:c r="C4" s="49" t="str">
        <x:v>Änderungstyp</x:v>
      </x:c>
      <x:c r="D4" s="49" t="str">
        <x:v>Vorher</x:v>
      </x:c>
      <x:c r="E4" s="49" t="str">
        <x:v>Nachher</x:v>
      </x:c>
      <x:c r="F4" s="49" t="str">
        <x:v>Begründung</x:v>
      </x:c>
      <x:c r="G4" s="49" t="str">
        <x:v>Status</x:v>
      </x:c>
    </x:row>
    <x:row r="5" ht="52" customHeight="1">
      <x:c r="A5" s="14" t="str">
        <x:v>CH-001</x:v>
      </x:c>
      <x:c r="B5" s="14" t="str">
        <x:v>Scorecards</x:v>
      </x:c>
      <x:c r="C5" s="14" t="str">
        <x:v>Fehlerkorrektur</x:v>
      </x:c>
      <x:c r="D5" s="14" t="str">
        <x:v>Leere Messwerte wurden als 0 interpretiert.</x:v>
      </x:c>
      <x:c r="E5" s="14" t="str">
        <x:v>Leere Eingaben bleiben unbewertet.</x:v>
      </x:c>
      <x:c r="F5" s="14" t="str">
        <x:v>Datenlücken dürfen keinen Score oder Steuersatz erzeugen.</x:v>
      </x:c>
      <x:c r="G5" s="14" t="str">
        <x:v>Umgesetzt</x:v>
      </x:c>
    </x:row>
    <x:row r="6" ht="52" customHeight="1">
      <x:c r="A6" s="14" t="str">
        <x:v>CH-002</x:v>
      </x:c>
      <x:c r="B6" s="14" t="str">
        <x:v>Scoring</x:v>
      </x:c>
      <x:c r="C6" s="14" t="str">
        <x:v>Fehlerkorrektur</x:v>
      </x:c>
      <x:c r="D6" s="14" t="str">
        <x:v>320 Zeilen verwiesen auf fehlende Archetypen.</x:v>
      </x:c>
      <x:c r="E6" s="14" t="str">
        <x:v>Alle 621 Items sind einer von 28 dokumentierten Regeln zugeordnet.</x:v>
      </x:c>
      <x:c r="F6" s="14" t="str">
        <x:v>Vermeidung von #N/A und transparente Regelpflege.</x:v>
      </x:c>
      <x:c r="G6" s="14" t="str">
        <x:v>Umgesetzt</x:v>
      </x:c>
    </x:row>
    <x:row r="7" ht="52" customHeight="1">
      <x:c r="A7" s="14" t="str">
        <x:v>CH-003</x:v>
      </x:c>
      <x:c r="B7" s="14" t="str">
        <x:v>FinalScore</x:v>
      </x:c>
      <x:c r="C7" s="14" t="str">
        <x:v>Fehlerkorrektur</x:v>
      </x:c>
      <x:c r="D7" s="14" t="str">
        <x:v>Benchmark wurde bei vorhandenem Archetyp regelmäßig ignoriert.</x:v>
      </x:c>
      <x:c r="E7" s="14" t="str">
        <x:v>FinalScore ist das Minimum aller vorhandenen Teilbewertungen.</x:v>
      </x:c>
      <x:c r="F7" s="14" t="str">
        <x:v>Konservative Nichtkompensations- und Vorsorgelogik.</x:v>
      </x:c>
      <x:c r="G7" s="14" t="str">
        <x:v>Umgesetzt</x:v>
      </x:c>
    </x:row>
    <x:row r="8" ht="52" customHeight="1">
      <x:c r="A8" s="14" t="str">
        <x:v>CH-004</x:v>
      </x:c>
      <x:c r="B8" s="14" t="str">
        <x:v>Benchmarks</x:v>
      </x:c>
      <x:c r="C8" s="14" t="str">
        <x:v>Strukturänderung</x:v>
      </x:c>
      <x:c r="D8" s="14" t="str">
        <x:v>Generierte Schwellenwerte erschienen als Branchenbenchmarks.</x:v>
      </x:c>
      <x:c r="E8" s="14" t="str">
        <x:v>Aktive validierte Benchmarks und Legacy-Rechenwerte sind strikt getrennt.</x:v>
      </x:c>
      <x:c r="F8" s="14" t="str">
        <x:v>Keine Scheingenauigkeit oder falsche Quellenbehauptung.</x:v>
      </x:c>
      <x:c r="G8" s="14" t="str">
        <x:v>Umgesetzt</x:v>
      </x:c>
    </x:row>
    <x:row r="9" ht="52" customHeight="1">
      <x:c r="A9" s="14" t="str">
        <x:v>CH-005</x:v>
      </x:c>
      <x:c r="B9" s="14" t="str">
        <x:v>Qualitative Regeln</x:v>
      </x:c>
      <x:c r="C9" s="14" t="str">
        <x:v>Governance</x:v>
      </x:c>
      <x:c r="D9" s="14" t="str">
        <x:v>Qualitative Texte waren nicht operationalisiert.</x:v>
      </x:c>
      <x:c r="E9" s="14" t="str">
        <x:v>Assurance-Score und Kriterienkatalog werden explizit verlangt.</x:v>
      </x:c>
      <x:c r="F9" s="14" t="str">
        <x:v>Qualitative Wirkung braucht Evidenz und Prüfbarkeit.</x:v>
      </x:c>
      <x:c r="G9" s="14" t="str">
        <x:v>Umgesetzt</x:v>
      </x:c>
    </x:row>
    <x:row r="10" ht="52" customHeight="1">
      <x:c r="A10" s="14" t="str">
        <x:v>CH-006</x:v>
      </x:c>
      <x:c r="B10" s="14" t="str">
        <x:v>Rechtsgrenzen</x:v>
      </x:c>
      <x:c r="C10" s="14" t="str">
        <x:v>Methodenkorrektur</x:v>
      </x:c>
      <x:c r="D10" s="14" t="str">
        <x:v>Einheit und Definition passten nicht zur Prozent-vom-Grenzwert-Regel.</x:v>
      </x:c>
      <x:c r="E10" s="14" t="str">
        <x:v>Bewertet wird Messwert ÷ anwendbarer Grenzwert × 100.</x:v>
      </x:c>
      <x:c r="F10" s="14" t="str">
        <x:v>Rechts- und Genehmigungsgrenzen müssen fallbezogen parametrisiert werden.</x:v>
      </x:c>
      <x:c r="G10" s="14" t="str">
        <x:v>Umgesetzt</x:v>
      </x:c>
    </x:row>
    <x:row r="11" ht="52" customHeight="1">
      <x:c r="A11" s="14" t="str">
        <x:v>CH-007</x:v>
      </x:c>
      <x:c r="B11" s="14" t="str">
        <x:v>NACE</x:v>
      </x:c>
      <x:c r="C11" s="14" t="str">
        <x:v>Versionierung</x:v>
      </x:c>
      <x:c r="D11" s="14" t="str">
        <x:v>NACE war nicht versioniert.</x:v>
      </x:c>
      <x:c r="E11" s="14" t="str">
        <x:v>Legacy-Zuordnung bleibt erhalten; Migration auf NACE Rev. 2.1 wird ausgewiesen.</x:v>
      </x:c>
      <x:c r="F11" s="14" t="str">
        <x:v>Klassifikationsänderungen dürfen nicht unsichtbar bleiben.</x:v>
      </x:c>
      <x:c r="G11" s="14" t="str">
        <x:v>Umgesetzt</x:v>
      </x:c>
    </x:row>
    <x:row r="12" ht="52" customHeight="1">
      <x:c r="A12" s="14" t="str">
        <x:v>CH-008</x:v>
      </x:c>
      <x:c r="B12" s="14" t="str">
        <x:v>Quellen</x:v>
      </x:c>
      <x:c r="C12" s="14" t="str">
        <x:v>Strukturänderung</x:v>
      </x:c>
      <x:c r="D12" s="14" t="str">
        <x:v>Messstandards und Schwellenquellen waren vermischt.</x:v>
      </x:c>
      <x:c r="E12" s="14" t="str">
        <x:v>Quellenfunktion, Quellenstatus und Source_IDs werden getrennt geführt.</x:v>
      </x:c>
      <x:c r="F12" s="14" t="str">
        <x:v>Ein Messstandard belegt nicht automatisch einen Grenzwert.</x:v>
      </x:c>
      <x:c r="G12" s="14" t="str">
        <x:v>Umgesetzt</x:v>
      </x:c>
    </x:row>
    <x:row r="13" ht="52" customHeight="1">
      <x:c r="A13" s="14" t="str">
        <x:v>CH-009</x:v>
      </x:c>
      <x:c r="B13" s="14" t="str">
        <x:v>Register</x:v>
      </x:c>
      <x:c r="C13" s="14" t="str">
        <x:v>Erweiterung</x:v>
      </x:c>
      <x:c r="D13" s="14" t="str">
        <x:v>Systemgrenze, Datenqualität, Assurance und Gültigkeit fehlten.</x:v>
      </x:c>
      <x:c r="E13" s="14" t="str">
        <x:v>Pflichtfelder wurden ergänzt.</x:v>
      </x:c>
      <x:c r="F13" s="14" t="str">
        <x:v>Auditierbarkeit und spätere Automatisierung.</x:v>
      </x:c>
      <x:c r="G13" s="14" t="str">
        <x:v>Umgesetzt</x:v>
      </x:c>
    </x:row>
    <x:row r="14" ht="52" customHeight="1">
      <x:c r="A14" s="14" t="str">
        <x:v>CH-010</x:v>
      </x:c>
      <x:c r="B14" s="14" t="str">
        <x:v>Fachlogik</x:v>
      </x:c>
      <x:c r="C14" s="14" t="str">
        <x:v>Qualitätssicherung</x:v>
      </x:c>
      <x:c r="D14" s="14" t="str">
        <x:v>Generische Schablonenfehler waren unsichtbar.</x:v>
      </x:c>
      <x:c r="E14" s="14" t="str">
        <x:v>Fachlogik_Status, Prüfpriorität und Prüfhinweis kennzeichnen offene Punkte.</x:v>
      </x:c>
      <x:c r="F14" s="14" t="str">
        <x:v>Schablonenabweichungen dürfen nicht stillschweigend fortgeschrieben werden.</x:v>
      </x:c>
      <x:c r="G14" s="14" t="str">
        <x:v>Umgesetzt</x:v>
      </x:c>
    </x:row>
    <x:row r="15" ht="52" customHeight="1">
      <x:c r="A15" s="14" t="str">
        <x:v>CH-011</x:v>
      </x:c>
      <x:c r="B15" s="14" t="str">
        <x:v>Tarifmodell</x:v>
      </x:c>
      <x:c r="C15" s="14" t="str">
        <x:v>Versionierung</x:v>
      </x:c>
      <x:c r="D15" s="14" t="str">
        <x:v>Mehrere historische Tarifmodelle standen nebeneinander.</x:v>
      </x:c>
      <x:c r="E15" s="14" t="str">
        <x:v>Aktives v1.3-Arbeitsmodell wird klar von historischen Varianten getrennt.</x:v>
      </x:c>
      <x:c r="F15" s="14" t="str">
        <x:v>Keine Verwechslung mit geltendem Recht.</x:v>
      </x:c>
      <x:c r="G15" s="14" t="str">
        <x:v>Umgesetzt</x:v>
      </x:c>
    </x:row>
    <x:row r="16" ht="52" customHeight="1">
      <x:c r="A16" s="14" t="str">
        <x:v>CH-012</x:v>
      </x:c>
      <x:c r="B16" s="14" t="str">
        <x:v>Dashboard</x:v>
      </x:c>
      <x:c r="C16" s="14" t="str">
        <x:v>Usability</x:v>
      </x:c>
      <x:c r="D16" s="14" t="str">
        <x:v>Keine Qualitätsübersicht.</x:v>
      </x:c>
      <x:c r="E16" s="14" t="str">
        <x:v>KPI-, Kategorien- und Prioritätsübersicht ergänzt.</x:v>
      </x:c>
      <x:c r="F16" s="14" t="str">
        <x:v>Schnelle Navigation und Governance-Transparenz.</x:v>
      </x:c>
      <x:c r="G16" s="14" t="str">
        <x:v>Umgesetzt</x:v>
      </x:c>
    </x:row>
    <x:row r="17" ht="52" customHeight="1">
      <x:c r="A17" s="14" t="str">
        <x:v>CH-013</x:v>
      </x:c>
      <x:c r="B17" s="14" t="str">
        <x:v>Layout</x:v>
      </x:c>
      <x:c r="C17" s="14" t="str">
        <x:v>Design</x:v>
      </x:c>
      <x:c r="D17" s="14" t="str">
        <x:v>Technische Rohlisten mit uneinheitlicher Darstellung.</x:v>
      </x:c>
      <x:c r="E17" s="14" t="str">
        <x:v>Einheitliches WÖk-Design, Filter, Freeze Panes, Eingabezonen und bedingte Formatierung.</x:v>
      </x:c>
      <x:c r="F17" s="14" t="str">
        <x:v>Professionelle Arbeits- und Präsentationsqualität.</x:v>
      </x:c>
      <x:c r="G17" s="14" t="str">
        <x:v>Umgesetzt</x:v>
      </x:c>
    </x:row>
    <x:row r="18" ht="52" customHeight="1">
      <x:c r="A18" s="14" t="str">
        <x:v>CH-014</x:v>
      </x:c>
      <x:c r="B18" s="14" t="str">
        <x:v>Scorecard-Eingabe</x:v>
      </x:c>
      <x:c r="C18" s="14" t="str">
        <x:v>Governance</x:v>
      </x:c>
      <x:c r="D18" s="14" t="str">
        <x:v>Keine getrennte manuelle Evidenz-/Assurance-Spur.</x:v>
      </x:c>
      <x:c r="E18" s="14" t="str">
        <x:v>Messwert, Assurance-Score, Nachweis und Datenstand sind separate Eingaben.</x:v>
      </x:c>
      <x:c r="F18" s="14" t="str">
        <x:v>Automatik und fachliche Prüfung bleiben nachvollziehbar.</x:v>
      </x:c>
      <x:c r="G18" s="14" t="str">
        <x:v>Umgesetzt</x:v>
      </x:c>
    </x:row>
    <x:row r="19">
      <x:c r="A19" s="79" t="str">
        <x:v>CH-015</x:v>
      </x:c>
      <x:c r="B19" s="79" t="str">
        <x:v>Terminologie</x:v>
      </x:c>
      <x:c r="C19" s="79" t="str">
        <x:v>Referenzaktualisierung</x:v>
      </x:c>
      <x:c r="D19" s="79" t="str">
        <x:v>Begriffsleitfaden v1.0 war im Quellenkatalog noch als führend eingetragen.</x:v>
      </x:c>
      <x:c r="E19" s="79" t="str">
        <x:v>Führender Begriffsleitfaden v1.5 ist als aktuelle Referenz eingetragen.</x:v>
      </x:c>
      <x:c r="F19" s="79" t="str">
        <x:v>Register und Portale müssen dieselbe führende Terminologie verwenden.</x:v>
      </x:c>
      <x:c r="G19" s="79" t="str">
        <x:v>Umgesetzt</x:v>
      </x:c>
    </x:row>
    <x:row r="20">
      <x:c r="A20" s="79" t="str">
        <x:v>CH-016</x:v>
      </x:c>
      <x:c r="B20" s="79" t="str">
        <x:v>SDG+</x:v>
      </x:c>
      <x:c r="C20" s="79" t="str">
        <x:v>Terminologiekorrektur</x:v>
      </x:c>
      <x:c r="D20" s="79" t="str">
        <x:v>SDG+-Bereiche waren nur als führendes '+' gekennzeichnet.</x:v>
      </x:c>
      <x:c r="E20" s="79" t="str">
        <x:v>Alle WÖk-Erweiterungen werden explizit als 'SDG+ – …' bezeichnet.</x:v>
      </x:c>
      <x:c r="F20" s="79" t="str">
        <x:v>Keine Verwechslung mit offiziellen UN-SDGs.</x:v>
      </x:c>
      <x:c r="G20" s="79" t="str">
        <x:v>Umgesetzt</x:v>
      </x:c>
    </x:row>
    <x:row r="21">
      <x:c r="A21" s="79" t="str">
        <x:v>CH-017</x:v>
      </x:c>
      <x:c r="B21" s="79" t="str">
        <x:v>Methodik</x:v>
      </x:c>
      <x:c r="C21" s="79" t="str">
        <x:v>Transparenz</x:v>
      </x:c>
      <x:c r="D21" s="79" t="str">
        <x:v>Politische Ex-ante-Richtungsbewertung und technische -3…+3-Scorecard waren im Register nicht ausdrücklich gegeneinander abgegrenzt.</x:v>
      </x:c>
      <x:c r="E21" s="79" t="str">
        <x:v>Eigenes Blatt 09_Methodik_Transparenz dokumentiert beide Ebenen und ihre Formeln.</x:v>
      </x:c>
      <x:c r="F21" s="79" t="str">
        <x:v>Keine versteckte Parteipunktzahl; Richtung und Evidenz bleiben getrennt.</x:v>
      </x:c>
      <x:c r="G21" s="79" t="str">
        <x:v>Umgesetzt</x:v>
      </x:c>
    </x:row>
    <x:row r="22">
      <x:c r="A22" s="79" t="str">
        <x:v>CH-018</x:v>
      </x:c>
      <x:c r="B22" s="79" t="str">
        <x:v>Publikation</x:v>
      </x:c>
      <x:c r="C22" s="79" t="str">
        <x:v>Single Source of Truth</x:v>
      </x:c>
      <x:c r="D22" s="79" t="str">
        <x:v>Für einen öffentlichen Register-Viewer fehlte ein verbindliches Exportschema.</x:v>
      </x:c>
      <x:c r="E22" s="79" t="str">
        <x:v>Blatt 10_Public_Export_Schema definiert den öffentlichen Feldsatz aus der kanonischen Quelle.</x:v>
      </x:c>
      <x:c r="F22" s="79" t="str">
        <x:v>Viewer und Downloads sollen aus dem Master generiert, nicht separat gepflegt werden.</x:v>
      </x:c>
      <x:c r="G22" s="79" t="str">
        <x:v>Umgesetzt</x:v>
      </x:c>
    </x:row>
    <x:row r="23">
      <x:c r="A23" s="79" t="str">
        <x:v>CH-019</x:v>
      </x:c>
      <x:c r="B23" s="79" t="str">
        <x:v>Version</x:v>
      </x:c>
      <x:c r="C23" s="79" t="str">
        <x:v>Release</x:v>
      </x:c>
      <x:c r="D23" s="79" t="str">
        <x:v>v1.3 war geprüfte Arbeits- und Governance-Fassung.</x:v>
      </x:c>
      <x:c r="E23" s="79" t="str">
        <x:v>v1.4 FINAL ist die führende technische Registerfassung ab 16.08.2026.</x:v>
      </x:c>
      <x:c r="F23" s="79" t="str">
        <x:v>FINAL bezeichnet den führenden Release-Stand, nicht die externe Validierung aller offenen Kalibrierungen.</x:v>
      </x:c>
      <x:c r="G23" s="79" t="str">
        <x:v>Umgesetzt</x:v>
      </x:c>
    </x:row>
  </x:sheetData>
  <x:mergeCells>
    <x:mergeCell ref="A1:G1"/>
    <x:mergeCell ref="A2:G2"/>
  </x:mergeCells>
  <x:conditionalFormatting sqref="G5:G18">
    <x:cfRule type="expression" dxfId="12" priority="1">
      <x:formula>G5="Umgesetzt"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c68057bd6d44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18" hidden="0" customWidth="1"/>
    <x:col min="7" max="7" width="18" hidden="0" customWidth="1"/>
    <x:col min="8" max="8" width="10" hidden="0" customWidth="1"/>
    <x:col min="9" max="9" width="18" hidden="0" customWidth="1"/>
    <x:col min="10" max="10" width="15" hidden="0" customWidth="1"/>
    <x:col min="11" max="11" width="16" hidden="0" customWidth="1"/>
    <x:col min="12" max="12" width="34" hidden="0" customWidth="1"/>
    <x:col min="13" max="13" width="14" hidden="0" customWidth="1"/>
    <x:col min="14" max="14" width="13" hidden="0" customWidth="1"/>
    <x:col min="15" max="15" width="16" hidden="0" customWidth="1"/>
    <x:col min="16" max="16" width="13" hidden="0" customWidth="1"/>
    <x:col min="17" max="17" width="20" hidden="0" customWidth="1"/>
    <x:col min="18" max="18" width="16" hidden="0" customWidth="1"/>
    <x:col min="19" max="19" width="24" hidden="0" customWidth="1"/>
    <x:col min="20" max="20" width="48" hidden="0" customWidth="1"/>
    <x:col min="21" max="21" width="42" hidden="0" customWidth="1"/>
    <x:col min="22" max="22" width="42" hidden="0" customWidth="1"/>
    <x:col min="23" max="23" width="32" hidden="0" customWidth="1"/>
    <x:col min="24" max="24" width="34" hidden="0" customWidth="1"/>
    <x:col min="25" max="25" width="14" hidden="0" customWidth="1"/>
    <x:col min="26" max="26" width="34" hidden="0" customWidth="1"/>
    <x:col min="27" max="27" width="44" hidden="0" customWidth="1"/>
    <x:col min="28" max="28" width="44" hidden="0" customWidth="1"/>
    <x:col min="29" max="29" width="44" hidden="0" customWidth="1"/>
  </x:cols>
  <x:sheetData>
    <x:row r="1" ht="32" customHeight="1">
      <x:c r="A1" s="5" t="str">
        <x:v>06 · Scorecards – Eingabe und Bewertung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36" customHeight="1">
      <x:c r="A2" s="9" t="str">
        <x:v>Blaue Spalten sind Eingaben. Leere Messwerte erzeugen keinen Score. FinalScore = strengstes vorhandenes Ergebnis aus AutoScore, aktivem BenchmarkScore und Assurance-Score. v1.4: SDG+ explizit gekennzeichnet; Rechenlogik unverändert.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4" ht="34" customHeight="1">
      <x:c r="A4" s="49" t="str">
        <x:v>WOK_ID</x:v>
      </x:c>
      <x:c r="B4" s="49" t="str">
        <x:v>SDG_or_SDGplus</x:v>
      </x:c>
      <x:c r="C4" s="49" t="str">
        <x:v>Target/Unterziel</x:v>
      </x:c>
      <x:c r="D4" s="49" t="str">
        <x:v>Indikatorfamilie</x:v>
      </x:c>
      <x:c r="E4" s="49" t="str">
        <x:v>Item</x:v>
      </x:c>
      <x:c r="F4" s="49" t="str">
        <x:v>Einheit</x:v>
      </x:c>
      <x:c r="G4" s="49" t="str">
        <x:v>Polarity</x:v>
      </x:c>
      <x:c r="H4" s="49" t="str">
        <x:v>Rule_ID</x:v>
      </x:c>
      <x:c r="I4" s="49" t="str">
        <x:v>Regeltyp</x:v>
      </x:c>
      <x:c r="J4" s="49" t="str">
        <x:v>Messwert</x:v>
      </x:c>
      <x:c r="K4" s="49" t="str">
        <x:v>Assurance_Score</x:v>
      </x:c>
      <x:c r="L4" s="49" t="str">
        <x:v>Nachweis/Quelle</x:v>
      </x:c>
      <x:c r="M4" s="49" t="str">
        <x:v>Datenstand</x:v>
      </x:c>
      <x:c r="N4" s="49" t="str">
        <x:v>AutoScore</x:v>
      </x:c>
      <x:c r="O4" s="49" t="str">
        <x:v>BenchmarkScore</x:v>
      </x:c>
      <x:c r="P4" s="49" t="str">
        <x:v>FinalScore</x:v>
      </x:c>
      <x:c r="Q4" s="49" t="str">
        <x:v>Steuerklasse</x:v>
      </x:c>
      <x:c r="R4" s="49" t="str">
        <x:v>Steuersatz_pct</x:v>
      </x:c>
      <x:c r="S4" s="49" t="str">
        <x:v>Datenstatus</x:v>
      </x:c>
      <x:c r="T4" s="49" t="str">
        <x:v>Prüfhinweis</x:v>
      </x:c>
      <x:c r="U4" s="49" t="str">
        <x:v>Schwellen</x:v>
      </x:c>
      <x:c r="V4" s="49" t="str">
        <x:v>Quelle_detail</x:v>
      </x:c>
      <x:c r="W4" s="49" t="str">
        <x:v>Benchmarkstatus</x:v>
      </x:c>
      <x:c r="X4" s="49" t="str">
        <x:v>Quellenstatus</x:v>
      </x:c>
      <x:c r="Y4" s="49" t="str">
        <x:v>Prüfpriorität</x:v>
      </x:c>
      <x:c r="Z4" s="49" t="str">
        <x:v>Regelstatus</x:v>
      </x:c>
      <x:c r="AA4" s="49" t="str">
        <x:v>Systemgrenze</x:v>
      </x:c>
      <x:c r="AB4" s="49" t="str">
        <x:v>Datenqualitätsanforderung</x:v>
      </x:c>
      <x:c r="AC4" s="49" t="str">
        <x:v>Assurance_Anforderung</x:v>
      </x:c>
    </x:row>
    <x:row r="5" ht="42" customHeight="1">
      <x:c r="A5" s="14" t="str">
        <x:v>WOK-S-101</x:v>
      </x:c>
      <x:c r="B5" s="14" t="str">
        <x:v>SDG 1 – Keine Armut</x:v>
      </x:c>
      <x:c r="C5" s="14" t="str">
        <x:v>1.2</x:v>
      </x:c>
      <x:c r="D5" s="14" t="str">
        <x:v>Faire Arbeit &amp; Einkommen</x:v>
      </x:c>
      <x:c r="E5" s="14" t="str">
        <x:v>Faire Arbeit &amp; Einkommen – Living Wage</x:v>
      </x:c>
      <x:c r="F5" s="14" t="str">
        <x:v>% Beschäftigte</x:v>
      </x:c>
      <x:c r="G5" s="14" t="str">
        <x:v>higher_is_better</x:v>
      </x:c>
      <x:c r="H5" s="14" t="str">
        <x:v>R27</x:v>
      </x:c>
      <x:c r="I5" s="14" t="str">
        <x:v>NUM_HIGH</x:v>
      </x:c>
      <x:c r="J5" s="51"/>
      <x:c r="K5" s="51"/>
      <x:c r="L5" s="51"/>
      <x:c r="M5" s="54"/>
      <x:c r="N5" s="58" t="str">
        <x:f>IF($J5="","",IF($J5&lt;40,-3,IF($J5&lt;60,-2,IF($J5&lt;80,0,IF($J5&lt;95,2,3)))))</x:f>
      </x:c>
      <x:c r="O5" s="58" t="str">
        <x:f>IF($J5="","",IF(OR('02_Benchmarks'!$P5&lt;&gt;"Aktiv",COUNT('02_Benchmarks'!$J5:$M5)&lt;4),"",IF($G5="lower_is_better",IF($J5&lt;='02_Benchmarks'!$J5,3,IF($J5&lt;'02_Benchmarks'!$K5,2,IF($J5&lt;='02_Benchmarks'!$L5,0,IF($J5&lt;='02_Benchmarks'!$M5,-2,-3)))),IF($J5&gt;='02_Benchmarks'!$J5,3,IF($J5&gt;'02_Benchmarks'!$K5,2,IF($J5&gt;='02_Benchmarks'!$L5,0,IF($J5&gt;='02_Benchmarks'!$M5,-2,-3)))))))</x:f>
      </x:c>
      <x:c r="P5" s="58" t="str">
        <x:f>IF(COUNT($N5:$O5)+IF(ISNUMBER($K5),1,0)=0,"",MIN($N5:$O5,$K5))</x:f>
      </x:c>
      <x:c r="Q5" s="58" t="str">
        <x:f>IF($P5="","",INDEX('04_Tarifmodell'!$B$6:$B$12,$P5+4))</x:f>
      </x:c>
      <x:c r="R5" s="64" t="str">
        <x:f>IF($P5="","",INDEX('04_Tarifmodell'!$C$6:$C$12,$P5+4))</x:f>
      </x:c>
      <x:c r="S5" s="14" t="str">
        <x:f>IF(OR($I5="QUALITATIVE",$I5="MANUAL_HYBRID"),IF($K5="","Assurance-Score fehlt","Assurance-bewertet"),IF($I5="BENCHMARK",IF($W5&lt;&gt;"Aktiv",IF($K5="","Benchmark fehlt","Assurance-bewertet"),IF($J5="","Messwert fehlt",IF($P5="","Nicht bewertbar","Berechnet"))),IF(AND($J5="",$K5&lt;&gt;""),"Nur Assurance-Score",IF($J5="","Messwert fehlt",IF($P5="","Nicht bewertbar",IF($P5&lt;=-2,"Kritische Wirkung / Prüfung","Berechnet"))))))</x:f>
        <x:v>Messwert fehlt</x:v>
      </x:c>
      <x:c r="T5" s="14" t="str">
        <x:v>Vollständige fünfstufige numerische Regel.</x:v>
      </x:c>
      <x:c r="U5" s="14" t="str">
        <x:v>≥95:+3; 80–94:+2; 60–79:0; 40–59:‑2; &lt;40:‑3</x:v>
      </x:c>
      <x:c r="V5" s="14" t="str">
        <x:v>ESRS S1, GRI 401/403/405/406, ILO</x:v>
      </x:c>
      <x:c r="W5" s="14" t="str">
        <x:f>'02_Benchmarks'!$P5</x:f>
        <x:v>Optional – kein aktiver Benchmark</x:v>
      </x:c>
      <x:c r="X5" s="14" t="str">
        <x:v>Messgrundlage belegt; Schwellenkalibrierung offen</x:v>
      </x:c>
      <x:c r="Y5" s="14" t="str">
        <x:v>Mittel</x:v>
      </x:c>
      <x:c r="Z5" s="14" t="str">
        <x:v>Arbeitskalibrierung – fachlich zu validieren</x:v>
      </x:c>
      <x:c r="AA5" s="14" t="str">
        <x:v>Eigene Belegschaft/Organisation; FTE, Beschäftigtengruppe und Zeitraum</x:v>
      </x:c>
      <x:c r="AB5" s="14" t="str">
        <x:v>Primärdaten bevorzugt; Sekundärdaten nur transparent und versioniert; Methode und Systemgrenze dokumentieren</x:v>
      </x:c>
      <x:c r="AC5" s="14" t="str">
        <x:v>Limited Assurance; risikobasiert höhere Prüftiefe</x:v>
      </x:c>
    </x:row>
    <x:row r="6" ht="42" customHeight="1">
      <x:c r="A6" s="14" t="str">
        <x:v>WOK-S-102</x:v>
      </x:c>
      <x:c r="B6" s="14" t="str">
        <x:v>SDG 1 – Keine Armut</x:v>
      </x:c>
      <x:c r="C6" s="14" t="str">
        <x:v>1.2</x:v>
      </x:c>
      <x:c r="D6" s="14" t="str">
        <x:v>Faire Arbeit &amp; Einkommen</x:v>
      </x:c>
      <x:c r="E6" s="14" t="str">
        <x:v>Faire Arbeit &amp; Einkommen – Tarifbindung</x:v>
      </x:c>
      <x:c r="F6" s="14" t="str">
        <x:v>%</x:v>
      </x:c>
      <x:c r="G6" s="14" t="str">
        <x:v>higher_is_better</x:v>
      </x:c>
      <x:c r="H6" s="14" t="str">
        <x:v>R26</x:v>
      </x:c>
      <x:c r="I6" s="14" t="str">
        <x:v>NUM_HIGH</x:v>
      </x:c>
      <x:c r="J6" s="51"/>
      <x:c r="K6" s="51"/>
      <x:c r="L6" s="51"/>
      <x:c r="M6" s="54"/>
      <x:c r="N6" s="58" t="str">
        <x:f>IF($J6="","",IF($J6&lt;30,-3,IF($J6&lt;50,-2,IF($J6&lt;70,0,IF($J6&lt;90,2,3)))))</x:f>
      </x:c>
      <x:c r="O6" s="58" t="str">
        <x:f>IF($J6="","",IF(OR('02_Benchmarks'!$P6&lt;&gt;"Aktiv",COUNT('02_Benchmarks'!$J6:$M6)&lt;4),"",IF($G6="lower_is_better",IF($J6&lt;='02_Benchmarks'!$J6,3,IF($J6&lt;'02_Benchmarks'!$K6,2,IF($J6&lt;='02_Benchmarks'!$L6,0,IF($J6&lt;='02_Benchmarks'!$M6,-2,-3)))),IF($J6&gt;='02_Benchmarks'!$J6,3,IF($J6&gt;'02_Benchmarks'!$K6,2,IF($J6&gt;='02_Benchmarks'!$L6,0,IF($J6&gt;='02_Benchmarks'!$M6,-2,-3)))))))</x:f>
      </x:c>
      <x:c r="P6" s="58" t="str">
        <x:f>IF(COUNT($N6:$O6)+IF(ISNUMBER($K6),1,0)=0,"",MIN($N6:$O6,$K6))</x:f>
      </x:c>
      <x:c r="Q6" s="58" t="str">
        <x:f>IF($P6="","",INDEX('04_Tarifmodell'!$B$6:$B$12,$P6+4))</x:f>
      </x:c>
      <x:c r="R6" s="64" t="str">
        <x:f>IF($P6="","",INDEX('04_Tarifmodell'!$C$6:$C$12,$P6+4))</x:f>
      </x:c>
      <x:c r="S6" s="14" t="str">
        <x:f>IF(OR($I6="QUALITATIVE",$I6="MANUAL_HYBRID"),IF($K6="","Assurance-Score fehlt","Assurance-bewertet"),IF($I6="BENCHMARK",IF($W6&lt;&gt;"Aktiv",IF($K6="","Benchmark fehlt","Assurance-bewertet"),IF($J6="","Messwert fehlt",IF($P6="","Nicht bewertbar","Berechnet"))),IF(AND($J6="",$K6&lt;&gt;""),"Nur Assurance-Score",IF($J6="","Messwert fehlt",IF($P6="","Nicht bewertbar",IF($P6&lt;=-2,"Kritische Wirkung / Prüfung","Berechnet"))))))</x:f>
        <x:v>Messwert fehlt</x:v>
      </x:c>
      <x:c r="T6" s="14" t="str">
        <x:v>Vollständige fünfstufige numerische Regel.</x:v>
      </x:c>
      <x:c r="U6" s="14" t="str">
        <x:v>≥90:+3; 70–89:+2; 50–69:0; 30–49:‑2; &lt;30:‑3</x:v>
      </x:c>
      <x:c r="V6" s="14" t="str">
        <x:v>ESRS S1, GRI 401/403/405/406, ILO</x:v>
      </x:c>
      <x:c r="W6" s="14" t="str">
        <x:f>'02_Benchmarks'!$P6</x:f>
        <x:v>Optional – kein aktiver Benchmark</x:v>
      </x:c>
      <x:c r="X6" s="14" t="str">
        <x:v>Messgrundlage belegt; Schwellenkalibrierung offen</x:v>
      </x:c>
      <x:c r="Y6" s="14" t="str">
        <x:v>Mittel</x:v>
      </x:c>
      <x:c r="Z6" s="14" t="str">
        <x:v>Arbeitskalibrierung – fachlich zu validieren</x:v>
      </x:c>
      <x:c r="AA6" s="14" t="str">
        <x:v>Eigene Belegschaft/Organisation; FTE, Beschäftigtengruppe und Zeitraum</x:v>
      </x:c>
      <x:c r="AB6" s="14" t="str">
        <x:v>Primärdaten bevorzugt; Sekundärdaten nur transparent und versioniert; Methode und Systemgrenze dokumentieren</x:v>
      </x:c>
      <x:c r="AC6" s="14" t="str">
        <x:v>Limited Assurance; risikobasiert höhere Prüftiefe</x:v>
      </x:c>
    </x:row>
    <x:row r="7" ht="42" customHeight="1">
      <x:c r="A7" s="14" t="str">
        <x:v>WOK-S-103</x:v>
      </x:c>
      <x:c r="B7" s="14" t="str">
        <x:v>SDG 1 – Keine Armut</x:v>
      </x:c>
      <x:c r="C7" s="14" t="str">
        <x:v>1.2</x:v>
      </x:c>
      <x:c r="D7" s="14" t="str">
        <x:v>Faire Arbeit &amp; Einkommen</x:v>
      </x:c>
      <x:c r="E7" s="14" t="str">
        <x:v>Faire Arbeit &amp; Einkommen – LTIFR</x:v>
      </x:c>
      <x:c r="F7" s="14" t="str">
        <x:v>Unfälle/Mio Std.</x:v>
      </x:c>
      <x:c r="G7" s="14" t="str">
        <x:v>lower_is_better</x:v>
      </x:c>
      <x:c r="H7" s="14" t="str">
        <x:v>R02</x:v>
      </x:c>
      <x:c r="I7" s="14" t="str">
        <x:v>NUM_LOW</x:v>
      </x:c>
      <x:c r="J7" s="51"/>
      <x:c r="K7" s="51"/>
      <x:c r="L7" s="51"/>
      <x:c r="M7" s="54"/>
      <x:c r="N7" s="58" t="str">
        <x:f>IF($J7="","",IF($J7&lt;=0,3,IF($J7&lt;=1,2,IF($J7&lt;=3,0,IF($J7&lt;=5,-2,-3)))))</x:f>
      </x:c>
      <x:c r="O7" s="58" t="str">
        <x:f>IF($J7="","",IF(OR('02_Benchmarks'!$P7&lt;&gt;"Aktiv",COUNT('02_Benchmarks'!$J7:$M7)&lt;4),"",IF($G7="lower_is_better",IF($J7&lt;='02_Benchmarks'!$J7,3,IF($J7&lt;'02_Benchmarks'!$K7,2,IF($J7&lt;='02_Benchmarks'!$L7,0,IF($J7&lt;='02_Benchmarks'!$M7,-2,-3)))),IF($J7&gt;='02_Benchmarks'!$J7,3,IF($J7&gt;'02_Benchmarks'!$K7,2,IF($J7&gt;='02_Benchmarks'!$L7,0,IF($J7&gt;='02_Benchmarks'!$M7,-2,-3)))))))</x:f>
      </x:c>
      <x:c r="P7" s="58" t="str">
        <x:f>IF(COUNT($N7:$O7)+IF(ISNUMBER($K7),1,0)=0,"",MIN($N7:$O7,$K7))</x:f>
      </x:c>
      <x:c r="Q7" s="58" t="str">
        <x:f>IF($P7="","",INDEX('04_Tarifmodell'!$B$6:$B$12,$P7+4))</x:f>
      </x:c>
      <x:c r="R7" s="64" t="str">
        <x:f>IF($P7="","",INDEX('04_Tarifmodell'!$C$6:$C$12,$P7+4))</x:f>
      </x:c>
      <x:c r="S7" s="14" t="str">
        <x:f>IF(OR($I7="QUALITATIVE",$I7="MANUAL_HYBRID"),IF($K7="","Assurance-Score fehlt","Assurance-bewertet"),IF($I7="BENCHMARK",IF($W7&lt;&gt;"Aktiv",IF($K7="","Benchmark fehlt","Assurance-bewertet"),IF($J7="","Messwert fehlt",IF($P7="","Nicht bewertbar","Berechnet"))),IF(AND($J7="",$K7&lt;&gt;""),"Nur Assurance-Score",IF($J7="","Messwert fehlt",IF($P7="","Nicht bewertbar",IF($P7&lt;=-2,"Kritische Wirkung / Prüfung","Berechnet"))))))</x:f>
        <x:v>Messwert fehlt</x:v>
      </x:c>
      <x:c r="T7" s="14" t="str">
        <x:v>Vollständige fünfstufige numerische Regel.</x:v>
      </x:c>
      <x:c r="U7" s="14" t="str">
        <x:v>0:+3; ≤1:+2; ≤3:0; ≤5:‑2; &gt;5:‑3</x:v>
      </x:c>
      <x:c r="V7" s="14" t="str">
        <x:v>ESRS S1, GRI 401/403/405/406, ILO</x:v>
      </x:c>
      <x:c r="W7" s="14" t="str">
        <x:f>'02_Benchmarks'!$P7</x:f>
        <x:v>Optional – kein aktiver Benchmark</x:v>
      </x:c>
      <x:c r="X7" s="14" t="str">
        <x:v>Messgrundlage belegt; Schwellenkalibrierung offen</x:v>
      </x:c>
      <x:c r="Y7" s="14" t="str">
        <x:v>Mittel</x:v>
      </x:c>
      <x:c r="Z7" s="14" t="str">
        <x:v>Arbeitskalibrierung – fachlich zu validieren</x:v>
      </x:c>
      <x:c r="AA7" s="14" t="str">
        <x:v>Eigene Belegschaft/Organisation; FTE, Beschäftigtengruppe und Zeitraum</x:v>
      </x:c>
      <x:c r="AB7" s="14" t="str">
        <x:v>Primärdaten bevorzugt; Sekundärdaten nur transparent und versioniert; Methode und Systemgrenze dokumentieren</x:v>
      </x:c>
      <x:c r="AC7" s="14" t="str">
        <x:v>Limited Assurance; risikobasiert höhere Prüftiefe</x:v>
      </x:c>
    </x:row>
    <x:row r="8" ht="42" customHeight="1">
      <x:c r="A8" s="14" t="str">
        <x:v>WOK-S-104</x:v>
      </x:c>
      <x:c r="B8" s="14" t="str">
        <x:v>SDG 1 – Keine Armut</x:v>
      </x:c>
      <x:c r="C8" s="14" t="str">
        <x:v>1.3</x:v>
      </x:c>
      <x:c r="D8" s="14" t="str">
        <x:v>Sozialschutz &amp; Benefits</x:v>
      </x:c>
      <x:c r="E8" s="14" t="str">
        <x:v>Sozialschutz &amp; Benefits – Living Wage</x:v>
      </x:c>
      <x:c r="F8" s="14" t="str">
        <x:v>% Beschäftigte</x:v>
      </x:c>
      <x:c r="G8" s="14" t="str">
        <x:v>higher_is_better</x:v>
      </x:c>
      <x:c r="H8" s="14" t="str">
        <x:v>R27</x:v>
      </x:c>
      <x:c r="I8" s="14" t="str">
        <x:v>NUM_HIGH</x:v>
      </x:c>
      <x:c r="J8" s="51"/>
      <x:c r="K8" s="51"/>
      <x:c r="L8" s="51"/>
      <x:c r="M8" s="54"/>
      <x:c r="N8" s="58" t="str">
        <x:f>IF($J8="","",IF($J8&lt;40,-3,IF($J8&lt;60,-2,IF($J8&lt;80,0,IF($J8&lt;95,2,3)))))</x:f>
      </x:c>
      <x:c r="O8" s="58" t="str">
        <x:f>IF($J8="","",IF(OR('02_Benchmarks'!$P8&lt;&gt;"Aktiv",COUNT('02_Benchmarks'!$J8:$M8)&lt;4),"",IF($G8="lower_is_better",IF($J8&lt;='02_Benchmarks'!$J8,3,IF($J8&lt;'02_Benchmarks'!$K8,2,IF($J8&lt;='02_Benchmarks'!$L8,0,IF($J8&lt;='02_Benchmarks'!$M8,-2,-3)))),IF($J8&gt;='02_Benchmarks'!$J8,3,IF($J8&gt;'02_Benchmarks'!$K8,2,IF($J8&gt;='02_Benchmarks'!$L8,0,IF($J8&gt;='02_Benchmarks'!$M8,-2,-3)))))))</x:f>
      </x:c>
      <x:c r="P8" s="58" t="str">
        <x:f>IF(COUNT($N8:$O8)+IF(ISNUMBER($K8),1,0)=0,"",MIN($N8:$O8,$K8))</x:f>
      </x:c>
      <x:c r="Q8" s="58" t="str">
        <x:f>IF($P8="","",INDEX('04_Tarifmodell'!$B$6:$B$12,$P8+4))</x:f>
      </x:c>
      <x:c r="R8" s="64" t="str">
        <x:f>IF($P8="","",INDEX('04_Tarifmodell'!$C$6:$C$12,$P8+4))</x:f>
      </x:c>
      <x:c r="S8" s="14" t="str">
        <x:f>IF(OR($I8="QUALITATIVE",$I8="MANUAL_HYBRID"),IF($K8="","Assurance-Score fehlt","Assurance-bewertet"),IF($I8="BENCHMARK",IF($W8&lt;&gt;"Aktiv",IF($K8="","Benchmark fehlt","Assurance-bewertet"),IF($J8="","Messwert fehlt",IF($P8="","Nicht bewertbar","Berechnet"))),IF(AND($J8="",$K8&lt;&gt;""),"Nur Assurance-Score",IF($J8="","Messwert fehlt",IF($P8="","Nicht bewertbar",IF($P8&lt;=-2,"Kritische Wirkung / Prüfung","Berechnet"))))))</x:f>
        <x:v>Messwert fehlt</x:v>
      </x:c>
      <x:c r="T8" s="14" t="str">
        <x:v>Vollständige fünfstufige numerische Regel.</x:v>
      </x:c>
      <x:c r="U8" s="14" t="str">
        <x:v>≥95:+3; 80–94:+2; 60–79:0; 40–59:‑2; &lt;40:‑3</x:v>
      </x:c>
      <x:c r="V8" s="14" t="str">
        <x:v>ESRS S1, GRI 401/403/405/406, ILO</x:v>
      </x:c>
      <x:c r="W8" s="14" t="str">
        <x:f>'02_Benchmarks'!$P8</x:f>
        <x:v>Optional – kein aktiver Benchmark</x:v>
      </x:c>
      <x:c r="X8" s="14" t="str">
        <x:v>Messgrundlage belegt; Schwellenkalibrierung offen</x:v>
      </x:c>
      <x:c r="Y8" s="14" t="str">
        <x:v>Mittel</x:v>
      </x:c>
      <x:c r="Z8" s="14" t="str">
        <x:v>Arbeitskalibrierung – fachlich zu validieren</x:v>
      </x:c>
      <x:c r="AA8" s="14" t="str">
        <x:v>Eigene Belegschaft/Organisation; FTE, Beschäftigtengruppe und Zeitraum</x:v>
      </x:c>
      <x:c r="AB8" s="14" t="str">
        <x:v>Primärdaten bevorzugt; Sekundärdaten nur transparent und versioniert; Methode und Systemgrenze dokumentieren</x:v>
      </x:c>
      <x:c r="AC8" s="14" t="str">
        <x:v>Limited Assurance; risikobasiert höhere Prüftiefe</x:v>
      </x:c>
    </x:row>
    <x:row r="9" ht="42" customHeight="1">
      <x:c r="A9" s="14" t="str">
        <x:v>WOK-S-105</x:v>
      </x:c>
      <x:c r="B9" s="14" t="str">
        <x:v>SDG 1 – Keine Armut</x:v>
      </x:c>
      <x:c r="C9" s="14" t="str">
        <x:v>1.3</x:v>
      </x:c>
      <x:c r="D9" s="14" t="str">
        <x:v>Sozialschutz &amp; Benefits</x:v>
      </x:c>
      <x:c r="E9" s="14" t="str">
        <x:v>Sozialschutz &amp; Benefits – Tarifbindung</x:v>
      </x:c>
      <x:c r="F9" s="14" t="str">
        <x:v>%</x:v>
      </x:c>
      <x:c r="G9" s="14" t="str">
        <x:v>higher_is_better</x:v>
      </x:c>
      <x:c r="H9" s="14" t="str">
        <x:v>R26</x:v>
      </x:c>
      <x:c r="I9" s="14" t="str">
        <x:v>NUM_HIGH</x:v>
      </x:c>
      <x:c r="J9" s="51"/>
      <x:c r="K9" s="51"/>
      <x:c r="L9" s="51"/>
      <x:c r="M9" s="54"/>
      <x:c r="N9" s="58" t="str">
        <x:f>IF($J9="","",IF($J9&lt;30,-3,IF($J9&lt;50,-2,IF($J9&lt;70,0,IF($J9&lt;90,2,3)))))</x:f>
      </x:c>
      <x:c r="O9" s="58" t="str">
        <x:f>IF($J9="","",IF(OR('02_Benchmarks'!$P9&lt;&gt;"Aktiv",COUNT('02_Benchmarks'!$J9:$M9)&lt;4),"",IF($G9="lower_is_better",IF($J9&lt;='02_Benchmarks'!$J9,3,IF($J9&lt;'02_Benchmarks'!$K9,2,IF($J9&lt;='02_Benchmarks'!$L9,0,IF($J9&lt;='02_Benchmarks'!$M9,-2,-3)))),IF($J9&gt;='02_Benchmarks'!$J9,3,IF($J9&gt;'02_Benchmarks'!$K9,2,IF($J9&gt;='02_Benchmarks'!$L9,0,IF($J9&gt;='02_Benchmarks'!$M9,-2,-3)))))))</x:f>
      </x:c>
      <x:c r="P9" s="58" t="str">
        <x:f>IF(COUNT($N9:$O9)+IF(ISNUMBER($K9),1,0)=0,"",MIN($N9:$O9,$K9))</x:f>
      </x:c>
      <x:c r="Q9" s="58" t="str">
        <x:f>IF($P9="","",INDEX('04_Tarifmodell'!$B$6:$B$12,$P9+4))</x:f>
      </x:c>
      <x:c r="R9" s="64" t="str">
        <x:f>IF($P9="","",INDEX('04_Tarifmodell'!$C$6:$C$12,$P9+4))</x:f>
      </x:c>
      <x:c r="S9" s="14" t="str">
        <x:f>IF(OR($I9="QUALITATIVE",$I9="MANUAL_HYBRID"),IF($K9="","Assurance-Score fehlt","Assurance-bewertet"),IF($I9="BENCHMARK",IF($W9&lt;&gt;"Aktiv",IF($K9="","Benchmark fehlt","Assurance-bewertet"),IF($J9="","Messwert fehlt",IF($P9="","Nicht bewertbar","Berechnet"))),IF(AND($J9="",$K9&lt;&gt;""),"Nur Assurance-Score",IF($J9="","Messwert fehlt",IF($P9="","Nicht bewertbar",IF($P9&lt;=-2,"Kritische Wirkung / Prüfung","Berechnet"))))))</x:f>
        <x:v>Messwert fehlt</x:v>
      </x:c>
      <x:c r="T9" s="14" t="str">
        <x:v>Vollständige fünfstufige numerische Regel.</x:v>
      </x:c>
      <x:c r="U9" s="14" t="str">
        <x:v>≥90:+3; 70–89:+2; 50–69:0; 30–49:‑2; &lt;30:‑3</x:v>
      </x:c>
      <x:c r="V9" s="14" t="str">
        <x:v>ESRS S1, GRI 401/403/405/406, ILO</x:v>
      </x:c>
      <x:c r="W9" s="14" t="str">
        <x:f>'02_Benchmarks'!$P9</x:f>
        <x:v>Optional – kein aktiver Benchmark</x:v>
      </x:c>
      <x:c r="X9" s="14" t="str">
        <x:v>Messgrundlage belegt; Schwellenkalibrierung offen</x:v>
      </x:c>
      <x:c r="Y9" s="14" t="str">
        <x:v>Mittel</x:v>
      </x:c>
      <x:c r="Z9" s="14" t="str">
        <x:v>Arbeitskalibrierung – fachlich zu validieren</x:v>
      </x:c>
      <x:c r="AA9" s="14" t="str">
        <x:v>Eigene Belegschaft/Organisation; FTE, Beschäftigtengruppe und Zeitraum</x:v>
      </x:c>
      <x:c r="AB9" s="14" t="str">
        <x:v>Primärdaten bevorzugt; Sekundärdaten nur transparent und versioniert; Methode und Systemgrenze dokumentieren</x:v>
      </x:c>
      <x:c r="AC9" s="14" t="str">
        <x:v>Limited Assurance; risikobasiert höhere Prüftiefe</x:v>
      </x:c>
    </x:row>
    <x:row r="10" ht="42" customHeight="1">
      <x:c r="A10" s="14" t="str">
        <x:v>WOK-S-106</x:v>
      </x:c>
      <x:c r="B10" s="14" t="str">
        <x:v>SDG 1 – Keine Armut</x:v>
      </x:c>
      <x:c r="C10" s="14" t="str">
        <x:v>1.3</x:v>
      </x:c>
      <x:c r="D10" s="14" t="str">
        <x:v>Sozialschutz &amp; Benefits</x:v>
      </x:c>
      <x:c r="E10" s="14" t="str">
        <x:v>Sozialschutz &amp; Benefits – LTIFR</x:v>
      </x:c>
      <x:c r="F10" s="14" t="str">
        <x:v>Unfälle/Mio Std.</x:v>
      </x:c>
      <x:c r="G10" s="14" t="str">
        <x:v>lower_is_better</x:v>
      </x:c>
      <x:c r="H10" s="14" t="str">
        <x:v>R02</x:v>
      </x:c>
      <x:c r="I10" s="14" t="str">
        <x:v>NUM_LOW</x:v>
      </x:c>
      <x:c r="J10" s="51"/>
      <x:c r="K10" s="51"/>
      <x:c r="L10" s="51"/>
      <x:c r="M10" s="54"/>
      <x:c r="N10" s="58" t="str">
        <x:f>IF($J10="","",IF($J10&lt;=0,3,IF($J10&lt;=1,2,IF($J10&lt;=3,0,IF($J10&lt;=5,-2,-3)))))</x:f>
      </x:c>
      <x:c r="O10" s="58" t="str">
        <x:f>IF($J10="","",IF(OR('02_Benchmarks'!$P10&lt;&gt;"Aktiv",COUNT('02_Benchmarks'!$J10:$M10)&lt;4),"",IF($G10="lower_is_better",IF($J10&lt;='02_Benchmarks'!$J10,3,IF($J10&lt;'02_Benchmarks'!$K10,2,IF($J10&lt;='02_Benchmarks'!$L10,0,IF($J10&lt;='02_Benchmarks'!$M10,-2,-3)))),IF($J10&gt;='02_Benchmarks'!$J10,3,IF($J10&gt;'02_Benchmarks'!$K10,2,IF($J10&gt;='02_Benchmarks'!$L10,0,IF($J10&gt;='02_Benchmarks'!$M10,-2,-3)))))))</x:f>
      </x:c>
      <x:c r="P10" s="58" t="str">
        <x:f>IF(COUNT($N10:$O10)+IF(ISNUMBER($K10),1,0)=0,"",MIN($N10:$O10,$K10))</x:f>
      </x:c>
      <x:c r="Q10" s="58" t="str">
        <x:f>IF($P10="","",INDEX('04_Tarifmodell'!$B$6:$B$12,$P10+4))</x:f>
      </x:c>
      <x:c r="R10" s="64" t="str">
        <x:f>IF($P10="","",INDEX('04_Tarifmodell'!$C$6:$C$12,$P10+4))</x:f>
      </x:c>
      <x:c r="S10" s="14" t="str">
        <x:f>IF(OR($I10="QUALITATIVE",$I10="MANUAL_HYBRID"),IF($K10="","Assurance-Score fehlt","Assurance-bewertet"),IF($I10="BENCHMARK",IF($W10&lt;&gt;"Aktiv",IF($K10="","Benchmark fehlt","Assurance-bewertet"),IF($J10="","Messwert fehlt",IF($P10="","Nicht bewertbar","Berechnet"))),IF(AND($J10="",$K10&lt;&gt;""),"Nur Assurance-Score",IF($J10="","Messwert fehlt",IF($P10="","Nicht bewertbar",IF($P10&lt;=-2,"Kritische Wirkung / Prüfung","Berechnet"))))))</x:f>
        <x:v>Messwert fehlt</x:v>
      </x:c>
      <x:c r="T10" s="14" t="str">
        <x:v>Vollständige fünfstufige numerische Regel.</x:v>
      </x:c>
      <x:c r="U10" s="14" t="str">
        <x:v>0:+3; ≤1:+2; ≤3:0; ≤5:‑2; &gt;5:‑3</x:v>
      </x:c>
      <x:c r="V10" s="14" t="str">
        <x:v>ESRS S1, GRI 401/403/405/406, ILO</x:v>
      </x:c>
      <x:c r="W10" s="14" t="str">
        <x:f>'02_Benchmarks'!$P10</x:f>
        <x:v>Optional – kein aktiver Benchmark</x:v>
      </x:c>
      <x:c r="X10" s="14" t="str">
        <x:v>Messgrundlage belegt; Schwellenkalibrierung offen</x:v>
      </x:c>
      <x:c r="Y10" s="14" t="str">
        <x:v>Mittel</x:v>
      </x:c>
      <x:c r="Z10" s="14" t="str">
        <x:v>Arbeitskalibrierung – fachlich zu validieren</x:v>
      </x:c>
      <x:c r="AA10" s="14" t="str">
        <x:v>Eigene Belegschaft/Organisation; FTE, Beschäftigtengruppe und Zeitraum</x:v>
      </x:c>
      <x:c r="AB10" s="14" t="str">
        <x:v>Primärdaten bevorzugt; Sekundärdaten nur transparent und versioniert; Methode und Systemgrenze dokumentieren</x:v>
      </x:c>
      <x:c r="AC10" s="14" t="str">
        <x:v>Limited Assurance; risikobasiert höhere Prüftiefe</x:v>
      </x:c>
    </x:row>
    <x:row r="11" ht="42" customHeight="1">
      <x:c r="A11" s="14" t="str">
        <x:v>WOK-SC-101</x:v>
      </x:c>
      <x:c r="B11" s="14" t="str">
        <x:v>SDG 1 – Keine Armut</x:v>
      </x:c>
      <x:c r="C11" s="14" t="str">
        <x:v>1.2</x:v>
      </x:c>
      <x:c r="D11" s="14" t="str">
        <x:v>Living‑Wage in Lieferkette</x:v>
      </x:c>
      <x:c r="E11" s="14" t="str">
        <x:v>Living‑Wage in Lieferkette – ESG‑Spend‑Coverage</x:v>
      </x:c>
      <x:c r="F11" s="14" t="str">
        <x:v>%</x:v>
      </x:c>
      <x:c r="G11" s="14" t="str">
        <x:v>higher_is_better</x:v>
      </x:c>
      <x:c r="H11" s="14" t="str">
        <x:v>R26</x:v>
      </x:c>
      <x:c r="I11" s="14" t="str">
        <x:v>NUM_HIGH</x:v>
      </x:c>
      <x:c r="J11" s="51"/>
      <x:c r="K11" s="51"/>
      <x:c r="L11" s="51"/>
      <x:c r="M11" s="54"/>
      <x:c r="N11" s="58" t="str">
        <x:f>IF($J11="","",IF($J11&lt;30,-3,IF($J11&lt;50,-2,IF($J11&lt;70,0,IF($J11&lt;90,2,3)))))</x:f>
      </x:c>
      <x:c r="O11" s="58" t="str">
        <x:f>IF($J11="","",IF(OR('02_Benchmarks'!$P11&lt;&gt;"Aktiv",COUNT('02_Benchmarks'!$J11:$M11)&lt;4),"",IF($G11="lower_is_better",IF($J11&lt;='02_Benchmarks'!$J11,3,IF($J11&lt;'02_Benchmarks'!$K11,2,IF($J11&lt;='02_Benchmarks'!$L11,0,IF($J11&lt;='02_Benchmarks'!$M11,-2,-3)))),IF($J11&gt;='02_Benchmarks'!$J11,3,IF($J11&gt;'02_Benchmarks'!$K11,2,IF($J11&gt;='02_Benchmarks'!$L11,0,IF($J11&gt;='02_Benchmarks'!$M11,-2,-3)))))))</x:f>
      </x:c>
      <x:c r="P11" s="58" t="str">
        <x:f>IF(COUNT($N11:$O11)+IF(ISNUMBER($K11),1,0)=0,"",MIN($N11:$O11,$K11))</x:f>
      </x:c>
      <x:c r="Q11" s="58" t="str">
        <x:f>IF($P11="","",INDEX('04_Tarifmodell'!$B$6:$B$12,$P11+4))</x:f>
      </x:c>
      <x:c r="R11" s="64" t="str">
        <x:f>IF($P11="","",INDEX('04_Tarifmodell'!$C$6:$C$12,$P11+4))</x:f>
      </x:c>
      <x:c r="S11" s="14" t="str">
        <x:f>IF(OR($I11="QUALITATIVE",$I11="MANUAL_HYBRID"),IF($K11="","Assurance-Score fehlt","Assurance-bewertet"),IF($I11="BENCHMARK",IF($W11&lt;&gt;"Aktiv",IF($K11="","Benchmark fehlt","Assurance-bewertet"),IF($J11="","Messwert fehlt",IF($P11="","Nicht bewertbar","Berechnet"))),IF(AND($J11="",$K11&lt;&gt;""),"Nur Assurance-Score",IF($J11="","Messwert fehlt",IF($P11="","Nicht bewertbar",IF($P11&lt;=-2,"Kritische Wirkung / Prüfung","Berechnet"))))))</x:f>
        <x:v>Messwert fehlt</x:v>
      </x:c>
      <x:c r="T11" s="14" t="str">
        <x:v>Vollständige fünfstufige numerische Regel.</x:v>
      </x:c>
      <x:c r="U11" s="14" t="str">
        <x:v>≥90:+3; 70–89:+2; 50–69:0; 30–49:‑2; &lt;30:‑3</x:v>
      </x:c>
      <x:c r="V11" s="14" t="str">
        <x:v>ESRS S2, GRI 308/414, OECD Due Diligence</x:v>
      </x:c>
      <x:c r="W11" s="14" t="str">
        <x:f>'02_Benchmarks'!$P11</x:f>
        <x:v>Optional – kein aktiver Benchmark</x:v>
      </x:c>
      <x:c r="X11" s="14" t="str">
        <x:v>Messgrundlage belegt; Schwellenkalibrierung offen</x:v>
      </x:c>
      <x:c r="Y11" s="14" t="str">
        <x:v>Mittel</x:v>
      </x:c>
      <x:c r="Z11" s="14" t="str">
        <x:v>Arbeitskalibrierung – fachlich zu validieren</x:v>
      </x:c>
      <x:c r="AA11" s="14" t="str">
        <x:v>Vorgelagerte Lieferkette; relevante Tier-Stufen und Beschaffungsvolumen</x:v>
      </x:c>
      <x:c r="AB11" s="14" t="str">
        <x:v>Primärdaten bevorzugt; Sekundärdaten nur transparent und versioniert; Methode und Systemgrenze dokumentieren</x:v>
      </x:c>
      <x:c r="AC11" s="14" t="str">
        <x:v>Limited Assurance; risikobasiert höhere Prüftiefe</x:v>
      </x:c>
    </x:row>
    <x:row r="12" ht="42" customHeight="1">
      <x:c r="A12" s="14" t="str">
        <x:v>WOK-SC-102</x:v>
      </x:c>
      <x:c r="B12" s="14" t="str">
        <x:v>SDG 1 – Keine Armut</x:v>
      </x:c>
      <x:c r="C12" s="14" t="str">
        <x:v>1.2</x:v>
      </x:c>
      <x:c r="D12" s="14" t="str">
        <x:v>Living‑Wage in Lieferkette</x:v>
      </x:c>
      <x:c r="E12" s="14" t="str">
        <x:v>Living‑Wage in Lieferkette – Kinder/Zwangsarbeit</x:v>
      </x:c>
      <x:c r="F12" s="14" t="str">
        <x:v>% Lieferanten</x:v>
      </x:c>
      <x:c r="G12" s="14" t="str">
        <x:v>higher_is_better</x:v>
      </x:c>
      <x:c r="H12" s="14" t="str">
        <x:v>R28</x:v>
      </x:c>
      <x:c r="I12" s="14" t="str">
        <x:v>NUM_HIGH</x:v>
      </x:c>
      <x:c r="J12" s="51"/>
      <x:c r="K12" s="51"/>
      <x:c r="L12" s="51"/>
      <x:c r="M12" s="54"/>
      <x:c r="N12" s="58" t="str">
        <x:f>IF($J12="","",IF($J12&lt;50,-3,IF($J12&lt;75,-2,IF($J12&lt;90,0,IF($J12&lt;98,2,3)))))</x:f>
      </x:c>
      <x:c r="O12" s="58" t="str">
        <x:f>IF($J12="","",IF(OR('02_Benchmarks'!$P12&lt;&gt;"Aktiv",COUNT('02_Benchmarks'!$J12:$M12)&lt;4),"",IF($G12="lower_is_better",IF($J12&lt;='02_Benchmarks'!$J12,3,IF($J12&lt;'02_Benchmarks'!$K12,2,IF($J12&lt;='02_Benchmarks'!$L12,0,IF($J12&lt;='02_Benchmarks'!$M12,-2,-3)))),IF($J12&gt;='02_Benchmarks'!$J12,3,IF($J12&gt;'02_Benchmarks'!$K12,2,IF($J12&gt;='02_Benchmarks'!$L12,0,IF($J12&gt;='02_Benchmarks'!$M12,-2,-3)))))))</x:f>
      </x:c>
      <x:c r="P12" s="58" t="str">
        <x:f>IF(COUNT($N12:$O12)+IF(ISNUMBER($K12),1,0)=0,"",MIN($N12:$O12,$K12))</x:f>
      </x:c>
      <x:c r="Q12" s="58" t="str">
        <x:f>IF($P12="","",INDEX('04_Tarifmodell'!$B$6:$B$12,$P12+4))</x:f>
      </x:c>
      <x:c r="R12" s="64" t="str">
        <x:f>IF($P12="","",INDEX('04_Tarifmodell'!$C$6:$C$12,$P12+4))</x:f>
      </x:c>
      <x:c r="S12" s="14" t="str">
        <x:f>IF(OR($I12="QUALITATIVE",$I12="MANUAL_HYBRID"),IF($K12="","Assurance-Score fehlt","Assurance-bewertet"),IF($I12="BENCHMARK",IF($W12&lt;&gt;"Aktiv",IF($K12="","Benchmark fehlt","Assurance-bewertet"),IF($J12="","Messwert fehlt",IF($P12="","Nicht bewertbar","Berechnet"))),IF(AND($J12="",$K12&lt;&gt;""),"Nur Assurance-Score",IF($J12="","Messwert fehlt",IF($P12="","Nicht bewertbar",IF($P12&lt;=-2,"Kritische Wirkung / Prüfung","Berechnet"))))))</x:f>
        <x:v>Messwert fehlt</x:v>
      </x:c>
      <x:c r="T12" s="14" t="str">
        <x:v>Vollständige fünfstufige numerische Regel.</x:v>
      </x:c>
      <x:c r="U12" s="14" t="str">
        <x:v>≥98:+3; 90–97:+2; 75–89:0; 50–74:‑2; &lt;50:‑3</x:v>
      </x:c>
      <x:c r="V12" s="14" t="str">
        <x:v>ESRS S2, GRI 308/414, OECD Due Diligence</x:v>
      </x:c>
      <x:c r="W12" s="14" t="str">
        <x:f>'02_Benchmarks'!$P12</x:f>
        <x:v>Optional – kein aktiver Benchmark</x:v>
      </x:c>
      <x:c r="X12" s="14" t="str">
        <x:v>Messgrundlage belegt; Schwellenkalibrierung offen</x:v>
      </x:c>
      <x:c r="Y12" s="14" t="str">
        <x:v>Mittel</x:v>
      </x:c>
      <x:c r="Z12" s="14" t="str">
        <x:v>Arbeitskalibrierung – fachlich zu validieren</x:v>
      </x:c>
      <x:c r="AA12" s="14" t="str">
        <x:v>Vorgelagerte Lieferkette; relevante Tier-Stufen und Beschaffungsvolumen</x:v>
      </x:c>
      <x:c r="AB12" s="14" t="str">
        <x:v>Primärdaten bevorzugt; Sekundärdaten nur transparent und versioniert; Methode und Systemgrenze dokumentieren</x:v>
      </x:c>
      <x:c r="AC12" s="14" t="str">
        <x:v>Limited Assurance; risikobasiert höhere Prüftiefe</x:v>
      </x:c>
    </x:row>
    <x:row r="13" ht="42" customHeight="1">
      <x:c r="A13" s="14" t="str">
        <x:v>WOK-SC-103</x:v>
      </x:c>
      <x:c r="B13" s="14" t="str">
        <x:v>SDG 1 – Keine Armut</x:v>
      </x:c>
      <x:c r="C13" s="14" t="str">
        <x:v>1.2</x:v>
      </x:c>
      <x:c r="D13" s="14" t="str">
        <x:v>Living‑Wage in Lieferkette</x:v>
      </x:c>
      <x:c r="E13" s="14" t="str">
        <x:v>Living‑Wage in Lieferkette – Scope‑3 Daten</x:v>
      </x:c>
      <x:c r="F13" s="14" t="str">
        <x:v>% Kategorien</x:v>
      </x:c>
      <x:c r="G13" s="14" t="str">
        <x:v>higher_is_better</x:v>
      </x:c>
      <x:c r="H13" s="14" t="str">
        <x:v>R23</x:v>
      </x:c>
      <x:c r="I13" s="14" t="str">
        <x:v>NUM_HIGH</x:v>
      </x:c>
      <x:c r="J13" s="51"/>
      <x:c r="K13" s="51"/>
      <x:c r="L13" s="51"/>
      <x:c r="M13" s="54"/>
      <x:c r="N13" s="58" t="str">
        <x:f>IF($J13="","",IF($J13&lt;20,-3,IF($J13&lt;40,-2,IF($J13&lt;60,0,IF($J13&lt;80,2,3)))))</x:f>
      </x:c>
      <x:c r="O13" s="58" t="str">
        <x:f>IF($J13="","",IF(OR('02_Benchmarks'!$P13&lt;&gt;"Aktiv",COUNT('02_Benchmarks'!$J13:$M13)&lt;4),"",IF($G13="lower_is_better",IF($J13&lt;='02_Benchmarks'!$J13,3,IF($J13&lt;'02_Benchmarks'!$K13,2,IF($J13&lt;='02_Benchmarks'!$L13,0,IF($J13&lt;='02_Benchmarks'!$M13,-2,-3)))),IF($J13&gt;='02_Benchmarks'!$J13,3,IF($J13&gt;'02_Benchmarks'!$K13,2,IF($J13&gt;='02_Benchmarks'!$L13,0,IF($J13&gt;='02_Benchmarks'!$M13,-2,-3)))))))</x:f>
      </x:c>
      <x:c r="P13" s="58" t="str">
        <x:f>IF(COUNT($N13:$O13)+IF(ISNUMBER($K13),1,0)=0,"",MIN($N13:$O13,$K13))</x:f>
      </x:c>
      <x:c r="Q13" s="58" t="str">
        <x:f>IF($P13="","",INDEX('04_Tarifmodell'!$B$6:$B$12,$P13+4))</x:f>
      </x:c>
      <x:c r="R13" s="64" t="str">
        <x:f>IF($P13="","",INDEX('04_Tarifmodell'!$C$6:$C$12,$P13+4))</x:f>
      </x:c>
      <x:c r="S13" s="14" t="str">
        <x:f>IF(OR($I13="QUALITATIVE",$I13="MANUAL_HYBRID"),IF($K13="","Assurance-Score fehlt","Assurance-bewertet"),IF($I13="BENCHMARK",IF($W13&lt;&gt;"Aktiv",IF($K13="","Benchmark fehlt","Assurance-bewertet"),IF($J13="","Messwert fehlt",IF($P13="","Nicht bewertbar","Berechnet"))),IF(AND($J13="",$K13&lt;&gt;""),"Nur Assurance-Score",IF($J13="","Messwert fehlt",IF($P13="","Nicht bewertbar",IF($P13&lt;=-2,"Kritische Wirkung / Prüfung","Berechnet"))))))</x:f>
        <x:v>Messwert fehlt</x:v>
      </x:c>
      <x:c r="T13" s="14" t="str">
        <x:v>Vollständige fünfstufige numerische Regel.</x:v>
      </x:c>
      <x:c r="U13" s="14" t="str">
        <x:v>≥80:+3; 60–79:+2; 40–59:0; 20–39:‑2; &lt;20:‑3</x:v>
      </x:c>
      <x:c r="V13" s="14" t="str">
        <x:v>ESRS E1, GHG Protocol (Corporate/Scope 1–3), ISO 14064/14067</x:v>
      </x:c>
      <x:c r="W13" s="14" t="str">
        <x:f>'02_Benchmarks'!$P13</x:f>
        <x:v>Optional – kein aktiver Benchmark</x:v>
      </x:c>
      <x:c r="X13" s="14" t="str">
        <x:v>Messgrundlage belegt; Schwellenkalibrierung offen</x:v>
      </x:c>
      <x:c r="Y13" s="14" t="str">
        <x:v>Mittel</x:v>
      </x:c>
      <x:c r="Z13" s="14" t="str">
        <x:v>Arbeitskalibrierung – fachlich zu validieren</x:v>
      </x:c>
      <x:c r="AA13" s="14" t="str">
        <x:v>Vorgelagerte Lieferkette; relevante Tier-Stufen und Beschaffungsvolumen</x:v>
      </x:c>
      <x:c r="AB13" s="14" t="str">
        <x:v>Primärdaten bevorzugt; Sekundärdaten nur transparent und versioniert; Methode und Systemgrenze dokumentieren</x:v>
      </x:c>
      <x:c r="AC13" s="14" t="str">
        <x:v>Limited Assurance; risikobasiert höhere Prüftiefe</x:v>
      </x:c>
    </x:row>
    <x:row r="14" ht="42" customHeight="1">
      <x:c r="A14" s="14" t="str">
        <x:v>WOK-G-101</x:v>
      </x:c>
      <x:c r="B14" s="14" t="str">
        <x:v>SDG 1 – Keine Armut</x:v>
      </x:c>
      <x:c r="C14" s="14" t="str">
        <x:v>1.b</x:v>
      </x:c>
      <x:c r="D14" s="14" t="str">
        <x:v>Pay Ratio &amp; Fairness</x:v>
      </x:c>
      <x:c r="E14" s="14" t="str">
        <x:v>Pay Ratio &amp; Fairness – Antikorruption</x:v>
      </x:c>
      <x:c r="F14" s="14" t="str">
        <x:v>Fälle/1.000 FTE</x:v>
      </x:c>
      <x:c r="G14" s="14" t="str">
        <x:v>lower_is_better</x:v>
      </x:c>
      <x:c r="H14" s="14" t="str">
        <x:v>R01</x:v>
      </x:c>
      <x:c r="I14" s="14" t="str">
        <x:v>NUM_LOW</x:v>
      </x:c>
      <x:c r="J14" s="51"/>
      <x:c r="K14" s="51"/>
      <x:c r="L14" s="51"/>
      <x:c r="M14" s="54"/>
      <x:c r="N14" s="58" t="str">
        <x:f>IF($J14="","",IF($J14&lt;=0,3,IF($J14&lt;=0.2,2,IF($J14&lt;=0.5,0,IF($J14&lt;=1,-2,-3)))))</x:f>
      </x:c>
      <x:c r="O14" s="58" t="str">
        <x:f>IF($J14="","",IF(OR('02_Benchmarks'!$P14&lt;&gt;"Aktiv",COUNT('02_Benchmarks'!$J14:$M14)&lt;4),"",IF($G14="lower_is_better",IF($J14&lt;='02_Benchmarks'!$J14,3,IF($J14&lt;'02_Benchmarks'!$K14,2,IF($J14&lt;='02_Benchmarks'!$L14,0,IF($J14&lt;='02_Benchmarks'!$M14,-2,-3)))),IF($J14&gt;='02_Benchmarks'!$J14,3,IF($J14&gt;'02_Benchmarks'!$K14,2,IF($J14&gt;='02_Benchmarks'!$L14,0,IF($J14&gt;='02_Benchmarks'!$M14,-2,-3)))))))</x:f>
      </x:c>
      <x:c r="P14" s="58" t="str">
        <x:f>IF(COUNT($N14:$O14)+IF(ISNUMBER($K14),1,0)=0,"",MIN($N14:$O14,$K14))</x:f>
      </x:c>
      <x:c r="Q14" s="58" t="str">
        <x:f>IF($P14="","",INDEX('04_Tarifmodell'!$B$6:$B$12,$P14+4))</x:f>
      </x:c>
      <x:c r="R14" s="64" t="str">
        <x:f>IF($P14="","",INDEX('04_Tarifmodell'!$C$6:$C$12,$P14+4))</x:f>
      </x:c>
      <x:c r="S14" s="14" t="str">
        <x:f>IF(OR($I14="QUALITATIVE",$I14="MANUAL_HYBRID"),IF($K14="","Assurance-Score fehlt","Assurance-bewertet"),IF($I14="BENCHMARK",IF($W14&lt;&gt;"Aktiv",IF($K14="","Benchmark fehlt","Assurance-bewertet"),IF($J14="","Messwert fehlt",IF($P14="","Nicht bewertbar","Berechnet"))),IF(AND($J14="",$K14&lt;&gt;""),"Nur Assurance-Score",IF($J14="","Messwert fehlt",IF($P14="","Nicht bewertbar",IF($P14&lt;=-2,"Kritische Wirkung / Prüfung","Berechnet"))))))</x:f>
        <x:v>Messwert fehlt</x:v>
      </x:c>
      <x:c r="T14" s="14" t="str">
        <x:v>Vollständige fünfstufige numerische Regel.</x:v>
      </x:c>
      <x:c r="U14" s="14" t="str">
        <x:v>0:+3; ≤0,2:+2; ≤0,5:0; ≤1:‑2; &gt;1:‑3</x:v>
      </x:c>
      <x:c r="V14" s="14" t="str">
        <x:v>ESRS G1, GRI 205/207, OECD Anti‑Bribery</x:v>
      </x:c>
      <x:c r="W14" s="14" t="str">
        <x:f>'02_Benchmarks'!$P14</x:f>
        <x:v>Optional – kein aktiver Benchmark</x:v>
      </x:c>
      <x:c r="X14" s="14" t="str">
        <x:v>Messgrundlage belegt; Schwellenkalibrierung offen</x:v>
      </x:c>
      <x:c r="Y14" s="14" t="str">
        <x:v>Mittel</x:v>
      </x:c>
      <x:c r="Z14" s="14" t="str">
        <x:v>Arbeitskalibrierung – fachlich zu validieren</x:v>
      </x:c>
      <x:c r="AA14" s="14" t="str">
        <x:v>Organisation/Governance; konsolidierter Kreis und relevante Rechtseinheiten</x:v>
      </x:c>
      <x:c r="AB14" s="14" t="str">
        <x:v>Primärdaten bevorzugt; Sekundärdaten nur transparent und versioniert; Methode und Systemgrenze dokumentieren</x:v>
      </x:c>
      <x:c r="AC14" s="14" t="str">
        <x:v>Limited Assurance; risikobasiert höhere Prüftiefe</x:v>
      </x:c>
    </x:row>
    <x:row r="15" ht="42" customHeight="1">
      <x:c r="A15" s="14" t="str">
        <x:v>WOK-G-102</x:v>
      </x:c>
      <x:c r="B15" s="14" t="str">
        <x:v>SDG 1 – Keine Armut</x:v>
      </x:c>
      <x:c r="C15" s="14" t="str">
        <x:v>1.b</x:v>
      </x:c>
      <x:c r="D15" s="14" t="str">
        <x:v>Pay Ratio &amp; Fairness</x:v>
      </x:c>
      <x:c r="E15" s="14" t="str">
        <x:v>Pay Ratio &amp; Fairness – Whistleblowing</x:v>
      </x:c>
      <x:c r="F15" s="14" t="str">
        <x:v>0–1</x:v>
      </x:c>
      <x:c r="G15" s="14" t="str">
        <x:v>higher_is_better</x:v>
      </x:c>
      <x:c r="H15" s="14" t="str">
        <x:v>R16</x:v>
      </x:c>
      <x:c r="I15" s="14" t="str">
        <x:v>NUM_HIGH</x:v>
      </x:c>
      <x:c r="J15" s="51"/>
      <x:c r="K15" s="51"/>
      <x:c r="L15" s="51"/>
      <x:c r="M15" s="54"/>
      <x:c r="N15" s="58" t="str">
        <x:f>IF($J15="","",IF($J15&lt;0.4,-3,IF($J15&lt;0.6,-2,IF($J15&lt;0.75,0,IF($J15&lt;0.9,2,3)))))</x:f>
      </x:c>
      <x:c r="O15" s="58" t="str">
        <x:f>IF($J15="","",IF(OR('02_Benchmarks'!$P15&lt;&gt;"Aktiv",COUNT('02_Benchmarks'!$J15:$M15)&lt;4),"",IF($G15="lower_is_better",IF($J15&lt;='02_Benchmarks'!$J15,3,IF($J15&lt;'02_Benchmarks'!$K15,2,IF($J15&lt;='02_Benchmarks'!$L15,0,IF($J15&lt;='02_Benchmarks'!$M15,-2,-3)))),IF($J15&gt;='02_Benchmarks'!$J15,3,IF($J15&gt;'02_Benchmarks'!$K15,2,IF($J15&gt;='02_Benchmarks'!$L15,0,IF($J15&gt;='02_Benchmarks'!$M15,-2,-3)))))))</x:f>
      </x:c>
      <x:c r="P15" s="58" t="str">
        <x:f>IF(COUNT($N15:$O15)+IF(ISNUMBER($K15),1,0)=0,"",MIN($N15:$O15,$K15))</x:f>
      </x:c>
      <x:c r="Q15" s="58" t="str">
        <x:f>IF($P15="","",INDEX('04_Tarifmodell'!$B$6:$B$12,$P15+4))</x:f>
      </x:c>
      <x:c r="R15" s="64" t="str">
        <x:f>IF($P15="","",INDEX('04_Tarifmodell'!$C$6:$C$12,$P15+4))</x:f>
      </x:c>
      <x:c r="S15" s="14" t="str">
        <x:f>IF(OR($I15="QUALITATIVE",$I15="MANUAL_HYBRID"),IF($K15="","Assurance-Score fehlt","Assurance-bewertet"),IF($I15="BENCHMARK",IF($W15&lt;&gt;"Aktiv",IF($K15="","Benchmark fehlt","Assurance-bewertet"),IF($J15="","Messwert fehlt",IF($P15="","Nicht bewertbar","Berechnet"))),IF(AND($J15="",$K15&lt;&gt;""),"Nur Assurance-Score",IF($J15="","Messwert fehlt",IF($P15="","Nicht bewertbar",IF($P15&lt;=-2,"Kritische Wirkung / Prüfung","Berechnet"))))))</x:f>
        <x:v>Messwert fehlt</x:v>
      </x:c>
      <x:c r="T15" s="14" t="str">
        <x:v>Vollständige fünfstufige numerische Regel.</x:v>
      </x:c>
      <x:c r="U15" s="14" t="str">
        <x:v>≥0,9:+3; 0,75–0,89:+2; 0,6–0,74:0; 0,4–0,59:‑2; &lt;0,4:‑3</x:v>
      </x:c>
      <x:c r="V15" s="14" t="str">
        <x:v>ESRS G1, GRI 205/207, OECD Anti‑Bribery</x:v>
      </x:c>
      <x:c r="W15" s="14" t="str">
        <x:f>'02_Benchmarks'!$P15</x:f>
        <x:v>Optional – kein aktiver Benchmark</x:v>
      </x:c>
      <x:c r="X15" s="14" t="str">
        <x:v>Messgrundlage belegt; Schwellenkalibrierung offen</x:v>
      </x:c>
      <x:c r="Y15" s="14" t="str">
        <x:v>Mittel</x:v>
      </x:c>
      <x:c r="Z15" s="14" t="str">
        <x:v>Arbeitskalibrierung – fachlich zu validieren</x:v>
      </x:c>
      <x:c r="AA15" s="14" t="str">
        <x:v>Organisation/Governance; konsolidierter Kreis und relevante Rechtseinheiten</x:v>
      </x:c>
      <x:c r="AB15" s="14" t="str">
        <x:v>Primärdaten bevorzugt; Sekundärdaten nur transparent und versioniert; Methode und Systemgrenze dokumentieren</x:v>
      </x:c>
      <x:c r="AC15" s="14" t="str">
        <x:v>Limited Assurance; risikobasiert höhere Prüftiefe</x:v>
      </x:c>
    </x:row>
    <x:row r="16" ht="42" customHeight="1">
      <x:c r="A16" s="14" t="str">
        <x:v>WOK-G-103</x:v>
      </x:c>
      <x:c r="B16" s="14" t="str">
        <x:v>SDG 1 – Keine Armut</x:v>
      </x:c>
      <x:c r="C16" s="14" t="str">
        <x:v>1.b</x:v>
      </x:c>
      <x:c r="D16" s="14" t="str">
        <x:v>Pay Ratio &amp; Fairness</x:v>
      </x:c>
      <x:c r="E16" s="14" t="str">
        <x:v>Pay Ratio &amp; Fairness – Steuertransparenz</x:v>
      </x:c>
      <x:c r="F16" s="14" t="str">
        <x:v>0–1</x:v>
      </x:c>
      <x:c r="G16" s="14" t="str">
        <x:v>higher_is_better</x:v>
      </x:c>
      <x:c r="H16" s="14" t="str">
        <x:v>R08</x:v>
      </x:c>
      <x:c r="I16" s="14" t="str">
        <x:v>QUALITATIVE</x:v>
      </x:c>
      <x:c r="J16" s="51"/>
      <x:c r="K16" s="51"/>
      <x:c r="L16" s="51"/>
      <x:c r="M16" s="54"/>
      <x:c r="N16" s="58" t="str">
        <x:f>""</x:f>
      </x:c>
      <x:c r="O16" s="58" t="str">
        <x:f>IF($J16="","",IF(OR('02_Benchmarks'!$P16&lt;&gt;"Aktiv",COUNT('02_Benchmarks'!$J16:$M16)&lt;4),"",IF($G16="lower_is_better",IF($J16&lt;='02_Benchmarks'!$J16,3,IF($J16&lt;'02_Benchmarks'!$K16,2,IF($J16&lt;='02_Benchmarks'!$L16,0,IF($J16&lt;='02_Benchmarks'!$M16,-2,-3)))),IF($J16&gt;='02_Benchmarks'!$J16,3,IF($J16&gt;'02_Benchmarks'!$K16,2,IF($J16&gt;='02_Benchmarks'!$L16,0,IF($J16&gt;='02_Benchmarks'!$M16,-2,-3)))))))</x:f>
      </x:c>
      <x:c r="P16" s="58" t="str">
        <x:f>IF(COUNT($N16:$O16)+IF(ISNUMBER($K16),1,0)=0,"",MIN($N16:$O16,$K16))</x:f>
      </x:c>
      <x:c r="Q16" s="58" t="str">
        <x:f>IF($P16="","",INDEX('04_Tarifmodell'!$B$6:$B$12,$P16+4))</x:f>
      </x:c>
      <x:c r="R16" s="64" t="str">
        <x:f>IF($P16="","",INDEX('04_Tarifmodell'!$C$6:$C$12,$P16+4))</x:f>
      </x:c>
      <x:c r="S16" s="14" t="str">
        <x:f>IF(OR($I16="QUALITATIVE",$I16="MANUAL_HYBRID"),IF($K16="","Assurance-Score fehlt","Assurance-bewertet"),IF($I16="BENCHMARK",IF($W16&lt;&gt;"Aktiv",IF($K16="","Benchmark fehlt","Assurance-bewertet"),IF($J16="","Messwert fehlt",IF($P16="","Nicht bewertbar","Berechnet"))),IF(AND($J16="",$K16&lt;&gt;""),"Nur Assurance-Score",IF($J16="","Messwert fehlt",IF($P16="","Nicht bewertbar",IF($P16&lt;=-2,"Kritische Wirkung / Prüfung","Berechnet"))))))</x:f>
        <x:v>Assurance-Score fehlt</x:v>
      </x:c>
      <x:c r="T16" s="14" t="str">
        <x:v>Die Kategorie −3 fehlt; Vollständigkeit und Wirksamkeit sind feldspezifisch zu definieren.</x:v>
      </x:c>
      <x:c r="U16" s="14" t="str">
        <x:v>vollständig:+3; teilweise:+2; minimal:0; schlecht:‑2</x:v>
      </x:c>
      <x:c r="V16" s="14" t="str">
        <x:v>ESRS G1, GRI 205/207, OECD Anti‑Bribery</x:v>
      </x:c>
      <x:c r="W16" s="14" t="str">
        <x:f>'02_Benchmarks'!$P16</x:f>
        <x:v>Optional – kein aktiver Benchmark</x:v>
      </x:c>
      <x:c r="X16" s="14" t="str">
        <x:v>Messgrundlage belegt; Schwellenkalibrierung offen</x:v>
      </x:c>
      <x:c r="Y16" s="14" t="str">
        <x:v>Hoch</x:v>
      </x:c>
      <x:c r="Z16" s="14" t="str">
        <x:v>Assurance und Kriterienkatalog erforderlich</x:v>
      </x:c>
      <x:c r="AA16" s="14" t="str">
        <x:v>Organisation/Governance; konsolidierter Kreis und relevante Rechtseinheiten</x:v>
      </x:c>
      <x:c r="AB16" s="14" t="str">
        <x:v>Dokumentierter Kriterienkatalog; nachvollziehbare Evidenz; DQR A/B bevorzugt</x:v>
      </x:c>
      <x:c r="AC16" s="14" t="str">
        <x:v>Unabhängige Fachprüfung/Limited Assurance; bei roten Linien Reasonable Assurance</x:v>
      </x:c>
    </x:row>
    <x:row r="17" ht="42" customHeight="1">
      <x:c r="A17" s="14" t="str">
        <x:v>WOK-S-107</x:v>
      </x:c>
      <x:c r="B17" s="14" t="str">
        <x:v>SDG 1 – Keine Armut</x:v>
      </x:c>
      <x:c r="C17" s="14" t="str">
        <x:v>1.b</x:v>
      </x:c>
      <x:c r="D17" s="14" t="str">
        <x:v>Lokale Beschaffung benachteiligte Gruppen</x:v>
      </x:c>
      <x:c r="E17" s="14" t="str">
        <x:v>Lokale Beschaffung benachteiligte Gruppen – ESG‑Spend‑Coverage</x:v>
      </x:c>
      <x:c r="F17" s="14" t="str">
        <x:v>%</x:v>
      </x:c>
      <x:c r="G17" s="14" t="str">
        <x:v>higher_is_better</x:v>
      </x:c>
      <x:c r="H17" s="14" t="str">
        <x:v>R26</x:v>
      </x:c>
      <x:c r="I17" s="14" t="str">
        <x:v>NUM_HIGH</x:v>
      </x:c>
      <x:c r="J17" s="51"/>
      <x:c r="K17" s="51"/>
      <x:c r="L17" s="51"/>
      <x:c r="M17" s="54"/>
      <x:c r="N17" s="58" t="str">
        <x:f>IF($J17="","",IF($J17&lt;30,-3,IF($J17&lt;50,-2,IF($J17&lt;70,0,IF($J17&lt;90,2,3)))))</x:f>
      </x:c>
      <x:c r="O17" s="58" t="str">
        <x:f>IF($J17="","",IF(OR('02_Benchmarks'!$P17&lt;&gt;"Aktiv",COUNT('02_Benchmarks'!$J17:$M17)&lt;4),"",IF($G17="lower_is_better",IF($J17&lt;='02_Benchmarks'!$J17,3,IF($J17&lt;'02_Benchmarks'!$K17,2,IF($J17&lt;='02_Benchmarks'!$L17,0,IF($J17&lt;='02_Benchmarks'!$M17,-2,-3)))),IF($J17&gt;='02_Benchmarks'!$J17,3,IF($J17&gt;'02_Benchmarks'!$K17,2,IF($J17&gt;='02_Benchmarks'!$L17,0,IF($J17&gt;='02_Benchmarks'!$M17,-2,-3)))))))</x:f>
      </x:c>
      <x:c r="P17" s="58" t="str">
        <x:f>IF(COUNT($N17:$O17)+IF(ISNUMBER($K17),1,0)=0,"",MIN($N17:$O17,$K17))</x:f>
      </x:c>
      <x:c r="Q17" s="58" t="str">
        <x:f>IF($P17="","",INDEX('04_Tarifmodell'!$B$6:$B$12,$P17+4))</x:f>
      </x:c>
      <x:c r="R17" s="64" t="str">
        <x:f>IF($P17="","",INDEX('04_Tarifmodell'!$C$6:$C$12,$P17+4))</x:f>
      </x:c>
      <x:c r="S17" s="14" t="str">
        <x:f>IF(OR($I17="QUALITATIVE",$I17="MANUAL_HYBRID"),IF($K17="","Assurance-Score fehlt","Assurance-bewertet"),IF($I17="BENCHMARK",IF($W17&lt;&gt;"Aktiv",IF($K17="","Benchmark fehlt","Assurance-bewertet"),IF($J17="","Messwert fehlt",IF($P17="","Nicht bewertbar","Berechnet"))),IF(AND($J17="",$K17&lt;&gt;""),"Nur Assurance-Score",IF($J17="","Messwert fehlt",IF($P17="","Nicht bewertbar",IF($P17&lt;=-2,"Kritische Wirkung / Prüfung","Berechnet"))))))</x:f>
        <x:v>Messwert fehlt</x:v>
      </x:c>
      <x:c r="T17" s="14" t="str">
        <x:v>Vollständige fünfstufige numerische Regel.</x:v>
      </x:c>
      <x:c r="U17" s="14" t="str">
        <x:v>≥90:+3; 70–89:+2; 50–69:0; 30–49:‑2; &lt;30:‑3</x:v>
      </x:c>
      <x:c r="V17" s="14" t="str">
        <x:v>ESRS S2; GRI 308/414/408/409</x:v>
      </x:c>
      <x:c r="W17" s="14" t="str">
        <x:f>'02_Benchmarks'!$P17</x:f>
        <x:v>Optional – kein aktiver Benchmark</x:v>
      </x:c>
      <x:c r="X17" s="14" t="str">
        <x:v>Messgrundlage belegt; Schwellenkalibrierung offen</x:v>
      </x:c>
      <x:c r="Y17" s="14" t="str">
        <x:v>Mittel</x:v>
      </x:c>
      <x:c r="Z17" s="14" t="str">
        <x:v>Arbeitskalibrierung – fachlich zu validieren</x:v>
      </x:c>
      <x:c r="AA17" s="14" t="str">
        <x:v>Eigene Belegschaft/Organisation; FTE, Beschäftigtengruppe und Zeitraum</x:v>
      </x:c>
      <x:c r="AB17" s="14" t="str">
        <x:v>Primärdaten bevorzugt; Sekundärdaten nur transparent und versioniert; Methode und Systemgrenze dokumentieren</x:v>
      </x:c>
      <x:c r="AC17" s="14" t="str">
        <x:v>Limited Assurance; risikobasiert höhere Prüftiefe</x:v>
      </x:c>
    </x:row>
    <x:row r="18" ht="42" customHeight="1">
      <x:c r="A18" s="14" t="str">
        <x:v>WOK-S-108</x:v>
      </x:c>
      <x:c r="B18" s="14" t="str">
        <x:v>SDG 1 – Keine Armut</x:v>
      </x:c>
      <x:c r="C18" s="14" t="str">
        <x:v>1.b</x:v>
      </x:c>
      <x:c r="D18" s="14" t="str">
        <x:v>Lokale Beschaffung benachteiligte Gruppen</x:v>
      </x:c>
      <x:c r="E18" s="14" t="str">
        <x:v>Lokale Beschaffung benachteiligte Gruppen – Kinder/Zwangsarbeit</x:v>
      </x:c>
      <x:c r="F18" s="14" t="str">
        <x:v>% Lieferanten</x:v>
      </x:c>
      <x:c r="G18" s="14" t="str">
        <x:v>higher_is_better</x:v>
      </x:c>
      <x:c r="H18" s="14" t="str">
        <x:v>R28</x:v>
      </x:c>
      <x:c r="I18" s="14" t="str">
        <x:v>NUM_HIGH</x:v>
      </x:c>
      <x:c r="J18" s="51"/>
      <x:c r="K18" s="51"/>
      <x:c r="L18" s="51"/>
      <x:c r="M18" s="54"/>
      <x:c r="N18" s="58" t="str">
        <x:f>IF($J18="","",IF($J18&lt;50,-3,IF($J18&lt;75,-2,IF($J18&lt;90,0,IF($J18&lt;98,2,3)))))</x:f>
      </x:c>
      <x:c r="O18" s="58" t="str">
        <x:f>IF($J18="","",IF(OR('02_Benchmarks'!$P18&lt;&gt;"Aktiv",COUNT('02_Benchmarks'!$J18:$M18)&lt;4),"",IF($G18="lower_is_better",IF($J18&lt;='02_Benchmarks'!$J18,3,IF($J18&lt;'02_Benchmarks'!$K18,2,IF($J18&lt;='02_Benchmarks'!$L18,0,IF($J18&lt;='02_Benchmarks'!$M18,-2,-3)))),IF($J18&gt;='02_Benchmarks'!$J18,3,IF($J18&gt;'02_Benchmarks'!$K18,2,IF($J18&gt;='02_Benchmarks'!$L18,0,IF($J18&gt;='02_Benchmarks'!$M18,-2,-3)))))))</x:f>
      </x:c>
      <x:c r="P18" s="58" t="str">
        <x:f>IF(COUNT($N18:$O18)+IF(ISNUMBER($K18),1,0)=0,"",MIN($N18:$O18,$K18))</x:f>
      </x:c>
      <x:c r="Q18" s="58" t="str">
        <x:f>IF($P18="","",INDEX('04_Tarifmodell'!$B$6:$B$12,$P18+4))</x:f>
      </x:c>
      <x:c r="R18" s="64" t="str">
        <x:f>IF($P18="","",INDEX('04_Tarifmodell'!$C$6:$C$12,$P18+4))</x:f>
      </x:c>
      <x:c r="S18" s="14" t="str">
        <x:f>IF(OR($I18="QUALITATIVE",$I18="MANUAL_HYBRID"),IF($K18="","Assurance-Score fehlt","Assurance-bewertet"),IF($I18="BENCHMARK",IF($W18&lt;&gt;"Aktiv",IF($K18="","Benchmark fehlt","Assurance-bewertet"),IF($J18="","Messwert fehlt",IF($P18="","Nicht bewertbar","Berechnet"))),IF(AND($J18="",$K18&lt;&gt;""),"Nur Assurance-Score",IF($J18="","Messwert fehlt",IF($P18="","Nicht bewertbar",IF($P18&lt;=-2,"Kritische Wirkung / Prüfung","Berechnet"))))))</x:f>
        <x:v>Messwert fehlt</x:v>
      </x:c>
      <x:c r="T18" s="14" t="str">
        <x:v>Vollständige fünfstufige numerische Regel.</x:v>
      </x:c>
      <x:c r="U18" s="14" t="str">
        <x:v>≥98:+3; 90–97:+2; 75–89:0; 50–74:‑2; &lt;50:‑3</x:v>
      </x:c>
      <x:c r="V18" s="14" t="str">
        <x:v>ESRS S2, GRI 308/414, OECD Due Diligence</x:v>
      </x:c>
      <x:c r="W18" s="14" t="str">
        <x:f>'02_Benchmarks'!$P18</x:f>
        <x:v>Optional – kein aktiver Benchmark</x:v>
      </x:c>
      <x:c r="X18" s="14" t="str">
        <x:v>Messgrundlage belegt; Schwellenkalibrierung offen</x:v>
      </x:c>
      <x:c r="Y18" s="14" t="str">
        <x:v>Mittel</x:v>
      </x:c>
      <x:c r="Z18" s="14" t="str">
        <x:v>Arbeitskalibrierung – fachlich zu validieren</x:v>
      </x:c>
      <x:c r="AA18" s="14" t="str">
        <x:v>Eigene Belegschaft/Organisation; FTE, Beschäftigtengruppe und Zeitraum</x:v>
      </x:c>
      <x:c r="AB18" s="14" t="str">
        <x:v>Primärdaten bevorzugt; Sekundärdaten nur transparent und versioniert; Methode und Systemgrenze dokumentieren</x:v>
      </x:c>
      <x:c r="AC18" s="14" t="str">
        <x:v>Limited Assurance; risikobasiert höhere Prüftiefe</x:v>
      </x:c>
    </x:row>
    <x:row r="19" ht="42" customHeight="1">
      <x:c r="A19" s="14" t="str">
        <x:v>WOK-S-109</x:v>
      </x:c>
      <x:c r="B19" s="14" t="str">
        <x:v>SDG 1 – Keine Armut</x:v>
      </x:c>
      <x:c r="C19" s="14" t="str">
        <x:v>1.b</x:v>
      </x:c>
      <x:c r="D19" s="14" t="str">
        <x:v>Lokale Beschaffung benachteiligte Gruppen</x:v>
      </x:c>
      <x:c r="E19" s="14" t="str">
        <x:v>Lokale Beschaffung benachteiligte Gruppen – Scope‑3 Daten</x:v>
      </x:c>
      <x:c r="F19" s="14" t="str">
        <x:v>% Kategorien</x:v>
      </x:c>
      <x:c r="G19" s="14" t="str">
        <x:v>higher_is_better</x:v>
      </x:c>
      <x:c r="H19" s="14" t="str">
        <x:v>R23</x:v>
      </x:c>
      <x:c r="I19" s="14" t="str">
        <x:v>NUM_HIGH</x:v>
      </x:c>
      <x:c r="J19" s="51"/>
      <x:c r="K19" s="51"/>
      <x:c r="L19" s="51"/>
      <x:c r="M19" s="54"/>
      <x:c r="N19" s="58" t="str">
        <x:f>IF($J19="","",IF($J19&lt;20,-3,IF($J19&lt;40,-2,IF($J19&lt;60,0,IF($J19&lt;80,2,3)))))</x:f>
      </x:c>
      <x:c r="O19" s="58" t="str">
        <x:f>IF($J19="","",IF(OR('02_Benchmarks'!$P19&lt;&gt;"Aktiv",COUNT('02_Benchmarks'!$J19:$M19)&lt;4),"",IF($G19="lower_is_better",IF($J19&lt;='02_Benchmarks'!$J19,3,IF($J19&lt;'02_Benchmarks'!$K19,2,IF($J19&lt;='02_Benchmarks'!$L19,0,IF($J19&lt;='02_Benchmarks'!$M19,-2,-3)))),IF($J19&gt;='02_Benchmarks'!$J19,3,IF($J19&gt;'02_Benchmarks'!$K19,2,IF($J19&gt;='02_Benchmarks'!$L19,0,IF($J19&gt;='02_Benchmarks'!$M19,-2,-3)))))))</x:f>
      </x:c>
      <x:c r="P19" s="58" t="str">
        <x:f>IF(COUNT($N19:$O19)+IF(ISNUMBER($K19),1,0)=0,"",MIN($N19:$O19,$K19))</x:f>
      </x:c>
      <x:c r="Q19" s="58" t="str">
        <x:f>IF($P19="","",INDEX('04_Tarifmodell'!$B$6:$B$12,$P19+4))</x:f>
      </x:c>
      <x:c r="R19" s="64" t="str">
        <x:f>IF($P19="","",INDEX('04_Tarifmodell'!$C$6:$C$12,$P19+4))</x:f>
      </x:c>
      <x:c r="S19" s="14" t="str">
        <x:f>IF(OR($I19="QUALITATIVE",$I19="MANUAL_HYBRID"),IF($K19="","Assurance-Score fehlt","Assurance-bewertet"),IF($I19="BENCHMARK",IF($W19&lt;&gt;"Aktiv",IF($K19="","Benchmark fehlt","Assurance-bewertet"),IF($J19="","Messwert fehlt",IF($P19="","Nicht bewertbar","Berechnet"))),IF(AND($J19="",$K19&lt;&gt;""),"Nur Assurance-Score",IF($J19="","Messwert fehlt",IF($P19="","Nicht bewertbar",IF($P19&lt;=-2,"Kritische Wirkung / Prüfung","Berechnet"))))))</x:f>
        <x:v>Messwert fehlt</x:v>
      </x:c>
      <x:c r="T19" s="14" t="str">
        <x:v>Vollständige fünfstufige numerische Regel.</x:v>
      </x:c>
      <x:c r="U19" s="14" t="str">
        <x:v>≥80:+3; 60–79:+2; 40–59:0; 20–39:‑2; &lt;20:‑3</x:v>
      </x:c>
      <x:c r="V19" s="14" t="str">
        <x:v>ESRS E1, GHG Protocol (Corporate/Scope 1–3), ISO 14064/14067</x:v>
      </x:c>
      <x:c r="W19" s="14" t="str">
        <x:f>'02_Benchmarks'!$P19</x:f>
        <x:v>Optional – kein aktiver Benchmark</x:v>
      </x:c>
      <x:c r="X19" s="14" t="str">
        <x:v>Messgrundlage belegt; Schwellenkalibrierung offen</x:v>
      </x:c>
      <x:c r="Y19" s="14" t="str">
        <x:v>Mittel</x:v>
      </x:c>
      <x:c r="Z19" s="14" t="str">
        <x:v>Arbeitskalibrierung – fachlich zu validieren</x:v>
      </x:c>
      <x:c r="AA19" s="14" t="str">
        <x:v>Eigene Belegschaft/Organisation; FTE, Beschäftigtengruppe und Zeitraum</x:v>
      </x:c>
      <x:c r="AB19" s="14" t="str">
        <x:v>Primärdaten bevorzugt; Sekundärdaten nur transparent und versioniert; Methode und Systemgrenze dokumentieren</x:v>
      </x:c>
      <x:c r="AC19" s="14" t="str">
        <x:v>Limited Assurance; risikobasiert höhere Prüftiefe</x:v>
      </x:c>
    </x:row>
    <x:row r="20" ht="42" customHeight="1">
      <x:c r="A20" s="14" t="str">
        <x:v>WOK-SYS-101</x:v>
      </x:c>
      <x:c r="B20" s="14" t="str">
        <x:v>SDG 1 – Keine Armut</x:v>
      </x:c>
      <x:c r="C20" s="14" t="str">
        <x:v>1.a</x:v>
      </x:c>
      <x:c r="D20" s="14" t="str">
        <x:v>Gemeinwohl‑Investitionen (Armut)</x:v>
      </x:c>
      <x:c r="E20" s="14" t="str">
        <x:v>Gemeinwohl‑Investitionen (Armut) – Index</x:v>
      </x:c>
      <x:c r="F20" s="14" t="str">
        <x:v>0–1</x:v>
      </x:c>
      <x:c r="G20" s="14" t="str">
        <x:v>higher_is_better</x:v>
      </x:c>
      <x:c r="H20" s="14" t="str">
        <x:v>R15</x:v>
      </x:c>
      <x:c r="I20" s="14" t="str">
        <x:v>NUM_HIGH</x:v>
      </x:c>
      <x:c r="J20" s="51"/>
      <x:c r="K20" s="51"/>
      <x:c r="L20" s="51"/>
      <x:c r="M20" s="54"/>
      <x:c r="N20" s="58" t="str">
        <x:f>IF($J20="","",IF($J20&lt;0.5,-3,IF($J20&lt;0.6,-2,IF($J20&lt;0.7,0,IF($J20&lt;0.8,2,3)))))</x:f>
      </x:c>
      <x:c r="O20" s="58" t="str">
        <x:f>IF($J20="","",IF(OR('02_Benchmarks'!$P20&lt;&gt;"Aktiv",COUNT('02_Benchmarks'!$J20:$M20)&lt;4),"",IF($G20="lower_is_better",IF($J20&lt;='02_Benchmarks'!$J20,3,IF($J20&lt;'02_Benchmarks'!$K20,2,IF($J20&lt;='02_Benchmarks'!$L20,0,IF($J20&lt;='02_Benchmarks'!$M20,-2,-3)))),IF($J20&gt;='02_Benchmarks'!$J20,3,IF($J20&gt;'02_Benchmarks'!$K20,2,IF($J20&gt;='02_Benchmarks'!$L20,0,IF($J20&gt;='02_Benchmarks'!$M20,-2,-3)))))))</x:f>
      </x:c>
      <x:c r="P20" s="58" t="str">
        <x:f>IF(COUNT($N20:$O20)+IF(ISNUMBER($K20),1,0)=0,"",MIN($N20:$O20,$K20))</x:f>
      </x:c>
      <x:c r="Q20" s="58" t="str">
        <x:f>IF($P20="","",INDEX('04_Tarifmodell'!$B$6:$B$12,$P20+4))</x:f>
      </x:c>
      <x:c r="R20" s="64" t="str">
        <x:f>IF($P20="","",INDEX('04_Tarifmodell'!$C$6:$C$12,$P20+4))</x:f>
      </x:c>
      <x:c r="S20" s="14" t="str">
        <x:f>IF(OR($I20="QUALITATIVE",$I20="MANUAL_HYBRID"),IF($K20="","Assurance-Score fehlt","Assurance-bewertet"),IF($I20="BENCHMARK",IF($W20&lt;&gt;"Aktiv",IF($K20="","Benchmark fehlt","Assurance-bewertet"),IF($J20="","Messwert fehlt",IF($P20="","Nicht bewertbar","Berechnet"))),IF(AND($J20="",$K20&lt;&gt;""),"Nur Assurance-Score",IF($J20="","Messwert fehlt",IF($P20="","Nicht bewertbar",IF($P20&lt;=-2,"Kritische Wirkung / Prüfung","Berechnet"))))))</x:f>
        <x:v>Messwert fehlt</x:v>
      </x:c>
      <x:c r="T20" s="14" t="str">
        <x:v>SROI/SDG 17 ist keine hinreichend konkrete Mess- oder Schwellenquelle. Vollständige fünfstufige numerische Regel.</x:v>
      </x:c>
      <x:c r="U20" s="14" t="str">
        <x:v>≥0,8:+3; 0,7–0,79:+2; 0,6–0,69:0; 0,5–0,59:‑2; &lt;0,5:‑3</x:v>
      </x:c>
      <x:c r="V20" s="14" t="str">
        <x:v>SDG 16/17, WJP, V‑Dem</x:v>
      </x:c>
      <x:c r="W20" s="14" t="str">
        <x:f>'02_Benchmarks'!$P20</x:f>
        <x:v>Optional – kein aktiver Benchmark</x:v>
      </x:c>
      <x:c r="X20" s="14" t="str">
        <x:v>Platzhalter – fachliche Operationalisierung offen</x:v>
      </x:c>
      <x:c r="Y20" s="14" t="str">
        <x:v>Kritisch</x:v>
      </x:c>
      <x:c r="Z20" s="14" t="str">
        <x:v>Arbeitskalibrierung – fachlich zu validieren</x:v>
      </x:c>
      <x:c r="AA20" s="14" t="str">
        <x:v>Programm/Portfolio/Systemraum; Empfängergruppe, Region und Zeitraum explizit definieren</x:v>
      </x:c>
      <x:c r="AB20" s="14" t="str">
        <x:v>Primärdaten bevorzugt; Sekundärdaten nur transparent und versioniert; Methode und Systemgrenze dokumentieren</x:v>
      </x:c>
      <x:c r="AC20" s="14" t="str">
        <x:v>Limited Assurance; risikobasiert höhere Prüftiefe</x:v>
      </x:c>
    </x:row>
    <x:row r="21" ht="42" customHeight="1">
      <x:c r="A21" s="14" t="str">
        <x:v>WOK-SYS-102</x:v>
      </x:c>
      <x:c r="B21" s="14" t="str">
        <x:v>SDG 1 – Keine Armut</x:v>
      </x:c>
      <x:c r="C21" s="14" t="str">
        <x:v>1.a</x:v>
      </x:c>
      <x:c r="D21" s="14" t="str">
        <x:v>Gemeinwohl‑Investitionen (Armut)</x:v>
      </x:c>
      <x:c r="E21" s="14" t="str">
        <x:v>Gemeinwohl‑Investitionen (Armut) – Exposure</x:v>
      </x:c>
      <x:c r="F21" s="14" t="str">
        <x:v>%</x:v>
      </x:c>
      <x:c r="G21" s="14" t="str">
        <x:v>lower_is_better</x:v>
      </x:c>
      <x:c r="H21" s="14" t="str">
        <x:v>R13</x:v>
      </x:c>
      <x:c r="I21" s="14" t="str">
        <x:v>NUM_LOW</x:v>
      </x:c>
      <x:c r="J21" s="51"/>
      <x:c r="K21" s="51"/>
      <x:c r="L21" s="51"/>
      <x:c r="M21" s="54"/>
      <x:c r="N21" s="58" t="str">
        <x:f>IF($J21="","",IF($J21&lt;=5,3,IF($J21&lt;=10,2,IF($J21&lt;=20,0,IF($J21&lt;=30,-2,-3)))))</x:f>
      </x:c>
      <x:c r="O21" s="58" t="str">
        <x:f>IF($J21="","",IF(OR('02_Benchmarks'!$P21&lt;&gt;"Aktiv",COUNT('02_Benchmarks'!$J21:$M21)&lt;4),"",IF($G21="lower_is_better",IF($J21&lt;='02_Benchmarks'!$J21,3,IF($J21&lt;'02_Benchmarks'!$K21,2,IF($J21&lt;='02_Benchmarks'!$L21,0,IF($J21&lt;='02_Benchmarks'!$M21,-2,-3)))),IF($J21&gt;='02_Benchmarks'!$J21,3,IF($J21&gt;'02_Benchmarks'!$K21,2,IF($J21&gt;='02_Benchmarks'!$L21,0,IF($J21&gt;='02_Benchmarks'!$M21,-2,-3)))))))</x:f>
      </x:c>
      <x:c r="P21" s="58" t="str">
        <x:f>IF(COUNT($N21:$O21)+IF(ISNUMBER($K21),1,0)=0,"",MIN($N21:$O21,$K21))</x:f>
      </x:c>
      <x:c r="Q21" s="58" t="str">
        <x:f>IF($P21="","",INDEX('04_Tarifmodell'!$B$6:$B$12,$P21+4))</x:f>
      </x:c>
      <x:c r="R21" s="64" t="str">
        <x:f>IF($P21="","",INDEX('04_Tarifmodell'!$C$6:$C$12,$P21+4))</x:f>
      </x:c>
      <x:c r="S21" s="14" t="str">
        <x:f>IF(OR($I21="QUALITATIVE",$I21="MANUAL_HYBRID"),IF($K21="","Assurance-Score fehlt","Assurance-bewertet"),IF($I21="BENCHMARK",IF($W21&lt;&gt;"Aktiv",IF($K21="","Benchmark fehlt","Assurance-bewertet"),IF($J21="","Messwert fehlt",IF($P21="","Nicht bewertbar","Berechnet"))),IF(AND($J21="",$K21&lt;&gt;""),"Nur Assurance-Score",IF($J21="","Messwert fehlt",IF($P21="","Nicht bewertbar",IF($P21&lt;=-2,"Kritische Wirkung / Prüfung","Berechnet"))))))</x:f>
        <x:v>Messwert fehlt</x:v>
      </x:c>
      <x:c r="T21" s="14" t="str">
        <x:v>SROI/SDG 17 ist keine hinreichend konkrete Mess- oder Schwellenquelle. Vollständige fünfstufige numerische Regel.</x:v>
      </x:c>
      <x:c r="U21" s="14" t="str">
        <x:v>≤5:+3; 6–10:+2; 11–20:0; 21–30:‑2; &gt;30:‑3</x:v>
      </x:c>
      <x:c r="V21" s="14" t="str">
        <x:v>SROI/SDG17</x:v>
      </x:c>
      <x:c r="W21" s="14" t="str">
        <x:f>'02_Benchmarks'!$P21</x:f>
        <x:v>Optional – kein aktiver Benchmark</x:v>
      </x:c>
      <x:c r="X21" s="14" t="str">
        <x:v>Platzhalter – fachliche Operationalisierung offen</x:v>
      </x:c>
      <x:c r="Y21" s="14" t="str">
        <x:v>Kritisch</x:v>
      </x:c>
      <x:c r="Z21" s="14" t="str">
        <x:v>Arbeitskalibrierung – fachlich zu validieren</x:v>
      </x:c>
      <x:c r="AA21" s="14" t="str">
        <x:v>Programm/Portfolio/Systemraum; Empfängergruppe, Region und Zeitraum explizit definieren</x:v>
      </x:c>
      <x:c r="AB21" s="14" t="str">
        <x:v>Primärdaten bevorzugt; Sekundärdaten nur transparent und versioniert; Methode und Systemgrenze dokumentieren</x:v>
      </x:c>
      <x:c r="AC21" s="14" t="str">
        <x:v>Limited Assurance; risikobasiert höhere Prüftiefe</x:v>
      </x:c>
    </x:row>
    <x:row r="22" ht="42" customHeight="1">
      <x:c r="A22" s="14" t="str">
        <x:v>WOK-SYS-103</x:v>
      </x:c>
      <x:c r="B22" s="14" t="str">
        <x:v>SDG 1 – Keine Armut</x:v>
      </x:c>
      <x:c r="C22" s="14" t="str">
        <x:v>1.a</x:v>
      </x:c>
      <x:c r="D22" s="14" t="str">
        <x:v>Gemeinwohl‑Investitionen (Armut)</x:v>
      </x:c>
      <x:c r="E22" s="14" t="str">
        <x:v>Gemeinwohl‑Investitionen (Armut) – Kooperationen</x:v>
      </x:c>
      <x:c r="F22" s="14" t="str">
        <x:v>#/Jahr</x:v>
      </x:c>
      <x:c r="G22" s="14" t="str">
        <x:v>higher_is_better</x:v>
      </x:c>
      <x:c r="H22" s="14" t="str">
        <x:v>R20</x:v>
      </x:c>
      <x:c r="I22" s="14" t="str">
        <x:v>NUM_HIGH</x:v>
      </x:c>
      <x:c r="J22" s="51"/>
      <x:c r="K22" s="51"/>
      <x:c r="L22" s="51"/>
      <x:c r="M22" s="54"/>
      <x:c r="N22" s="58" t="str">
        <x:f>IF($J22="","",IF($J22&lt;0,-3,IF($J22&lt;1,-2,IF($J22&lt;3,0,IF($J22&lt;5,2,3)))))</x:f>
      </x:c>
      <x:c r="O22" s="58" t="str">
        <x:f>IF($J22="","",IF(OR('02_Benchmarks'!$P22&lt;&gt;"Aktiv",COUNT('02_Benchmarks'!$J22:$M22)&lt;4),"",IF($G22="lower_is_better",IF($J22&lt;='02_Benchmarks'!$J22,3,IF($J22&lt;'02_Benchmarks'!$K22,2,IF($J22&lt;='02_Benchmarks'!$L22,0,IF($J22&lt;='02_Benchmarks'!$M22,-2,-3)))),IF($J22&gt;='02_Benchmarks'!$J22,3,IF($J22&gt;'02_Benchmarks'!$K22,2,IF($J22&gt;='02_Benchmarks'!$L22,0,IF($J22&gt;='02_Benchmarks'!$M22,-2,-3)))))))</x:f>
      </x:c>
      <x:c r="P22" s="58" t="str">
        <x:f>IF(COUNT($N22:$O22)+IF(ISNUMBER($K22),1,0)=0,"",MIN($N22:$O22,$K22))</x:f>
      </x:c>
      <x:c r="Q22" s="58" t="str">
        <x:f>IF($P22="","",INDEX('04_Tarifmodell'!$B$6:$B$12,$P22+4))</x:f>
      </x:c>
      <x:c r="R22" s="64" t="str">
        <x:f>IF($P22="","",INDEX('04_Tarifmodell'!$C$6:$C$12,$P22+4))</x:f>
      </x:c>
      <x:c r="S22" s="14" t="str">
        <x:f>IF(OR($I22="QUALITATIVE",$I22="MANUAL_HYBRID"),IF($K22="","Assurance-Score fehlt","Assurance-bewertet"),IF($I22="BENCHMARK",IF($W22&lt;&gt;"Aktiv",IF($K22="","Benchmark fehlt","Assurance-bewertet"),IF($J22="","Messwert fehlt",IF($P22="","Nicht bewertbar","Berechnet"))),IF(AND($J22="",$K22&lt;&gt;""),"Nur Assurance-Score",IF($J22="","Messwert fehlt",IF($P22="","Nicht bewertbar",IF($P22&lt;=-2,"Kritische Wirkung / Prüfung","Berechnet"))))))</x:f>
        <x:v>Messwert fehlt</x:v>
      </x:c>
      <x:c r="T22" s="14" t="str">
        <x:v>SROI/SDG 17 ist keine hinreichend konkrete Mess- oder Schwellenquelle. Für sachlogisch nichtnegative Zählwerte ist 0 die schlechteste reguläre Klasse (−2).</x:v>
      </x:c>
      <x:c r="U22" s="14" t="str">
        <x:v>≥5:+3; 3–4:+2; 1–2:0; 0:‑2</x:v>
      </x:c>
      <x:c r="V22" s="14" t="str">
        <x:v>SDG 16/17, WJP, V‑Dem</x:v>
      </x:c>
      <x:c r="W22" s="14" t="str">
        <x:f>'02_Benchmarks'!$P22</x:f>
        <x:v>Optional – kein aktiver Benchmark</x:v>
      </x:c>
      <x:c r="X22" s="14" t="str">
        <x:v>Platzhalter – fachliche Operationalisierung offen</x:v>
      </x:c>
      <x:c r="Y22" s="14" t="str">
        <x:v>Kritisch</x:v>
      </x:c>
      <x:c r="Z22" s="14" t="str">
        <x:v>Klasse −3 nur für negative/unzulässige Werte ergänzt</x:v>
      </x:c>
      <x:c r="AA22" s="14" t="str">
        <x:v>Programm/Portfolio/Systemraum; Empfängergruppe, Region und Zeitraum explizit definieren</x:v>
      </x:c>
      <x:c r="AB22" s="14" t="str">
        <x:v>Primärdaten bevorzugt; Sekundärdaten nur transparent und versioniert; Methode und Systemgrenze dokumentieren</x:v>
      </x:c>
      <x:c r="AC22" s="14" t="str">
        <x:v>Limited Assurance; risikobasiert höhere Prüftiefe</x:v>
      </x:c>
    </x:row>
    <x:row r="23" ht="42" customHeight="1">
      <x:c r="A23" s="14" t="str">
        <x:v>WOK-S-110</x:v>
      </x:c>
      <x:c r="B23" s="14" t="str">
        <x:v>SDG 1 – Keine Armut</x:v>
      </x:c>
      <x:c r="C23" s="14" t="str">
        <x:v>1.2</x:v>
      </x:c>
      <x:c r="D23" s="14" t="str">
        <x:v>Unterbeschäftigung &amp; Prekarität</x:v>
      </x:c>
      <x:c r="E23" s="14" t="str">
        <x:v>Unterbeschäftigung &amp; Prekarität – Living Wage</x:v>
      </x:c>
      <x:c r="F23" s="14" t="str">
        <x:v>% Beschäftigte</x:v>
      </x:c>
      <x:c r="G23" s="14" t="str">
        <x:v>higher_is_better</x:v>
      </x:c>
      <x:c r="H23" s="14" t="str">
        <x:v>R27</x:v>
      </x:c>
      <x:c r="I23" s="14" t="str">
        <x:v>NUM_HIGH</x:v>
      </x:c>
      <x:c r="J23" s="51"/>
      <x:c r="K23" s="51"/>
      <x:c r="L23" s="51"/>
      <x:c r="M23" s="54"/>
      <x:c r="N23" s="58" t="str">
        <x:f>IF($J23="","",IF($J23&lt;40,-3,IF($J23&lt;60,-2,IF($J23&lt;80,0,IF($J23&lt;95,2,3)))))</x:f>
      </x:c>
      <x:c r="O23" s="58" t="str">
        <x:f>IF($J23="","",IF(OR('02_Benchmarks'!$P23&lt;&gt;"Aktiv",COUNT('02_Benchmarks'!$J23:$M23)&lt;4),"",IF($G23="lower_is_better",IF($J23&lt;='02_Benchmarks'!$J23,3,IF($J23&lt;'02_Benchmarks'!$K23,2,IF($J23&lt;='02_Benchmarks'!$L23,0,IF($J23&lt;='02_Benchmarks'!$M23,-2,-3)))),IF($J23&gt;='02_Benchmarks'!$J23,3,IF($J23&gt;'02_Benchmarks'!$K23,2,IF($J23&gt;='02_Benchmarks'!$L23,0,IF($J23&gt;='02_Benchmarks'!$M23,-2,-3)))))))</x:f>
      </x:c>
      <x:c r="P23" s="58" t="str">
        <x:f>IF(COUNT($N23:$O23)+IF(ISNUMBER($K23),1,0)=0,"",MIN($N23:$O23,$K23))</x:f>
      </x:c>
      <x:c r="Q23" s="58" t="str">
        <x:f>IF($P23="","",INDEX('04_Tarifmodell'!$B$6:$B$12,$P23+4))</x:f>
      </x:c>
      <x:c r="R23" s="64" t="str">
        <x:f>IF($P23="","",INDEX('04_Tarifmodell'!$C$6:$C$12,$P23+4))</x:f>
      </x:c>
      <x:c r="S23" s="14" t="str">
        <x:f>IF(OR($I23="QUALITATIVE",$I23="MANUAL_HYBRID"),IF($K23="","Assurance-Score fehlt","Assurance-bewertet"),IF($I23="BENCHMARK",IF($W23&lt;&gt;"Aktiv",IF($K23="","Benchmark fehlt","Assurance-bewertet"),IF($J23="","Messwert fehlt",IF($P23="","Nicht bewertbar","Berechnet"))),IF(AND($J23="",$K23&lt;&gt;""),"Nur Assurance-Score",IF($J23="","Messwert fehlt",IF($P23="","Nicht bewertbar",IF($P23&lt;=-2,"Kritische Wirkung / Prüfung","Berechnet"))))))</x:f>
        <x:v>Messwert fehlt</x:v>
      </x:c>
      <x:c r="T23" s="14" t="str">
        <x:v>Vollständige fünfstufige numerische Regel.</x:v>
      </x:c>
      <x:c r="U23" s="14" t="str">
        <x:v>≥95:+3; 80–94:+2; 60–79:0; 40–59:‑2; &lt;40:‑3</x:v>
      </x:c>
      <x:c r="V23" s="14" t="str">
        <x:v>ESRS S1, GRI 401/403/405/406, ILO</x:v>
      </x:c>
      <x:c r="W23" s="14" t="str">
        <x:f>'02_Benchmarks'!$P23</x:f>
        <x:v>Optional – kein aktiver Benchmark</x:v>
      </x:c>
      <x:c r="X23" s="14" t="str">
        <x:v>Messgrundlage belegt; Schwellenkalibrierung offen</x:v>
      </x:c>
      <x:c r="Y23" s="14" t="str">
        <x:v>Mittel</x:v>
      </x:c>
      <x:c r="Z23" s="14" t="str">
        <x:v>Arbeitskalibrierung – fachlich zu validieren</x:v>
      </x:c>
      <x:c r="AA23" s="14" t="str">
        <x:v>Eigene Belegschaft/Organisation; FTE, Beschäftigtengruppe und Zeitraum</x:v>
      </x:c>
      <x:c r="AB23" s="14" t="str">
        <x:v>Primärdaten bevorzugt; Sekundärdaten nur transparent und versioniert; Methode und Systemgrenze dokumentieren</x:v>
      </x:c>
      <x:c r="AC23" s="14" t="str">
        <x:v>Limited Assurance; risikobasiert höhere Prüftiefe</x:v>
      </x:c>
    </x:row>
    <x:row r="24" ht="42" customHeight="1">
      <x:c r="A24" s="14" t="str">
        <x:v>WOK-S-111</x:v>
      </x:c>
      <x:c r="B24" s="14" t="str">
        <x:v>SDG 1 – Keine Armut</x:v>
      </x:c>
      <x:c r="C24" s="14" t="str">
        <x:v>1.2</x:v>
      </x:c>
      <x:c r="D24" s="14" t="str">
        <x:v>Unterbeschäftigung &amp; Prekarität</x:v>
      </x:c>
      <x:c r="E24" s="14" t="str">
        <x:v>Unterbeschäftigung &amp; Prekarität – Tarifbindung</x:v>
      </x:c>
      <x:c r="F24" s="14" t="str">
        <x:v>%</x:v>
      </x:c>
      <x:c r="G24" s="14" t="str">
        <x:v>higher_is_better</x:v>
      </x:c>
      <x:c r="H24" s="14" t="str">
        <x:v>R26</x:v>
      </x:c>
      <x:c r="I24" s="14" t="str">
        <x:v>NUM_HIGH</x:v>
      </x:c>
      <x:c r="J24" s="51"/>
      <x:c r="K24" s="51"/>
      <x:c r="L24" s="51"/>
      <x:c r="M24" s="54"/>
      <x:c r="N24" s="58" t="str">
        <x:f>IF($J24="","",IF($J24&lt;30,-3,IF($J24&lt;50,-2,IF($J24&lt;70,0,IF($J24&lt;90,2,3)))))</x:f>
      </x:c>
      <x:c r="O24" s="58" t="str">
        <x:f>IF($J24="","",IF(OR('02_Benchmarks'!$P24&lt;&gt;"Aktiv",COUNT('02_Benchmarks'!$J24:$M24)&lt;4),"",IF($G24="lower_is_better",IF($J24&lt;='02_Benchmarks'!$J24,3,IF($J24&lt;'02_Benchmarks'!$K24,2,IF($J24&lt;='02_Benchmarks'!$L24,0,IF($J24&lt;='02_Benchmarks'!$M24,-2,-3)))),IF($J24&gt;='02_Benchmarks'!$J24,3,IF($J24&gt;'02_Benchmarks'!$K24,2,IF($J24&gt;='02_Benchmarks'!$L24,0,IF($J24&gt;='02_Benchmarks'!$M24,-2,-3)))))))</x:f>
      </x:c>
      <x:c r="P24" s="58" t="str">
        <x:f>IF(COUNT($N24:$O24)+IF(ISNUMBER($K24),1,0)=0,"",MIN($N24:$O24,$K24))</x:f>
      </x:c>
      <x:c r="Q24" s="58" t="str">
        <x:f>IF($P24="","",INDEX('04_Tarifmodell'!$B$6:$B$12,$P24+4))</x:f>
      </x:c>
      <x:c r="R24" s="64" t="str">
        <x:f>IF($P24="","",INDEX('04_Tarifmodell'!$C$6:$C$12,$P24+4))</x:f>
      </x:c>
      <x:c r="S24" s="14" t="str">
        <x:f>IF(OR($I24="QUALITATIVE",$I24="MANUAL_HYBRID"),IF($K24="","Assurance-Score fehlt","Assurance-bewertet"),IF($I24="BENCHMARK",IF($W24&lt;&gt;"Aktiv",IF($K24="","Benchmark fehlt","Assurance-bewertet"),IF($J24="","Messwert fehlt",IF($P24="","Nicht bewertbar","Berechnet"))),IF(AND($J24="",$K24&lt;&gt;""),"Nur Assurance-Score",IF($J24="","Messwert fehlt",IF($P24="","Nicht bewertbar",IF($P24&lt;=-2,"Kritische Wirkung / Prüfung","Berechnet"))))))</x:f>
        <x:v>Messwert fehlt</x:v>
      </x:c>
      <x:c r="T24" s="14" t="str">
        <x:v>Vollständige fünfstufige numerische Regel.</x:v>
      </x:c>
      <x:c r="U24" s="14" t="str">
        <x:v>≥90:+3; 70–89:+2; 50–69:0; 30–49:‑2; &lt;30:‑3</x:v>
      </x:c>
      <x:c r="V24" s="14" t="str">
        <x:v>ESRS S1, GRI 401/403/405/406, ILO</x:v>
      </x:c>
      <x:c r="W24" s="14" t="str">
        <x:f>'02_Benchmarks'!$P24</x:f>
        <x:v>Optional – kein aktiver Benchmark</x:v>
      </x:c>
      <x:c r="X24" s="14" t="str">
        <x:v>Messgrundlage belegt; Schwellenkalibrierung offen</x:v>
      </x:c>
      <x:c r="Y24" s="14" t="str">
        <x:v>Mittel</x:v>
      </x:c>
      <x:c r="Z24" s="14" t="str">
        <x:v>Arbeitskalibrierung – fachlich zu validieren</x:v>
      </x:c>
      <x:c r="AA24" s="14" t="str">
        <x:v>Eigene Belegschaft/Organisation; FTE, Beschäftigtengruppe und Zeitraum</x:v>
      </x:c>
      <x:c r="AB24" s="14" t="str">
        <x:v>Primärdaten bevorzugt; Sekundärdaten nur transparent und versioniert; Methode und Systemgrenze dokumentieren</x:v>
      </x:c>
      <x:c r="AC24" s="14" t="str">
        <x:v>Limited Assurance; risikobasiert höhere Prüftiefe</x:v>
      </x:c>
    </x:row>
    <x:row r="25" ht="42" customHeight="1">
      <x:c r="A25" s="14" t="str">
        <x:v>WOK-S-112</x:v>
      </x:c>
      <x:c r="B25" s="14" t="str">
        <x:v>SDG 1 – Keine Armut</x:v>
      </x:c>
      <x:c r="C25" s="14" t="str">
        <x:v>1.2</x:v>
      </x:c>
      <x:c r="D25" s="14" t="str">
        <x:v>Unterbeschäftigung &amp; Prekarität</x:v>
      </x:c>
      <x:c r="E25" s="14" t="str">
        <x:v>Unterbeschäftigung &amp; Prekarität – LTIFR</x:v>
      </x:c>
      <x:c r="F25" s="14" t="str">
        <x:v>Unfälle/Mio Std.</x:v>
      </x:c>
      <x:c r="G25" s="14" t="str">
        <x:v>lower_is_better</x:v>
      </x:c>
      <x:c r="H25" s="14" t="str">
        <x:v>R02</x:v>
      </x:c>
      <x:c r="I25" s="14" t="str">
        <x:v>NUM_LOW</x:v>
      </x:c>
      <x:c r="J25" s="51"/>
      <x:c r="K25" s="51"/>
      <x:c r="L25" s="51"/>
      <x:c r="M25" s="54"/>
      <x:c r="N25" s="58" t="str">
        <x:f>IF($J25="","",IF($J25&lt;=0,3,IF($J25&lt;=1,2,IF($J25&lt;=3,0,IF($J25&lt;=5,-2,-3)))))</x:f>
      </x:c>
      <x:c r="O25" s="58" t="str">
        <x:f>IF($J25="","",IF(OR('02_Benchmarks'!$P25&lt;&gt;"Aktiv",COUNT('02_Benchmarks'!$J25:$M25)&lt;4),"",IF($G25="lower_is_better",IF($J25&lt;='02_Benchmarks'!$J25,3,IF($J25&lt;'02_Benchmarks'!$K25,2,IF($J25&lt;='02_Benchmarks'!$L25,0,IF($J25&lt;='02_Benchmarks'!$M25,-2,-3)))),IF($J25&gt;='02_Benchmarks'!$J25,3,IF($J25&gt;'02_Benchmarks'!$K25,2,IF($J25&gt;='02_Benchmarks'!$L25,0,IF($J25&gt;='02_Benchmarks'!$M25,-2,-3)))))))</x:f>
      </x:c>
      <x:c r="P25" s="58" t="str">
        <x:f>IF(COUNT($N25:$O25)+IF(ISNUMBER($K25),1,0)=0,"",MIN($N25:$O25,$K25))</x:f>
      </x:c>
      <x:c r="Q25" s="58" t="str">
        <x:f>IF($P25="","",INDEX('04_Tarifmodell'!$B$6:$B$12,$P25+4))</x:f>
      </x:c>
      <x:c r="R25" s="64" t="str">
        <x:f>IF($P25="","",INDEX('04_Tarifmodell'!$C$6:$C$12,$P25+4))</x:f>
      </x:c>
      <x:c r="S25" s="14" t="str">
        <x:f>IF(OR($I25="QUALITATIVE",$I25="MANUAL_HYBRID"),IF($K25="","Assurance-Score fehlt","Assurance-bewertet"),IF($I25="BENCHMARK",IF($W25&lt;&gt;"Aktiv",IF($K25="","Benchmark fehlt","Assurance-bewertet"),IF($J25="","Messwert fehlt",IF($P25="","Nicht bewertbar","Berechnet"))),IF(AND($J25="",$K25&lt;&gt;""),"Nur Assurance-Score",IF($J25="","Messwert fehlt",IF($P25="","Nicht bewertbar",IF($P25&lt;=-2,"Kritische Wirkung / Prüfung","Berechnet"))))))</x:f>
        <x:v>Messwert fehlt</x:v>
      </x:c>
      <x:c r="T25" s="14" t="str">
        <x:v>Vollständige fünfstufige numerische Regel.</x:v>
      </x:c>
      <x:c r="U25" s="14" t="str">
        <x:v>0:+3; ≤1:+2; ≤3:0; ≤5:‑2; &gt;5:‑3</x:v>
      </x:c>
      <x:c r="V25" s="14" t="str">
        <x:v>ESRS S1, GRI 401/403/405/406, ILO</x:v>
      </x:c>
      <x:c r="W25" s="14" t="str">
        <x:f>'02_Benchmarks'!$P25</x:f>
        <x:v>Optional – kein aktiver Benchmark</x:v>
      </x:c>
      <x:c r="X25" s="14" t="str">
        <x:v>Messgrundlage belegt; Schwellenkalibrierung offen</x:v>
      </x:c>
      <x:c r="Y25" s="14" t="str">
        <x:v>Mittel</x:v>
      </x:c>
      <x:c r="Z25" s="14" t="str">
        <x:v>Arbeitskalibrierung – fachlich zu validieren</x:v>
      </x:c>
      <x:c r="AA25" s="14" t="str">
        <x:v>Eigene Belegschaft/Organisation; FTE, Beschäftigtengruppe und Zeitraum</x:v>
      </x:c>
      <x:c r="AB25" s="14" t="str">
        <x:v>Primärdaten bevorzugt; Sekundärdaten nur transparent und versioniert; Methode und Systemgrenze dokumentieren</x:v>
      </x:c>
      <x:c r="AC25" s="14" t="str">
        <x:v>Limited Assurance; risikobasiert höhere Prüftiefe</x:v>
      </x:c>
    </x:row>
    <x:row r="26" ht="42" customHeight="1">
      <x:c r="A26" s="14" t="str">
        <x:v>WOK-G-104</x:v>
      </x:c>
      <x:c r="B26" s="14" t="str">
        <x:v>SDG 1 – Keine Armut</x:v>
      </x:c>
      <x:c r="C26" s="14" t="str">
        <x:v>1.a</x:v>
      </x:c>
      <x:c r="D26" s="14" t="str">
        <x:v>Steuertransparenz für Sozialstaat</x:v>
      </x:c>
      <x:c r="E26" s="14" t="str">
        <x:v>Steuertransparenz für Sozialstaat – Antikorruption</x:v>
      </x:c>
      <x:c r="F26" s="14" t="str">
        <x:v>Fälle/1.000 FTE</x:v>
      </x:c>
      <x:c r="G26" s="14" t="str">
        <x:v>lower_is_better</x:v>
      </x:c>
      <x:c r="H26" s="14" t="str">
        <x:v>R01</x:v>
      </x:c>
      <x:c r="I26" s="14" t="str">
        <x:v>NUM_LOW</x:v>
      </x:c>
      <x:c r="J26" s="51"/>
      <x:c r="K26" s="51"/>
      <x:c r="L26" s="51"/>
      <x:c r="M26" s="54"/>
      <x:c r="N26" s="58" t="str">
        <x:f>IF($J26="","",IF($J26&lt;=0,3,IF($J26&lt;=0.2,2,IF($J26&lt;=0.5,0,IF($J26&lt;=1,-2,-3)))))</x:f>
      </x:c>
      <x:c r="O26" s="58" t="str">
        <x:f>IF($J26="","",IF(OR('02_Benchmarks'!$P26&lt;&gt;"Aktiv",COUNT('02_Benchmarks'!$J26:$M26)&lt;4),"",IF($G26="lower_is_better",IF($J26&lt;='02_Benchmarks'!$J26,3,IF($J26&lt;'02_Benchmarks'!$K26,2,IF($J26&lt;='02_Benchmarks'!$L26,0,IF($J26&lt;='02_Benchmarks'!$M26,-2,-3)))),IF($J26&gt;='02_Benchmarks'!$J26,3,IF($J26&gt;'02_Benchmarks'!$K26,2,IF($J26&gt;='02_Benchmarks'!$L26,0,IF($J26&gt;='02_Benchmarks'!$M26,-2,-3)))))))</x:f>
      </x:c>
      <x:c r="P26" s="58" t="str">
        <x:f>IF(COUNT($N26:$O26)+IF(ISNUMBER($K26),1,0)=0,"",MIN($N26:$O26,$K26))</x:f>
      </x:c>
      <x:c r="Q26" s="58" t="str">
        <x:f>IF($P26="","",INDEX('04_Tarifmodell'!$B$6:$B$12,$P26+4))</x:f>
      </x:c>
      <x:c r="R26" s="64" t="str">
        <x:f>IF($P26="","",INDEX('04_Tarifmodell'!$C$6:$C$12,$P26+4))</x:f>
      </x:c>
      <x:c r="S26" s="14" t="str">
        <x:f>IF(OR($I26="QUALITATIVE",$I26="MANUAL_HYBRID"),IF($K26="","Assurance-Score fehlt","Assurance-bewertet"),IF($I26="BENCHMARK",IF($W26&lt;&gt;"Aktiv",IF($K26="","Benchmark fehlt","Assurance-bewertet"),IF($J26="","Messwert fehlt",IF($P26="","Nicht bewertbar","Berechnet"))),IF(AND($J26="",$K26&lt;&gt;""),"Nur Assurance-Score",IF($J26="","Messwert fehlt",IF($P26="","Nicht bewertbar",IF($P26&lt;=-2,"Kritische Wirkung / Prüfung","Berechnet"))))))</x:f>
        <x:v>Messwert fehlt</x:v>
      </x:c>
      <x:c r="T26" s="14" t="str">
        <x:v>Vollständige fünfstufige numerische Regel.</x:v>
      </x:c>
      <x:c r="U26" s="14" t="str">
        <x:v>0:+3; ≤0,2:+2; ≤0,5:0; ≤1:‑2; &gt;1:‑3</x:v>
      </x:c>
      <x:c r="V26" s="14" t="str">
        <x:v>ESRS G1, GRI 205/207, OECD Anti‑Bribery</x:v>
      </x:c>
      <x:c r="W26" s="14" t="str">
        <x:f>'02_Benchmarks'!$P26</x:f>
        <x:v>Optional – kein aktiver Benchmark</x:v>
      </x:c>
      <x:c r="X26" s="14" t="str">
        <x:v>Messgrundlage belegt; Schwellenkalibrierung offen</x:v>
      </x:c>
      <x:c r="Y26" s="14" t="str">
        <x:v>Mittel</x:v>
      </x:c>
      <x:c r="Z26" s="14" t="str">
        <x:v>Arbeitskalibrierung – fachlich zu validieren</x:v>
      </x:c>
      <x:c r="AA26" s="14" t="str">
        <x:v>Organisation/Governance; konsolidierter Kreis und relevante Rechtseinheiten</x:v>
      </x:c>
      <x:c r="AB26" s="14" t="str">
        <x:v>Primärdaten bevorzugt; Sekundärdaten nur transparent und versioniert; Methode und Systemgrenze dokumentieren</x:v>
      </x:c>
      <x:c r="AC26" s="14" t="str">
        <x:v>Limited Assurance; risikobasiert höhere Prüftiefe</x:v>
      </x:c>
    </x:row>
    <x:row r="27" ht="42" customHeight="1">
      <x:c r="A27" s="14" t="str">
        <x:v>WOK-G-105</x:v>
      </x:c>
      <x:c r="B27" s="14" t="str">
        <x:v>SDG 1 – Keine Armut</x:v>
      </x:c>
      <x:c r="C27" s="14" t="str">
        <x:v>1.a</x:v>
      </x:c>
      <x:c r="D27" s="14" t="str">
        <x:v>Steuertransparenz für Sozialstaat</x:v>
      </x:c>
      <x:c r="E27" s="14" t="str">
        <x:v>Steuertransparenz für Sozialstaat – Whistleblowing</x:v>
      </x:c>
      <x:c r="F27" s="14" t="str">
        <x:v>0–1</x:v>
      </x:c>
      <x:c r="G27" s="14" t="str">
        <x:v>higher_is_better</x:v>
      </x:c>
      <x:c r="H27" s="14" t="str">
        <x:v>R16</x:v>
      </x:c>
      <x:c r="I27" s="14" t="str">
        <x:v>NUM_HIGH</x:v>
      </x:c>
      <x:c r="J27" s="51"/>
      <x:c r="K27" s="51"/>
      <x:c r="L27" s="51"/>
      <x:c r="M27" s="54"/>
      <x:c r="N27" s="58" t="str">
        <x:f>IF($J27="","",IF($J27&lt;0.4,-3,IF($J27&lt;0.6,-2,IF($J27&lt;0.75,0,IF($J27&lt;0.9,2,3)))))</x:f>
      </x:c>
      <x:c r="O27" s="58" t="str">
        <x:f>IF($J27="","",IF(OR('02_Benchmarks'!$P27&lt;&gt;"Aktiv",COUNT('02_Benchmarks'!$J27:$M27)&lt;4),"",IF($G27="lower_is_better",IF($J27&lt;='02_Benchmarks'!$J27,3,IF($J27&lt;'02_Benchmarks'!$K27,2,IF($J27&lt;='02_Benchmarks'!$L27,0,IF($J27&lt;='02_Benchmarks'!$M27,-2,-3)))),IF($J27&gt;='02_Benchmarks'!$J27,3,IF($J27&gt;'02_Benchmarks'!$K27,2,IF($J27&gt;='02_Benchmarks'!$L27,0,IF($J27&gt;='02_Benchmarks'!$M27,-2,-3)))))))</x:f>
      </x:c>
      <x:c r="P27" s="58" t="str">
        <x:f>IF(COUNT($N27:$O27)+IF(ISNUMBER($K27),1,0)=0,"",MIN($N27:$O27,$K27))</x:f>
      </x:c>
      <x:c r="Q27" s="58" t="str">
        <x:f>IF($P27="","",INDEX('04_Tarifmodell'!$B$6:$B$12,$P27+4))</x:f>
      </x:c>
      <x:c r="R27" s="64" t="str">
        <x:f>IF($P27="","",INDEX('04_Tarifmodell'!$C$6:$C$12,$P27+4))</x:f>
      </x:c>
      <x:c r="S27" s="14" t="str">
        <x:f>IF(OR($I27="QUALITATIVE",$I27="MANUAL_HYBRID"),IF($K27="","Assurance-Score fehlt","Assurance-bewertet"),IF($I27="BENCHMARK",IF($W27&lt;&gt;"Aktiv",IF($K27="","Benchmark fehlt","Assurance-bewertet"),IF($J27="","Messwert fehlt",IF($P27="","Nicht bewertbar","Berechnet"))),IF(AND($J27="",$K27&lt;&gt;""),"Nur Assurance-Score",IF($J27="","Messwert fehlt",IF($P27="","Nicht bewertbar",IF($P27&lt;=-2,"Kritische Wirkung / Prüfung","Berechnet"))))))</x:f>
        <x:v>Messwert fehlt</x:v>
      </x:c>
      <x:c r="T27" s="14" t="str">
        <x:v>Vollständige fünfstufige numerische Regel.</x:v>
      </x:c>
      <x:c r="U27" s="14" t="str">
        <x:v>≥0,9:+3; 0,75–0,89:+2; 0,6–0,74:0; 0,4–0,59:‑2; &lt;0,4:‑3</x:v>
      </x:c>
      <x:c r="V27" s="14" t="str">
        <x:v>ESRS G1, GRI 205/207, OECD Anti‑Bribery</x:v>
      </x:c>
      <x:c r="W27" s="14" t="str">
        <x:f>'02_Benchmarks'!$P27</x:f>
        <x:v>Optional – kein aktiver Benchmark</x:v>
      </x:c>
      <x:c r="X27" s="14" t="str">
        <x:v>Messgrundlage belegt; Schwellenkalibrierung offen</x:v>
      </x:c>
      <x:c r="Y27" s="14" t="str">
        <x:v>Mittel</x:v>
      </x:c>
      <x:c r="Z27" s="14" t="str">
        <x:v>Arbeitskalibrierung – fachlich zu validieren</x:v>
      </x:c>
      <x:c r="AA27" s="14" t="str">
        <x:v>Organisation/Governance; konsolidierter Kreis und relevante Rechtseinheiten</x:v>
      </x:c>
      <x:c r="AB27" s="14" t="str">
        <x:v>Primärdaten bevorzugt; Sekundärdaten nur transparent und versioniert; Methode und Systemgrenze dokumentieren</x:v>
      </x:c>
      <x:c r="AC27" s="14" t="str">
        <x:v>Limited Assurance; risikobasiert höhere Prüftiefe</x:v>
      </x:c>
    </x:row>
    <x:row r="28" ht="42" customHeight="1">
      <x:c r="A28" s="14" t="str">
        <x:v>WOK-G-106</x:v>
      </x:c>
      <x:c r="B28" s="14" t="str">
        <x:v>SDG 1 – Keine Armut</x:v>
      </x:c>
      <x:c r="C28" s="14" t="str">
        <x:v>1.a</x:v>
      </x:c>
      <x:c r="D28" s="14" t="str">
        <x:v>Steuertransparenz für Sozialstaat</x:v>
      </x:c>
      <x:c r="E28" s="14" t="str">
        <x:v>Steuertransparenz für Sozialstaat – Steuertransparenz</x:v>
      </x:c>
      <x:c r="F28" s="14" t="str">
        <x:v>0–1</x:v>
      </x:c>
      <x:c r="G28" s="14" t="str">
        <x:v>higher_is_better</x:v>
      </x:c>
      <x:c r="H28" s="14" t="str">
        <x:v>R08</x:v>
      </x:c>
      <x:c r="I28" s="14" t="str">
        <x:v>QUALITATIVE</x:v>
      </x:c>
      <x:c r="J28" s="51"/>
      <x:c r="K28" s="51"/>
      <x:c r="L28" s="51"/>
      <x:c r="M28" s="54"/>
      <x:c r="N28" s="58" t="str">
        <x:f>""</x:f>
      </x:c>
      <x:c r="O28" s="58" t="str">
        <x:f>IF($J28="","",IF(OR('02_Benchmarks'!$P28&lt;&gt;"Aktiv",COUNT('02_Benchmarks'!$J28:$M28)&lt;4),"",IF($G28="lower_is_better",IF($J28&lt;='02_Benchmarks'!$J28,3,IF($J28&lt;'02_Benchmarks'!$K28,2,IF($J28&lt;='02_Benchmarks'!$L28,0,IF($J28&lt;='02_Benchmarks'!$M28,-2,-3)))),IF($J28&gt;='02_Benchmarks'!$J28,3,IF($J28&gt;'02_Benchmarks'!$K28,2,IF($J28&gt;='02_Benchmarks'!$L28,0,IF($J28&gt;='02_Benchmarks'!$M28,-2,-3)))))))</x:f>
      </x:c>
      <x:c r="P28" s="58" t="str">
        <x:f>IF(COUNT($N28:$O28)+IF(ISNUMBER($K28),1,0)=0,"",MIN($N28:$O28,$K28))</x:f>
      </x:c>
      <x:c r="Q28" s="58" t="str">
        <x:f>IF($P28="","",INDEX('04_Tarifmodell'!$B$6:$B$12,$P28+4))</x:f>
      </x:c>
      <x:c r="R28" s="64" t="str">
        <x:f>IF($P28="","",INDEX('04_Tarifmodell'!$C$6:$C$12,$P28+4))</x:f>
      </x:c>
      <x:c r="S28" s="14" t="str">
        <x:f>IF(OR($I28="QUALITATIVE",$I28="MANUAL_HYBRID"),IF($K28="","Assurance-Score fehlt","Assurance-bewertet"),IF($I28="BENCHMARK",IF($W28&lt;&gt;"Aktiv",IF($K28="","Benchmark fehlt","Assurance-bewertet"),IF($J28="","Messwert fehlt",IF($P28="","Nicht bewertbar","Berechnet"))),IF(AND($J28="",$K28&lt;&gt;""),"Nur Assurance-Score",IF($J28="","Messwert fehlt",IF($P28="","Nicht bewertbar",IF($P28&lt;=-2,"Kritische Wirkung / Prüfung","Berechnet"))))))</x:f>
        <x:v>Assurance-Score fehlt</x:v>
      </x:c>
      <x:c r="T28" s="14" t="str">
        <x:v>Die Kategorie −3 fehlt; Vollständigkeit und Wirksamkeit sind feldspezifisch zu definieren.</x:v>
      </x:c>
      <x:c r="U28" s="14" t="str">
        <x:v>vollständig:+3; teilweise:+2; minimal:0; schlecht:‑2</x:v>
      </x:c>
      <x:c r="V28" s="14" t="str">
        <x:v>ESRS G1, GRI 205/207, OECD Anti‑Bribery</x:v>
      </x:c>
      <x:c r="W28" s="14" t="str">
        <x:f>'02_Benchmarks'!$P28</x:f>
        <x:v>Optional – kein aktiver Benchmark</x:v>
      </x:c>
      <x:c r="X28" s="14" t="str">
        <x:v>Messgrundlage belegt; Schwellenkalibrierung offen</x:v>
      </x:c>
      <x:c r="Y28" s="14" t="str">
        <x:v>Hoch</x:v>
      </x:c>
      <x:c r="Z28" s="14" t="str">
        <x:v>Assurance und Kriterienkatalog erforderlich</x:v>
      </x:c>
      <x:c r="AA28" s="14" t="str">
        <x:v>Organisation/Governance; konsolidierter Kreis und relevante Rechtseinheiten</x:v>
      </x:c>
      <x:c r="AB28" s="14" t="str">
        <x:v>Dokumentierter Kriterienkatalog; nachvollziehbare Evidenz; DQR A/B bevorzugt</x:v>
      </x:c>
      <x:c r="AC28" s="14" t="str">
        <x:v>Unabhängige Fachprüfung/Limited Assurance; bei roten Linien Reasonable Assurance</x:v>
      </x:c>
    </x:row>
    <x:row r="29" ht="42" customHeight="1">
      <x:c r="A29" s="14" t="str">
        <x:v>WOK-S-113</x:v>
      </x:c>
      <x:c r="B29" s="14" t="str">
        <x:v>SDG 1 – Keine Armut</x:v>
      </x:c>
      <x:c r="C29" s="14" t="str">
        <x:v>1.2</x:v>
      </x:c>
      <x:c r="D29" s="14" t="str">
        <x:v>Existenzsichernde Teilzeit/Minijobs</x:v>
      </x:c>
      <x:c r="E29" s="14" t="str">
        <x:v>Existenzsichernde Teilzeit/Minijobs – Living Wage</x:v>
      </x:c>
      <x:c r="F29" s="14" t="str">
        <x:v>% Beschäftigte</x:v>
      </x:c>
      <x:c r="G29" s="14" t="str">
        <x:v>higher_is_better</x:v>
      </x:c>
      <x:c r="H29" s="14" t="str">
        <x:v>R27</x:v>
      </x:c>
      <x:c r="I29" s="14" t="str">
        <x:v>NUM_HIGH</x:v>
      </x:c>
      <x:c r="J29" s="51"/>
      <x:c r="K29" s="51"/>
      <x:c r="L29" s="51"/>
      <x:c r="M29" s="54"/>
      <x:c r="N29" s="58" t="str">
        <x:f>IF($J29="","",IF($J29&lt;40,-3,IF($J29&lt;60,-2,IF($J29&lt;80,0,IF($J29&lt;95,2,3)))))</x:f>
      </x:c>
      <x:c r="O29" s="58" t="str">
        <x:f>IF($J29="","",IF(OR('02_Benchmarks'!$P29&lt;&gt;"Aktiv",COUNT('02_Benchmarks'!$J29:$M29)&lt;4),"",IF($G29="lower_is_better",IF($J29&lt;='02_Benchmarks'!$J29,3,IF($J29&lt;'02_Benchmarks'!$K29,2,IF($J29&lt;='02_Benchmarks'!$L29,0,IF($J29&lt;='02_Benchmarks'!$M29,-2,-3)))),IF($J29&gt;='02_Benchmarks'!$J29,3,IF($J29&gt;'02_Benchmarks'!$K29,2,IF($J29&gt;='02_Benchmarks'!$L29,0,IF($J29&gt;='02_Benchmarks'!$M29,-2,-3)))))))</x:f>
      </x:c>
      <x:c r="P29" s="58" t="str">
        <x:f>IF(COUNT($N29:$O29)+IF(ISNUMBER($K29),1,0)=0,"",MIN($N29:$O29,$K29))</x:f>
      </x:c>
      <x:c r="Q29" s="58" t="str">
        <x:f>IF($P29="","",INDEX('04_Tarifmodell'!$B$6:$B$12,$P29+4))</x:f>
      </x:c>
      <x:c r="R29" s="64" t="str">
        <x:f>IF($P29="","",INDEX('04_Tarifmodell'!$C$6:$C$12,$P29+4))</x:f>
      </x:c>
      <x:c r="S29" s="14" t="str">
        <x:f>IF(OR($I29="QUALITATIVE",$I29="MANUAL_HYBRID"),IF($K29="","Assurance-Score fehlt","Assurance-bewertet"),IF($I29="BENCHMARK",IF($W29&lt;&gt;"Aktiv",IF($K29="","Benchmark fehlt","Assurance-bewertet"),IF($J29="","Messwert fehlt",IF($P29="","Nicht bewertbar","Berechnet"))),IF(AND($J29="",$K29&lt;&gt;""),"Nur Assurance-Score",IF($J29="","Messwert fehlt",IF($P29="","Nicht bewertbar",IF($P29&lt;=-2,"Kritische Wirkung / Prüfung","Berechnet"))))))</x:f>
        <x:v>Messwert fehlt</x:v>
      </x:c>
      <x:c r="T29" s="14" t="str">
        <x:v>Vollständige fünfstufige numerische Regel.</x:v>
      </x:c>
      <x:c r="U29" s="14" t="str">
        <x:v>≥95:+3; 80–94:+2; 60–79:0; 40–59:‑2; &lt;40:‑3</x:v>
      </x:c>
      <x:c r="V29" s="14" t="str">
        <x:v>ESRS S1, GRI 401/403/405/406, ILO</x:v>
      </x:c>
      <x:c r="W29" s="14" t="str">
        <x:f>'02_Benchmarks'!$P29</x:f>
        <x:v>Optional – kein aktiver Benchmark</x:v>
      </x:c>
      <x:c r="X29" s="14" t="str">
        <x:v>Messgrundlage belegt; Schwellenkalibrierung offen</x:v>
      </x:c>
      <x:c r="Y29" s="14" t="str">
        <x:v>Mittel</x:v>
      </x:c>
      <x:c r="Z29" s="14" t="str">
        <x:v>Arbeitskalibrierung – fachlich zu validieren</x:v>
      </x:c>
      <x:c r="AA29" s="14" t="str">
        <x:v>Eigene Belegschaft/Organisation; FTE, Beschäftigtengruppe und Zeitraum</x:v>
      </x:c>
      <x:c r="AB29" s="14" t="str">
        <x:v>Primärdaten bevorzugt; Sekundärdaten nur transparent und versioniert; Methode und Systemgrenze dokumentieren</x:v>
      </x:c>
      <x:c r="AC29" s="14" t="str">
        <x:v>Limited Assurance; risikobasiert höhere Prüftiefe</x:v>
      </x:c>
    </x:row>
    <x:row r="30" ht="42" customHeight="1">
      <x:c r="A30" s="14" t="str">
        <x:v>WOK-S-114</x:v>
      </x:c>
      <x:c r="B30" s="14" t="str">
        <x:v>SDG 1 – Keine Armut</x:v>
      </x:c>
      <x:c r="C30" s="14" t="str">
        <x:v>1.2</x:v>
      </x:c>
      <x:c r="D30" s="14" t="str">
        <x:v>Existenzsichernde Teilzeit/Minijobs</x:v>
      </x:c>
      <x:c r="E30" s="14" t="str">
        <x:v>Existenzsichernde Teilzeit/Minijobs – Tarifbindung</x:v>
      </x:c>
      <x:c r="F30" s="14" t="str">
        <x:v>%</x:v>
      </x:c>
      <x:c r="G30" s="14" t="str">
        <x:v>higher_is_better</x:v>
      </x:c>
      <x:c r="H30" s="14" t="str">
        <x:v>R26</x:v>
      </x:c>
      <x:c r="I30" s="14" t="str">
        <x:v>NUM_HIGH</x:v>
      </x:c>
      <x:c r="J30" s="51"/>
      <x:c r="K30" s="51"/>
      <x:c r="L30" s="51"/>
      <x:c r="M30" s="54"/>
      <x:c r="N30" s="58" t="str">
        <x:f>IF($J30="","",IF($J30&lt;30,-3,IF($J30&lt;50,-2,IF($J30&lt;70,0,IF($J30&lt;90,2,3)))))</x:f>
      </x:c>
      <x:c r="O30" s="58" t="str">
        <x:f>IF($J30="","",IF(OR('02_Benchmarks'!$P30&lt;&gt;"Aktiv",COUNT('02_Benchmarks'!$J30:$M30)&lt;4),"",IF($G30="lower_is_better",IF($J30&lt;='02_Benchmarks'!$J30,3,IF($J30&lt;'02_Benchmarks'!$K30,2,IF($J30&lt;='02_Benchmarks'!$L30,0,IF($J30&lt;='02_Benchmarks'!$M30,-2,-3)))),IF($J30&gt;='02_Benchmarks'!$J30,3,IF($J30&gt;'02_Benchmarks'!$K30,2,IF($J30&gt;='02_Benchmarks'!$L30,0,IF($J30&gt;='02_Benchmarks'!$M30,-2,-3)))))))</x:f>
      </x:c>
      <x:c r="P30" s="58" t="str">
        <x:f>IF(COUNT($N30:$O30)+IF(ISNUMBER($K30),1,0)=0,"",MIN($N30:$O30,$K30))</x:f>
      </x:c>
      <x:c r="Q30" s="58" t="str">
        <x:f>IF($P30="","",INDEX('04_Tarifmodell'!$B$6:$B$12,$P30+4))</x:f>
      </x:c>
      <x:c r="R30" s="64" t="str">
        <x:f>IF($P30="","",INDEX('04_Tarifmodell'!$C$6:$C$12,$P30+4))</x:f>
      </x:c>
      <x:c r="S30" s="14" t="str">
        <x:f>IF(OR($I30="QUALITATIVE",$I30="MANUAL_HYBRID"),IF($K30="","Assurance-Score fehlt","Assurance-bewertet"),IF($I30="BENCHMARK",IF($W30&lt;&gt;"Aktiv",IF($K30="","Benchmark fehlt","Assurance-bewertet"),IF($J30="","Messwert fehlt",IF($P30="","Nicht bewertbar","Berechnet"))),IF(AND($J30="",$K30&lt;&gt;""),"Nur Assurance-Score",IF($J30="","Messwert fehlt",IF($P30="","Nicht bewertbar",IF($P30&lt;=-2,"Kritische Wirkung / Prüfung","Berechnet"))))))</x:f>
        <x:v>Messwert fehlt</x:v>
      </x:c>
      <x:c r="T30" s="14" t="str">
        <x:v>Vollständige fünfstufige numerische Regel.</x:v>
      </x:c>
      <x:c r="U30" s="14" t="str">
        <x:v>≥90:+3; 70–89:+2; 50–69:0; 30–49:‑2; &lt;30:‑3</x:v>
      </x:c>
      <x:c r="V30" s="14" t="str">
        <x:v>ESRS S1, GRI 401/403/405/406, ILO</x:v>
      </x:c>
      <x:c r="W30" s="14" t="str">
        <x:f>'02_Benchmarks'!$P30</x:f>
        <x:v>Optional – kein aktiver Benchmark</x:v>
      </x:c>
      <x:c r="X30" s="14" t="str">
        <x:v>Messgrundlage belegt; Schwellenkalibrierung offen</x:v>
      </x:c>
      <x:c r="Y30" s="14" t="str">
        <x:v>Mittel</x:v>
      </x:c>
      <x:c r="Z30" s="14" t="str">
        <x:v>Arbeitskalibrierung – fachlich zu validieren</x:v>
      </x:c>
      <x:c r="AA30" s="14" t="str">
        <x:v>Eigene Belegschaft/Organisation; FTE, Beschäftigtengruppe und Zeitraum</x:v>
      </x:c>
      <x:c r="AB30" s="14" t="str">
        <x:v>Primärdaten bevorzugt; Sekundärdaten nur transparent und versioniert; Methode und Systemgrenze dokumentieren</x:v>
      </x:c>
      <x:c r="AC30" s="14" t="str">
        <x:v>Limited Assurance; risikobasiert höhere Prüftiefe</x:v>
      </x:c>
    </x:row>
    <x:row r="31" ht="42" customHeight="1">
      <x:c r="A31" s="14" t="str">
        <x:v>WOK-S-115</x:v>
      </x:c>
      <x:c r="B31" s="14" t="str">
        <x:v>SDG 1 – Keine Armut</x:v>
      </x:c>
      <x:c r="C31" s="14" t="str">
        <x:v>1.2</x:v>
      </x:c>
      <x:c r="D31" s="14" t="str">
        <x:v>Existenzsichernde Teilzeit/Minijobs</x:v>
      </x:c>
      <x:c r="E31" s="14" t="str">
        <x:v>Existenzsichernde Teilzeit/Minijobs – LTIFR</x:v>
      </x:c>
      <x:c r="F31" s="14" t="str">
        <x:v>Unfälle/Mio Std.</x:v>
      </x:c>
      <x:c r="G31" s="14" t="str">
        <x:v>lower_is_better</x:v>
      </x:c>
      <x:c r="H31" s="14" t="str">
        <x:v>R02</x:v>
      </x:c>
      <x:c r="I31" s="14" t="str">
        <x:v>NUM_LOW</x:v>
      </x:c>
      <x:c r="J31" s="51"/>
      <x:c r="K31" s="51"/>
      <x:c r="L31" s="51"/>
      <x:c r="M31" s="54"/>
      <x:c r="N31" s="58" t="str">
        <x:f>IF($J31="","",IF($J31&lt;=0,3,IF($J31&lt;=1,2,IF($J31&lt;=3,0,IF($J31&lt;=5,-2,-3)))))</x:f>
      </x:c>
      <x:c r="O31" s="58" t="str">
        <x:f>IF($J31="","",IF(OR('02_Benchmarks'!$P31&lt;&gt;"Aktiv",COUNT('02_Benchmarks'!$J31:$M31)&lt;4),"",IF($G31="lower_is_better",IF($J31&lt;='02_Benchmarks'!$J31,3,IF($J31&lt;'02_Benchmarks'!$K31,2,IF($J31&lt;='02_Benchmarks'!$L31,0,IF($J31&lt;='02_Benchmarks'!$M31,-2,-3)))),IF($J31&gt;='02_Benchmarks'!$J31,3,IF($J31&gt;'02_Benchmarks'!$K31,2,IF($J31&gt;='02_Benchmarks'!$L31,0,IF($J31&gt;='02_Benchmarks'!$M31,-2,-3)))))))</x:f>
      </x:c>
      <x:c r="P31" s="58" t="str">
        <x:f>IF(COUNT($N31:$O31)+IF(ISNUMBER($K31),1,0)=0,"",MIN($N31:$O31,$K31))</x:f>
      </x:c>
      <x:c r="Q31" s="58" t="str">
        <x:f>IF($P31="","",INDEX('04_Tarifmodell'!$B$6:$B$12,$P31+4))</x:f>
      </x:c>
      <x:c r="R31" s="64" t="str">
        <x:f>IF($P31="","",INDEX('04_Tarifmodell'!$C$6:$C$12,$P31+4))</x:f>
      </x:c>
      <x:c r="S31" s="14" t="str">
        <x:f>IF(OR($I31="QUALITATIVE",$I31="MANUAL_HYBRID"),IF($K31="","Assurance-Score fehlt","Assurance-bewertet"),IF($I31="BENCHMARK",IF($W31&lt;&gt;"Aktiv",IF($K31="","Benchmark fehlt","Assurance-bewertet"),IF($J31="","Messwert fehlt",IF($P31="","Nicht bewertbar","Berechnet"))),IF(AND($J31="",$K31&lt;&gt;""),"Nur Assurance-Score",IF($J31="","Messwert fehlt",IF($P31="","Nicht bewertbar",IF($P31&lt;=-2,"Kritische Wirkung / Prüfung","Berechnet"))))))</x:f>
        <x:v>Messwert fehlt</x:v>
      </x:c>
      <x:c r="T31" s="14" t="str">
        <x:v>Vollständige fünfstufige numerische Regel.</x:v>
      </x:c>
      <x:c r="U31" s="14" t="str">
        <x:v>0:+3; ≤1:+2; ≤3:0; ≤5:‑2; &gt;5:‑3</x:v>
      </x:c>
      <x:c r="V31" s="14" t="str">
        <x:v>ESRS S1, GRI 401/403/405/406, ILO</x:v>
      </x:c>
      <x:c r="W31" s="14" t="str">
        <x:f>'02_Benchmarks'!$P31</x:f>
        <x:v>Optional – kein aktiver Benchmark</x:v>
      </x:c>
      <x:c r="X31" s="14" t="str">
        <x:v>Messgrundlage belegt; Schwellenkalibrierung offen</x:v>
      </x:c>
      <x:c r="Y31" s="14" t="str">
        <x:v>Mittel</x:v>
      </x:c>
      <x:c r="Z31" s="14" t="str">
        <x:v>Arbeitskalibrierung – fachlich zu validieren</x:v>
      </x:c>
      <x:c r="AA31" s="14" t="str">
        <x:v>Eigene Belegschaft/Organisation; FTE, Beschäftigtengruppe und Zeitraum</x:v>
      </x:c>
      <x:c r="AB31" s="14" t="str">
        <x:v>Primärdaten bevorzugt; Sekundärdaten nur transparent und versioniert; Methode und Systemgrenze dokumentieren</x:v>
      </x:c>
      <x:c r="AC31" s="14" t="str">
        <x:v>Limited Assurance; risikobasiert höhere Prüftiefe</x:v>
      </x:c>
    </x:row>
    <x:row r="32" ht="42" customHeight="1">
      <x:c r="A32" s="14" t="str">
        <x:v>WOK-E-101</x:v>
      </x:c>
      <x:c r="B32" s="14" t="str">
        <x:v>SDG 2 – Kein Hunger</x:v>
      </x:c>
      <x:c r="C32" s="14" t="str">
        <x:v>2.4</x:v>
      </x:c>
      <x:c r="D32" s="14" t="str">
        <x:v>Nährstoffmanagement (N‑Überschuss)</x:v>
      </x:c>
      <x:c r="E32" s="14" t="str">
        <x:v>Nährstoffmanagement (N‑Überschuss) – Entnahme (WSI)</x:v>
      </x:c>
      <x:c r="F32" s="14" t="str">
        <x:v>m³*WSI</x:v>
      </x:c>
      <x:c r="G32" s="14" t="str">
        <x:v>lower_is_better</x:v>
      </x:c>
      <x:c r="H32" s="14" t="str">
        <x:v>R06</x:v>
      </x:c>
      <x:c r="I32" s="14" t="str">
        <x:v>BENCHMARK</x:v>
      </x:c>
      <x:c r="J32" s="51"/>
      <x:c r="K32" s="51"/>
      <x:c r="L32" s="51"/>
      <x:c r="M32" s="54"/>
      <x:c r="N32" s="58" t="str">
        <x:f>""</x:f>
      </x:c>
      <x:c r="O32" s="58" t="str">
        <x:f>IF($J32="","",IF(OR('02_Benchmarks'!$P32&lt;&gt;"Aktiv",COUNT('02_Benchmarks'!$J32:$M32)&lt;4),"",IF($G32="lower_is_better",IF($J32&lt;='02_Benchmarks'!$J32,3,IF($J32&lt;'02_Benchmarks'!$K32,2,IF($J32&lt;='02_Benchmarks'!$L32,0,IF($J32&lt;='02_Benchmarks'!$M32,-2,-3)))),IF($J32&gt;='02_Benchmarks'!$J32,3,IF($J32&gt;'02_Benchmarks'!$K32,2,IF($J32&gt;='02_Benchmarks'!$L32,0,IF($J32&gt;='02_Benchmarks'!$M32,-2,-3)))))))</x:f>
      </x:c>
      <x:c r="P32" s="58" t="str">
        <x:f>IF(COUNT($N32:$O32)+IF(ISNUMBER($K32),1,0)=0,"",MIN($N32:$O32,$K32))</x:f>
      </x:c>
      <x:c r="Q32" s="58" t="str">
        <x:f>IF($P32="","",INDEX('04_Tarifmodell'!$B$6:$B$12,$P32+4))</x:f>
      </x:c>
      <x:c r="R32" s="64" t="str">
        <x:f>IF($P32="","",INDEX('04_Tarifmodell'!$C$6:$C$12,$P32+4))</x:f>
      </x:c>
      <x:c r="S32" s="14" t="str">
        <x:f>IF(OR($I32="QUALITATIVE",$I32="MANUAL_HYBRID"),IF($K32="","Assurance-Score fehlt","Assurance-bewertet"),IF($I32="BENCHMARK",IF($W32&lt;&gt;"Aktiv",IF($K32="","Benchmark fehlt","Assurance-bewertet"),IF($J32="","Messwert fehlt",IF($P32="","Nicht bewertbar","Berechnet"))),IF(AND($J32="",$K32&lt;&gt;""),"Nur Assurance-Score",IF($J32="","Messwert fehlt",IF($P32="","Nicht bewertbar",IF($P32&lt;=-2,"Kritische Wirkung / Prüfung","Berechnet"))))))</x:f>
        <x:v>Benchmark fehlt</x:v>
      </x:c>
      <x:c r="T32" s="14" t="str">
        <x:v>Top-10-Prozent, Mittelwert, 150 % und 250 % müssen aus einer dokumentierten Grundgesamtheit stammen.</x:v>
      </x:c>
      <x:c r="U32" s="14" t="str">
        <x:v>Top‑10%:+3; Mittel:0; &gt;150%:‑2; &gt;250%:‑3</x:v>
      </x:c>
      <x:c r="V32" s="14" t="str">
        <x:v>ESRS E3, WRI Aqueduct, ISO 14046 (Water Footprint)</x:v>
      </x:c>
      <x:c r="W32" s="14" t="str">
        <x:f>'02_Benchmarks'!$P32</x:f>
        <x:v>Offen – validierter Benchmark fehlt</x:v>
      </x:c>
      <x:c r="X32" s="14" t="str">
        <x:v>Teilbelegt – Benchmarkquelle fehlt</x:v>
      </x:c>
      <x:c r="Y32" s="14" t="str">
        <x:v>Hoch</x:v>
      </x:c>
      <x:c r="Z32" s="14" t="str">
        <x:v>Validierter Benchmark fehlt</x:v>
      </x:c>
      <x:c r="AA32" s="14" t="str">
        <x:v>Standort/Prozess/Aktivität; Bezugsgröße und relevante Umweltmedien</x:v>
      </x:c>
      <x:c r="AB32" s="14" t="str">
        <x:v>Primärdaten plus repräsentativer, versionierter Benchmarkdatensatz; Stichprobe und Population offenlegen</x:v>
      </x:c>
      <x:c r="AC32" s="14" t="str">
        <x:v>Messwert-Assurance und unabhängige Benchmark-Governance</x:v>
      </x:c>
    </x:row>
    <x:row r="33" ht="42" customHeight="1">
      <x:c r="A33" s="14" t="str">
        <x:v>WOK-E-102</x:v>
      </x:c>
      <x:c r="B33" s="14" t="str">
        <x:v>SDG 2 – Kein Hunger</x:v>
      </x:c>
      <x:c r="C33" s="14" t="str">
        <x:v>2.4</x:v>
      </x:c>
      <x:c r="D33" s="14" t="str">
        <x:v>Nährstoffmanagement (N‑Überschuss)</x:v>
      </x:c>
      <x:c r="E33" s="14" t="str">
        <x:v>Nährstoffmanagement (N‑Überschuss) – Reuse</x:v>
      </x:c>
      <x:c r="F33" s="14" t="str">
        <x:v>%</x:v>
      </x:c>
      <x:c r="G33" s="14" t="str">
        <x:v>higher_is_better</x:v>
      </x:c>
      <x:c r="H33" s="14" t="str">
        <x:v>R25</x:v>
      </x:c>
      <x:c r="I33" s="14" t="str">
        <x:v>NUM_HIGH</x:v>
      </x:c>
      <x:c r="J33" s="51"/>
      <x:c r="K33" s="51"/>
      <x:c r="L33" s="51"/>
      <x:c r="M33" s="54"/>
      <x:c r="N33" s="58" t="str">
        <x:f>IF($J33="","",IF($J33&lt;30,-3,IF($J33&lt;50,-2,IF($J33&lt;70,0,IF($J33&lt;90,2,3)))))</x:f>
      </x:c>
      <x:c r="O33" s="58" t="str">
        <x:f>IF($J33="","",IF(OR('02_Benchmarks'!$P33&lt;&gt;"Aktiv",COUNT('02_Benchmarks'!$J33:$M33)&lt;4),"",IF($G33="lower_is_better",IF($J33&lt;='02_Benchmarks'!$J33,3,IF($J33&lt;'02_Benchmarks'!$K33,2,IF($J33&lt;='02_Benchmarks'!$L33,0,IF($J33&lt;='02_Benchmarks'!$M33,-2,-3)))),IF($J33&gt;='02_Benchmarks'!$J33,3,IF($J33&gt;'02_Benchmarks'!$K33,2,IF($J33&gt;='02_Benchmarks'!$L33,0,IF($J33&gt;='02_Benchmarks'!$M33,-2,-3)))))))</x:f>
      </x:c>
      <x:c r="P33" s="58" t="str">
        <x:f>IF(COUNT($N33:$O33)+IF(ISNUMBER($K33),1,0)=0,"",MIN($N33:$O33,$K33))</x:f>
      </x:c>
      <x:c r="Q33" s="58" t="str">
        <x:f>IF($P33="","",INDEX('04_Tarifmodell'!$B$6:$B$12,$P33+4))</x:f>
      </x:c>
      <x:c r="R33" s="64" t="str">
        <x:f>IF($P33="","",INDEX('04_Tarifmodell'!$C$6:$C$12,$P33+4))</x:f>
      </x:c>
      <x:c r="S33" s="14" t="str">
        <x:f>IF(OR($I33="QUALITATIVE",$I33="MANUAL_HYBRID"),IF($K33="","Assurance-Score fehlt","Assurance-bewertet"),IF($I33="BENCHMARK",IF($W33&lt;&gt;"Aktiv",IF($K33="","Benchmark fehlt","Assurance-bewertet"),IF($J33="","Messwert fehlt",IF($P33="","Nicht bewertbar","Berechnet"))),IF(AND($J33="",$K33&lt;&gt;""),"Nur Assurance-Score",IF($J33="","Messwert fehlt",IF($P33="","Nicht bewertbar",IF($P33&lt;=-2,"Kritische Wirkung / Prüfung","Berechnet"))))))</x:f>
        <x:v>Messwert fehlt</x:v>
      </x:c>
      <x:c r="T33" s="14" t="str">
        <x:v>Vollständige fünfstufige Prozentregel.</x:v>
      </x:c>
      <x:c r="U33" s="14" t="str">
        <x:v>≥90%:+3; 70–89%:+2; 50–69%:0; 30–49%:‑2; &lt;30%:‑3</x:v>
      </x:c>
      <x:c r="V33" s="14" t="str">
        <x:v>ESRS E3, WRI Aqueduct, ISO 14046 (Water Footprint)</x:v>
      </x:c>
      <x:c r="W33" s="14" t="str">
        <x:f>'02_Benchmarks'!$P33</x:f>
        <x:v>Optional – kein aktiver Benchmark</x:v>
      </x:c>
      <x:c r="X33" s="14" t="str">
        <x:v>Messgrundlage belegt; Schwellenkalibrierung offen</x:v>
      </x:c>
      <x:c r="Y33" s="14" t="str">
        <x:v>Mittel</x:v>
      </x:c>
      <x:c r="Z33" s="14" t="str">
        <x:v>Arbeitskalibrierung – fachlich zu validieren</x:v>
      </x:c>
      <x:c r="AA33" s="14" t="str">
        <x:v>Standort/Prozess/Aktivität; Bezugsgröße und relevante Umweltmedien</x:v>
      </x:c>
      <x:c r="AB33" s="14" t="str">
        <x:v>Primärdaten bevorzugt; Sekundärdaten nur transparent und versioniert; Methode und Systemgrenze dokumentieren</x:v>
      </x:c>
      <x:c r="AC33" s="14" t="str">
        <x:v>Limited Assurance; risikobasiert höhere Prüftiefe</x:v>
      </x:c>
    </x:row>
    <x:row r="34" ht="42" customHeight="1">
      <x:c r="A34" s="14" t="str">
        <x:v>WOK-E-103</x:v>
      </x:c>
      <x:c r="B34" s="14" t="str">
        <x:v>SDG 2 – Kein Hunger</x:v>
      </x:c>
      <x:c r="C34" s="14" t="str">
        <x:v>2.4</x:v>
      </x:c>
      <x:c r="D34" s="14" t="str">
        <x:v>Nährstoffmanagement (N‑Überschuss)</x:v>
      </x:c>
      <x:c r="E34" s="14" t="str">
        <x:v>Nährstoffmanagement (N‑Überschuss) – Abwasserqualität</x:v>
      </x:c>
      <x:c r="F34" s="14" t="str">
        <x:v>% des Grenzwerts</x:v>
      </x:c>
      <x:c r="G34" s="14" t="str">
        <x:v>lower_is_better</x:v>
      </x:c>
      <x:c r="H34" s="14" t="str">
        <x:v>R12</x:v>
      </x:c>
      <x:c r="I34" s="14" t="str">
        <x:v>LEGAL_RATIO</x:v>
      </x:c>
      <x:c r="J34" s="51"/>
      <x:c r="K34" s="51"/>
      <x:c r="L34" s="51"/>
      <x:c r="M34" s="54"/>
      <x:c r="N34" s="58" t="str">
        <x:f>IF($J34="","",IF($J34&lt;=50,3,IF($J34&lt;=75,2,IF($J34&lt;=100,0,IF($J34&lt;=120,-2,-3)))))</x:f>
      </x:c>
      <x:c r="O34" s="58" t="str">
        <x:f>IF($J34="","",IF(OR('02_Benchmarks'!$P34&lt;&gt;"Aktiv",COUNT('02_Benchmarks'!$J34:$M34)&lt;4),"",IF($G34="lower_is_better",IF($J34&lt;='02_Benchmarks'!$J34,3,IF($J34&lt;'02_Benchmarks'!$K34,2,IF($J34&lt;='02_Benchmarks'!$L34,0,IF($J34&lt;='02_Benchmarks'!$M34,-2,-3)))),IF($J34&gt;='02_Benchmarks'!$J34,3,IF($J34&gt;'02_Benchmarks'!$K34,2,IF($J34&gt;='02_Benchmarks'!$L34,0,IF($J34&gt;='02_Benchmarks'!$M34,-2,-3)))))))</x:f>
      </x:c>
      <x:c r="P34" s="58" t="str">
        <x:f>IF(COUNT($N34:$O34)+IF(ISNUMBER($K34),1,0)=0,"",MIN($N34:$O34,$K34))</x:f>
      </x:c>
      <x:c r="Q34" s="58" t="str">
        <x:f>IF($P34="","",INDEX('04_Tarifmodell'!$B$6:$B$12,$P34+4))</x:f>
      </x:c>
      <x:c r="R34" s="64" t="str">
        <x:f>IF($P34="","",INDEX('04_Tarifmodell'!$C$6:$C$12,$P34+4))</x:f>
      </x:c>
      <x:c r="S34" s="14" t="str">
        <x:f>IF(OR($I34="QUALITATIVE",$I34="MANUAL_HYBRID"),IF($K34="","Assurance-Score fehlt","Assurance-bewertet"),IF($I34="BENCHMARK",IF($W34&lt;&gt;"Aktiv",IF($K34="","Benchmark fehlt","Assurance-bewertet"),IF($J34="","Messwert fehlt",IF($P34="","Nicht bewertbar","Berechnet"))),IF(AND($J34="",$K34&lt;&gt;""),"Nur Assurance-Score",IF($J34="","Messwert fehlt",IF($P34="","Nicht bewertbar",IF($P34&lt;=-2,"Kritische Wirkung / Prüfung","Berechnet"))))))</x:f>
        <x:v>Messwert fehlt</x:v>
      </x:c>
      <x:c r="T34" s="14" t="str">
        <x:v>Nicht der absolute Messwert, sondern Messwert ÷ Grenzwert × 100 wird bewertet.</x:v>
      </x:c>
      <x:c r="U34" s="14" t="str">
        <x:v>≤50% Grenzwert:+3; ≤75%:+2; ≤100%:0; 101–120%:‑2; &gt;120%:‑3</x:v>
      </x:c>
      <x:c r="V34" s="14" t="str">
        <x:v>ESRS E3, WRI Aqueduct, ISO 14046 (Water Footprint)</x:v>
      </x:c>
      <x:c r="W34" s="14" t="str">
        <x:f>'02_Benchmarks'!$P34</x:f>
        <x:v>Optional – kein aktiver Benchmark</x:v>
      </x:c>
      <x:c r="X34" s="14" t="str">
        <x:v>Teilbelegt – Rechtsfundstelle je Messung fehlt</x:v>
      </x:c>
      <x:c r="Y34" s="14" t="str">
        <x:v>Hoch</x:v>
      </x:c>
      <x:c r="Z34" s="14" t="str">
        <x:v>Rechtsfundstelle je Fall erforderlich</x:v>
      </x:c>
      <x:c r="AA34" s="14" t="str">
        <x:v>Standort/Prozess/Aktivität; Bezugsgröße und relevante Umweltmedien</x:v>
      </x:c>
      <x:c r="AB34" s="14" t="str">
        <x:v>Kalibrierter Messwert; Rechtsfundstelle, Grenzwert, Einheit, Messpunkt und Zeitraum</x:v>
      </x:c>
      <x:c r="AC34" s="14" t="str">
        <x:v>Behördlicher/akkreditierter Nachweis oder unabhängige Prüfung</x:v>
      </x:c>
    </x:row>
    <x:row r="35" ht="42" customHeight="1">
      <x:c r="A35" s="14" t="str">
        <x:v>WOK-E-104</x:v>
      </x:c>
      <x:c r="B35" s="14" t="str">
        <x:v>SDG 2 – Kein Hunger</x:v>
      </x:c>
      <x:c r="C35" s="14" t="str">
        <x:v>2.4</x:v>
      </x:c>
      <x:c r="D35" s="14" t="str">
        <x:v>Pestizideinsatz</x:v>
      </x:c>
      <x:c r="E35" s="14" t="str">
        <x:v>Pestizideinsatz – Abfallintensität</x:v>
      </x:c>
      <x:c r="F35" s="14" t="str">
        <x:v>kg/t</x:v>
      </x:c>
      <x:c r="G35" s="14" t="str">
        <x:v>lower_is_better</x:v>
      </x:c>
      <x:c r="H35" s="14" t="str">
        <x:v>R06</x:v>
      </x:c>
      <x:c r="I35" s="14" t="str">
        <x:v>BENCHMARK</x:v>
      </x:c>
      <x:c r="J35" s="51"/>
      <x:c r="K35" s="51"/>
      <x:c r="L35" s="51"/>
      <x:c r="M35" s="54"/>
      <x:c r="N35" s="58" t="str">
        <x:f>""</x:f>
      </x:c>
      <x:c r="O35" s="58" t="str">
        <x:f>IF($J35="","",IF(OR('02_Benchmarks'!$P35&lt;&gt;"Aktiv",COUNT('02_Benchmarks'!$J35:$M35)&lt;4),"",IF($G35="lower_is_better",IF($J35&lt;='02_Benchmarks'!$J35,3,IF($J35&lt;'02_Benchmarks'!$K35,2,IF($J35&lt;='02_Benchmarks'!$L35,0,IF($J35&lt;='02_Benchmarks'!$M35,-2,-3)))),IF($J35&gt;='02_Benchmarks'!$J35,3,IF($J35&gt;'02_Benchmarks'!$K35,2,IF($J35&gt;='02_Benchmarks'!$L35,0,IF($J35&gt;='02_Benchmarks'!$M35,-2,-3)))))))</x:f>
      </x:c>
      <x:c r="P35" s="58" t="str">
        <x:f>IF(COUNT($N35:$O35)+IF(ISNUMBER($K35),1,0)=0,"",MIN($N35:$O35,$K35))</x:f>
      </x:c>
      <x:c r="Q35" s="58" t="str">
        <x:f>IF($P35="","",INDEX('04_Tarifmodell'!$B$6:$B$12,$P35+4))</x:f>
      </x:c>
      <x:c r="R35" s="64" t="str">
        <x:f>IF($P35="","",INDEX('04_Tarifmodell'!$C$6:$C$12,$P35+4))</x:f>
      </x:c>
      <x:c r="S35" s="14" t="str">
        <x:f>IF(OR($I35="QUALITATIVE",$I35="MANUAL_HYBRID"),IF($K35="","Assurance-Score fehlt","Assurance-bewertet"),IF($I35="BENCHMARK",IF($W35&lt;&gt;"Aktiv",IF($K35="","Benchmark fehlt","Assurance-bewertet"),IF($J35="","Messwert fehlt",IF($P35="","Nicht bewertbar","Berechnet"))),IF(AND($J35="",$K35&lt;&gt;""),"Nur Assurance-Score",IF($J35="","Messwert fehlt",IF($P35="","Nicht bewertbar",IF($P35&lt;=-2,"Kritische Wirkung / Prüfung","Berechnet"))))))</x:f>
        <x:v>Benchmark fehlt</x:v>
      </x:c>
      <x:c r="T35" s="14" t="str">
        <x:v>Item-Bezeichnung und Messdefinition passen nicht ausreichend zusammen. Top-10-Prozent, Mittelwert, 150 % und 250 % müssen aus einer dokumentierten Grundgesamtheit stammen.</x:v>
      </x:c>
      <x:c r="U35" s="14" t="str">
        <x:v>Top‑10%:+3; Mittel:0; &gt;150%:‑2; &gt;250%:‑3</x:v>
      </x:c>
      <x:c r="V35" s="14" t="str">
        <x:v>ESRS E5, GRI 306, WEEE/VerpackG</x:v>
      </x:c>
      <x:c r="W35" s="14" t="str">
        <x:f>'02_Benchmarks'!$P35</x:f>
        <x:v>Offen – validierter Benchmark fehlt</x:v>
      </x:c>
      <x:c r="X35" s="14" t="str">
        <x:v>Teilbelegt – Benchmarkquelle fehlt</x:v>
      </x:c>
      <x:c r="Y35" s="14" t="str">
        <x:v>Kritisch</x:v>
      </x:c>
      <x:c r="Z35" s="14" t="str">
        <x:v>Validierter Benchmark fehlt</x:v>
      </x:c>
      <x:c r="AA35" s="14" t="str">
        <x:v>Standort/Prozess/Aktivität; Bezugsgröße und relevante Umweltmedien</x:v>
      </x:c>
      <x:c r="AB35" s="14" t="str">
        <x:v>Primärdaten plus repräsentativer, versionierter Benchmarkdatensatz; Stichprobe und Population offenlegen</x:v>
      </x:c>
      <x:c r="AC35" s="14" t="str">
        <x:v>Messwert-Assurance und unabhängige Benchmark-Governance</x:v>
      </x:c>
    </x:row>
    <x:row r="36" ht="42" customHeight="1">
      <x:c r="A36" s="14" t="str">
        <x:v>WOK-E-105</x:v>
      </x:c>
      <x:c r="B36" s="14" t="str">
        <x:v>SDG 2 – Kein Hunger</x:v>
      </x:c>
      <x:c r="C36" s="14" t="str">
        <x:v>2.4</x:v>
      </x:c>
      <x:c r="D36" s="14" t="str">
        <x:v>Pestizideinsatz</x:v>
      </x:c>
      <x:c r="E36" s="14" t="str">
        <x:v>Pestizideinsatz – Recyclingquote</x:v>
      </x:c>
      <x:c r="F36" s="14" t="str">
        <x:v>%</x:v>
      </x:c>
      <x:c r="G36" s="14" t="str">
        <x:v>higher_is_better</x:v>
      </x:c>
      <x:c r="H36" s="14" t="str">
        <x:v>R25</x:v>
      </x:c>
      <x:c r="I36" s="14" t="str">
        <x:v>NUM_HIGH</x:v>
      </x:c>
      <x:c r="J36" s="51"/>
      <x:c r="K36" s="51"/>
      <x:c r="L36" s="51"/>
      <x:c r="M36" s="54"/>
      <x:c r="N36" s="58" t="str">
        <x:f>IF($J36="","",IF($J36&lt;30,-3,IF($J36&lt;50,-2,IF($J36&lt;70,0,IF($J36&lt;90,2,3)))))</x:f>
      </x:c>
      <x:c r="O36" s="58" t="str">
        <x:f>IF($J36="","",IF(OR('02_Benchmarks'!$P36&lt;&gt;"Aktiv",COUNT('02_Benchmarks'!$J36:$M36)&lt;4),"",IF($G36="lower_is_better",IF($J36&lt;='02_Benchmarks'!$J36,3,IF($J36&lt;'02_Benchmarks'!$K36,2,IF($J36&lt;='02_Benchmarks'!$L36,0,IF($J36&lt;='02_Benchmarks'!$M36,-2,-3)))),IF($J36&gt;='02_Benchmarks'!$J36,3,IF($J36&gt;'02_Benchmarks'!$K36,2,IF($J36&gt;='02_Benchmarks'!$L36,0,IF($J36&gt;='02_Benchmarks'!$M36,-2,-3)))))))</x:f>
      </x:c>
      <x:c r="P36" s="58" t="str">
        <x:f>IF(COUNT($N36:$O36)+IF(ISNUMBER($K36),1,0)=0,"",MIN($N36:$O36,$K36))</x:f>
      </x:c>
      <x:c r="Q36" s="58" t="str">
        <x:f>IF($P36="","",INDEX('04_Tarifmodell'!$B$6:$B$12,$P36+4))</x:f>
      </x:c>
      <x:c r="R36" s="64" t="str">
        <x:f>IF($P36="","",INDEX('04_Tarifmodell'!$C$6:$C$12,$P36+4))</x:f>
      </x:c>
      <x:c r="S36" s="14" t="str">
        <x:f>IF(OR($I36="QUALITATIVE",$I36="MANUAL_HYBRID"),IF($K36="","Assurance-Score fehlt","Assurance-bewertet"),IF($I36="BENCHMARK",IF($W36&lt;&gt;"Aktiv",IF($K36="","Benchmark fehlt","Assurance-bewertet"),IF($J36="","Messwert fehlt",IF($P36="","Nicht bewertbar","Berechnet"))),IF(AND($J36="",$K36&lt;&gt;""),"Nur Assurance-Score",IF($J36="","Messwert fehlt",IF($P36="","Nicht bewertbar",IF($P36&lt;=-2,"Kritische Wirkung / Prüfung","Berechnet"))))))</x:f>
        <x:v>Messwert fehlt</x:v>
      </x:c>
      <x:c r="T36" s="14" t="str">
        <x:v>Item-Bezeichnung und Messdefinition passen nicht ausreichend zusammen. Vollständige fünfstufige Prozentregel.</x:v>
      </x:c>
      <x:c r="U36" s="14" t="str">
        <x:v>≥90%:+3; 70–89%:+2; 50–69%:0; 30–49%:‑2; &lt;30%:‑3</x:v>
      </x:c>
      <x:c r="V36" s="14" t="str">
        <x:v>ESRS E5, GRI 306, WEEE/VerpackG</x:v>
      </x:c>
      <x:c r="W36" s="14" t="str">
        <x:f>'02_Benchmarks'!$P36</x:f>
        <x:v>Optional – kein aktiver Benchmark</x:v>
      </x:c>
      <x:c r="X36" s="14" t="str">
        <x:v>Messgrundlage belegt; Schwellenkalibrierung offen</x:v>
      </x:c>
      <x:c r="Y36" s="14" t="str">
        <x:v>Kritisch</x:v>
      </x:c>
      <x:c r="Z36" s="14" t="str">
        <x:v>Arbeitskalibrierung – fachlich zu validieren</x:v>
      </x:c>
      <x:c r="AA36" s="14" t="str">
        <x:v>Standort/Prozess/Aktivität; Bezugsgröße und relevante Umweltmedien</x:v>
      </x:c>
      <x:c r="AB36" s="14" t="str">
        <x:v>Primärdaten bevorzugt; Sekundärdaten nur transparent und versioniert; Methode und Systemgrenze dokumentieren</x:v>
      </x:c>
      <x:c r="AC36" s="14" t="str">
        <x:v>Limited Assurance; risikobasiert höhere Prüftiefe</x:v>
      </x:c>
    </x:row>
    <x:row r="37" ht="42" customHeight="1">
      <x:c r="A37" s="14" t="str">
        <x:v>WOK-E-106</x:v>
      </x:c>
      <x:c r="B37" s="14" t="str">
        <x:v>SDG 2 – Kein Hunger</x:v>
      </x:c>
      <x:c r="C37" s="14" t="str">
        <x:v>2.4</x:v>
      </x:c>
      <x:c r="D37" s="14" t="str">
        <x:v>Pestizideinsatz</x:v>
      </x:c>
      <x:c r="E37" s="14" t="str">
        <x:v>Pestizideinsatz – Gefährlicher Abfall</x:v>
      </x:c>
      <x:c r="F37" s="14" t="str">
        <x:v>kg/t</x:v>
      </x:c>
      <x:c r="G37" s="14" t="str">
        <x:v>lower_is_better</x:v>
      </x:c>
      <x:c r="H37" s="14" t="str">
        <x:v>R06</x:v>
      </x:c>
      <x:c r="I37" s="14" t="str">
        <x:v>BENCHMARK</x:v>
      </x:c>
      <x:c r="J37" s="51"/>
      <x:c r="K37" s="51"/>
      <x:c r="L37" s="51"/>
      <x:c r="M37" s="54"/>
      <x:c r="N37" s="58" t="str">
        <x:f>""</x:f>
      </x:c>
      <x:c r="O37" s="58" t="str">
        <x:f>IF($J37="","",IF(OR('02_Benchmarks'!$P37&lt;&gt;"Aktiv",COUNT('02_Benchmarks'!$J37:$M37)&lt;4),"",IF($G37="lower_is_better",IF($J37&lt;='02_Benchmarks'!$J37,3,IF($J37&lt;'02_Benchmarks'!$K37,2,IF($J37&lt;='02_Benchmarks'!$L37,0,IF($J37&lt;='02_Benchmarks'!$M37,-2,-3)))),IF($J37&gt;='02_Benchmarks'!$J37,3,IF($J37&gt;'02_Benchmarks'!$K37,2,IF($J37&gt;='02_Benchmarks'!$L37,0,IF($J37&gt;='02_Benchmarks'!$M37,-2,-3)))))))</x:f>
      </x:c>
      <x:c r="P37" s="58" t="str">
        <x:f>IF(COUNT($N37:$O37)+IF(ISNUMBER($K37),1,0)=0,"",MIN($N37:$O37,$K37))</x:f>
      </x:c>
      <x:c r="Q37" s="58" t="str">
        <x:f>IF($P37="","",INDEX('04_Tarifmodell'!$B$6:$B$12,$P37+4))</x:f>
      </x:c>
      <x:c r="R37" s="64" t="str">
        <x:f>IF($P37="","",INDEX('04_Tarifmodell'!$C$6:$C$12,$P37+4))</x:f>
      </x:c>
      <x:c r="S37" s="14" t="str">
        <x:f>IF(OR($I37="QUALITATIVE",$I37="MANUAL_HYBRID"),IF($K37="","Assurance-Score fehlt","Assurance-bewertet"),IF($I37="BENCHMARK",IF($W37&lt;&gt;"Aktiv",IF($K37="","Benchmark fehlt","Assurance-bewertet"),IF($J37="","Messwert fehlt",IF($P37="","Nicht bewertbar","Berechnet"))),IF(AND($J37="",$K37&lt;&gt;""),"Nur Assurance-Score",IF($J37="","Messwert fehlt",IF($P37="","Nicht bewertbar",IF($P37&lt;=-2,"Kritische Wirkung / Prüfung","Berechnet"))))))</x:f>
        <x:v>Benchmark fehlt</x:v>
      </x:c>
      <x:c r="T37" s="14" t="str">
        <x:v>Item-Bezeichnung und Messdefinition passen nicht ausreichend zusammen. Top-10-Prozent, Mittelwert, 150 % und 250 % müssen aus einer dokumentierten Grundgesamtheit stammen.</x:v>
      </x:c>
      <x:c r="U37" s="14" t="str">
        <x:v>Top‑10%:+3; Mittel:0; &gt;150%:‑2; &gt;250%:‑3</x:v>
      </x:c>
      <x:c r="V37" s="14" t="str">
        <x:v>ESRS E5, GRI 306, WEEE/VerpackG</x:v>
      </x:c>
      <x:c r="W37" s="14" t="str">
        <x:f>'02_Benchmarks'!$P37</x:f>
        <x:v>Offen – validierter Benchmark fehlt</x:v>
      </x:c>
      <x:c r="X37" s="14" t="str">
        <x:v>Teilbelegt – Benchmarkquelle fehlt</x:v>
      </x:c>
      <x:c r="Y37" s="14" t="str">
        <x:v>Kritisch</x:v>
      </x:c>
      <x:c r="Z37" s="14" t="str">
        <x:v>Validierter Benchmark fehlt</x:v>
      </x:c>
      <x:c r="AA37" s="14" t="str">
        <x:v>Standort/Prozess/Aktivität; Bezugsgröße und relevante Umweltmedien</x:v>
      </x:c>
      <x:c r="AB37" s="14" t="str">
        <x:v>Primärdaten plus repräsentativer, versionierter Benchmarkdatensatz; Stichprobe und Population offenlegen</x:v>
      </x:c>
      <x:c r="AC37" s="14" t="str">
        <x:v>Messwert-Assurance und unabhängige Benchmark-Governance</x:v>
      </x:c>
    </x:row>
    <x:row r="38" ht="42" customHeight="1">
      <x:c r="A38" s="14" t="str">
        <x:v>WOK-E-107</x:v>
      </x:c>
      <x:c r="B38" s="14" t="str">
        <x:v>SDG 2 – Kein Hunger</x:v>
      </x:c>
      <x:c r="C38" s="14" t="str">
        <x:v>2.4</x:v>
      </x:c>
      <x:c r="D38" s="14" t="str">
        <x:v>Wasserentnahme (WSI)</x:v>
      </x:c>
      <x:c r="E38" s="14" t="str">
        <x:v>Wasserentnahme (WSI) – Entnahme (WSI)</x:v>
      </x:c>
      <x:c r="F38" s="14" t="str">
        <x:v>m³*WSI</x:v>
      </x:c>
      <x:c r="G38" s="14" t="str">
        <x:v>lower_is_better</x:v>
      </x:c>
      <x:c r="H38" s="14" t="str">
        <x:v>R06</x:v>
      </x:c>
      <x:c r="I38" s="14" t="str">
        <x:v>BENCHMARK</x:v>
      </x:c>
      <x:c r="J38" s="51"/>
      <x:c r="K38" s="51"/>
      <x:c r="L38" s="51"/>
      <x:c r="M38" s="54"/>
      <x:c r="N38" s="58" t="str">
        <x:f>""</x:f>
      </x:c>
      <x:c r="O38" s="58" t="str">
        <x:f>IF($J38="","",IF(OR('02_Benchmarks'!$P38&lt;&gt;"Aktiv",COUNT('02_Benchmarks'!$J38:$M38)&lt;4),"",IF($G38="lower_is_better",IF($J38&lt;='02_Benchmarks'!$J38,3,IF($J38&lt;'02_Benchmarks'!$K38,2,IF($J38&lt;='02_Benchmarks'!$L38,0,IF($J38&lt;='02_Benchmarks'!$M38,-2,-3)))),IF($J38&gt;='02_Benchmarks'!$J38,3,IF($J38&gt;'02_Benchmarks'!$K38,2,IF($J38&gt;='02_Benchmarks'!$L38,0,IF($J38&gt;='02_Benchmarks'!$M38,-2,-3)))))))</x:f>
      </x:c>
      <x:c r="P38" s="58" t="str">
        <x:f>IF(COUNT($N38:$O38)+IF(ISNUMBER($K38),1,0)=0,"",MIN($N38:$O38,$K38))</x:f>
      </x:c>
      <x:c r="Q38" s="58" t="str">
        <x:f>IF($P38="","",INDEX('04_Tarifmodell'!$B$6:$B$12,$P38+4))</x:f>
      </x:c>
      <x:c r="R38" s="64" t="str">
        <x:f>IF($P38="","",INDEX('04_Tarifmodell'!$C$6:$C$12,$P38+4))</x:f>
      </x:c>
      <x:c r="S38" s="14" t="str">
        <x:f>IF(OR($I38="QUALITATIVE",$I38="MANUAL_HYBRID"),IF($K38="","Assurance-Score fehlt","Assurance-bewertet"),IF($I38="BENCHMARK",IF($W38&lt;&gt;"Aktiv",IF($K38="","Benchmark fehlt","Assurance-bewertet"),IF($J38="","Messwert fehlt",IF($P38="","Nicht bewertbar","Berechnet"))),IF(AND($J38="",$K38&lt;&gt;""),"Nur Assurance-Score",IF($J38="","Messwert fehlt",IF($P38="","Nicht bewertbar",IF($P38&lt;=-2,"Kritische Wirkung / Prüfung","Berechnet"))))))</x:f>
        <x:v>Benchmark fehlt</x:v>
      </x:c>
      <x:c r="T38" s="14" t="str">
        <x:v>Top-10-Prozent, Mittelwert, 150 % und 250 % müssen aus einer dokumentierten Grundgesamtheit stammen.</x:v>
      </x:c>
      <x:c r="U38" s="14" t="str">
        <x:v>Top‑10%:+3; Mittel:0; &gt;150%:‑2; &gt;250%:‑3</x:v>
      </x:c>
      <x:c r="V38" s="14" t="str">
        <x:v>ESRS E3, WRI Aqueduct, ISO 14046 (Water Footprint)</x:v>
      </x:c>
      <x:c r="W38" s="14" t="str">
        <x:f>'02_Benchmarks'!$P38</x:f>
        <x:v>Offen – validierter Benchmark fehlt</x:v>
      </x:c>
      <x:c r="X38" s="14" t="str">
        <x:v>Teilbelegt – Benchmarkquelle fehlt</x:v>
      </x:c>
      <x:c r="Y38" s="14" t="str">
        <x:v>Hoch</x:v>
      </x:c>
      <x:c r="Z38" s="14" t="str">
        <x:v>Validierter Benchmark fehlt</x:v>
      </x:c>
      <x:c r="AA38" s="14" t="str">
        <x:v>Standort/Prozess/Aktivität; Bezugsgröße und relevante Umweltmedien</x:v>
      </x:c>
      <x:c r="AB38" s="14" t="str">
        <x:v>Primärdaten plus repräsentativer, versionierter Benchmarkdatensatz; Stichprobe und Population offenlegen</x:v>
      </x:c>
      <x:c r="AC38" s="14" t="str">
        <x:v>Messwert-Assurance und unabhängige Benchmark-Governance</x:v>
      </x:c>
    </x:row>
    <x:row r="39" ht="42" customHeight="1">
      <x:c r="A39" s="14" t="str">
        <x:v>WOK-E-108</x:v>
      </x:c>
      <x:c r="B39" s="14" t="str">
        <x:v>SDG 2 – Kein Hunger</x:v>
      </x:c>
      <x:c r="C39" s="14" t="str">
        <x:v>2.4</x:v>
      </x:c>
      <x:c r="D39" s="14" t="str">
        <x:v>Wasserentnahme (WSI)</x:v>
      </x:c>
      <x:c r="E39" s="14" t="str">
        <x:v>Wasserentnahme (WSI) – Reuse</x:v>
      </x:c>
      <x:c r="F39" s="14" t="str">
        <x:v>%</x:v>
      </x:c>
      <x:c r="G39" s="14" t="str">
        <x:v>higher_is_better</x:v>
      </x:c>
      <x:c r="H39" s="14" t="str">
        <x:v>R25</x:v>
      </x:c>
      <x:c r="I39" s="14" t="str">
        <x:v>NUM_HIGH</x:v>
      </x:c>
      <x:c r="J39" s="51"/>
      <x:c r="K39" s="51"/>
      <x:c r="L39" s="51"/>
      <x:c r="M39" s="54"/>
      <x:c r="N39" s="58" t="str">
        <x:f>IF($J39="","",IF($J39&lt;30,-3,IF($J39&lt;50,-2,IF($J39&lt;70,0,IF($J39&lt;90,2,3)))))</x:f>
      </x:c>
      <x:c r="O39" s="58" t="str">
        <x:f>IF($J39="","",IF(OR('02_Benchmarks'!$P39&lt;&gt;"Aktiv",COUNT('02_Benchmarks'!$J39:$M39)&lt;4),"",IF($G39="lower_is_better",IF($J39&lt;='02_Benchmarks'!$J39,3,IF($J39&lt;'02_Benchmarks'!$K39,2,IF($J39&lt;='02_Benchmarks'!$L39,0,IF($J39&lt;='02_Benchmarks'!$M39,-2,-3)))),IF($J39&gt;='02_Benchmarks'!$J39,3,IF($J39&gt;'02_Benchmarks'!$K39,2,IF($J39&gt;='02_Benchmarks'!$L39,0,IF($J39&gt;='02_Benchmarks'!$M39,-2,-3)))))))</x:f>
      </x:c>
      <x:c r="P39" s="58" t="str">
        <x:f>IF(COUNT($N39:$O39)+IF(ISNUMBER($K39),1,0)=0,"",MIN($N39:$O39,$K39))</x:f>
      </x:c>
      <x:c r="Q39" s="58" t="str">
        <x:f>IF($P39="","",INDEX('04_Tarifmodell'!$B$6:$B$12,$P39+4))</x:f>
      </x:c>
      <x:c r="R39" s="64" t="str">
        <x:f>IF($P39="","",INDEX('04_Tarifmodell'!$C$6:$C$12,$P39+4))</x:f>
      </x:c>
      <x:c r="S39" s="14" t="str">
        <x:f>IF(OR($I39="QUALITATIVE",$I39="MANUAL_HYBRID"),IF($K39="","Assurance-Score fehlt","Assurance-bewertet"),IF($I39="BENCHMARK",IF($W39&lt;&gt;"Aktiv",IF($K39="","Benchmark fehlt","Assurance-bewertet"),IF($J39="","Messwert fehlt",IF($P39="","Nicht bewertbar","Berechnet"))),IF(AND($J39="",$K39&lt;&gt;""),"Nur Assurance-Score",IF($J39="","Messwert fehlt",IF($P39="","Nicht bewertbar",IF($P39&lt;=-2,"Kritische Wirkung / Prüfung","Berechnet"))))))</x:f>
        <x:v>Messwert fehlt</x:v>
      </x:c>
      <x:c r="T39" s="14" t="str">
        <x:v>Vollständige fünfstufige Prozentregel.</x:v>
      </x:c>
      <x:c r="U39" s="14" t="str">
        <x:v>≥90%:+3; 70–89%:+2; 50–69%:0; 30–49%:‑2; &lt;30%:‑3</x:v>
      </x:c>
      <x:c r="V39" s="14" t="str">
        <x:v>ESRS E3, WRI Aqueduct, ISO 14046 (Water Footprint)</x:v>
      </x:c>
      <x:c r="W39" s="14" t="str">
        <x:f>'02_Benchmarks'!$P39</x:f>
        <x:v>Optional – kein aktiver Benchmark</x:v>
      </x:c>
      <x:c r="X39" s="14" t="str">
        <x:v>Messgrundlage belegt; Schwellenkalibrierung offen</x:v>
      </x:c>
      <x:c r="Y39" s="14" t="str">
        <x:v>Mittel</x:v>
      </x:c>
      <x:c r="Z39" s="14" t="str">
        <x:v>Arbeitskalibrierung – fachlich zu validieren</x:v>
      </x:c>
      <x:c r="AA39" s="14" t="str">
        <x:v>Standort/Prozess/Aktivität; Bezugsgröße und relevante Umweltmedien</x:v>
      </x:c>
      <x:c r="AB39" s="14" t="str">
        <x:v>Primärdaten bevorzugt; Sekundärdaten nur transparent und versioniert; Methode und Systemgrenze dokumentieren</x:v>
      </x:c>
      <x:c r="AC39" s="14" t="str">
        <x:v>Limited Assurance; risikobasiert höhere Prüftiefe</x:v>
      </x:c>
    </x:row>
    <x:row r="40" ht="42" customHeight="1">
      <x:c r="A40" s="14" t="str">
        <x:v>WOK-E-109</x:v>
      </x:c>
      <x:c r="B40" s="14" t="str">
        <x:v>SDG 2 – Kein Hunger</x:v>
      </x:c>
      <x:c r="C40" s="14" t="str">
        <x:v>2.4</x:v>
      </x:c>
      <x:c r="D40" s="14" t="str">
        <x:v>Wasserentnahme (WSI)</x:v>
      </x:c>
      <x:c r="E40" s="14" t="str">
        <x:v>Wasserentnahme (WSI) – Abwasserqualität</x:v>
      </x:c>
      <x:c r="F40" s="14" t="str">
        <x:v>% des Grenzwerts</x:v>
      </x:c>
      <x:c r="G40" s="14" t="str">
        <x:v>lower_is_better</x:v>
      </x:c>
      <x:c r="H40" s="14" t="str">
        <x:v>R12</x:v>
      </x:c>
      <x:c r="I40" s="14" t="str">
        <x:v>LEGAL_RATIO</x:v>
      </x:c>
      <x:c r="J40" s="51"/>
      <x:c r="K40" s="51"/>
      <x:c r="L40" s="51"/>
      <x:c r="M40" s="54"/>
      <x:c r="N40" s="58" t="str">
        <x:f>IF($J40="","",IF($J40&lt;=50,3,IF($J40&lt;=75,2,IF($J40&lt;=100,0,IF($J40&lt;=120,-2,-3)))))</x:f>
      </x:c>
      <x:c r="O40" s="58" t="str">
        <x:f>IF($J40="","",IF(OR('02_Benchmarks'!$P40&lt;&gt;"Aktiv",COUNT('02_Benchmarks'!$J40:$M40)&lt;4),"",IF($G40="lower_is_better",IF($J40&lt;='02_Benchmarks'!$J40,3,IF($J40&lt;'02_Benchmarks'!$K40,2,IF($J40&lt;='02_Benchmarks'!$L40,0,IF($J40&lt;='02_Benchmarks'!$M40,-2,-3)))),IF($J40&gt;='02_Benchmarks'!$J40,3,IF($J40&gt;'02_Benchmarks'!$K40,2,IF($J40&gt;='02_Benchmarks'!$L40,0,IF($J40&gt;='02_Benchmarks'!$M40,-2,-3)))))))</x:f>
      </x:c>
      <x:c r="P40" s="58" t="str">
        <x:f>IF(COUNT($N40:$O40)+IF(ISNUMBER($K40),1,0)=0,"",MIN($N40:$O40,$K40))</x:f>
      </x:c>
      <x:c r="Q40" s="58" t="str">
        <x:f>IF($P40="","",INDEX('04_Tarifmodell'!$B$6:$B$12,$P40+4))</x:f>
      </x:c>
      <x:c r="R40" s="64" t="str">
        <x:f>IF($P40="","",INDEX('04_Tarifmodell'!$C$6:$C$12,$P40+4))</x:f>
      </x:c>
      <x:c r="S40" s="14" t="str">
        <x:f>IF(OR($I40="QUALITATIVE",$I40="MANUAL_HYBRID"),IF($K40="","Assurance-Score fehlt","Assurance-bewertet"),IF($I40="BENCHMARK",IF($W40&lt;&gt;"Aktiv",IF($K40="","Benchmark fehlt","Assurance-bewertet"),IF($J40="","Messwert fehlt",IF($P40="","Nicht bewertbar","Berechnet"))),IF(AND($J40="",$K40&lt;&gt;""),"Nur Assurance-Score",IF($J40="","Messwert fehlt",IF($P40="","Nicht bewertbar",IF($P40&lt;=-2,"Kritische Wirkung / Prüfung","Berechnet"))))))</x:f>
        <x:v>Messwert fehlt</x:v>
      </x:c>
      <x:c r="T40" s="14" t="str">
        <x:v>Nicht der absolute Messwert, sondern Messwert ÷ Grenzwert × 100 wird bewertet.</x:v>
      </x:c>
      <x:c r="U40" s="14" t="str">
        <x:v>≤50% Grenzwert:+3; ≤75%:+2; ≤100%:0; 101–120%:‑2; &gt;120%:‑3</x:v>
      </x:c>
      <x:c r="V40" s="14" t="str">
        <x:v>ESRS E3, WRI Aqueduct, ISO 14046 (Water Footprint)</x:v>
      </x:c>
      <x:c r="W40" s="14" t="str">
        <x:f>'02_Benchmarks'!$P40</x:f>
        <x:v>Optional – kein aktiver Benchmark</x:v>
      </x:c>
      <x:c r="X40" s="14" t="str">
        <x:v>Teilbelegt – Rechtsfundstelle je Messung fehlt</x:v>
      </x:c>
      <x:c r="Y40" s="14" t="str">
        <x:v>Hoch</x:v>
      </x:c>
      <x:c r="Z40" s="14" t="str">
        <x:v>Rechtsfundstelle je Fall erforderlich</x:v>
      </x:c>
      <x:c r="AA40" s="14" t="str">
        <x:v>Standort/Prozess/Aktivität; Bezugsgröße und relevante Umweltmedien</x:v>
      </x:c>
      <x:c r="AB40" s="14" t="str">
        <x:v>Kalibrierter Messwert; Rechtsfundstelle, Grenzwert, Einheit, Messpunkt und Zeitraum</x:v>
      </x:c>
      <x:c r="AC40" s="14" t="str">
        <x:v>Behördlicher/akkreditierter Nachweis oder unabhängige Prüfung</x:v>
      </x:c>
    </x:row>
    <x:row r="41" ht="42" customHeight="1">
      <x:c r="A41" s="14" t="str">
        <x:v>WOK-SC-104</x:v>
      </x:c>
      <x:c r="B41" s="14" t="str">
        <x:v>SDG 2 – Kein Hunger</x:v>
      </x:c>
      <x:c r="C41" s="14" t="str">
        <x:v>2.3</x:v>
      </x:c>
      <x:c r="D41" s="14" t="str">
        <x:v>Kleinbauern‑Integration</x:v>
      </x:c>
      <x:c r="E41" s="14" t="str">
        <x:v>Kleinbauern‑Integration – ESG‑Spend‑Coverage</x:v>
      </x:c>
      <x:c r="F41" s="14" t="str">
        <x:v>%</x:v>
      </x:c>
      <x:c r="G41" s="14" t="str">
        <x:v>higher_is_better</x:v>
      </x:c>
      <x:c r="H41" s="14" t="str">
        <x:v>R26</x:v>
      </x:c>
      <x:c r="I41" s="14" t="str">
        <x:v>NUM_HIGH</x:v>
      </x:c>
      <x:c r="J41" s="51"/>
      <x:c r="K41" s="51"/>
      <x:c r="L41" s="51"/>
      <x:c r="M41" s="54"/>
      <x:c r="N41" s="58" t="str">
        <x:f>IF($J41="","",IF($J41&lt;30,-3,IF($J41&lt;50,-2,IF($J41&lt;70,0,IF($J41&lt;90,2,3)))))</x:f>
      </x:c>
      <x:c r="O41" s="58" t="str">
        <x:f>IF($J41="","",IF(OR('02_Benchmarks'!$P41&lt;&gt;"Aktiv",COUNT('02_Benchmarks'!$J41:$M41)&lt;4),"",IF($G41="lower_is_better",IF($J41&lt;='02_Benchmarks'!$J41,3,IF($J41&lt;'02_Benchmarks'!$K41,2,IF($J41&lt;='02_Benchmarks'!$L41,0,IF($J41&lt;='02_Benchmarks'!$M41,-2,-3)))),IF($J41&gt;='02_Benchmarks'!$J41,3,IF($J41&gt;'02_Benchmarks'!$K41,2,IF($J41&gt;='02_Benchmarks'!$L41,0,IF($J41&gt;='02_Benchmarks'!$M41,-2,-3)))))))</x:f>
      </x:c>
      <x:c r="P41" s="58" t="str">
        <x:f>IF(COUNT($N41:$O41)+IF(ISNUMBER($K41),1,0)=0,"",MIN($N41:$O41,$K41))</x:f>
      </x:c>
      <x:c r="Q41" s="58" t="str">
        <x:f>IF($P41="","",INDEX('04_Tarifmodell'!$B$6:$B$12,$P41+4))</x:f>
      </x:c>
      <x:c r="R41" s="64" t="str">
        <x:f>IF($P41="","",INDEX('04_Tarifmodell'!$C$6:$C$12,$P41+4))</x:f>
      </x:c>
      <x:c r="S41" s="14" t="str">
        <x:f>IF(OR($I41="QUALITATIVE",$I41="MANUAL_HYBRID"),IF($K41="","Assurance-Score fehlt","Assurance-bewertet"),IF($I41="BENCHMARK",IF($W41&lt;&gt;"Aktiv",IF($K41="","Benchmark fehlt","Assurance-bewertet"),IF($J41="","Messwert fehlt",IF($P41="","Nicht bewertbar","Berechnet"))),IF(AND($J41="",$K41&lt;&gt;""),"Nur Assurance-Score",IF($J41="","Messwert fehlt",IF($P41="","Nicht bewertbar",IF($P41&lt;=-2,"Kritische Wirkung / Prüfung","Berechnet"))))))</x:f>
        <x:v>Messwert fehlt</x:v>
      </x:c>
      <x:c r="T41" s="14" t="str">
        <x:v>Vollständige fünfstufige numerische Regel.</x:v>
      </x:c>
      <x:c r="U41" s="14" t="str">
        <x:v>≥90:+3; 70–89:+2; 50–69:0; 30–49:‑2; &lt;30:‑3</x:v>
      </x:c>
      <x:c r="V41" s="14" t="str">
        <x:v>ESRS S2; GRI 308/414/408/409</x:v>
      </x:c>
      <x:c r="W41" s="14" t="str">
        <x:f>'02_Benchmarks'!$P41</x:f>
        <x:v>Optional – kein aktiver Benchmark</x:v>
      </x:c>
      <x:c r="X41" s="14" t="str">
        <x:v>Messgrundlage belegt; Schwellenkalibrierung offen</x:v>
      </x:c>
      <x:c r="Y41" s="14" t="str">
        <x:v>Mittel</x:v>
      </x:c>
      <x:c r="Z41" s="14" t="str">
        <x:v>Arbeitskalibrierung – fachlich zu validieren</x:v>
      </x:c>
      <x:c r="AA41" s="14" t="str">
        <x:v>Vorgelagerte Lieferkette; relevante Tier-Stufen und Beschaffungsvolumen</x:v>
      </x:c>
      <x:c r="AB41" s="14" t="str">
        <x:v>Primärdaten bevorzugt; Sekundärdaten nur transparent und versioniert; Methode und Systemgrenze dokumentieren</x:v>
      </x:c>
      <x:c r="AC41" s="14" t="str">
        <x:v>Limited Assurance; risikobasiert höhere Prüftiefe</x:v>
      </x:c>
    </x:row>
    <x:row r="42" ht="42" customHeight="1">
      <x:c r="A42" s="14" t="str">
        <x:v>WOK-SC-105</x:v>
      </x:c>
      <x:c r="B42" s="14" t="str">
        <x:v>SDG 2 – Kein Hunger</x:v>
      </x:c>
      <x:c r="C42" s="14" t="str">
        <x:v>2.3</x:v>
      </x:c>
      <x:c r="D42" s="14" t="str">
        <x:v>Kleinbauern‑Integration</x:v>
      </x:c>
      <x:c r="E42" s="14" t="str">
        <x:v>Kleinbauern‑Integration – Kinder/Zwangsarbeit</x:v>
      </x:c>
      <x:c r="F42" s="14" t="str">
        <x:v>% Lieferanten</x:v>
      </x:c>
      <x:c r="G42" s="14" t="str">
        <x:v>higher_is_better</x:v>
      </x:c>
      <x:c r="H42" s="14" t="str">
        <x:v>R28</x:v>
      </x:c>
      <x:c r="I42" s="14" t="str">
        <x:v>NUM_HIGH</x:v>
      </x:c>
      <x:c r="J42" s="51"/>
      <x:c r="K42" s="51"/>
      <x:c r="L42" s="51"/>
      <x:c r="M42" s="54"/>
      <x:c r="N42" s="58" t="str">
        <x:f>IF($J42="","",IF($J42&lt;50,-3,IF($J42&lt;75,-2,IF($J42&lt;90,0,IF($J42&lt;98,2,3)))))</x:f>
      </x:c>
      <x:c r="O42" s="58" t="str">
        <x:f>IF($J42="","",IF(OR('02_Benchmarks'!$P42&lt;&gt;"Aktiv",COUNT('02_Benchmarks'!$J42:$M42)&lt;4),"",IF($G42="lower_is_better",IF($J42&lt;='02_Benchmarks'!$J42,3,IF($J42&lt;'02_Benchmarks'!$K42,2,IF($J42&lt;='02_Benchmarks'!$L42,0,IF($J42&lt;='02_Benchmarks'!$M42,-2,-3)))),IF($J42&gt;='02_Benchmarks'!$J42,3,IF($J42&gt;'02_Benchmarks'!$K42,2,IF($J42&gt;='02_Benchmarks'!$L42,0,IF($J42&gt;='02_Benchmarks'!$M42,-2,-3)))))))</x:f>
      </x:c>
      <x:c r="P42" s="58" t="str">
        <x:f>IF(COUNT($N42:$O42)+IF(ISNUMBER($K42),1,0)=0,"",MIN($N42:$O42,$K42))</x:f>
      </x:c>
      <x:c r="Q42" s="58" t="str">
        <x:f>IF($P42="","",INDEX('04_Tarifmodell'!$B$6:$B$12,$P42+4))</x:f>
      </x:c>
      <x:c r="R42" s="64" t="str">
        <x:f>IF($P42="","",INDEX('04_Tarifmodell'!$C$6:$C$12,$P42+4))</x:f>
      </x:c>
      <x:c r="S42" s="14" t="str">
        <x:f>IF(OR($I42="QUALITATIVE",$I42="MANUAL_HYBRID"),IF($K42="","Assurance-Score fehlt","Assurance-bewertet"),IF($I42="BENCHMARK",IF($W42&lt;&gt;"Aktiv",IF($K42="","Benchmark fehlt","Assurance-bewertet"),IF($J42="","Messwert fehlt",IF($P42="","Nicht bewertbar","Berechnet"))),IF(AND($J42="",$K42&lt;&gt;""),"Nur Assurance-Score",IF($J42="","Messwert fehlt",IF($P42="","Nicht bewertbar",IF($P42&lt;=-2,"Kritische Wirkung / Prüfung","Berechnet"))))))</x:f>
        <x:v>Messwert fehlt</x:v>
      </x:c>
      <x:c r="T42" s="14" t="str">
        <x:v>Vollständige fünfstufige numerische Regel.</x:v>
      </x:c>
      <x:c r="U42" s="14" t="str">
        <x:v>≥98:+3; 90–97:+2; 75–89:0; 50–74:‑2; &lt;50:‑3</x:v>
      </x:c>
      <x:c r="V42" s="14" t="str">
        <x:v>ESRS S2, GRI 308/414, OECD Due Diligence</x:v>
      </x:c>
      <x:c r="W42" s="14" t="str">
        <x:f>'02_Benchmarks'!$P42</x:f>
        <x:v>Optional – kein aktiver Benchmark</x:v>
      </x:c>
      <x:c r="X42" s="14" t="str">
        <x:v>Messgrundlage belegt; Schwellenkalibrierung offen</x:v>
      </x:c>
      <x:c r="Y42" s="14" t="str">
        <x:v>Mittel</x:v>
      </x:c>
      <x:c r="Z42" s="14" t="str">
        <x:v>Arbeitskalibrierung – fachlich zu validieren</x:v>
      </x:c>
      <x:c r="AA42" s="14" t="str">
        <x:v>Vorgelagerte Lieferkette; relevante Tier-Stufen und Beschaffungsvolumen</x:v>
      </x:c>
      <x:c r="AB42" s="14" t="str">
        <x:v>Primärdaten bevorzugt; Sekundärdaten nur transparent und versioniert; Methode und Systemgrenze dokumentieren</x:v>
      </x:c>
      <x:c r="AC42" s="14" t="str">
        <x:v>Limited Assurance; risikobasiert höhere Prüftiefe</x:v>
      </x:c>
    </x:row>
    <x:row r="43" ht="42" customHeight="1">
      <x:c r="A43" s="14" t="str">
        <x:v>WOK-SC-106</x:v>
      </x:c>
      <x:c r="B43" s="14" t="str">
        <x:v>SDG 2 – Kein Hunger</x:v>
      </x:c>
      <x:c r="C43" s="14" t="str">
        <x:v>2.3</x:v>
      </x:c>
      <x:c r="D43" s="14" t="str">
        <x:v>Kleinbauern‑Integration</x:v>
      </x:c>
      <x:c r="E43" s="14" t="str">
        <x:v>Kleinbauern‑Integration – Scope‑3 Daten</x:v>
      </x:c>
      <x:c r="F43" s="14" t="str">
        <x:v>% Kategorien</x:v>
      </x:c>
      <x:c r="G43" s="14" t="str">
        <x:v>higher_is_better</x:v>
      </x:c>
      <x:c r="H43" s="14" t="str">
        <x:v>R23</x:v>
      </x:c>
      <x:c r="I43" s="14" t="str">
        <x:v>NUM_HIGH</x:v>
      </x:c>
      <x:c r="J43" s="51"/>
      <x:c r="K43" s="51"/>
      <x:c r="L43" s="51"/>
      <x:c r="M43" s="54"/>
      <x:c r="N43" s="58" t="str">
        <x:f>IF($J43="","",IF($J43&lt;20,-3,IF($J43&lt;40,-2,IF($J43&lt;60,0,IF($J43&lt;80,2,3)))))</x:f>
      </x:c>
      <x:c r="O43" s="58" t="str">
        <x:f>IF($J43="","",IF(OR('02_Benchmarks'!$P43&lt;&gt;"Aktiv",COUNT('02_Benchmarks'!$J43:$M43)&lt;4),"",IF($G43="lower_is_better",IF($J43&lt;='02_Benchmarks'!$J43,3,IF($J43&lt;'02_Benchmarks'!$K43,2,IF($J43&lt;='02_Benchmarks'!$L43,0,IF($J43&lt;='02_Benchmarks'!$M43,-2,-3)))),IF($J43&gt;='02_Benchmarks'!$J43,3,IF($J43&gt;'02_Benchmarks'!$K43,2,IF($J43&gt;='02_Benchmarks'!$L43,0,IF($J43&gt;='02_Benchmarks'!$M43,-2,-3)))))))</x:f>
      </x:c>
      <x:c r="P43" s="58" t="str">
        <x:f>IF(COUNT($N43:$O43)+IF(ISNUMBER($K43),1,0)=0,"",MIN($N43:$O43,$K43))</x:f>
      </x:c>
      <x:c r="Q43" s="58" t="str">
        <x:f>IF($P43="","",INDEX('04_Tarifmodell'!$B$6:$B$12,$P43+4))</x:f>
      </x:c>
      <x:c r="R43" s="64" t="str">
        <x:f>IF($P43="","",INDEX('04_Tarifmodell'!$C$6:$C$12,$P43+4))</x:f>
      </x:c>
      <x:c r="S43" s="14" t="str">
        <x:f>IF(OR($I43="QUALITATIVE",$I43="MANUAL_HYBRID"),IF($K43="","Assurance-Score fehlt","Assurance-bewertet"),IF($I43="BENCHMARK",IF($W43&lt;&gt;"Aktiv",IF($K43="","Benchmark fehlt","Assurance-bewertet"),IF($J43="","Messwert fehlt",IF($P43="","Nicht bewertbar","Berechnet"))),IF(AND($J43="",$K43&lt;&gt;""),"Nur Assurance-Score",IF($J43="","Messwert fehlt",IF($P43="","Nicht bewertbar",IF($P43&lt;=-2,"Kritische Wirkung / Prüfung","Berechnet"))))))</x:f>
        <x:v>Messwert fehlt</x:v>
      </x:c>
      <x:c r="T43" s="14" t="str">
        <x:v>Vollständige fünfstufige numerische Regel.</x:v>
      </x:c>
      <x:c r="U43" s="14" t="str">
        <x:v>≥80:+3; 60–79:+2; 40–59:0; 20–39:‑2; &lt;20:‑3</x:v>
      </x:c>
      <x:c r="V43" s="14" t="str">
        <x:v>ESRS E1, GHG Protocol (Corporate/Scope 1–3), ISO 14064/14067</x:v>
      </x:c>
      <x:c r="W43" s="14" t="str">
        <x:f>'02_Benchmarks'!$P43</x:f>
        <x:v>Optional – kein aktiver Benchmark</x:v>
      </x:c>
      <x:c r="X43" s="14" t="str">
        <x:v>Messgrundlage belegt; Schwellenkalibrierung offen</x:v>
      </x:c>
      <x:c r="Y43" s="14" t="str">
        <x:v>Mittel</x:v>
      </x:c>
      <x:c r="Z43" s="14" t="str">
        <x:v>Arbeitskalibrierung – fachlich zu validieren</x:v>
      </x:c>
      <x:c r="AA43" s="14" t="str">
        <x:v>Vorgelagerte Lieferkette; relevante Tier-Stufen und Beschaffungsvolumen</x:v>
      </x:c>
      <x:c r="AB43" s="14" t="str">
        <x:v>Primärdaten bevorzugt; Sekundärdaten nur transparent und versioniert; Methode und Systemgrenze dokumentieren</x:v>
      </x:c>
      <x:c r="AC43" s="14" t="str">
        <x:v>Limited Assurance; risikobasiert höhere Prüftiefe</x:v>
      </x:c>
    </x:row>
    <x:row r="44" ht="42" customHeight="1">
      <x:c r="A44" s="14" t="str">
        <x:v>WOK-P-101</x:v>
      </x:c>
      <x:c r="B44" s="14" t="str">
        <x:v>SDG 2 – Kein Hunger</x:v>
      </x:c>
      <x:c r="C44" s="14" t="str">
        <x:v>2.4</x:v>
      </x:c>
      <x:c r="D44" s="14" t="str">
        <x:v>Produkt‑PCF Agrar</x:v>
      </x:c>
      <x:c r="E44" s="14" t="str">
        <x:v>Produkt‑PCF Agrar – PCF</x:v>
      </x:c>
      <x:c r="F44" s="14" t="str">
        <x:v>kg CO₂e/Einheit</x:v>
      </x:c>
      <x:c r="G44" s="14" t="str">
        <x:v>lower_is_better</x:v>
      </x:c>
      <x:c r="H44" s="14" t="str">
        <x:v>R07</x:v>
      </x:c>
      <x:c r="I44" s="14" t="str">
        <x:v>BENCHMARK</x:v>
      </x:c>
      <x:c r="J44" s="51"/>
      <x:c r="K44" s="51"/>
      <x:c r="L44" s="51"/>
      <x:c r="M44" s="54"/>
      <x:c r="N44" s="58" t="str">
        <x:f>""</x:f>
      </x:c>
      <x:c r="O44" s="58" t="str">
        <x:f>IF($J44="","",IF(OR('02_Benchmarks'!$P44&lt;&gt;"Aktiv",COUNT('02_Benchmarks'!$J44:$M44)&lt;4),"",IF($G44="lower_is_better",IF($J44&lt;='02_Benchmarks'!$J44,3,IF($J44&lt;'02_Benchmarks'!$K44,2,IF($J44&lt;='02_Benchmarks'!$L44,0,IF($J44&lt;='02_Benchmarks'!$M44,-2,-3)))),IF($J44&gt;='02_Benchmarks'!$J44,3,IF($J44&gt;'02_Benchmarks'!$K44,2,IF($J44&gt;='02_Benchmarks'!$L44,0,IF($J44&gt;='02_Benchmarks'!$M44,-2,-3)))))))</x:f>
      </x:c>
      <x:c r="P44" s="58" t="str">
        <x:f>IF(COUNT($N44:$O44)+IF(ISNUMBER($K44),1,0)=0,"",MIN($N44:$O44,$K44))</x:f>
      </x:c>
      <x:c r="Q44" s="58" t="str">
        <x:f>IF($P44="","",INDEX('04_Tarifmodell'!$B$6:$B$12,$P44+4))</x:f>
      </x:c>
      <x:c r="R44" s="64" t="str">
        <x:f>IF($P44="","",INDEX('04_Tarifmodell'!$C$6:$C$12,$P44+4))</x:f>
      </x:c>
      <x:c r="S44" s="14" t="str">
        <x:f>IF(OR($I44="QUALITATIVE",$I44="MANUAL_HYBRID"),IF($K44="","Assurance-Score fehlt","Assurance-bewertet"),IF($I44="BENCHMARK",IF($W44&lt;&gt;"Aktiv",IF($K44="","Benchmark fehlt","Assurance-bewertet"),IF($J44="","Messwert fehlt",IF($P44="","Nicht bewertbar","Berechnet"))),IF(AND($J44="",$K44&lt;&gt;""),"Nur Assurance-Score",IF($J44="","Messwert fehlt",IF($P44="","Nicht bewertbar",IF($P44&lt;=-2,"Kritische Wirkung / Prüfung","Berechnet"))))))</x:f>
        <x:v>Benchmark fehlt</x:v>
      </x:c>
      <x:c r="T44" s="14" t="str">
        <x:v>Produktspezifische Referenzpopulation erforderlich.</x:v>
      </x:c>
      <x:c r="U44" s="14" t="str">
        <x:v>Top‑10%:+3; ±Benchmark:0; &gt;150%:‑2; &gt;250%:‑3</x:v>
      </x:c>
      <x:c r="V44" s="14" t="str">
        <x:v>ISO 14067/14040/44 (LCA/PCF), PEF/EF 3.1, EU Reparierbarkeitsindex</x:v>
      </x:c>
      <x:c r="W44" s="14" t="str">
        <x:f>'02_Benchmarks'!$P44</x:f>
        <x:v>Offen – validierter Benchmark fehlt</x:v>
      </x:c>
      <x:c r="X44" s="14" t="str">
        <x:v>Teilbelegt – Benchmarkquelle fehlt</x:v>
      </x:c>
      <x:c r="Y44" s="14" t="str">
        <x:v>Hoch</x:v>
      </x:c>
      <x:c r="Z44" s="14" t="str">
        <x:v>Validierter Benchmark fehlt</x:v>
      </x:c>
      <x:c r="AA44" s="14" t="str">
        <x:v>Produkt/Funktionseinheit; Lebenszyklusgrenze mindestens cradle-to-gate, bei Nutzungs-/End-of-Life-Relevanz cradle-to-grave</x:v>
      </x:c>
      <x:c r="AB44" s="14" t="str">
        <x:v>Primärdaten plus repräsentativer, versionierter Benchmarkdatensatz; Stichprobe und Population offenlegen</x:v>
      </x:c>
      <x:c r="AC44" s="14" t="str">
        <x:v>Messwert-Assurance und unabhängige Benchmark-Governance</x:v>
      </x:c>
    </x:row>
    <x:row r="45" ht="42" customHeight="1">
      <x:c r="A45" s="14" t="str">
        <x:v>WOK-P-102</x:v>
      </x:c>
      <x:c r="B45" s="14" t="str">
        <x:v>SDG 2 – Kein Hunger</x:v>
      </x:c>
      <x:c r="C45" s="14" t="str">
        <x:v>2.4</x:v>
      </x:c>
      <x:c r="D45" s="14" t="str">
        <x:v>Produkt‑PCF Agrar</x:v>
      </x:c>
      <x:c r="E45" s="14" t="str">
        <x:v>Produkt‑PCF Agrar – Reparierbarkeit</x:v>
      </x:c>
      <x:c r="F45" s="14" t="str">
        <x:v>Score 0–10</x:v>
      </x:c>
      <x:c r="G45" s="14" t="str">
        <x:v>higher_is_better</x:v>
      </x:c>
      <x:c r="H45" s="14" t="str">
        <x:v>R24</x:v>
      </x:c>
      <x:c r="I45" s="14" t="str">
        <x:v>NUM_HIGH</x:v>
      </x:c>
      <x:c r="J45" s="51"/>
      <x:c r="K45" s="51"/>
      <x:c r="L45" s="51"/>
      <x:c r="M45" s="54"/>
      <x:c r="N45" s="58" t="str">
        <x:f>IF($J45="","",IF($J45&lt;2,-3,IF($J45&lt;4,-2,IF($J45&lt;6,0,IF($J45&lt;8,2,3)))))</x:f>
      </x:c>
      <x:c r="O45" s="58" t="str">
        <x:f>IF($J45="","",IF(OR('02_Benchmarks'!$P45&lt;&gt;"Aktiv",COUNT('02_Benchmarks'!$J45:$M45)&lt;4),"",IF($G45="lower_is_better",IF($J45&lt;='02_Benchmarks'!$J45,3,IF($J45&lt;'02_Benchmarks'!$K45,2,IF($J45&lt;='02_Benchmarks'!$L45,0,IF($J45&lt;='02_Benchmarks'!$M45,-2,-3)))),IF($J45&gt;='02_Benchmarks'!$J45,3,IF($J45&gt;'02_Benchmarks'!$K45,2,IF($J45&gt;='02_Benchmarks'!$L45,0,IF($J45&gt;='02_Benchmarks'!$M45,-2,-3)))))))</x:f>
      </x:c>
      <x:c r="P45" s="58" t="str">
        <x:f>IF(COUNT($N45:$O45)+IF(ISNUMBER($K45),1,0)=0,"",MIN($N45:$O45,$K45))</x:f>
      </x:c>
      <x:c r="Q45" s="58" t="str">
        <x:f>IF($P45="","",INDEX('04_Tarifmodell'!$B$6:$B$12,$P45+4))</x:f>
      </x:c>
      <x:c r="R45" s="64" t="str">
        <x:f>IF($P45="","",INDEX('04_Tarifmodell'!$C$6:$C$12,$P45+4))</x:f>
      </x:c>
      <x:c r="S45" s="14" t="str">
        <x:f>IF(OR($I45="QUALITATIVE",$I45="MANUAL_HYBRID"),IF($K45="","Assurance-Score fehlt","Assurance-bewertet"),IF($I45="BENCHMARK",IF($W45&lt;&gt;"Aktiv",IF($K45="","Benchmark fehlt","Assurance-bewertet"),IF($J45="","Messwert fehlt",IF($P45="","Nicht bewertbar","Berechnet"))),IF(AND($J45="",$K45&lt;&gt;""),"Nur Assurance-Score",IF($J45="","Messwert fehlt",IF($P45="","Nicht bewertbar",IF($P45&lt;=-2,"Kritische Wirkung / Prüfung","Berechnet"))))))</x:f>
        <x:v>Messwert fehlt</x:v>
      </x:c>
      <x:c r="T45" s="14" t="str">
        <x:v>Indexsystem, Produktgruppe und Rechtsstand festlegen. Französischer Index und EU-Score sind nicht pauschal austauschbar.</x:v>
      </x:c>
      <x:c r="U45" s="14" t="str">
        <x:v>≥8:+3; 6–7,9:+2; 4–5,9:0; 2–3,9:‑2; &lt;2:‑3</x:v>
      </x:c>
      <x:c r="V45" s="14" t="str">
        <x:v>ISO 14067/14040/44 (LCA/PCF), PEF/EF 3.1, EU Reparierbarkeitsindex</x:v>
      </x:c>
      <x:c r="W45" s="14" t="str">
        <x:f>'02_Benchmarks'!$P45</x:f>
        <x:v>Optional – kein aktiver Benchmark</x:v>
      </x:c>
      <x:c r="X45" s="14" t="str">
        <x:v>Teilbelegt – produktspezifisch zu validieren</x:v>
      </x:c>
      <x:c r="Y45" s="14" t="str">
        <x:v>Hoch</x:v>
      </x:c>
      <x:c r="Z45" s="14" t="str">
        <x:v>Indexsystem und Produktgruppe müssen ausgewiesen werden</x:v>
      </x:c>
      <x:c r="AA45" s="14" t="str">
        <x:v>Produkt/Funktionseinheit; Lebenszyklusgrenze mindestens cradle-to-gate, bei Nutzungs-/End-of-Life-Relevanz cradle-to-grave</x:v>
      </x:c>
      <x:c r="AB45" s="14" t="str">
        <x:v>Primärdaten oder qualitätsgesicherte Sekundärdaten; Methode, Zeitraum und Systemgrenze dokumentieren</x:v>
      </x:c>
      <x:c r="AC45" s="14" t="str">
        <x:v>Limited Assurance; bei materieller Steuerwirkung risikobasiert vertiefen</x:v>
      </x:c>
    </x:row>
    <x:row r="46" ht="42" customHeight="1">
      <x:c r="A46" s="14" t="str">
        <x:v>WOK-P-103</x:v>
      </x:c>
      <x:c r="B46" s="14" t="str">
        <x:v>SDG 2 – Kein Hunger</x:v>
      </x:c>
      <x:c r="C46" s="14" t="str">
        <x:v>2.4</x:v>
      </x:c>
      <x:c r="D46" s="14" t="str">
        <x:v>Produkt‑PCF Agrar</x:v>
      </x:c>
      <x:c r="E46" s="14" t="str">
        <x:v>Produkt‑PCF Agrar – Rücknahme/Recycling</x:v>
      </x:c>
      <x:c r="F46" s="14" t="str">
        <x:v>%</x:v>
      </x:c>
      <x:c r="G46" s="14" t="str">
        <x:v>higher_is_better</x:v>
      </x:c>
      <x:c r="H46" s="14" t="str">
        <x:v>R22</x:v>
      </x:c>
      <x:c r="I46" s="14" t="str">
        <x:v>NUM_HIGH</x:v>
      </x:c>
      <x:c r="J46" s="51"/>
      <x:c r="K46" s="51"/>
      <x:c r="L46" s="51"/>
      <x:c r="M46" s="54"/>
      <x:c r="N46" s="58" t="str">
        <x:f>IF($J46="","",IF($J46&lt;15,-3,IF($J46&lt;30,-2,IF($J46&lt;50,0,IF($J46&lt;70,2,3)))))</x:f>
      </x:c>
      <x:c r="O46" s="58" t="str">
        <x:f>IF($J46="","",IF(OR('02_Benchmarks'!$P46&lt;&gt;"Aktiv",COUNT('02_Benchmarks'!$J46:$M46)&lt;4),"",IF($G46="lower_is_better",IF($J46&lt;='02_Benchmarks'!$J46,3,IF($J46&lt;'02_Benchmarks'!$K46,2,IF($J46&lt;='02_Benchmarks'!$L46,0,IF($J46&lt;='02_Benchmarks'!$M46,-2,-3)))),IF($J46&gt;='02_Benchmarks'!$J46,3,IF($J46&gt;'02_Benchmarks'!$K46,2,IF($J46&gt;='02_Benchmarks'!$L46,0,IF($J46&gt;='02_Benchmarks'!$M46,-2,-3)))))))</x:f>
      </x:c>
      <x:c r="P46" s="58" t="str">
        <x:f>IF(COUNT($N46:$O46)+IF(ISNUMBER($K46),1,0)=0,"",MIN($N46:$O46,$K46))</x:f>
      </x:c>
      <x:c r="Q46" s="58" t="str">
        <x:f>IF($P46="","",INDEX('04_Tarifmodell'!$B$6:$B$12,$P46+4))</x:f>
      </x:c>
      <x:c r="R46" s="64" t="str">
        <x:f>IF($P46="","",INDEX('04_Tarifmodell'!$C$6:$C$12,$P46+4))</x:f>
      </x:c>
      <x:c r="S46" s="14" t="str">
        <x:f>IF(OR($I46="QUALITATIVE",$I46="MANUAL_HYBRID"),IF($K46="","Assurance-Score fehlt","Assurance-bewertet"),IF($I46="BENCHMARK",IF($W46&lt;&gt;"Aktiv",IF($K46="","Benchmark fehlt","Assurance-bewertet"),IF($J46="","Messwert fehlt",IF($P46="","Nicht bewertbar","Berechnet"))),IF(AND($J46="",$K46&lt;&gt;""),"Nur Assurance-Score",IF($J46="","Messwert fehlt",IF($P46="","Nicht bewertbar",IF($P46&lt;=-2,"Kritische Wirkung / Prüfung","Berechnet"))))))</x:f>
        <x:v>Messwert fehlt</x:v>
      </x:c>
      <x:c r="T46" s="14" t="str">
        <x:v>Vollständige fünfstufige numerische Regel.</x:v>
      </x:c>
      <x:c r="U46" s="14" t="str">
        <x:v>≥70:+3; 50–69:+2; 30–49:0; 15–29:‑2; &lt;15:‑3</x:v>
      </x:c>
      <x:c r="V46" s="14" t="str">
        <x:v>ESRS E5, GRI 306, WEEE/VerpackG</x:v>
      </x:c>
      <x:c r="W46" s="14" t="str">
        <x:f>'02_Benchmarks'!$P46</x:f>
        <x:v>Optional – kein aktiver Benchmark</x:v>
      </x:c>
      <x:c r="X46" s="14" t="str">
        <x:v>Messgrundlage belegt; Schwellenkalibrierung offen</x:v>
      </x:c>
      <x:c r="Y46" s="14" t="str">
        <x:v>Mittel</x:v>
      </x:c>
      <x:c r="Z46" s="14" t="str">
        <x:v>Arbeitskalibrierung – fachlich zu validieren</x:v>
      </x:c>
      <x:c r="AA46" s="14" t="str">
        <x:v>Produkt/Funktionseinheit; Lebenszyklusgrenze mindestens cradle-to-gate, bei Nutzungs-/End-of-Life-Relevanz cradle-to-grave</x:v>
      </x:c>
      <x:c r="AB46" s="14" t="str">
        <x:v>Primärdaten bevorzugt; Sekundärdaten nur transparent und versioniert; Methode und Systemgrenze dokumentieren</x:v>
      </x:c>
      <x:c r="AC46" s="14" t="str">
        <x:v>Limited Assurance; risikobasiert höhere Prüftiefe</x:v>
      </x:c>
    </x:row>
    <x:row r="47" ht="42" customHeight="1">
      <x:c r="A47" s="14" t="str">
        <x:v>WOK-E-110</x:v>
      </x:c>
      <x:c r="B47" s="14" t="str">
        <x:v>SDG 2 – Kein Hunger</x:v>
      </x:c>
      <x:c r="C47" s="14" t="str">
        <x:v>2.4</x:v>
      </x:c>
      <x:c r="D47" s="14" t="str">
        <x:v>Boden‑Organik/Fruchtbarkeit</x:v>
      </x:c>
      <x:c r="E47" s="14" t="str">
        <x:v>Boden‑Organik/Fruchtbarkeit – Nettoeffekt</x:v>
      </x:c>
      <x:c r="F47" s="14" t="str">
        <x:v>Qualitativ → Klasse</x:v>
      </x:c>
      <x:c r="G47" s="14" t="str">
        <x:v>higher_is_better</x:v>
      </x:c>
      <x:c r="H47" s="14" t="str">
        <x:v>R03</x:v>
      </x:c>
      <x:c r="I47" s="14" t="str">
        <x:v>QUALITATIVE</x:v>
      </x:c>
      <x:c r="J47" s="51"/>
      <x:c r="K47" s="51"/>
      <x:c r="L47" s="51"/>
      <x:c r="M47" s="54"/>
      <x:c r="N47" s="58" t="str">
        <x:f>""</x:f>
      </x:c>
      <x:c r="O47" s="58" t="str">
        <x:f>IF($J47="","",IF(OR('02_Benchmarks'!$P47&lt;&gt;"Aktiv",COUNT('02_Benchmarks'!$J47:$M47)&lt;4),"",IF($G47="lower_is_better",IF($J47&lt;='02_Benchmarks'!$J47,3,IF($J47&lt;'02_Benchmarks'!$K47,2,IF($J47&lt;='02_Benchmarks'!$L47,0,IF($J47&lt;='02_Benchmarks'!$M47,-2,-3)))),IF($J47&gt;='02_Benchmarks'!$J47,3,IF($J47&gt;'02_Benchmarks'!$K47,2,IF($J47&gt;='02_Benchmarks'!$L47,0,IF($J47&gt;='02_Benchmarks'!$M47,-2,-3)))))))</x:f>
      </x:c>
      <x:c r="P47" s="58" t="str">
        <x:f>IF(COUNT($N47:$O47)+IF(ISNUMBER($K47),1,0)=0,"",MIN($N47:$O47,$K47))</x:f>
      </x:c>
      <x:c r="Q47" s="58" t="str">
        <x:f>IF($P47="","",INDEX('04_Tarifmodell'!$B$6:$B$12,$P47+4))</x:f>
      </x:c>
      <x:c r="R47" s="64" t="str">
        <x:f>IF($P47="","",INDEX('04_Tarifmodell'!$C$6:$C$12,$P47+4))</x:f>
      </x:c>
      <x:c r="S47" s="14" t="str">
        <x:f>IF(OR($I47="QUALITATIVE",$I47="MANUAL_HYBRID"),IF($K47="","Assurance-Score fehlt","Assurance-bewertet"),IF($I47="BENCHMARK",IF($W47&lt;&gt;"Aktiv",IF($K47="","Benchmark fehlt","Assurance-bewertet"),IF($J47="","Messwert fehlt",IF($P47="","Nicht bewertbar","Berechnet"))),IF(AND($J47="",$K47&lt;&gt;""),"Nur Assurance-Score",IF($J47="","Messwert fehlt",IF($P47="","Nicht bewertbar",IF($P47&lt;=-2,"Kritische Wirkung / Prüfung","Berechnet"))))))</x:f>
        <x:v>Assurance-Score fehlt</x:v>
      </x:c>
      <x:c r="T47" s="14" t="str">
        <x:v>Net Gain/No Net Loss/Net Loss ist ohne feldspezifischen Nachweis nicht automatisierbar.</x:v>
      </x:c>
      <x:c r="U47" s="14" t="str">
        <x:v>Net Gain:+3; No Net Loss:0; Net Loss:‑2/‑3</x:v>
      </x:c>
      <x:c r="V47" s="14" t="str">
        <x:v>ESRS E4, CBD/GBF, EN 15978 (Bau)</x:v>
      </x:c>
      <x:c r="W47" s="14" t="str">
        <x:f>'02_Benchmarks'!$P47</x:f>
        <x:v>Optional – kein aktiver Benchmark</x:v>
      </x:c>
      <x:c r="X47" s="14" t="str">
        <x:v>Messgrundlage belegt; Schwellenkalibrierung offen</x:v>
      </x:c>
      <x:c r="Y47" s="14" t="str">
        <x:v>Hoch</x:v>
      </x:c>
      <x:c r="Z47" s="14" t="str">
        <x:v>Assurance und Kriterienkatalog erforderlich</x:v>
      </x:c>
      <x:c r="AA47" s="14" t="str">
        <x:v>Standort/Prozess/Aktivität; Bezugsgröße und relevante Umweltmedien</x:v>
      </x:c>
      <x:c r="AB47" s="14" t="str">
        <x:v>Dokumentierter Kriterienkatalog; nachvollziehbare Evidenz; DQR A/B bevorzugt</x:v>
      </x:c>
      <x:c r="AC47" s="14" t="str">
        <x:v>Unabhängige Fachprüfung/Limited Assurance; bei roten Linien Reasonable Assurance</x:v>
      </x:c>
    </x:row>
    <x:row r="48" ht="42" customHeight="1">
      <x:c r="A48" s="14" t="str">
        <x:v>WOK-E-111</x:v>
      </x:c>
      <x:c r="B48" s="14" t="str">
        <x:v>SDG 2 – Kein Hunger</x:v>
      </x:c>
      <x:c r="C48" s="14" t="str">
        <x:v>2.4</x:v>
      </x:c>
      <x:c r="D48" s="14" t="str">
        <x:v>Boden‑Organik/Fruchtbarkeit</x:v>
      </x:c>
      <x:c r="E48" s="14" t="str">
        <x:v>Boden‑Organik/Fruchtbarkeit – Landumwandlung</x:v>
      </x:c>
      <x:c r="F48" s="14" t="str">
        <x:v>ha/Jahr</x:v>
      </x:c>
      <x:c r="G48" s="14" t="str">
        <x:v>lower_is_better</x:v>
      </x:c>
      <x:c r="H48" s="14" t="str">
        <x:v>R02</x:v>
      </x:c>
      <x:c r="I48" s="14" t="str">
        <x:v>NUM_LOW</x:v>
      </x:c>
      <x:c r="J48" s="51"/>
      <x:c r="K48" s="51"/>
      <x:c r="L48" s="51"/>
      <x:c r="M48" s="54"/>
      <x:c r="N48" s="58" t="str">
        <x:f>IF($J48="","",IF($J48&lt;=0,3,IF($J48&lt;=1,2,IF($J48&lt;=3,0,IF($J48&lt;=5,-2,-3)))))</x:f>
      </x:c>
      <x:c r="O48" s="58" t="str">
        <x:f>IF($J48="","",IF(OR('02_Benchmarks'!$P48&lt;&gt;"Aktiv",COUNT('02_Benchmarks'!$J48:$M48)&lt;4),"",IF($G48="lower_is_better",IF($J48&lt;='02_Benchmarks'!$J48,3,IF($J48&lt;'02_Benchmarks'!$K48,2,IF($J48&lt;='02_Benchmarks'!$L48,0,IF($J48&lt;='02_Benchmarks'!$M48,-2,-3)))),IF($J48&gt;='02_Benchmarks'!$J48,3,IF($J48&gt;'02_Benchmarks'!$K48,2,IF($J48&gt;='02_Benchmarks'!$L48,0,IF($J48&gt;='02_Benchmarks'!$M48,-2,-3)))))))</x:f>
      </x:c>
      <x:c r="P48" s="58" t="str">
        <x:f>IF(COUNT($N48:$O48)+IF(ISNUMBER($K48),1,0)=0,"",MIN($N48:$O48,$K48))</x:f>
      </x:c>
      <x:c r="Q48" s="58" t="str">
        <x:f>IF($P48="","",INDEX('04_Tarifmodell'!$B$6:$B$12,$P48+4))</x:f>
      </x:c>
      <x:c r="R48" s="64" t="str">
        <x:f>IF($P48="","",INDEX('04_Tarifmodell'!$C$6:$C$12,$P48+4))</x:f>
      </x:c>
      <x:c r="S48" s="14" t="str">
        <x:f>IF(OR($I48="QUALITATIVE",$I48="MANUAL_HYBRID"),IF($K48="","Assurance-Score fehlt","Assurance-bewertet"),IF($I48="BENCHMARK",IF($W48&lt;&gt;"Aktiv",IF($K48="","Benchmark fehlt","Assurance-bewertet"),IF($J48="","Messwert fehlt",IF($P48="","Nicht bewertbar","Berechnet"))),IF(AND($J48="",$K48&lt;&gt;""),"Nur Assurance-Score",IF($J48="","Messwert fehlt",IF($P48="","Nicht bewertbar",IF($P48&lt;=-2,"Kritische Wirkung / Prüfung","Berechnet"))))))</x:f>
        <x:v>Messwert fehlt</x:v>
      </x:c>
      <x:c r="T48" s="14" t="str">
        <x:v>Vollständige fünfstufige numerische Regel.</x:v>
      </x:c>
      <x:c r="U48" s="14" t="str">
        <x:v>0:+3; ≤1:+2; ≤3:0; ≤5:‑2; &gt;5:‑3</x:v>
      </x:c>
      <x:c r="V48" s="14" t="str">
        <x:v>ESRS E4, CBD/GBF, EN 15978 (Bau)</x:v>
      </x:c>
      <x:c r="W48" s="14" t="str">
        <x:f>'02_Benchmarks'!$P48</x:f>
        <x:v>Optional – kein aktiver Benchmark</x:v>
      </x:c>
      <x:c r="X48" s="14" t="str">
        <x:v>Messgrundlage belegt; Schwellenkalibrierung offen</x:v>
      </x:c>
      <x:c r="Y48" s="14" t="str">
        <x:v>Mittel</x:v>
      </x:c>
      <x:c r="Z48" s="14" t="str">
        <x:v>Arbeitskalibrierung – fachlich zu validieren</x:v>
      </x:c>
      <x:c r="AA48" s="14" t="str">
        <x:v>Standort/Prozess/Aktivität; Bezugsgröße und relevante Umweltmedien</x:v>
      </x:c>
      <x:c r="AB48" s="14" t="str">
        <x:v>Primärdaten bevorzugt; Sekundärdaten nur transparent und versioniert; Methode und Systemgrenze dokumentieren</x:v>
      </x:c>
      <x:c r="AC48" s="14" t="str">
        <x:v>Limited Assurance; risikobasiert höhere Prüftiefe</x:v>
      </x:c>
    </x:row>
    <x:row r="49" ht="42" customHeight="1">
      <x:c r="A49" s="14" t="str">
        <x:v>WOK-E-112</x:v>
      </x:c>
      <x:c r="B49" s="14" t="str">
        <x:v>SDG 2 – Kein Hunger</x:v>
      </x:c>
      <x:c r="C49" s="14" t="str">
        <x:v>2.4</x:v>
      </x:c>
      <x:c r="D49" s="14" t="str">
        <x:v>Boden‑Organik/Fruchtbarkeit</x:v>
      </x:c>
      <x:c r="E49" s="14" t="str">
        <x:v>Boden‑Organik/Fruchtbarkeit – Deforestationsfrei</x:v>
      </x:c>
      <x:c r="F49" s="14" t="str">
        <x:v>%</x:v>
      </x:c>
      <x:c r="G49" s="14" t="str">
        <x:v>higher_is_better</x:v>
      </x:c>
      <x:c r="H49" s="14" t="str">
        <x:v>R28</x:v>
      </x:c>
      <x:c r="I49" s="14" t="str">
        <x:v>NUM_HIGH</x:v>
      </x:c>
      <x:c r="J49" s="51"/>
      <x:c r="K49" s="51"/>
      <x:c r="L49" s="51"/>
      <x:c r="M49" s="54"/>
      <x:c r="N49" s="58" t="str">
        <x:f>IF($J49="","",IF($J49&lt;50,-3,IF($J49&lt;75,-2,IF($J49&lt;90,0,IF($J49&lt;98,2,3)))))</x:f>
      </x:c>
      <x:c r="O49" s="58" t="str">
        <x:f>IF($J49="","",IF(OR('02_Benchmarks'!$P49&lt;&gt;"Aktiv",COUNT('02_Benchmarks'!$J49:$M49)&lt;4),"",IF($G49="lower_is_better",IF($J49&lt;='02_Benchmarks'!$J49,3,IF($J49&lt;'02_Benchmarks'!$K49,2,IF($J49&lt;='02_Benchmarks'!$L49,0,IF($J49&lt;='02_Benchmarks'!$M49,-2,-3)))),IF($J49&gt;='02_Benchmarks'!$J49,3,IF($J49&gt;'02_Benchmarks'!$K49,2,IF($J49&gt;='02_Benchmarks'!$L49,0,IF($J49&gt;='02_Benchmarks'!$M49,-2,-3)))))))</x:f>
      </x:c>
      <x:c r="P49" s="58" t="str">
        <x:f>IF(COUNT($N49:$O49)+IF(ISNUMBER($K49),1,0)=0,"",MIN($N49:$O49,$K49))</x:f>
      </x:c>
      <x:c r="Q49" s="58" t="str">
        <x:f>IF($P49="","",INDEX('04_Tarifmodell'!$B$6:$B$12,$P49+4))</x:f>
      </x:c>
      <x:c r="R49" s="64" t="str">
        <x:f>IF($P49="","",INDEX('04_Tarifmodell'!$C$6:$C$12,$P49+4))</x:f>
      </x:c>
      <x:c r="S49" s="14" t="str">
        <x:f>IF(OR($I49="QUALITATIVE",$I49="MANUAL_HYBRID"),IF($K49="","Assurance-Score fehlt","Assurance-bewertet"),IF($I49="BENCHMARK",IF($W49&lt;&gt;"Aktiv",IF($K49="","Benchmark fehlt","Assurance-bewertet"),IF($J49="","Messwert fehlt",IF($P49="","Nicht bewertbar","Berechnet"))),IF(AND($J49="",$K49&lt;&gt;""),"Nur Assurance-Score",IF($J49="","Messwert fehlt",IF($P49="","Nicht bewertbar",IF($P49&lt;=-2,"Kritische Wirkung / Prüfung","Berechnet"))))))</x:f>
        <x:v>Messwert fehlt</x:v>
      </x:c>
      <x:c r="T49" s="14" t="str">
        <x:v>Vollständige fünfstufige numerische Regel.</x:v>
      </x:c>
      <x:c r="U49" s="14" t="str">
        <x:v>≥98:+3; 90–97:+2; 75–89:0; 50–74:‑2; &lt;50:‑3</x:v>
      </x:c>
      <x:c r="V49" s="14" t="str">
        <x:v>ESRS E4, CBD/GBF, EN 15978 (Bau)</x:v>
      </x:c>
      <x:c r="W49" s="14" t="str">
        <x:f>'02_Benchmarks'!$P49</x:f>
        <x:v>Optional – kein aktiver Benchmark</x:v>
      </x:c>
      <x:c r="X49" s="14" t="str">
        <x:v>Messgrundlage belegt; Schwellenkalibrierung offen</x:v>
      </x:c>
      <x:c r="Y49" s="14" t="str">
        <x:v>Mittel</x:v>
      </x:c>
      <x:c r="Z49" s="14" t="str">
        <x:v>Arbeitskalibrierung – fachlich zu validieren</x:v>
      </x:c>
      <x:c r="AA49" s="14" t="str">
        <x:v>Standort/Prozess/Aktivität; Bezugsgröße und relevante Umweltmedien</x:v>
      </x:c>
      <x:c r="AB49" s="14" t="str">
        <x:v>Primärdaten bevorzugt; Sekundärdaten nur transparent und versioniert; Methode und Systemgrenze dokumentieren</x:v>
      </x:c>
      <x:c r="AC49" s="14" t="str">
        <x:v>Limited Assurance; risikobasiert höhere Prüftiefe</x:v>
      </x:c>
    </x:row>
    <x:row r="50" ht="42" customHeight="1">
      <x:c r="A50" s="14" t="str">
        <x:v>WOK-S-116</x:v>
      </x:c>
      <x:c r="B50" s="14" t="str">
        <x:v>SDG 2 – Kein Hunger</x:v>
      </x:c>
      <x:c r="C50" s="14" t="str">
        <x:v>2.3</x:v>
      </x:c>
      <x:c r="D50" s="14" t="str">
        <x:v>Saisonarbeits‑Standards</x:v>
      </x:c>
      <x:c r="E50" s="14" t="str">
        <x:v>Saisonarbeits‑Standards – Living Wage</x:v>
      </x:c>
      <x:c r="F50" s="14" t="str">
        <x:v>% Beschäftigte</x:v>
      </x:c>
      <x:c r="G50" s="14" t="str">
        <x:v>higher_is_better</x:v>
      </x:c>
      <x:c r="H50" s="14" t="str">
        <x:v>R27</x:v>
      </x:c>
      <x:c r="I50" s="14" t="str">
        <x:v>NUM_HIGH</x:v>
      </x:c>
      <x:c r="J50" s="51"/>
      <x:c r="K50" s="51"/>
      <x:c r="L50" s="51"/>
      <x:c r="M50" s="54"/>
      <x:c r="N50" s="58" t="str">
        <x:f>IF($J50="","",IF($J50&lt;40,-3,IF($J50&lt;60,-2,IF($J50&lt;80,0,IF($J50&lt;95,2,3)))))</x:f>
      </x:c>
      <x:c r="O50" s="58" t="str">
        <x:f>IF($J50="","",IF(OR('02_Benchmarks'!$P50&lt;&gt;"Aktiv",COUNT('02_Benchmarks'!$J50:$M50)&lt;4),"",IF($G50="lower_is_better",IF($J50&lt;='02_Benchmarks'!$J50,3,IF($J50&lt;'02_Benchmarks'!$K50,2,IF($J50&lt;='02_Benchmarks'!$L50,0,IF($J50&lt;='02_Benchmarks'!$M50,-2,-3)))),IF($J50&gt;='02_Benchmarks'!$J50,3,IF($J50&gt;'02_Benchmarks'!$K50,2,IF($J50&gt;='02_Benchmarks'!$L50,0,IF($J50&gt;='02_Benchmarks'!$M50,-2,-3)))))))</x:f>
      </x:c>
      <x:c r="P50" s="58" t="str">
        <x:f>IF(COUNT($N50:$O50)+IF(ISNUMBER($K50),1,0)=0,"",MIN($N50:$O50,$K50))</x:f>
      </x:c>
      <x:c r="Q50" s="58" t="str">
        <x:f>IF($P50="","",INDEX('04_Tarifmodell'!$B$6:$B$12,$P50+4))</x:f>
      </x:c>
      <x:c r="R50" s="64" t="str">
        <x:f>IF($P50="","",INDEX('04_Tarifmodell'!$C$6:$C$12,$P50+4))</x:f>
      </x:c>
      <x:c r="S50" s="14" t="str">
        <x:f>IF(OR($I50="QUALITATIVE",$I50="MANUAL_HYBRID"),IF($K50="","Assurance-Score fehlt","Assurance-bewertet"),IF($I50="BENCHMARK",IF($W50&lt;&gt;"Aktiv",IF($K50="","Benchmark fehlt","Assurance-bewertet"),IF($J50="","Messwert fehlt",IF($P50="","Nicht bewertbar","Berechnet"))),IF(AND($J50="",$K50&lt;&gt;""),"Nur Assurance-Score",IF($J50="","Messwert fehlt",IF($P50="","Nicht bewertbar",IF($P50&lt;=-2,"Kritische Wirkung / Prüfung","Berechnet"))))))</x:f>
        <x:v>Messwert fehlt</x:v>
      </x:c>
      <x:c r="T50" s="14" t="str">
        <x:v>Vollständige fünfstufige numerische Regel.</x:v>
      </x:c>
      <x:c r="U50" s="14" t="str">
        <x:v>≥95:+3; 80–94:+2; 60–79:0; 40–59:‑2; &lt;40:‑3</x:v>
      </x:c>
      <x:c r="V50" s="14" t="str">
        <x:v>ESRS S1, GRI 401/403/405/406, ILO</x:v>
      </x:c>
      <x:c r="W50" s="14" t="str">
        <x:f>'02_Benchmarks'!$P50</x:f>
        <x:v>Optional – kein aktiver Benchmark</x:v>
      </x:c>
      <x:c r="X50" s="14" t="str">
        <x:v>Messgrundlage belegt; Schwellenkalibrierung offen</x:v>
      </x:c>
      <x:c r="Y50" s="14" t="str">
        <x:v>Mittel</x:v>
      </x:c>
      <x:c r="Z50" s="14" t="str">
        <x:v>Arbeitskalibrierung – fachlich zu validieren</x:v>
      </x:c>
      <x:c r="AA50" s="14" t="str">
        <x:v>Eigene Belegschaft/Organisation; FTE, Beschäftigtengruppe und Zeitraum</x:v>
      </x:c>
      <x:c r="AB50" s="14" t="str">
        <x:v>Primärdaten bevorzugt; Sekundärdaten nur transparent und versioniert; Methode und Systemgrenze dokumentieren</x:v>
      </x:c>
      <x:c r="AC50" s="14" t="str">
        <x:v>Limited Assurance; risikobasiert höhere Prüftiefe</x:v>
      </x:c>
    </x:row>
    <x:row r="51" ht="42" customHeight="1">
      <x:c r="A51" s="14" t="str">
        <x:v>WOK-S-117</x:v>
      </x:c>
      <x:c r="B51" s="14" t="str">
        <x:v>SDG 2 – Kein Hunger</x:v>
      </x:c>
      <x:c r="C51" s="14" t="str">
        <x:v>2.3</x:v>
      </x:c>
      <x:c r="D51" s="14" t="str">
        <x:v>Saisonarbeits‑Standards</x:v>
      </x:c>
      <x:c r="E51" s="14" t="str">
        <x:v>Saisonarbeits‑Standards – Tarifbindung</x:v>
      </x:c>
      <x:c r="F51" s="14" t="str">
        <x:v>%</x:v>
      </x:c>
      <x:c r="G51" s="14" t="str">
        <x:v>higher_is_better</x:v>
      </x:c>
      <x:c r="H51" s="14" t="str">
        <x:v>R26</x:v>
      </x:c>
      <x:c r="I51" s="14" t="str">
        <x:v>NUM_HIGH</x:v>
      </x:c>
      <x:c r="J51" s="51"/>
      <x:c r="K51" s="51"/>
      <x:c r="L51" s="51"/>
      <x:c r="M51" s="54"/>
      <x:c r="N51" s="58" t="str">
        <x:f>IF($J51="","",IF($J51&lt;30,-3,IF($J51&lt;50,-2,IF($J51&lt;70,0,IF($J51&lt;90,2,3)))))</x:f>
      </x:c>
      <x:c r="O51" s="58" t="str">
        <x:f>IF($J51="","",IF(OR('02_Benchmarks'!$P51&lt;&gt;"Aktiv",COUNT('02_Benchmarks'!$J51:$M51)&lt;4),"",IF($G51="lower_is_better",IF($J51&lt;='02_Benchmarks'!$J51,3,IF($J51&lt;'02_Benchmarks'!$K51,2,IF($J51&lt;='02_Benchmarks'!$L51,0,IF($J51&lt;='02_Benchmarks'!$M51,-2,-3)))),IF($J51&gt;='02_Benchmarks'!$J51,3,IF($J51&gt;'02_Benchmarks'!$K51,2,IF($J51&gt;='02_Benchmarks'!$L51,0,IF($J51&gt;='02_Benchmarks'!$M51,-2,-3)))))))</x:f>
      </x:c>
      <x:c r="P51" s="58" t="str">
        <x:f>IF(COUNT($N51:$O51)+IF(ISNUMBER($K51),1,0)=0,"",MIN($N51:$O51,$K51))</x:f>
      </x:c>
      <x:c r="Q51" s="58" t="str">
        <x:f>IF($P51="","",INDEX('04_Tarifmodell'!$B$6:$B$12,$P51+4))</x:f>
      </x:c>
      <x:c r="R51" s="64" t="str">
        <x:f>IF($P51="","",INDEX('04_Tarifmodell'!$C$6:$C$12,$P51+4))</x:f>
      </x:c>
      <x:c r="S51" s="14" t="str">
        <x:f>IF(OR($I51="QUALITATIVE",$I51="MANUAL_HYBRID"),IF($K51="","Assurance-Score fehlt","Assurance-bewertet"),IF($I51="BENCHMARK",IF($W51&lt;&gt;"Aktiv",IF($K51="","Benchmark fehlt","Assurance-bewertet"),IF($J51="","Messwert fehlt",IF($P51="","Nicht bewertbar","Berechnet"))),IF(AND($J51="",$K51&lt;&gt;""),"Nur Assurance-Score",IF($J51="","Messwert fehlt",IF($P51="","Nicht bewertbar",IF($P51&lt;=-2,"Kritische Wirkung / Prüfung","Berechnet"))))))</x:f>
        <x:v>Messwert fehlt</x:v>
      </x:c>
      <x:c r="T51" s="14" t="str">
        <x:v>Vollständige fünfstufige numerische Regel.</x:v>
      </x:c>
      <x:c r="U51" s="14" t="str">
        <x:v>≥90:+3; 70–89:+2; 50–69:0; 30–49:‑2; &lt;30:‑3</x:v>
      </x:c>
      <x:c r="V51" s="14" t="str">
        <x:v>ESRS S1, GRI 401/403/405/406, ILO</x:v>
      </x:c>
      <x:c r="W51" s="14" t="str">
        <x:f>'02_Benchmarks'!$P51</x:f>
        <x:v>Optional – kein aktiver Benchmark</x:v>
      </x:c>
      <x:c r="X51" s="14" t="str">
        <x:v>Messgrundlage belegt; Schwellenkalibrierung offen</x:v>
      </x:c>
      <x:c r="Y51" s="14" t="str">
        <x:v>Mittel</x:v>
      </x:c>
      <x:c r="Z51" s="14" t="str">
        <x:v>Arbeitskalibrierung – fachlich zu validieren</x:v>
      </x:c>
      <x:c r="AA51" s="14" t="str">
        <x:v>Eigene Belegschaft/Organisation; FTE, Beschäftigtengruppe und Zeitraum</x:v>
      </x:c>
      <x:c r="AB51" s="14" t="str">
        <x:v>Primärdaten bevorzugt; Sekundärdaten nur transparent und versioniert; Methode und Systemgrenze dokumentieren</x:v>
      </x:c>
      <x:c r="AC51" s="14" t="str">
        <x:v>Limited Assurance; risikobasiert höhere Prüftiefe</x:v>
      </x:c>
    </x:row>
    <x:row r="52" ht="42" customHeight="1">
      <x:c r="A52" s="14" t="str">
        <x:v>WOK-S-118</x:v>
      </x:c>
      <x:c r="B52" s="14" t="str">
        <x:v>SDG 2 – Kein Hunger</x:v>
      </x:c>
      <x:c r="C52" s="14" t="str">
        <x:v>2.3</x:v>
      </x:c>
      <x:c r="D52" s="14" t="str">
        <x:v>Saisonarbeits‑Standards</x:v>
      </x:c>
      <x:c r="E52" s="14" t="str">
        <x:v>Saisonarbeits‑Standards – LTIFR</x:v>
      </x:c>
      <x:c r="F52" s="14" t="str">
        <x:v>Unfälle/Mio Std.</x:v>
      </x:c>
      <x:c r="G52" s="14" t="str">
        <x:v>lower_is_better</x:v>
      </x:c>
      <x:c r="H52" s="14" t="str">
        <x:v>R02</x:v>
      </x:c>
      <x:c r="I52" s="14" t="str">
        <x:v>NUM_LOW</x:v>
      </x:c>
      <x:c r="J52" s="51"/>
      <x:c r="K52" s="51"/>
      <x:c r="L52" s="51"/>
      <x:c r="M52" s="54"/>
      <x:c r="N52" s="58" t="str">
        <x:f>IF($J52="","",IF($J52&lt;=0,3,IF($J52&lt;=1,2,IF($J52&lt;=3,0,IF($J52&lt;=5,-2,-3)))))</x:f>
      </x:c>
      <x:c r="O52" s="58" t="str">
        <x:f>IF($J52="","",IF(OR('02_Benchmarks'!$P52&lt;&gt;"Aktiv",COUNT('02_Benchmarks'!$J52:$M52)&lt;4),"",IF($G52="lower_is_better",IF($J52&lt;='02_Benchmarks'!$J52,3,IF($J52&lt;'02_Benchmarks'!$K52,2,IF($J52&lt;='02_Benchmarks'!$L52,0,IF($J52&lt;='02_Benchmarks'!$M52,-2,-3)))),IF($J52&gt;='02_Benchmarks'!$J52,3,IF($J52&gt;'02_Benchmarks'!$K52,2,IF($J52&gt;='02_Benchmarks'!$L52,0,IF($J52&gt;='02_Benchmarks'!$M52,-2,-3)))))))</x:f>
      </x:c>
      <x:c r="P52" s="58" t="str">
        <x:f>IF(COUNT($N52:$O52)+IF(ISNUMBER($K52),1,0)=0,"",MIN($N52:$O52,$K52))</x:f>
      </x:c>
      <x:c r="Q52" s="58" t="str">
        <x:f>IF($P52="","",INDEX('04_Tarifmodell'!$B$6:$B$12,$P52+4))</x:f>
      </x:c>
      <x:c r="R52" s="64" t="str">
        <x:f>IF($P52="","",INDEX('04_Tarifmodell'!$C$6:$C$12,$P52+4))</x:f>
      </x:c>
      <x:c r="S52" s="14" t="str">
        <x:f>IF(OR($I52="QUALITATIVE",$I52="MANUAL_HYBRID"),IF($K52="","Assurance-Score fehlt","Assurance-bewertet"),IF($I52="BENCHMARK",IF($W52&lt;&gt;"Aktiv",IF($K52="","Benchmark fehlt","Assurance-bewertet"),IF($J52="","Messwert fehlt",IF($P52="","Nicht bewertbar","Berechnet"))),IF(AND($J52="",$K52&lt;&gt;""),"Nur Assurance-Score",IF($J52="","Messwert fehlt",IF($P52="","Nicht bewertbar",IF($P52&lt;=-2,"Kritische Wirkung / Prüfung","Berechnet"))))))</x:f>
        <x:v>Messwert fehlt</x:v>
      </x:c>
      <x:c r="T52" s="14" t="str">
        <x:v>Vollständige fünfstufige numerische Regel.</x:v>
      </x:c>
      <x:c r="U52" s="14" t="str">
        <x:v>0:+3; ≤1:+2; ≤3:0; ≤5:‑2; &gt;5:‑3</x:v>
      </x:c>
      <x:c r="V52" s="14" t="str">
        <x:v>ESRS S1, GRI 401/403/405/406, ILO</x:v>
      </x:c>
      <x:c r="W52" s="14" t="str">
        <x:f>'02_Benchmarks'!$P52</x:f>
        <x:v>Optional – kein aktiver Benchmark</x:v>
      </x:c>
      <x:c r="X52" s="14" t="str">
        <x:v>Messgrundlage belegt; Schwellenkalibrierung offen</x:v>
      </x:c>
      <x:c r="Y52" s="14" t="str">
        <x:v>Mittel</x:v>
      </x:c>
      <x:c r="Z52" s="14" t="str">
        <x:v>Arbeitskalibrierung – fachlich zu validieren</x:v>
      </x:c>
      <x:c r="AA52" s="14" t="str">
        <x:v>Eigene Belegschaft/Organisation; FTE, Beschäftigtengruppe und Zeitraum</x:v>
      </x:c>
      <x:c r="AB52" s="14" t="str">
        <x:v>Primärdaten bevorzugt; Sekundärdaten nur transparent und versioniert; Methode und Systemgrenze dokumentieren</x:v>
      </x:c>
      <x:c r="AC52" s="14" t="str">
        <x:v>Limited Assurance; risikobasiert höhere Prüftiefe</x:v>
      </x:c>
    </x:row>
    <x:row r="53" ht="42" customHeight="1">
      <x:c r="A53" s="14" t="str">
        <x:v>WOK-G-107</x:v>
      </x:c>
      <x:c r="B53" s="14" t="str">
        <x:v>SDG 2 – Kein Hunger</x:v>
      </x:c>
      <x:c r="C53" s="14" t="str">
        <x:v>2.1</x:v>
      </x:c>
      <x:c r="D53" s="14" t="str">
        <x:v>Lebensmittelsicherheit &amp; Rückrufe</x:v>
      </x:c>
      <x:c r="E53" s="14" t="str">
        <x:v>Lebensmittelsicherheit &amp; Rückrufe – Antikorruption</x:v>
      </x:c>
      <x:c r="F53" s="14" t="str">
        <x:v>Fälle/1.000 FTE</x:v>
      </x:c>
      <x:c r="G53" s="14" t="str">
        <x:v>lower_is_better</x:v>
      </x:c>
      <x:c r="H53" s="14" t="str">
        <x:v>R01</x:v>
      </x:c>
      <x:c r="I53" s="14" t="str">
        <x:v>NUM_LOW</x:v>
      </x:c>
      <x:c r="J53" s="51"/>
      <x:c r="K53" s="51"/>
      <x:c r="L53" s="51"/>
      <x:c r="M53" s="54"/>
      <x:c r="N53" s="58" t="str">
        <x:f>IF($J53="","",IF($J53&lt;=0,3,IF($J53&lt;=0.2,2,IF($J53&lt;=0.5,0,IF($J53&lt;=1,-2,-3)))))</x:f>
      </x:c>
      <x:c r="O53" s="58" t="str">
        <x:f>IF($J53="","",IF(OR('02_Benchmarks'!$P53&lt;&gt;"Aktiv",COUNT('02_Benchmarks'!$J53:$M53)&lt;4),"",IF($G53="lower_is_better",IF($J53&lt;='02_Benchmarks'!$J53,3,IF($J53&lt;'02_Benchmarks'!$K53,2,IF($J53&lt;='02_Benchmarks'!$L53,0,IF($J53&lt;='02_Benchmarks'!$M53,-2,-3)))),IF($J53&gt;='02_Benchmarks'!$J53,3,IF($J53&gt;'02_Benchmarks'!$K53,2,IF($J53&gt;='02_Benchmarks'!$L53,0,IF($J53&gt;='02_Benchmarks'!$M53,-2,-3)))))))</x:f>
      </x:c>
      <x:c r="P53" s="58" t="str">
        <x:f>IF(COUNT($N53:$O53)+IF(ISNUMBER($K53),1,0)=0,"",MIN($N53:$O53,$K53))</x:f>
      </x:c>
      <x:c r="Q53" s="58" t="str">
        <x:f>IF($P53="","",INDEX('04_Tarifmodell'!$B$6:$B$12,$P53+4))</x:f>
      </x:c>
      <x:c r="R53" s="64" t="str">
        <x:f>IF($P53="","",INDEX('04_Tarifmodell'!$C$6:$C$12,$P53+4))</x:f>
      </x:c>
      <x:c r="S53" s="14" t="str">
        <x:f>IF(OR($I53="QUALITATIVE",$I53="MANUAL_HYBRID"),IF($K53="","Assurance-Score fehlt","Assurance-bewertet"),IF($I53="BENCHMARK",IF($W53&lt;&gt;"Aktiv",IF($K53="","Benchmark fehlt","Assurance-bewertet"),IF($J53="","Messwert fehlt",IF($P53="","Nicht bewertbar","Berechnet"))),IF(AND($J53="",$K53&lt;&gt;""),"Nur Assurance-Score",IF($J53="","Messwert fehlt",IF($P53="","Nicht bewertbar",IF($P53&lt;=-2,"Kritische Wirkung / Prüfung","Berechnet"))))))</x:f>
        <x:v>Messwert fehlt</x:v>
      </x:c>
      <x:c r="T53" s="14" t="str">
        <x:v>Vollständige fünfstufige numerische Regel.</x:v>
      </x:c>
      <x:c r="U53" s="14" t="str">
        <x:v>0:+3; ≤0,2:+2; ≤0,5:0; ≤1:‑2; &gt;1:‑3</x:v>
      </x:c>
      <x:c r="V53" s="14" t="str">
        <x:v>ESRS G1, GRI 205/207, OECD Anti‑Bribery</x:v>
      </x:c>
      <x:c r="W53" s="14" t="str">
        <x:f>'02_Benchmarks'!$P53</x:f>
        <x:v>Optional – kein aktiver Benchmark</x:v>
      </x:c>
      <x:c r="X53" s="14" t="str">
        <x:v>Messgrundlage belegt; Schwellenkalibrierung offen</x:v>
      </x:c>
      <x:c r="Y53" s="14" t="str">
        <x:v>Mittel</x:v>
      </x:c>
      <x:c r="Z53" s="14" t="str">
        <x:v>Arbeitskalibrierung – fachlich zu validieren</x:v>
      </x:c>
      <x:c r="AA53" s="14" t="str">
        <x:v>Organisation/Governance; konsolidierter Kreis und relevante Rechtseinheiten</x:v>
      </x:c>
      <x:c r="AB53" s="14" t="str">
        <x:v>Primärdaten bevorzugt; Sekundärdaten nur transparent und versioniert; Methode und Systemgrenze dokumentieren</x:v>
      </x:c>
      <x:c r="AC53" s="14" t="str">
        <x:v>Limited Assurance; risikobasiert höhere Prüftiefe</x:v>
      </x:c>
    </x:row>
    <x:row r="54" ht="42" customHeight="1">
      <x:c r="A54" s="14" t="str">
        <x:v>WOK-G-108</x:v>
      </x:c>
      <x:c r="B54" s="14" t="str">
        <x:v>SDG 2 – Kein Hunger</x:v>
      </x:c>
      <x:c r="C54" s="14" t="str">
        <x:v>2.1</x:v>
      </x:c>
      <x:c r="D54" s="14" t="str">
        <x:v>Lebensmittelsicherheit &amp; Rückrufe</x:v>
      </x:c>
      <x:c r="E54" s="14" t="str">
        <x:v>Lebensmittelsicherheit &amp; Rückrufe – Whistleblowing</x:v>
      </x:c>
      <x:c r="F54" s="14" t="str">
        <x:v>0–1</x:v>
      </x:c>
      <x:c r="G54" s="14" t="str">
        <x:v>higher_is_better</x:v>
      </x:c>
      <x:c r="H54" s="14" t="str">
        <x:v>R16</x:v>
      </x:c>
      <x:c r="I54" s="14" t="str">
        <x:v>NUM_HIGH</x:v>
      </x:c>
      <x:c r="J54" s="51"/>
      <x:c r="K54" s="51"/>
      <x:c r="L54" s="51"/>
      <x:c r="M54" s="54"/>
      <x:c r="N54" s="58" t="str">
        <x:f>IF($J54="","",IF($J54&lt;0.4,-3,IF($J54&lt;0.6,-2,IF($J54&lt;0.75,0,IF($J54&lt;0.9,2,3)))))</x:f>
      </x:c>
      <x:c r="O54" s="58" t="str">
        <x:f>IF($J54="","",IF(OR('02_Benchmarks'!$P54&lt;&gt;"Aktiv",COUNT('02_Benchmarks'!$J54:$M54)&lt;4),"",IF($G54="lower_is_better",IF($J54&lt;='02_Benchmarks'!$J54,3,IF($J54&lt;'02_Benchmarks'!$K54,2,IF($J54&lt;='02_Benchmarks'!$L54,0,IF($J54&lt;='02_Benchmarks'!$M54,-2,-3)))),IF($J54&gt;='02_Benchmarks'!$J54,3,IF($J54&gt;'02_Benchmarks'!$K54,2,IF($J54&gt;='02_Benchmarks'!$L54,0,IF($J54&gt;='02_Benchmarks'!$M54,-2,-3)))))))</x:f>
      </x:c>
      <x:c r="P54" s="58" t="str">
        <x:f>IF(COUNT($N54:$O54)+IF(ISNUMBER($K54),1,0)=0,"",MIN($N54:$O54,$K54))</x:f>
      </x:c>
      <x:c r="Q54" s="58" t="str">
        <x:f>IF($P54="","",INDEX('04_Tarifmodell'!$B$6:$B$12,$P54+4))</x:f>
      </x:c>
      <x:c r="R54" s="64" t="str">
        <x:f>IF($P54="","",INDEX('04_Tarifmodell'!$C$6:$C$12,$P54+4))</x:f>
      </x:c>
      <x:c r="S54" s="14" t="str">
        <x:f>IF(OR($I54="QUALITATIVE",$I54="MANUAL_HYBRID"),IF($K54="","Assurance-Score fehlt","Assurance-bewertet"),IF($I54="BENCHMARK",IF($W54&lt;&gt;"Aktiv",IF($K54="","Benchmark fehlt","Assurance-bewertet"),IF($J54="","Messwert fehlt",IF($P54="","Nicht bewertbar","Berechnet"))),IF(AND($J54="",$K54&lt;&gt;""),"Nur Assurance-Score",IF($J54="","Messwert fehlt",IF($P54="","Nicht bewertbar",IF($P54&lt;=-2,"Kritische Wirkung / Prüfung","Berechnet"))))))</x:f>
        <x:v>Messwert fehlt</x:v>
      </x:c>
      <x:c r="T54" s="14" t="str">
        <x:v>Vollständige fünfstufige numerische Regel.</x:v>
      </x:c>
      <x:c r="U54" s="14" t="str">
        <x:v>≥0,9:+3; 0,75–0,89:+2; 0,6–0,74:0; 0,4–0,59:‑2; &lt;0,4:‑3</x:v>
      </x:c>
      <x:c r="V54" s="14" t="str">
        <x:v>ESRS G1, GRI 205/207, OECD Anti‑Bribery</x:v>
      </x:c>
      <x:c r="W54" s="14" t="str">
        <x:f>'02_Benchmarks'!$P54</x:f>
        <x:v>Optional – kein aktiver Benchmark</x:v>
      </x:c>
      <x:c r="X54" s="14" t="str">
        <x:v>Messgrundlage belegt; Schwellenkalibrierung offen</x:v>
      </x:c>
      <x:c r="Y54" s="14" t="str">
        <x:v>Mittel</x:v>
      </x:c>
      <x:c r="Z54" s="14" t="str">
        <x:v>Arbeitskalibrierung – fachlich zu validieren</x:v>
      </x:c>
      <x:c r="AA54" s="14" t="str">
        <x:v>Organisation/Governance; konsolidierter Kreis und relevante Rechtseinheiten</x:v>
      </x:c>
      <x:c r="AB54" s="14" t="str">
        <x:v>Primärdaten bevorzugt; Sekundärdaten nur transparent und versioniert; Methode und Systemgrenze dokumentieren</x:v>
      </x:c>
      <x:c r="AC54" s="14" t="str">
        <x:v>Limited Assurance; risikobasiert höhere Prüftiefe</x:v>
      </x:c>
    </x:row>
    <x:row r="55" ht="42" customHeight="1">
      <x:c r="A55" s="14" t="str">
        <x:v>WOK-G-109</x:v>
      </x:c>
      <x:c r="B55" s="14" t="str">
        <x:v>SDG 2 – Kein Hunger</x:v>
      </x:c>
      <x:c r="C55" s="14" t="str">
        <x:v>2.1</x:v>
      </x:c>
      <x:c r="D55" s="14" t="str">
        <x:v>Lebensmittelsicherheit &amp; Rückrufe</x:v>
      </x:c>
      <x:c r="E55" s="14" t="str">
        <x:v>Lebensmittelsicherheit &amp; Rückrufe – Steuertransparenz</x:v>
      </x:c>
      <x:c r="F55" s="14" t="str">
        <x:v>0–1</x:v>
      </x:c>
      <x:c r="G55" s="14" t="str">
        <x:v>higher_is_better</x:v>
      </x:c>
      <x:c r="H55" s="14" t="str">
        <x:v>R08</x:v>
      </x:c>
      <x:c r="I55" s="14" t="str">
        <x:v>QUALITATIVE</x:v>
      </x:c>
      <x:c r="J55" s="51"/>
      <x:c r="K55" s="51"/>
      <x:c r="L55" s="51"/>
      <x:c r="M55" s="54"/>
      <x:c r="N55" s="58" t="str">
        <x:f>""</x:f>
      </x:c>
      <x:c r="O55" s="58" t="str">
        <x:f>IF($J55="","",IF(OR('02_Benchmarks'!$P55&lt;&gt;"Aktiv",COUNT('02_Benchmarks'!$J55:$M55)&lt;4),"",IF($G55="lower_is_better",IF($J55&lt;='02_Benchmarks'!$J55,3,IF($J55&lt;'02_Benchmarks'!$K55,2,IF($J55&lt;='02_Benchmarks'!$L55,0,IF($J55&lt;='02_Benchmarks'!$M55,-2,-3)))),IF($J55&gt;='02_Benchmarks'!$J55,3,IF($J55&gt;'02_Benchmarks'!$K55,2,IF($J55&gt;='02_Benchmarks'!$L55,0,IF($J55&gt;='02_Benchmarks'!$M55,-2,-3)))))))</x:f>
      </x:c>
      <x:c r="P55" s="58" t="str">
        <x:f>IF(COUNT($N55:$O55)+IF(ISNUMBER($K55),1,0)=0,"",MIN($N55:$O55,$K55))</x:f>
      </x:c>
      <x:c r="Q55" s="58" t="str">
        <x:f>IF($P55="","",INDEX('04_Tarifmodell'!$B$6:$B$12,$P55+4))</x:f>
      </x:c>
      <x:c r="R55" s="64" t="str">
        <x:f>IF($P55="","",INDEX('04_Tarifmodell'!$C$6:$C$12,$P55+4))</x:f>
      </x:c>
      <x:c r="S55" s="14" t="str">
        <x:f>IF(OR($I55="QUALITATIVE",$I55="MANUAL_HYBRID"),IF($K55="","Assurance-Score fehlt","Assurance-bewertet"),IF($I55="BENCHMARK",IF($W55&lt;&gt;"Aktiv",IF($K55="","Benchmark fehlt","Assurance-bewertet"),IF($J55="","Messwert fehlt",IF($P55="","Nicht bewertbar","Berechnet"))),IF(AND($J55="",$K55&lt;&gt;""),"Nur Assurance-Score",IF($J55="","Messwert fehlt",IF($P55="","Nicht bewertbar",IF($P55&lt;=-2,"Kritische Wirkung / Prüfung","Berechnet"))))))</x:f>
        <x:v>Assurance-Score fehlt</x:v>
      </x:c>
      <x:c r="T55" s="14" t="str">
        <x:v>Die Kategorie −3 fehlt; Vollständigkeit und Wirksamkeit sind feldspezifisch zu definieren.</x:v>
      </x:c>
      <x:c r="U55" s="14" t="str">
        <x:v>vollständig:+3; teilweise:+2; minimal:0; schlecht:‑2</x:v>
      </x:c>
      <x:c r="V55" s="14" t="str">
        <x:v>ESRS G1, GRI 205/207, OECD Anti‑Bribery</x:v>
      </x:c>
      <x:c r="W55" s="14" t="str">
        <x:f>'02_Benchmarks'!$P55</x:f>
        <x:v>Optional – kein aktiver Benchmark</x:v>
      </x:c>
      <x:c r="X55" s="14" t="str">
        <x:v>Messgrundlage belegt; Schwellenkalibrierung offen</x:v>
      </x:c>
      <x:c r="Y55" s="14" t="str">
        <x:v>Hoch</x:v>
      </x:c>
      <x:c r="Z55" s="14" t="str">
        <x:v>Assurance und Kriterienkatalog erforderlich</x:v>
      </x:c>
      <x:c r="AA55" s="14" t="str">
        <x:v>Organisation/Governance; konsolidierter Kreis und relevante Rechtseinheiten</x:v>
      </x:c>
      <x:c r="AB55" s="14" t="str">
        <x:v>Dokumentierter Kriterienkatalog; nachvollziehbare Evidenz; DQR A/B bevorzugt</x:v>
      </x:c>
      <x:c r="AC55" s="14" t="str">
        <x:v>Unabhängige Fachprüfung/Limited Assurance; bei roten Linien Reasonable Assurance</x:v>
      </x:c>
    </x:row>
    <x:row r="56" ht="42" customHeight="1">
      <x:c r="A56" s="14" t="str">
        <x:v>WOK-E-113</x:v>
      </x:c>
      <x:c r="B56" s="14" t="str">
        <x:v>SDG 2 – Kein Hunger</x:v>
      </x:c>
      <x:c r="C56" s="14" t="str">
        <x:v>2.1</x:v>
      </x:c>
      <x:c r="D56" s="14" t="str">
        <x:v>Food Waste entlang Kette</x:v>
      </x:c>
      <x:c r="E56" s="14" t="str">
        <x:v>Food Waste entlang Kette – Abfallintensität</x:v>
      </x:c>
      <x:c r="F56" s="14" t="str">
        <x:v>kg/t</x:v>
      </x:c>
      <x:c r="G56" s="14" t="str">
        <x:v>lower_is_better</x:v>
      </x:c>
      <x:c r="H56" s="14" t="str">
        <x:v>R06</x:v>
      </x:c>
      <x:c r="I56" s="14" t="str">
        <x:v>BENCHMARK</x:v>
      </x:c>
      <x:c r="J56" s="51"/>
      <x:c r="K56" s="51"/>
      <x:c r="L56" s="51"/>
      <x:c r="M56" s="54"/>
      <x:c r="N56" s="58" t="str">
        <x:f>""</x:f>
      </x:c>
      <x:c r="O56" s="58" t="str">
        <x:f>IF($J56="","",IF(OR('02_Benchmarks'!$P56&lt;&gt;"Aktiv",COUNT('02_Benchmarks'!$J56:$M56)&lt;4),"",IF($G56="lower_is_better",IF($J56&lt;='02_Benchmarks'!$J56,3,IF($J56&lt;'02_Benchmarks'!$K56,2,IF($J56&lt;='02_Benchmarks'!$L56,0,IF($J56&lt;='02_Benchmarks'!$M56,-2,-3)))),IF($J56&gt;='02_Benchmarks'!$J56,3,IF($J56&gt;'02_Benchmarks'!$K56,2,IF($J56&gt;='02_Benchmarks'!$L56,0,IF($J56&gt;='02_Benchmarks'!$M56,-2,-3)))))))</x:f>
      </x:c>
      <x:c r="P56" s="58" t="str">
        <x:f>IF(COUNT($N56:$O56)+IF(ISNUMBER($K56),1,0)=0,"",MIN($N56:$O56,$K56))</x:f>
      </x:c>
      <x:c r="Q56" s="58" t="str">
        <x:f>IF($P56="","",INDEX('04_Tarifmodell'!$B$6:$B$12,$P56+4))</x:f>
      </x:c>
      <x:c r="R56" s="64" t="str">
        <x:f>IF($P56="","",INDEX('04_Tarifmodell'!$C$6:$C$12,$P56+4))</x:f>
      </x:c>
      <x:c r="S56" s="14" t="str">
        <x:f>IF(OR($I56="QUALITATIVE",$I56="MANUAL_HYBRID"),IF($K56="","Assurance-Score fehlt","Assurance-bewertet"),IF($I56="BENCHMARK",IF($W56&lt;&gt;"Aktiv",IF($K56="","Benchmark fehlt","Assurance-bewertet"),IF($J56="","Messwert fehlt",IF($P56="","Nicht bewertbar","Berechnet"))),IF(AND($J56="",$K56&lt;&gt;""),"Nur Assurance-Score",IF($J56="","Messwert fehlt",IF($P56="","Nicht bewertbar",IF($P56&lt;=-2,"Kritische Wirkung / Prüfung","Berechnet"))))))</x:f>
        <x:v>Benchmark fehlt</x:v>
      </x:c>
      <x:c r="T56" s="14" t="str">
        <x:v>Top-10-Prozent, Mittelwert, 150 % und 250 % müssen aus einer dokumentierten Grundgesamtheit stammen.</x:v>
      </x:c>
      <x:c r="U56" s="14" t="str">
        <x:v>Top‑10%:+3; Mittel:0; &gt;150%:‑2; &gt;250%:‑3</x:v>
      </x:c>
      <x:c r="V56" s="14" t="str">
        <x:v>ESRS E5, GRI 306, WEEE/VerpackG</x:v>
      </x:c>
      <x:c r="W56" s="14" t="str">
        <x:f>'02_Benchmarks'!$P56</x:f>
        <x:v>Offen – validierter Benchmark fehlt</x:v>
      </x:c>
      <x:c r="X56" s="14" t="str">
        <x:v>Teilbelegt – Benchmarkquelle fehlt</x:v>
      </x:c>
      <x:c r="Y56" s="14" t="str">
        <x:v>Hoch</x:v>
      </x:c>
      <x:c r="Z56" s="14" t="str">
        <x:v>Validierter Benchmark fehlt</x:v>
      </x:c>
      <x:c r="AA56" s="14" t="str">
        <x:v>Standort/Prozess/Aktivität; Bezugsgröße und relevante Umweltmedien</x:v>
      </x:c>
      <x:c r="AB56" s="14" t="str">
        <x:v>Primärdaten plus repräsentativer, versionierter Benchmarkdatensatz; Stichprobe und Population offenlegen</x:v>
      </x:c>
      <x:c r="AC56" s="14" t="str">
        <x:v>Messwert-Assurance und unabhängige Benchmark-Governance</x:v>
      </x:c>
    </x:row>
    <x:row r="57" ht="42" customHeight="1">
      <x:c r="A57" s="14" t="str">
        <x:v>WOK-E-114</x:v>
      </x:c>
      <x:c r="B57" s="14" t="str">
        <x:v>SDG 2 – Kein Hunger</x:v>
      </x:c>
      <x:c r="C57" s="14" t="str">
        <x:v>2.1</x:v>
      </x:c>
      <x:c r="D57" s="14" t="str">
        <x:v>Food Waste entlang Kette</x:v>
      </x:c>
      <x:c r="E57" s="14" t="str">
        <x:v>Food Waste entlang Kette – Recyclingquote</x:v>
      </x:c>
      <x:c r="F57" s="14" t="str">
        <x:v>%</x:v>
      </x:c>
      <x:c r="G57" s="14" t="str">
        <x:v>higher_is_better</x:v>
      </x:c>
      <x:c r="H57" s="14" t="str">
        <x:v>R25</x:v>
      </x:c>
      <x:c r="I57" s="14" t="str">
        <x:v>NUM_HIGH</x:v>
      </x:c>
      <x:c r="J57" s="51"/>
      <x:c r="K57" s="51"/>
      <x:c r="L57" s="51"/>
      <x:c r="M57" s="54"/>
      <x:c r="N57" s="58" t="str">
        <x:f>IF($J57="","",IF($J57&lt;30,-3,IF($J57&lt;50,-2,IF($J57&lt;70,0,IF($J57&lt;90,2,3)))))</x:f>
      </x:c>
      <x:c r="O57" s="58" t="str">
        <x:f>IF($J57="","",IF(OR('02_Benchmarks'!$P57&lt;&gt;"Aktiv",COUNT('02_Benchmarks'!$J57:$M57)&lt;4),"",IF($G57="lower_is_better",IF($J57&lt;='02_Benchmarks'!$J57,3,IF($J57&lt;'02_Benchmarks'!$K57,2,IF($J57&lt;='02_Benchmarks'!$L57,0,IF($J57&lt;='02_Benchmarks'!$M57,-2,-3)))),IF($J57&gt;='02_Benchmarks'!$J57,3,IF($J57&gt;'02_Benchmarks'!$K57,2,IF($J57&gt;='02_Benchmarks'!$L57,0,IF($J57&gt;='02_Benchmarks'!$M57,-2,-3)))))))</x:f>
      </x:c>
      <x:c r="P57" s="58" t="str">
        <x:f>IF(COUNT($N57:$O57)+IF(ISNUMBER($K57),1,0)=0,"",MIN($N57:$O57,$K57))</x:f>
      </x:c>
      <x:c r="Q57" s="58" t="str">
        <x:f>IF($P57="","",INDEX('04_Tarifmodell'!$B$6:$B$12,$P57+4))</x:f>
      </x:c>
      <x:c r="R57" s="64" t="str">
        <x:f>IF($P57="","",INDEX('04_Tarifmodell'!$C$6:$C$12,$P57+4))</x:f>
      </x:c>
      <x:c r="S57" s="14" t="str">
        <x:f>IF(OR($I57="QUALITATIVE",$I57="MANUAL_HYBRID"),IF($K57="","Assurance-Score fehlt","Assurance-bewertet"),IF($I57="BENCHMARK",IF($W57&lt;&gt;"Aktiv",IF($K57="","Benchmark fehlt","Assurance-bewertet"),IF($J57="","Messwert fehlt",IF($P57="","Nicht bewertbar","Berechnet"))),IF(AND($J57="",$K57&lt;&gt;""),"Nur Assurance-Score",IF($J57="","Messwert fehlt",IF($P57="","Nicht bewertbar",IF($P57&lt;=-2,"Kritische Wirkung / Prüfung","Berechnet"))))))</x:f>
        <x:v>Messwert fehlt</x:v>
      </x:c>
      <x:c r="T57" s="14" t="str">
        <x:v>Vollständige fünfstufige Prozentregel.</x:v>
      </x:c>
      <x:c r="U57" s="14" t="str">
        <x:v>≥90%:+3; 70–89%:+2; 50–69%:0; 30–49%:‑2; &lt;30%:‑3</x:v>
      </x:c>
      <x:c r="V57" s="14" t="str">
        <x:v>ESRS E5, GRI 306, WEEE/VerpackG</x:v>
      </x:c>
      <x:c r="W57" s="14" t="str">
        <x:f>'02_Benchmarks'!$P57</x:f>
        <x:v>Optional – kein aktiver Benchmark</x:v>
      </x:c>
      <x:c r="X57" s="14" t="str">
        <x:v>Messgrundlage belegt; Schwellenkalibrierung offen</x:v>
      </x:c>
      <x:c r="Y57" s="14" t="str">
        <x:v>Mittel</x:v>
      </x:c>
      <x:c r="Z57" s="14" t="str">
        <x:v>Arbeitskalibrierung – fachlich zu validieren</x:v>
      </x:c>
      <x:c r="AA57" s="14" t="str">
        <x:v>Standort/Prozess/Aktivität; Bezugsgröße und relevante Umweltmedien</x:v>
      </x:c>
      <x:c r="AB57" s="14" t="str">
        <x:v>Primärdaten bevorzugt; Sekundärdaten nur transparent und versioniert; Methode und Systemgrenze dokumentieren</x:v>
      </x:c>
      <x:c r="AC57" s="14" t="str">
        <x:v>Limited Assurance; risikobasiert höhere Prüftiefe</x:v>
      </x:c>
    </x:row>
    <x:row r="58" ht="42" customHeight="1">
      <x:c r="A58" s="14" t="str">
        <x:v>WOK-E-115</x:v>
      </x:c>
      <x:c r="B58" s="14" t="str">
        <x:v>SDG 2 – Kein Hunger</x:v>
      </x:c>
      <x:c r="C58" s="14" t="str">
        <x:v>2.1</x:v>
      </x:c>
      <x:c r="D58" s="14" t="str">
        <x:v>Food Waste entlang Kette</x:v>
      </x:c>
      <x:c r="E58" s="14" t="str">
        <x:v>Food Waste entlang Kette – Gefährlicher Abfall</x:v>
      </x:c>
      <x:c r="F58" s="14" t="str">
        <x:v>kg/t</x:v>
      </x:c>
      <x:c r="G58" s="14" t="str">
        <x:v>lower_is_better</x:v>
      </x:c>
      <x:c r="H58" s="14" t="str">
        <x:v>R06</x:v>
      </x:c>
      <x:c r="I58" s="14" t="str">
        <x:v>BENCHMARK</x:v>
      </x:c>
      <x:c r="J58" s="51"/>
      <x:c r="K58" s="51"/>
      <x:c r="L58" s="51"/>
      <x:c r="M58" s="54"/>
      <x:c r="N58" s="58" t="str">
        <x:f>""</x:f>
      </x:c>
      <x:c r="O58" s="58" t="str">
        <x:f>IF($J58="","",IF(OR('02_Benchmarks'!$P58&lt;&gt;"Aktiv",COUNT('02_Benchmarks'!$J58:$M58)&lt;4),"",IF($G58="lower_is_better",IF($J58&lt;='02_Benchmarks'!$J58,3,IF($J58&lt;'02_Benchmarks'!$K58,2,IF($J58&lt;='02_Benchmarks'!$L58,0,IF($J58&lt;='02_Benchmarks'!$M58,-2,-3)))),IF($J58&gt;='02_Benchmarks'!$J58,3,IF($J58&gt;'02_Benchmarks'!$K58,2,IF($J58&gt;='02_Benchmarks'!$L58,0,IF($J58&gt;='02_Benchmarks'!$M58,-2,-3)))))))</x:f>
      </x:c>
      <x:c r="P58" s="58" t="str">
        <x:f>IF(COUNT($N58:$O58)+IF(ISNUMBER($K58),1,0)=0,"",MIN($N58:$O58,$K58))</x:f>
      </x:c>
      <x:c r="Q58" s="58" t="str">
        <x:f>IF($P58="","",INDEX('04_Tarifmodell'!$B$6:$B$12,$P58+4))</x:f>
      </x:c>
      <x:c r="R58" s="64" t="str">
        <x:f>IF($P58="","",INDEX('04_Tarifmodell'!$C$6:$C$12,$P58+4))</x:f>
      </x:c>
      <x:c r="S58" s="14" t="str">
        <x:f>IF(OR($I58="QUALITATIVE",$I58="MANUAL_HYBRID"),IF($K58="","Assurance-Score fehlt","Assurance-bewertet"),IF($I58="BENCHMARK",IF($W58&lt;&gt;"Aktiv",IF($K58="","Benchmark fehlt","Assurance-bewertet"),IF($J58="","Messwert fehlt",IF($P58="","Nicht bewertbar","Berechnet"))),IF(AND($J58="",$K58&lt;&gt;""),"Nur Assurance-Score",IF($J58="","Messwert fehlt",IF($P58="","Nicht bewertbar",IF($P58&lt;=-2,"Kritische Wirkung / Prüfung","Berechnet"))))))</x:f>
        <x:v>Benchmark fehlt</x:v>
      </x:c>
      <x:c r="T58" s="14" t="str">
        <x:v>Top-10-Prozent, Mittelwert, 150 % und 250 % müssen aus einer dokumentierten Grundgesamtheit stammen.</x:v>
      </x:c>
      <x:c r="U58" s="14" t="str">
        <x:v>Top‑10%:+3; Mittel:0; &gt;150%:‑2; &gt;250%:‑3</x:v>
      </x:c>
      <x:c r="V58" s="14" t="str">
        <x:v>ESRS E5, GRI 306, WEEE/VerpackG</x:v>
      </x:c>
      <x:c r="W58" s="14" t="str">
        <x:f>'02_Benchmarks'!$P58</x:f>
        <x:v>Offen – validierter Benchmark fehlt</x:v>
      </x:c>
      <x:c r="X58" s="14" t="str">
        <x:v>Teilbelegt – Benchmarkquelle fehlt</x:v>
      </x:c>
      <x:c r="Y58" s="14" t="str">
        <x:v>Hoch</x:v>
      </x:c>
      <x:c r="Z58" s="14" t="str">
        <x:v>Validierter Benchmark fehlt</x:v>
      </x:c>
      <x:c r="AA58" s="14" t="str">
        <x:v>Standort/Prozess/Aktivität; Bezugsgröße und relevante Umweltmedien</x:v>
      </x:c>
      <x:c r="AB58" s="14" t="str">
        <x:v>Primärdaten plus repräsentativer, versionierter Benchmarkdatensatz; Stichprobe und Population offenlegen</x:v>
      </x:c>
      <x:c r="AC58" s="14" t="str">
        <x:v>Messwert-Assurance und unabhängige Benchmark-Governance</x:v>
      </x:c>
    </x:row>
    <x:row r="59" ht="42" customHeight="1">
      <x:c r="A59" s="14" t="str">
        <x:v>WOK-E-116</x:v>
      </x:c>
      <x:c r="B59" s="14" t="str">
        <x:v>SDG 3 – Gesundheit</x:v>
      </x:c>
      <x:c r="C59" s="14" t="str">
        <x:v>3.9</x:v>
      </x:c>
      <x:c r="D59" s="14" t="str">
        <x:v>Lokalemissionen NOx/PM/SOx</x:v>
      </x:c>
      <x:c r="E59" s="14" t="str">
        <x:v>Lokalemissionen NOx/PM/SOx – Antikorruption</x:v>
      </x:c>
      <x:c r="F59" s="14" t="str">
        <x:v>Fälle/1.000 FTE</x:v>
      </x:c>
      <x:c r="G59" s="14" t="str">
        <x:v>lower_is_better</x:v>
      </x:c>
      <x:c r="H59" s="14" t="str">
        <x:v>R01</x:v>
      </x:c>
      <x:c r="I59" s="14" t="str">
        <x:v>NUM_LOW</x:v>
      </x:c>
      <x:c r="J59" s="51"/>
      <x:c r="K59" s="51"/>
      <x:c r="L59" s="51"/>
      <x:c r="M59" s="54"/>
      <x:c r="N59" s="58" t="str">
        <x:f>IF($J59="","",IF($J59&lt;=0,3,IF($J59&lt;=0.2,2,IF($J59&lt;=0.5,0,IF($J59&lt;=1,-2,-3)))))</x:f>
      </x:c>
      <x:c r="O59" s="58" t="str">
        <x:f>IF($J59="","",IF(OR('02_Benchmarks'!$P59&lt;&gt;"Aktiv",COUNT('02_Benchmarks'!$J59:$M59)&lt;4),"",IF($G59="lower_is_better",IF($J59&lt;='02_Benchmarks'!$J59,3,IF($J59&lt;'02_Benchmarks'!$K59,2,IF($J59&lt;='02_Benchmarks'!$L59,0,IF($J59&lt;='02_Benchmarks'!$M59,-2,-3)))),IF($J59&gt;='02_Benchmarks'!$J59,3,IF($J59&gt;'02_Benchmarks'!$K59,2,IF($J59&gt;='02_Benchmarks'!$L59,0,IF($J59&gt;='02_Benchmarks'!$M59,-2,-3)))))))</x:f>
      </x:c>
      <x:c r="P59" s="58" t="str">
        <x:f>IF(COUNT($N59:$O59)+IF(ISNUMBER($K59),1,0)=0,"",MIN($N59:$O59,$K59))</x:f>
      </x:c>
      <x:c r="Q59" s="58" t="str">
        <x:f>IF($P59="","",INDEX('04_Tarifmodell'!$B$6:$B$12,$P59+4))</x:f>
      </x:c>
      <x:c r="R59" s="64" t="str">
        <x:f>IF($P59="","",INDEX('04_Tarifmodell'!$C$6:$C$12,$P59+4))</x:f>
      </x:c>
      <x:c r="S59" s="14" t="str">
        <x:f>IF(OR($I59="QUALITATIVE",$I59="MANUAL_HYBRID"),IF($K59="","Assurance-Score fehlt","Assurance-bewertet"),IF($I59="BENCHMARK",IF($W59&lt;&gt;"Aktiv",IF($K59="","Benchmark fehlt","Assurance-bewertet"),IF($J59="","Messwert fehlt",IF($P59="","Nicht bewertbar","Berechnet"))),IF(AND($J59="",$K59&lt;&gt;""),"Nur Assurance-Score",IF($J59="","Messwert fehlt",IF($P59="","Nicht bewertbar",IF($P59&lt;=-2,"Kritische Wirkung / Prüfung","Berechnet"))))))</x:f>
        <x:v>Messwert fehlt</x:v>
      </x:c>
      <x:c r="T59" s="14" t="str">
        <x:v>Vollständige fünfstufige numerische Regel.</x:v>
      </x:c>
      <x:c r="U59" s="14" t="str">
        <x:v>0:+3; ≤0,2:+2; ≤0,5:0; ≤1:‑2; &gt;1:‑3</x:v>
      </x:c>
      <x:c r="V59" s="14" t="str">
        <x:v>ESRS E1, GHG Protocol (Corporate/Scope 1–3), ISO 14064/14067</x:v>
      </x:c>
      <x:c r="W59" s="14" t="str">
        <x:f>'02_Benchmarks'!$P59</x:f>
        <x:v>Optional – kein aktiver Benchmark</x:v>
      </x:c>
      <x:c r="X59" s="14" t="str">
        <x:v>Messgrundlage belegt; Schwellenkalibrierung offen</x:v>
      </x:c>
      <x:c r="Y59" s="14" t="str">
        <x:v>Mittel</x:v>
      </x:c>
      <x:c r="Z59" s="14" t="str">
        <x:v>Arbeitskalibrierung – fachlich zu validieren</x:v>
      </x:c>
      <x:c r="AA59" s="14" t="str">
        <x:v>Standort/Prozess/Aktivität; Bezugsgröße und relevante Umweltmedien</x:v>
      </x:c>
      <x:c r="AB59" s="14" t="str">
        <x:v>Primärdaten bevorzugt; Sekundärdaten nur transparent und versioniert; Methode und Systemgrenze dokumentieren</x:v>
      </x:c>
      <x:c r="AC59" s="14" t="str">
        <x:v>Limited Assurance; risikobasiert höhere Prüftiefe</x:v>
      </x:c>
    </x:row>
    <x:row r="60" ht="42" customHeight="1">
      <x:c r="A60" s="14" t="str">
        <x:v>WOK-E-117</x:v>
      </x:c>
      <x:c r="B60" s="14" t="str">
        <x:v>SDG 3 – Gesundheit</x:v>
      </x:c>
      <x:c r="C60" s="14" t="str">
        <x:v>3.9</x:v>
      </x:c>
      <x:c r="D60" s="14" t="str">
        <x:v>Lokalemissionen NOx/PM/SOx</x:v>
      </x:c>
      <x:c r="E60" s="14" t="str">
        <x:v>Lokalemissionen NOx/PM/SOx – Whistleblowing</x:v>
      </x:c>
      <x:c r="F60" s="14" t="str">
        <x:v>0–1</x:v>
      </x:c>
      <x:c r="G60" s="14" t="str">
        <x:v>higher_is_better</x:v>
      </x:c>
      <x:c r="H60" s="14" t="str">
        <x:v>R16</x:v>
      </x:c>
      <x:c r="I60" s="14" t="str">
        <x:v>NUM_HIGH</x:v>
      </x:c>
      <x:c r="J60" s="51"/>
      <x:c r="K60" s="51"/>
      <x:c r="L60" s="51"/>
      <x:c r="M60" s="54"/>
      <x:c r="N60" s="58" t="str">
        <x:f>IF($J60="","",IF($J60&lt;0.4,-3,IF($J60&lt;0.6,-2,IF($J60&lt;0.75,0,IF($J60&lt;0.9,2,3)))))</x:f>
      </x:c>
      <x:c r="O60" s="58" t="str">
        <x:f>IF($J60="","",IF(OR('02_Benchmarks'!$P60&lt;&gt;"Aktiv",COUNT('02_Benchmarks'!$J60:$M60)&lt;4),"",IF($G60="lower_is_better",IF($J60&lt;='02_Benchmarks'!$J60,3,IF($J60&lt;'02_Benchmarks'!$K60,2,IF($J60&lt;='02_Benchmarks'!$L60,0,IF($J60&lt;='02_Benchmarks'!$M60,-2,-3)))),IF($J60&gt;='02_Benchmarks'!$J60,3,IF($J60&gt;'02_Benchmarks'!$K60,2,IF($J60&gt;='02_Benchmarks'!$L60,0,IF($J60&gt;='02_Benchmarks'!$M60,-2,-3)))))))</x:f>
      </x:c>
      <x:c r="P60" s="58" t="str">
        <x:f>IF(COUNT($N60:$O60)+IF(ISNUMBER($K60),1,0)=0,"",MIN($N60:$O60,$K60))</x:f>
      </x:c>
      <x:c r="Q60" s="58" t="str">
        <x:f>IF($P60="","",INDEX('04_Tarifmodell'!$B$6:$B$12,$P60+4))</x:f>
      </x:c>
      <x:c r="R60" s="64" t="str">
        <x:f>IF($P60="","",INDEX('04_Tarifmodell'!$C$6:$C$12,$P60+4))</x:f>
      </x:c>
      <x:c r="S60" s="14" t="str">
        <x:f>IF(OR($I60="QUALITATIVE",$I60="MANUAL_HYBRID"),IF($K60="","Assurance-Score fehlt","Assurance-bewertet"),IF($I60="BENCHMARK",IF($W60&lt;&gt;"Aktiv",IF($K60="","Benchmark fehlt","Assurance-bewertet"),IF($J60="","Messwert fehlt",IF($P60="","Nicht bewertbar","Berechnet"))),IF(AND($J60="",$K60&lt;&gt;""),"Nur Assurance-Score",IF($J60="","Messwert fehlt",IF($P60="","Nicht bewertbar",IF($P60&lt;=-2,"Kritische Wirkung / Prüfung","Berechnet"))))))</x:f>
        <x:v>Messwert fehlt</x:v>
      </x:c>
      <x:c r="T60" s="14" t="str">
        <x:v>Vollständige fünfstufige numerische Regel.</x:v>
      </x:c>
      <x:c r="U60" s="14" t="str">
        <x:v>≥0,9:+3; 0,75–0,89:+2; 0,6–0,74:0; 0,4–0,59:‑2; &lt;0,4:‑3</x:v>
      </x:c>
      <x:c r="V60" s="14" t="str">
        <x:v>ESRS E1, GHG Protocol (Corporate/Scope 1–3), ISO 14064/14067</x:v>
      </x:c>
      <x:c r="W60" s="14" t="str">
        <x:f>'02_Benchmarks'!$P60</x:f>
        <x:v>Optional – kein aktiver Benchmark</x:v>
      </x:c>
      <x:c r="X60" s="14" t="str">
        <x:v>Messgrundlage belegt; Schwellenkalibrierung offen</x:v>
      </x:c>
      <x:c r="Y60" s="14" t="str">
        <x:v>Mittel</x:v>
      </x:c>
      <x:c r="Z60" s="14" t="str">
        <x:v>Arbeitskalibrierung – fachlich zu validieren</x:v>
      </x:c>
      <x:c r="AA60" s="14" t="str">
        <x:v>Standort/Prozess/Aktivität; Bezugsgröße und relevante Umweltmedien</x:v>
      </x:c>
      <x:c r="AB60" s="14" t="str">
        <x:v>Primärdaten bevorzugt; Sekundärdaten nur transparent und versioniert; Methode und Systemgrenze dokumentieren</x:v>
      </x:c>
      <x:c r="AC60" s="14" t="str">
        <x:v>Limited Assurance; risikobasiert höhere Prüftiefe</x:v>
      </x:c>
    </x:row>
    <x:row r="61" ht="42" customHeight="1">
      <x:c r="A61" s="14" t="str">
        <x:v>WOK-E-118</x:v>
      </x:c>
      <x:c r="B61" s="14" t="str">
        <x:v>SDG 3 – Gesundheit</x:v>
      </x:c>
      <x:c r="C61" s="14" t="str">
        <x:v>3.9</x:v>
      </x:c>
      <x:c r="D61" s="14" t="str">
        <x:v>Lokalemissionen NOx/PM/SOx</x:v>
      </x:c>
      <x:c r="E61" s="14" t="str">
        <x:v>Lokalemissionen NOx/PM/SOx – Steuertransparenz</x:v>
      </x:c>
      <x:c r="F61" s="14" t="str">
        <x:v>0–1</x:v>
      </x:c>
      <x:c r="G61" s="14" t="str">
        <x:v>higher_is_better</x:v>
      </x:c>
      <x:c r="H61" s="14" t="str">
        <x:v>R08</x:v>
      </x:c>
      <x:c r="I61" s="14" t="str">
        <x:v>QUALITATIVE</x:v>
      </x:c>
      <x:c r="J61" s="51"/>
      <x:c r="K61" s="51"/>
      <x:c r="L61" s="51"/>
      <x:c r="M61" s="54"/>
      <x:c r="N61" s="58" t="str">
        <x:f>""</x:f>
      </x:c>
      <x:c r="O61" s="58" t="str">
        <x:f>IF($J61="","",IF(OR('02_Benchmarks'!$P61&lt;&gt;"Aktiv",COUNT('02_Benchmarks'!$J61:$M61)&lt;4),"",IF($G61="lower_is_better",IF($J61&lt;='02_Benchmarks'!$J61,3,IF($J61&lt;'02_Benchmarks'!$K61,2,IF($J61&lt;='02_Benchmarks'!$L61,0,IF($J61&lt;='02_Benchmarks'!$M61,-2,-3)))),IF($J61&gt;='02_Benchmarks'!$J61,3,IF($J61&gt;'02_Benchmarks'!$K61,2,IF($J61&gt;='02_Benchmarks'!$L61,0,IF($J61&gt;='02_Benchmarks'!$M61,-2,-3)))))))</x:f>
      </x:c>
      <x:c r="P61" s="58" t="str">
        <x:f>IF(COUNT($N61:$O61)+IF(ISNUMBER($K61),1,0)=0,"",MIN($N61:$O61,$K61))</x:f>
      </x:c>
      <x:c r="Q61" s="58" t="str">
        <x:f>IF($P61="","",INDEX('04_Tarifmodell'!$B$6:$B$12,$P61+4))</x:f>
      </x:c>
      <x:c r="R61" s="64" t="str">
        <x:f>IF($P61="","",INDEX('04_Tarifmodell'!$C$6:$C$12,$P61+4))</x:f>
      </x:c>
      <x:c r="S61" s="14" t="str">
        <x:f>IF(OR($I61="QUALITATIVE",$I61="MANUAL_HYBRID"),IF($K61="","Assurance-Score fehlt","Assurance-bewertet"),IF($I61="BENCHMARK",IF($W61&lt;&gt;"Aktiv",IF($K61="","Benchmark fehlt","Assurance-bewertet"),IF($J61="","Messwert fehlt",IF($P61="","Nicht bewertbar","Berechnet"))),IF(AND($J61="",$K61&lt;&gt;""),"Nur Assurance-Score",IF($J61="","Messwert fehlt",IF($P61="","Nicht bewertbar",IF($P61&lt;=-2,"Kritische Wirkung / Prüfung","Berechnet"))))))</x:f>
        <x:v>Assurance-Score fehlt</x:v>
      </x:c>
      <x:c r="T61" s="14" t="str">
        <x:v>Die Kategorie −3 fehlt; Vollständigkeit und Wirksamkeit sind feldspezifisch zu definieren.</x:v>
      </x:c>
      <x:c r="U61" s="14" t="str">
        <x:v>vollständig:+3; teilweise:+2; minimal:0; schlecht:‑2</x:v>
      </x:c>
      <x:c r="V61" s="14" t="str">
        <x:v>ESRS E1, GHG Protocol (Corporate/Scope 1–3), ISO 14064/14067</x:v>
      </x:c>
      <x:c r="W61" s="14" t="str">
        <x:f>'02_Benchmarks'!$P61</x:f>
        <x:v>Optional – kein aktiver Benchmark</x:v>
      </x:c>
      <x:c r="X61" s="14" t="str">
        <x:v>Messgrundlage belegt; Schwellenkalibrierung offen</x:v>
      </x:c>
      <x:c r="Y61" s="14" t="str">
        <x:v>Hoch</x:v>
      </x:c>
      <x:c r="Z61" s="14" t="str">
        <x:v>Assurance und Kriterienkatalog erforderlich</x:v>
      </x:c>
      <x:c r="AA61" s="14" t="str">
        <x:v>Standort/Prozess/Aktivität; Bezugsgröße und relevante Umweltmedien</x:v>
      </x:c>
      <x:c r="AB61" s="14" t="str">
        <x:v>Dokumentierter Kriterienkatalog; nachvollziehbare Evidenz; DQR A/B bevorzugt</x:v>
      </x:c>
      <x:c r="AC61" s="14" t="str">
        <x:v>Unabhängige Fachprüfung/Limited Assurance; bei roten Linien Reasonable Assurance</x:v>
      </x:c>
    </x:row>
    <x:row r="62" ht="42" customHeight="1">
      <x:c r="A62" s="14" t="str">
        <x:v>WOK-S-119</x:v>
      </x:c>
      <x:c r="B62" s="14" t="str">
        <x:v>SDG 3 – Gesundheit</x:v>
      </x:c>
      <x:c r="C62" s="14" t="str">
        <x:v>3.8</x:v>
      </x:c>
      <x:c r="D62" s="14" t="str">
        <x:v>Arbeits- &amp; Gesundheitsschutz</x:v>
      </x:c>
      <x:c r="E62" s="14" t="str">
        <x:v>Arbeits- &amp; Gesundheitsschutz – Living Wage</x:v>
      </x:c>
      <x:c r="F62" s="14" t="str">
        <x:v>% Beschäftigte</x:v>
      </x:c>
      <x:c r="G62" s="14" t="str">
        <x:v>higher_is_better</x:v>
      </x:c>
      <x:c r="H62" s="14" t="str">
        <x:v>R27</x:v>
      </x:c>
      <x:c r="I62" s="14" t="str">
        <x:v>NUM_HIGH</x:v>
      </x:c>
      <x:c r="J62" s="51"/>
      <x:c r="K62" s="51"/>
      <x:c r="L62" s="51"/>
      <x:c r="M62" s="54"/>
      <x:c r="N62" s="58" t="str">
        <x:f>IF($J62="","",IF($J62&lt;40,-3,IF($J62&lt;60,-2,IF($J62&lt;80,0,IF($J62&lt;95,2,3)))))</x:f>
      </x:c>
      <x:c r="O62" s="58" t="str">
        <x:f>IF($J62="","",IF(OR('02_Benchmarks'!$P62&lt;&gt;"Aktiv",COUNT('02_Benchmarks'!$J62:$M62)&lt;4),"",IF($G62="lower_is_better",IF($J62&lt;='02_Benchmarks'!$J62,3,IF($J62&lt;'02_Benchmarks'!$K62,2,IF($J62&lt;='02_Benchmarks'!$L62,0,IF($J62&lt;='02_Benchmarks'!$M62,-2,-3)))),IF($J62&gt;='02_Benchmarks'!$J62,3,IF($J62&gt;'02_Benchmarks'!$K62,2,IF($J62&gt;='02_Benchmarks'!$L62,0,IF($J62&gt;='02_Benchmarks'!$M62,-2,-3)))))))</x:f>
      </x:c>
      <x:c r="P62" s="58" t="str">
        <x:f>IF(COUNT($N62:$O62)+IF(ISNUMBER($K62),1,0)=0,"",MIN($N62:$O62,$K62))</x:f>
      </x:c>
      <x:c r="Q62" s="58" t="str">
        <x:f>IF($P62="","",INDEX('04_Tarifmodell'!$B$6:$B$12,$P62+4))</x:f>
      </x:c>
      <x:c r="R62" s="64" t="str">
        <x:f>IF($P62="","",INDEX('04_Tarifmodell'!$C$6:$C$12,$P62+4))</x:f>
      </x:c>
      <x:c r="S62" s="14" t="str">
        <x:f>IF(OR($I62="QUALITATIVE",$I62="MANUAL_HYBRID"),IF($K62="","Assurance-Score fehlt","Assurance-bewertet"),IF($I62="BENCHMARK",IF($W62&lt;&gt;"Aktiv",IF($K62="","Benchmark fehlt","Assurance-bewertet"),IF($J62="","Messwert fehlt",IF($P62="","Nicht bewertbar","Berechnet"))),IF(AND($J62="",$K62&lt;&gt;""),"Nur Assurance-Score",IF($J62="","Messwert fehlt",IF($P62="","Nicht bewertbar",IF($P62&lt;=-2,"Kritische Wirkung / Prüfung","Berechnet"))))))</x:f>
        <x:v>Messwert fehlt</x:v>
      </x:c>
      <x:c r="T62" s="14" t="str">
        <x:v>Vollständige fünfstufige numerische Regel.</x:v>
      </x:c>
      <x:c r="U62" s="14" t="str">
        <x:v>≥95:+3; 80–94:+2; 60–79:0; 40–59:‑2; &lt;40:‑3</x:v>
      </x:c>
      <x:c r="V62" s="14" t="str">
        <x:v>ESRS S1, GRI 401/403/405/406, ILO</x:v>
      </x:c>
      <x:c r="W62" s="14" t="str">
        <x:f>'02_Benchmarks'!$P62</x:f>
        <x:v>Optional – kein aktiver Benchmark</x:v>
      </x:c>
      <x:c r="X62" s="14" t="str">
        <x:v>Messgrundlage belegt; Schwellenkalibrierung offen</x:v>
      </x:c>
      <x:c r="Y62" s="14" t="str">
        <x:v>Mittel</x:v>
      </x:c>
      <x:c r="Z62" s="14" t="str">
        <x:v>Arbeitskalibrierung – fachlich zu validieren</x:v>
      </x:c>
      <x:c r="AA62" s="14" t="str">
        <x:v>Eigene Belegschaft/Organisation; FTE, Beschäftigtengruppe und Zeitraum</x:v>
      </x:c>
      <x:c r="AB62" s="14" t="str">
        <x:v>Primärdaten bevorzugt; Sekundärdaten nur transparent und versioniert; Methode und Systemgrenze dokumentieren</x:v>
      </x:c>
      <x:c r="AC62" s="14" t="str">
        <x:v>Limited Assurance; risikobasiert höhere Prüftiefe</x:v>
      </x:c>
    </x:row>
    <x:row r="63" ht="42" customHeight="1">
      <x:c r="A63" s="14" t="str">
        <x:v>WOK-S-120</x:v>
      </x:c>
      <x:c r="B63" s="14" t="str">
        <x:v>SDG 3 – Gesundheit</x:v>
      </x:c>
      <x:c r="C63" s="14" t="str">
        <x:v>3.8</x:v>
      </x:c>
      <x:c r="D63" s="14" t="str">
        <x:v>Arbeits- &amp; Gesundheitsschutz</x:v>
      </x:c>
      <x:c r="E63" s="14" t="str">
        <x:v>Arbeits- &amp; Gesundheitsschutz – Tarifbindung</x:v>
      </x:c>
      <x:c r="F63" s="14" t="str">
        <x:v>%</x:v>
      </x:c>
      <x:c r="G63" s="14" t="str">
        <x:v>higher_is_better</x:v>
      </x:c>
      <x:c r="H63" s="14" t="str">
        <x:v>R26</x:v>
      </x:c>
      <x:c r="I63" s="14" t="str">
        <x:v>NUM_HIGH</x:v>
      </x:c>
      <x:c r="J63" s="51"/>
      <x:c r="K63" s="51"/>
      <x:c r="L63" s="51"/>
      <x:c r="M63" s="54"/>
      <x:c r="N63" s="58" t="str">
        <x:f>IF($J63="","",IF($J63&lt;30,-3,IF($J63&lt;50,-2,IF($J63&lt;70,0,IF($J63&lt;90,2,3)))))</x:f>
      </x:c>
      <x:c r="O63" s="58" t="str">
        <x:f>IF($J63="","",IF(OR('02_Benchmarks'!$P63&lt;&gt;"Aktiv",COUNT('02_Benchmarks'!$J63:$M63)&lt;4),"",IF($G63="lower_is_better",IF($J63&lt;='02_Benchmarks'!$J63,3,IF($J63&lt;'02_Benchmarks'!$K63,2,IF($J63&lt;='02_Benchmarks'!$L63,0,IF($J63&lt;='02_Benchmarks'!$M63,-2,-3)))),IF($J63&gt;='02_Benchmarks'!$J63,3,IF($J63&gt;'02_Benchmarks'!$K63,2,IF($J63&gt;='02_Benchmarks'!$L63,0,IF($J63&gt;='02_Benchmarks'!$M63,-2,-3)))))))</x:f>
      </x:c>
      <x:c r="P63" s="58" t="str">
        <x:f>IF(COUNT($N63:$O63)+IF(ISNUMBER($K63),1,0)=0,"",MIN($N63:$O63,$K63))</x:f>
      </x:c>
      <x:c r="Q63" s="58" t="str">
        <x:f>IF($P63="","",INDEX('04_Tarifmodell'!$B$6:$B$12,$P63+4))</x:f>
      </x:c>
      <x:c r="R63" s="64" t="str">
        <x:f>IF($P63="","",INDEX('04_Tarifmodell'!$C$6:$C$12,$P63+4))</x:f>
      </x:c>
      <x:c r="S63" s="14" t="str">
        <x:f>IF(OR($I63="QUALITATIVE",$I63="MANUAL_HYBRID"),IF($K63="","Assurance-Score fehlt","Assurance-bewertet"),IF($I63="BENCHMARK",IF($W63&lt;&gt;"Aktiv",IF($K63="","Benchmark fehlt","Assurance-bewertet"),IF($J63="","Messwert fehlt",IF($P63="","Nicht bewertbar","Berechnet"))),IF(AND($J63="",$K63&lt;&gt;""),"Nur Assurance-Score",IF($J63="","Messwert fehlt",IF($P63="","Nicht bewertbar",IF($P63&lt;=-2,"Kritische Wirkung / Prüfung","Berechnet"))))))</x:f>
        <x:v>Messwert fehlt</x:v>
      </x:c>
      <x:c r="T63" s="14" t="str">
        <x:v>Vollständige fünfstufige numerische Regel.</x:v>
      </x:c>
      <x:c r="U63" s="14" t="str">
        <x:v>≥90:+3; 70–89:+2; 50–69:0; 30–49:‑2; &lt;30:‑3</x:v>
      </x:c>
      <x:c r="V63" s="14" t="str">
        <x:v>ESRS S1, GRI 401/403/405/406, ILO</x:v>
      </x:c>
      <x:c r="W63" s="14" t="str">
        <x:f>'02_Benchmarks'!$P63</x:f>
        <x:v>Optional – kein aktiver Benchmark</x:v>
      </x:c>
      <x:c r="X63" s="14" t="str">
        <x:v>Messgrundlage belegt; Schwellenkalibrierung offen</x:v>
      </x:c>
      <x:c r="Y63" s="14" t="str">
        <x:v>Mittel</x:v>
      </x:c>
      <x:c r="Z63" s="14" t="str">
        <x:v>Arbeitskalibrierung – fachlich zu validieren</x:v>
      </x:c>
      <x:c r="AA63" s="14" t="str">
        <x:v>Eigene Belegschaft/Organisation; FTE, Beschäftigtengruppe und Zeitraum</x:v>
      </x:c>
      <x:c r="AB63" s="14" t="str">
        <x:v>Primärdaten bevorzugt; Sekundärdaten nur transparent und versioniert; Methode und Systemgrenze dokumentieren</x:v>
      </x:c>
      <x:c r="AC63" s="14" t="str">
        <x:v>Limited Assurance; risikobasiert höhere Prüftiefe</x:v>
      </x:c>
    </x:row>
    <x:row r="64" ht="42" customHeight="1">
      <x:c r="A64" s="14" t="str">
        <x:v>WOK-S-121</x:v>
      </x:c>
      <x:c r="B64" s="14" t="str">
        <x:v>SDG 3 – Gesundheit</x:v>
      </x:c>
      <x:c r="C64" s="14" t="str">
        <x:v>3.8</x:v>
      </x:c>
      <x:c r="D64" s="14" t="str">
        <x:v>Arbeits- &amp; Gesundheitsschutz</x:v>
      </x:c>
      <x:c r="E64" s="14" t="str">
        <x:v>Arbeits- &amp; Gesundheitsschutz – LTIFR</x:v>
      </x:c>
      <x:c r="F64" s="14" t="str">
        <x:v>Unfälle/Mio Std.</x:v>
      </x:c>
      <x:c r="G64" s="14" t="str">
        <x:v>lower_is_better</x:v>
      </x:c>
      <x:c r="H64" s="14" t="str">
        <x:v>R02</x:v>
      </x:c>
      <x:c r="I64" s="14" t="str">
        <x:v>NUM_LOW</x:v>
      </x:c>
      <x:c r="J64" s="51"/>
      <x:c r="K64" s="51"/>
      <x:c r="L64" s="51"/>
      <x:c r="M64" s="54"/>
      <x:c r="N64" s="58" t="str">
        <x:f>IF($J64="","",IF($J64&lt;=0,3,IF($J64&lt;=1,2,IF($J64&lt;=3,0,IF($J64&lt;=5,-2,-3)))))</x:f>
      </x:c>
      <x:c r="O64" s="58" t="str">
        <x:f>IF($J64="","",IF(OR('02_Benchmarks'!$P64&lt;&gt;"Aktiv",COUNT('02_Benchmarks'!$J64:$M64)&lt;4),"",IF($G64="lower_is_better",IF($J64&lt;='02_Benchmarks'!$J64,3,IF($J64&lt;'02_Benchmarks'!$K64,2,IF($J64&lt;='02_Benchmarks'!$L64,0,IF($J64&lt;='02_Benchmarks'!$M64,-2,-3)))),IF($J64&gt;='02_Benchmarks'!$J64,3,IF($J64&gt;'02_Benchmarks'!$K64,2,IF($J64&gt;='02_Benchmarks'!$L64,0,IF($J64&gt;='02_Benchmarks'!$M64,-2,-3)))))))</x:f>
      </x:c>
      <x:c r="P64" s="58" t="str">
        <x:f>IF(COUNT($N64:$O64)+IF(ISNUMBER($K64),1,0)=0,"",MIN($N64:$O64,$K64))</x:f>
      </x:c>
      <x:c r="Q64" s="58" t="str">
        <x:f>IF($P64="","",INDEX('04_Tarifmodell'!$B$6:$B$12,$P64+4))</x:f>
      </x:c>
      <x:c r="R64" s="64" t="str">
        <x:f>IF($P64="","",INDEX('04_Tarifmodell'!$C$6:$C$12,$P64+4))</x:f>
      </x:c>
      <x:c r="S64" s="14" t="str">
        <x:f>IF(OR($I64="QUALITATIVE",$I64="MANUAL_HYBRID"),IF($K64="","Assurance-Score fehlt","Assurance-bewertet"),IF($I64="BENCHMARK",IF($W64&lt;&gt;"Aktiv",IF($K64="","Benchmark fehlt","Assurance-bewertet"),IF($J64="","Messwert fehlt",IF($P64="","Nicht bewertbar","Berechnet"))),IF(AND($J64="",$K64&lt;&gt;""),"Nur Assurance-Score",IF($J64="","Messwert fehlt",IF($P64="","Nicht bewertbar",IF($P64&lt;=-2,"Kritische Wirkung / Prüfung","Berechnet"))))))</x:f>
        <x:v>Messwert fehlt</x:v>
      </x:c>
      <x:c r="T64" s="14" t="str">
        <x:v>Vollständige fünfstufige numerische Regel.</x:v>
      </x:c>
      <x:c r="U64" s="14" t="str">
        <x:v>0:+3; ≤1:+2; ≤3:0; ≤5:‑2; &gt;5:‑3</x:v>
      </x:c>
      <x:c r="V64" s="14" t="str">
        <x:v>ESRS S1, GRI 401/403/405/406, ILO</x:v>
      </x:c>
      <x:c r="W64" s="14" t="str">
        <x:f>'02_Benchmarks'!$P64</x:f>
        <x:v>Optional – kein aktiver Benchmark</x:v>
      </x:c>
      <x:c r="X64" s="14" t="str">
        <x:v>Messgrundlage belegt; Schwellenkalibrierung offen</x:v>
      </x:c>
      <x:c r="Y64" s="14" t="str">
        <x:v>Mittel</x:v>
      </x:c>
      <x:c r="Z64" s="14" t="str">
        <x:v>Arbeitskalibrierung – fachlich zu validieren</x:v>
      </x:c>
      <x:c r="AA64" s="14" t="str">
        <x:v>Eigene Belegschaft/Organisation; FTE, Beschäftigtengruppe und Zeitraum</x:v>
      </x:c>
      <x:c r="AB64" s="14" t="str">
        <x:v>Primärdaten bevorzugt; Sekundärdaten nur transparent und versioniert; Methode und Systemgrenze dokumentieren</x:v>
      </x:c>
      <x:c r="AC64" s="14" t="str">
        <x:v>Limited Assurance; risikobasiert höhere Prüftiefe</x:v>
      </x:c>
    </x:row>
    <x:row r="65" ht="42" customHeight="1">
      <x:c r="A65" s="14" t="str">
        <x:v>WOK-P-104</x:v>
      </x:c>
      <x:c r="B65" s="14" t="str">
        <x:v>SDG 3 – Gesundheit</x:v>
      </x:c>
      <x:c r="C65" s="14" t="str">
        <x:v>3.9</x:v>
      </x:c>
      <x:c r="D65" s="14" t="str">
        <x:v>Produktsicherheit &amp; Rückrufe</x:v>
      </x:c>
      <x:c r="E65" s="14" t="str">
        <x:v>Produktsicherheit &amp; Rückrufe – PCF</x:v>
      </x:c>
      <x:c r="F65" s="14" t="str">
        <x:v>kg CO₂e/Einheit</x:v>
      </x:c>
      <x:c r="G65" s="14" t="str">
        <x:v>lower_is_better</x:v>
      </x:c>
      <x:c r="H65" s="14" t="str">
        <x:v>R07</x:v>
      </x:c>
      <x:c r="I65" s="14" t="str">
        <x:v>BENCHMARK</x:v>
      </x:c>
      <x:c r="J65" s="51"/>
      <x:c r="K65" s="51"/>
      <x:c r="L65" s="51"/>
      <x:c r="M65" s="54"/>
      <x:c r="N65" s="58" t="str">
        <x:f>""</x:f>
      </x:c>
      <x:c r="O65" s="58" t="str">
        <x:f>IF($J65="","",IF(OR('02_Benchmarks'!$P65&lt;&gt;"Aktiv",COUNT('02_Benchmarks'!$J65:$M65)&lt;4),"",IF($G65="lower_is_better",IF($J65&lt;='02_Benchmarks'!$J65,3,IF($J65&lt;'02_Benchmarks'!$K65,2,IF($J65&lt;='02_Benchmarks'!$L65,0,IF($J65&lt;='02_Benchmarks'!$M65,-2,-3)))),IF($J65&gt;='02_Benchmarks'!$J65,3,IF($J65&gt;'02_Benchmarks'!$K65,2,IF($J65&gt;='02_Benchmarks'!$L65,0,IF($J65&gt;='02_Benchmarks'!$M65,-2,-3)))))))</x:f>
      </x:c>
      <x:c r="P65" s="58" t="str">
        <x:f>IF(COUNT($N65:$O65)+IF(ISNUMBER($K65),1,0)=0,"",MIN($N65:$O65,$K65))</x:f>
      </x:c>
      <x:c r="Q65" s="58" t="str">
        <x:f>IF($P65="","",INDEX('04_Tarifmodell'!$B$6:$B$12,$P65+4))</x:f>
      </x:c>
      <x:c r="R65" s="64" t="str">
        <x:f>IF($P65="","",INDEX('04_Tarifmodell'!$C$6:$C$12,$P65+4))</x:f>
      </x:c>
      <x:c r="S65" s="14" t="str">
        <x:f>IF(OR($I65="QUALITATIVE",$I65="MANUAL_HYBRID"),IF($K65="","Assurance-Score fehlt","Assurance-bewertet"),IF($I65="BENCHMARK",IF($W65&lt;&gt;"Aktiv",IF($K65="","Benchmark fehlt","Assurance-bewertet"),IF($J65="","Messwert fehlt",IF($P65="","Nicht bewertbar","Berechnet"))),IF(AND($J65="",$K65&lt;&gt;""),"Nur Assurance-Score",IF($J65="","Messwert fehlt",IF($P65="","Nicht bewertbar",IF($P65&lt;=-2,"Kritische Wirkung / Prüfung","Berechnet"))))))</x:f>
        <x:v>Benchmark fehlt</x:v>
      </x:c>
      <x:c r="T65" s="14" t="str">
        <x:v>Produktspezifische Referenzpopulation erforderlich.</x:v>
      </x:c>
      <x:c r="U65" s="14" t="str">
        <x:v>Top‑10%:+3; ±Benchmark:0; &gt;150%:‑2; &gt;250%:‑3</x:v>
      </x:c>
      <x:c r="V65" s="14" t="str">
        <x:v>ISO 14067/14040/44 (LCA/PCF), PEF/EF 3.1, EU Reparierbarkeitsindex</x:v>
      </x:c>
      <x:c r="W65" s="14" t="str">
        <x:f>'02_Benchmarks'!$P65</x:f>
        <x:v>Offen – validierter Benchmark fehlt</x:v>
      </x:c>
      <x:c r="X65" s="14" t="str">
        <x:v>Teilbelegt – Benchmarkquelle fehlt</x:v>
      </x:c>
      <x:c r="Y65" s="14" t="str">
        <x:v>Hoch</x:v>
      </x:c>
      <x:c r="Z65" s="14" t="str">
        <x:v>Validierter Benchmark fehlt</x:v>
      </x:c>
      <x:c r="AA65" s="14" t="str">
        <x:v>Produkt/Funktionseinheit; Lebenszyklusgrenze mindestens cradle-to-gate, bei Nutzungs-/End-of-Life-Relevanz cradle-to-grave</x:v>
      </x:c>
      <x:c r="AB65" s="14" t="str">
        <x:v>Primärdaten plus repräsentativer, versionierter Benchmarkdatensatz; Stichprobe und Population offenlegen</x:v>
      </x:c>
      <x:c r="AC65" s="14" t="str">
        <x:v>Messwert-Assurance und unabhängige Benchmark-Governance</x:v>
      </x:c>
    </x:row>
    <x:row r="66" ht="42" customHeight="1">
      <x:c r="A66" s="14" t="str">
        <x:v>WOK-P-105</x:v>
      </x:c>
      <x:c r="B66" s="14" t="str">
        <x:v>SDG 3 – Gesundheit</x:v>
      </x:c>
      <x:c r="C66" s="14" t="str">
        <x:v>3.9</x:v>
      </x:c>
      <x:c r="D66" s="14" t="str">
        <x:v>Produktsicherheit &amp; Rückrufe</x:v>
      </x:c>
      <x:c r="E66" s="14" t="str">
        <x:v>Produktsicherheit &amp; Rückrufe – Reparierbarkeit</x:v>
      </x:c>
      <x:c r="F66" s="14" t="str">
        <x:v>Score 0–10</x:v>
      </x:c>
      <x:c r="G66" s="14" t="str">
        <x:v>higher_is_better</x:v>
      </x:c>
      <x:c r="H66" s="14" t="str">
        <x:v>R24</x:v>
      </x:c>
      <x:c r="I66" s="14" t="str">
        <x:v>NUM_HIGH</x:v>
      </x:c>
      <x:c r="J66" s="51"/>
      <x:c r="K66" s="51"/>
      <x:c r="L66" s="51"/>
      <x:c r="M66" s="54"/>
      <x:c r="N66" s="58" t="str">
        <x:f>IF($J66="","",IF($J66&lt;2,-3,IF($J66&lt;4,-2,IF($J66&lt;6,0,IF($J66&lt;8,2,3)))))</x:f>
      </x:c>
      <x:c r="O66" s="58" t="str">
        <x:f>IF($J66="","",IF(OR('02_Benchmarks'!$P66&lt;&gt;"Aktiv",COUNT('02_Benchmarks'!$J66:$M66)&lt;4),"",IF($G66="lower_is_better",IF($J66&lt;='02_Benchmarks'!$J66,3,IF($J66&lt;'02_Benchmarks'!$K66,2,IF($J66&lt;='02_Benchmarks'!$L66,0,IF($J66&lt;='02_Benchmarks'!$M66,-2,-3)))),IF($J66&gt;='02_Benchmarks'!$J66,3,IF($J66&gt;'02_Benchmarks'!$K66,2,IF($J66&gt;='02_Benchmarks'!$L66,0,IF($J66&gt;='02_Benchmarks'!$M66,-2,-3)))))))</x:f>
      </x:c>
      <x:c r="P66" s="58" t="str">
        <x:f>IF(COUNT($N66:$O66)+IF(ISNUMBER($K66),1,0)=0,"",MIN($N66:$O66,$K66))</x:f>
      </x:c>
      <x:c r="Q66" s="58" t="str">
        <x:f>IF($P66="","",INDEX('04_Tarifmodell'!$B$6:$B$12,$P66+4))</x:f>
      </x:c>
      <x:c r="R66" s="64" t="str">
        <x:f>IF($P66="","",INDEX('04_Tarifmodell'!$C$6:$C$12,$P66+4))</x:f>
      </x:c>
      <x:c r="S66" s="14" t="str">
        <x:f>IF(OR($I66="QUALITATIVE",$I66="MANUAL_HYBRID"),IF($K66="","Assurance-Score fehlt","Assurance-bewertet"),IF($I66="BENCHMARK",IF($W66&lt;&gt;"Aktiv",IF($K66="","Benchmark fehlt","Assurance-bewertet"),IF($J66="","Messwert fehlt",IF($P66="","Nicht bewertbar","Berechnet"))),IF(AND($J66="",$K66&lt;&gt;""),"Nur Assurance-Score",IF($J66="","Messwert fehlt",IF($P66="","Nicht bewertbar",IF($P66&lt;=-2,"Kritische Wirkung / Prüfung","Berechnet"))))))</x:f>
        <x:v>Messwert fehlt</x:v>
      </x:c>
      <x:c r="T66" s="14" t="str">
        <x:v>Indexsystem, Produktgruppe und Rechtsstand festlegen. Französischer Index und EU-Score sind nicht pauschal austauschbar.</x:v>
      </x:c>
      <x:c r="U66" s="14" t="str">
        <x:v>≥8:+3; 6–7,9:+2; 4–5,9:0; 2–3,9:‑2; &lt;2:‑3</x:v>
      </x:c>
      <x:c r="V66" s="14" t="str">
        <x:v>ISO 14067/14040/44 (LCA/PCF), PEF/EF 3.1, EU Reparierbarkeitsindex</x:v>
      </x:c>
      <x:c r="W66" s="14" t="str">
        <x:f>'02_Benchmarks'!$P66</x:f>
        <x:v>Optional – kein aktiver Benchmark</x:v>
      </x:c>
      <x:c r="X66" s="14" t="str">
        <x:v>Teilbelegt – produktspezifisch zu validieren</x:v>
      </x:c>
      <x:c r="Y66" s="14" t="str">
        <x:v>Hoch</x:v>
      </x:c>
      <x:c r="Z66" s="14" t="str">
        <x:v>Indexsystem und Produktgruppe müssen ausgewiesen werden</x:v>
      </x:c>
      <x:c r="AA66" s="14" t="str">
        <x:v>Produkt/Funktionseinheit; Lebenszyklusgrenze mindestens cradle-to-gate, bei Nutzungs-/End-of-Life-Relevanz cradle-to-grave</x:v>
      </x:c>
      <x:c r="AB66" s="14" t="str">
        <x:v>Primärdaten oder qualitätsgesicherte Sekundärdaten; Methode, Zeitraum und Systemgrenze dokumentieren</x:v>
      </x:c>
      <x:c r="AC66" s="14" t="str">
        <x:v>Limited Assurance; bei materieller Steuerwirkung risikobasiert vertiefen</x:v>
      </x:c>
    </x:row>
    <x:row r="67" ht="42" customHeight="1">
      <x:c r="A67" s="14" t="str">
        <x:v>WOK-P-106</x:v>
      </x:c>
      <x:c r="B67" s="14" t="str">
        <x:v>SDG 3 – Gesundheit</x:v>
      </x:c>
      <x:c r="C67" s="14" t="str">
        <x:v>3.9</x:v>
      </x:c>
      <x:c r="D67" s="14" t="str">
        <x:v>Produktsicherheit &amp; Rückrufe</x:v>
      </x:c>
      <x:c r="E67" s="14" t="str">
        <x:v>Produktsicherheit &amp; Rückrufe – Rücknahme/Recycling</x:v>
      </x:c>
      <x:c r="F67" s="14" t="str">
        <x:v>%</x:v>
      </x:c>
      <x:c r="G67" s="14" t="str">
        <x:v>higher_is_better</x:v>
      </x:c>
      <x:c r="H67" s="14" t="str">
        <x:v>R22</x:v>
      </x:c>
      <x:c r="I67" s="14" t="str">
        <x:v>NUM_HIGH</x:v>
      </x:c>
      <x:c r="J67" s="51"/>
      <x:c r="K67" s="51"/>
      <x:c r="L67" s="51"/>
      <x:c r="M67" s="54"/>
      <x:c r="N67" s="58" t="str">
        <x:f>IF($J67="","",IF($J67&lt;15,-3,IF($J67&lt;30,-2,IF($J67&lt;50,0,IF($J67&lt;70,2,3)))))</x:f>
      </x:c>
      <x:c r="O67" s="58" t="str">
        <x:f>IF($J67="","",IF(OR('02_Benchmarks'!$P67&lt;&gt;"Aktiv",COUNT('02_Benchmarks'!$J67:$M67)&lt;4),"",IF($G67="lower_is_better",IF($J67&lt;='02_Benchmarks'!$J67,3,IF($J67&lt;'02_Benchmarks'!$K67,2,IF($J67&lt;='02_Benchmarks'!$L67,0,IF($J67&lt;='02_Benchmarks'!$M67,-2,-3)))),IF($J67&gt;='02_Benchmarks'!$J67,3,IF($J67&gt;'02_Benchmarks'!$K67,2,IF($J67&gt;='02_Benchmarks'!$L67,0,IF($J67&gt;='02_Benchmarks'!$M67,-2,-3)))))))</x:f>
      </x:c>
      <x:c r="P67" s="58" t="str">
        <x:f>IF(COUNT($N67:$O67)+IF(ISNUMBER($K67),1,0)=0,"",MIN($N67:$O67,$K67))</x:f>
      </x:c>
      <x:c r="Q67" s="58" t="str">
        <x:f>IF($P67="","",INDEX('04_Tarifmodell'!$B$6:$B$12,$P67+4))</x:f>
      </x:c>
      <x:c r="R67" s="64" t="str">
        <x:f>IF($P67="","",INDEX('04_Tarifmodell'!$C$6:$C$12,$P67+4))</x:f>
      </x:c>
      <x:c r="S67" s="14" t="str">
        <x:f>IF(OR($I67="QUALITATIVE",$I67="MANUAL_HYBRID"),IF($K67="","Assurance-Score fehlt","Assurance-bewertet"),IF($I67="BENCHMARK",IF($W67&lt;&gt;"Aktiv",IF($K67="","Benchmark fehlt","Assurance-bewertet"),IF($J67="","Messwert fehlt",IF($P67="","Nicht bewertbar","Berechnet"))),IF(AND($J67="",$K67&lt;&gt;""),"Nur Assurance-Score",IF($J67="","Messwert fehlt",IF($P67="","Nicht bewertbar",IF($P67&lt;=-2,"Kritische Wirkung / Prüfung","Berechnet"))))))</x:f>
        <x:v>Messwert fehlt</x:v>
      </x:c>
      <x:c r="T67" s="14" t="str">
        <x:v>Vollständige fünfstufige numerische Regel.</x:v>
      </x:c>
      <x:c r="U67" s="14" t="str">
        <x:v>≥70:+3; 50–69:+2; 30–49:0; 15–29:‑2; &lt;15:‑3</x:v>
      </x:c>
      <x:c r="V67" s="14" t="str">
        <x:v>ESRS E5, GRI 306, WEEE/VerpackG</x:v>
      </x:c>
      <x:c r="W67" s="14" t="str">
        <x:f>'02_Benchmarks'!$P67</x:f>
        <x:v>Optional – kein aktiver Benchmark</x:v>
      </x:c>
      <x:c r="X67" s="14" t="str">
        <x:v>Messgrundlage belegt; Schwellenkalibrierung offen</x:v>
      </x:c>
      <x:c r="Y67" s="14" t="str">
        <x:v>Mittel</x:v>
      </x:c>
      <x:c r="Z67" s="14" t="str">
        <x:v>Arbeitskalibrierung – fachlich zu validieren</x:v>
      </x:c>
      <x:c r="AA67" s="14" t="str">
        <x:v>Produkt/Funktionseinheit; Lebenszyklusgrenze mindestens cradle-to-gate, bei Nutzungs-/End-of-Life-Relevanz cradle-to-grave</x:v>
      </x:c>
      <x:c r="AB67" s="14" t="str">
        <x:v>Primärdaten bevorzugt; Sekundärdaten nur transparent und versioniert; Methode und Systemgrenze dokumentieren</x:v>
      </x:c>
      <x:c r="AC67" s="14" t="str">
        <x:v>Limited Assurance; risikobasiert höhere Prüftiefe</x:v>
      </x:c>
    </x:row>
    <x:row r="68" ht="42" customHeight="1">
      <x:c r="A68" s="14" t="str">
        <x:v>WOK-G-110</x:v>
      </x:c>
      <x:c r="B68" s="14" t="str">
        <x:v>SDG 3 – Gesundheit</x:v>
      </x:c>
      <x:c r="C68" s="14" t="str">
        <x:v>3.d</x:v>
      </x:c>
      <x:c r="D68" s="14" t="str">
        <x:v>Datenschutz (Gesundheitsdaten)</x:v>
      </x:c>
      <x:c r="E68" s="14" t="str">
        <x:v>Datenschutz (Gesundheitsdaten) – Datenschutzvorfälle</x:v>
      </x:c>
      <x:c r="F68" s="14" t="str">
        <x:v>Fälle/Mio</x:v>
      </x:c>
      <x:c r="G68" s="14" t="str">
        <x:v>lower_is_better</x:v>
      </x:c>
      <x:c r="H68" s="14" t="str">
        <x:v>R02</x:v>
      </x:c>
      <x:c r="I68" s="14" t="str">
        <x:v>NUM_LOW</x:v>
      </x:c>
      <x:c r="J68" s="51"/>
      <x:c r="K68" s="51"/>
      <x:c r="L68" s="51"/>
      <x:c r="M68" s="54"/>
      <x:c r="N68" s="58" t="str">
        <x:f>IF($J68="","",IF($J68&lt;=0,3,IF($J68&lt;=1,2,IF($J68&lt;=3,0,IF($J68&lt;=5,-2,-3)))))</x:f>
      </x:c>
      <x:c r="O68" s="58" t="str">
        <x:f>IF($J68="","",IF(OR('02_Benchmarks'!$P68&lt;&gt;"Aktiv",COUNT('02_Benchmarks'!$J68:$M68)&lt;4),"",IF($G68="lower_is_better",IF($J68&lt;='02_Benchmarks'!$J68,3,IF($J68&lt;'02_Benchmarks'!$K68,2,IF($J68&lt;='02_Benchmarks'!$L68,0,IF($J68&lt;='02_Benchmarks'!$M68,-2,-3)))),IF($J68&gt;='02_Benchmarks'!$J68,3,IF($J68&gt;'02_Benchmarks'!$K68,2,IF($J68&gt;='02_Benchmarks'!$L68,0,IF($J68&gt;='02_Benchmarks'!$M68,-2,-3)))))))</x:f>
      </x:c>
      <x:c r="P68" s="58" t="str">
        <x:f>IF(COUNT($N68:$O68)+IF(ISNUMBER($K68),1,0)=0,"",MIN($N68:$O68,$K68))</x:f>
      </x:c>
      <x:c r="Q68" s="58" t="str">
        <x:f>IF($P68="","",INDEX('04_Tarifmodell'!$B$6:$B$12,$P68+4))</x:f>
      </x:c>
      <x:c r="R68" s="64" t="str">
        <x:f>IF($P68="","",INDEX('04_Tarifmodell'!$C$6:$C$12,$P68+4))</x:f>
      </x:c>
      <x:c r="S68" s="14" t="str">
        <x:f>IF(OR($I68="QUALITATIVE",$I68="MANUAL_HYBRID"),IF($K68="","Assurance-Score fehlt","Assurance-bewertet"),IF($I68="BENCHMARK",IF($W68&lt;&gt;"Aktiv",IF($K68="","Benchmark fehlt","Assurance-bewertet"),IF($J68="","Messwert fehlt",IF($P68="","Nicht bewertbar","Berechnet"))),IF(AND($J68="",$K68&lt;&gt;""),"Nur Assurance-Score",IF($J68="","Messwert fehlt",IF($P68="","Nicht bewertbar",IF($P68&lt;=-2,"Kritische Wirkung / Prüfung","Berechnet"))))))</x:f>
        <x:v>Messwert fehlt</x:v>
      </x:c>
      <x:c r="T68" s="14" t="str">
        <x:v>Vollständige fünfstufige numerische Regel.</x:v>
      </x:c>
      <x:c r="U68" s="14" t="str">
        <x:v>0:+3; ≤1:+2; ≤3:0; ≤5:‑2; &gt;5:‑3</x:v>
      </x:c>
      <x:c r="V68" s="14" t="str">
        <x:v>ISO/IEC 27001 &amp; 27701, NIS2</x:v>
      </x:c>
      <x:c r="W68" s="14" t="str">
        <x:f>'02_Benchmarks'!$P68</x:f>
        <x:v>Optional – kein aktiver Benchmark</x:v>
      </x:c>
      <x:c r="X68" s="14" t="str">
        <x:v>Messgrundlage belegt; Schwellenkalibrierung offen</x:v>
      </x:c>
      <x:c r="Y68" s="14" t="str">
        <x:v>Mittel</x:v>
      </x:c>
      <x:c r="Z68" s="14" t="str">
        <x:v>Arbeitskalibrierung – fachlich zu validieren</x:v>
      </x:c>
      <x:c r="AA68" s="14" t="str">
        <x:v>Organisation/Governance; konsolidierter Kreis und relevante Rechtseinheiten</x:v>
      </x:c>
      <x:c r="AB68" s="14" t="str">
        <x:v>Primärdaten bevorzugt; Sekundärdaten nur transparent und versioniert; Methode und Systemgrenze dokumentieren</x:v>
      </x:c>
      <x:c r="AC68" s="14" t="str">
        <x:v>Limited Assurance; risikobasiert höhere Prüftiefe</x:v>
      </x:c>
    </x:row>
    <x:row r="69" ht="42" customHeight="1">
      <x:c r="A69" s="14" t="str">
        <x:v>WOK-G-111</x:v>
      </x:c>
      <x:c r="B69" s="14" t="str">
        <x:v>SDG 3 – Gesundheit</x:v>
      </x:c>
      <x:c r="C69" s="14" t="str">
        <x:v>3.d</x:v>
      </x:c>
      <x:c r="D69" s="14" t="str">
        <x:v>Datenschutz (Gesundheitsdaten)</x:v>
      </x:c>
      <x:c r="E69" s="14" t="str">
        <x:v>Datenschutz (Gesundheitsdaten) – Privacy by Design</x:v>
      </x:c>
      <x:c r="F69" s="14" t="str">
        <x:v>%</x:v>
      </x:c>
      <x:c r="G69" s="14" t="str">
        <x:v>higher_is_better</x:v>
      </x:c>
      <x:c r="H69" s="14" t="str">
        <x:v>R25</x:v>
      </x:c>
      <x:c r="I69" s="14" t="str">
        <x:v>NUM_HIGH</x:v>
      </x:c>
      <x:c r="J69" s="51"/>
      <x:c r="K69" s="51"/>
      <x:c r="L69" s="51"/>
      <x:c r="M69" s="54"/>
      <x:c r="N69" s="58" t="str">
        <x:f>IF($J69="","",IF($J69&lt;30,-3,IF($J69&lt;50,-2,IF($J69&lt;70,0,IF($J69&lt;90,2,3)))))</x:f>
      </x:c>
      <x:c r="O69" s="58" t="str">
        <x:f>IF($J69="","",IF(OR('02_Benchmarks'!$P69&lt;&gt;"Aktiv",COUNT('02_Benchmarks'!$J69:$M69)&lt;4),"",IF($G69="lower_is_better",IF($J69&lt;='02_Benchmarks'!$J69,3,IF($J69&lt;'02_Benchmarks'!$K69,2,IF($J69&lt;='02_Benchmarks'!$L69,0,IF($J69&lt;='02_Benchmarks'!$M69,-2,-3)))),IF($J69&gt;='02_Benchmarks'!$J69,3,IF($J69&gt;'02_Benchmarks'!$K69,2,IF($J69&gt;='02_Benchmarks'!$L69,0,IF($J69&gt;='02_Benchmarks'!$M69,-2,-3)))))))</x:f>
      </x:c>
      <x:c r="P69" s="58" t="str">
        <x:f>IF(COUNT($N69:$O69)+IF(ISNUMBER($K69),1,0)=0,"",MIN($N69:$O69,$K69))</x:f>
      </x:c>
      <x:c r="Q69" s="58" t="str">
        <x:f>IF($P69="","",INDEX('04_Tarifmodell'!$B$6:$B$12,$P69+4))</x:f>
      </x:c>
      <x:c r="R69" s="64" t="str">
        <x:f>IF($P69="","",INDEX('04_Tarifmodell'!$C$6:$C$12,$P69+4))</x:f>
      </x:c>
      <x:c r="S69" s="14" t="str">
        <x:f>IF(OR($I69="QUALITATIVE",$I69="MANUAL_HYBRID"),IF($K69="","Assurance-Score fehlt","Assurance-bewertet"),IF($I69="BENCHMARK",IF($W69&lt;&gt;"Aktiv",IF($K69="","Benchmark fehlt","Assurance-bewertet"),IF($J69="","Messwert fehlt",IF($P69="","Nicht bewertbar","Berechnet"))),IF(AND($J69="",$K69&lt;&gt;""),"Nur Assurance-Score",IF($J69="","Messwert fehlt",IF($P69="","Nicht bewertbar",IF($P69&lt;=-2,"Kritische Wirkung / Prüfung","Berechnet"))))))</x:f>
        <x:v>Messwert fehlt</x:v>
      </x:c>
      <x:c r="T69" s="14" t="str">
        <x:v>Vollständige fünfstufige Prozentregel.</x:v>
      </x:c>
      <x:c r="U69" s="14" t="str">
        <x:v>≥90%:+3; 70–89%:+2; 50–69%:0; 30–49%:‑2; &lt;30%:‑3</x:v>
      </x:c>
      <x:c r="V69" s="14" t="str">
        <x:v>ISO/IEC 27001 &amp; 27701, NIS2</x:v>
      </x:c>
      <x:c r="W69" s="14" t="str">
        <x:f>'02_Benchmarks'!$P69</x:f>
        <x:v>Optional – kein aktiver Benchmark</x:v>
      </x:c>
      <x:c r="X69" s="14" t="str">
        <x:v>Messgrundlage belegt; Schwellenkalibrierung offen</x:v>
      </x:c>
      <x:c r="Y69" s="14" t="str">
        <x:v>Mittel</x:v>
      </x:c>
      <x:c r="Z69" s="14" t="str">
        <x:v>Arbeitskalibrierung – fachlich zu validieren</x:v>
      </x:c>
      <x:c r="AA69" s="14" t="str">
        <x:v>Organisation/Governance; konsolidierter Kreis und relevante Rechtseinheiten</x:v>
      </x:c>
      <x:c r="AB69" s="14" t="str">
        <x:v>Primärdaten bevorzugt; Sekundärdaten nur transparent und versioniert; Methode und Systemgrenze dokumentieren</x:v>
      </x:c>
      <x:c r="AC69" s="14" t="str">
        <x:v>Limited Assurance; risikobasiert höhere Prüftiefe</x:v>
      </x:c>
    </x:row>
    <x:row r="70" ht="42" customHeight="1">
      <x:c r="A70" s="14" t="str">
        <x:v>WOK-G-112</x:v>
      </x:c>
      <x:c r="B70" s="14" t="str">
        <x:v>SDG 3 – Gesundheit</x:v>
      </x:c>
      <x:c r="C70" s="14" t="str">
        <x:v>3.d</x:v>
      </x:c>
      <x:c r="D70" s="14" t="str">
        <x:v>Datenschutz (Gesundheitsdaten)</x:v>
      </x:c>
      <x:c r="E70" s="14" t="str">
        <x:v>Datenschutz (Gesundheitsdaten) – Security Reifegrad</x:v>
      </x:c>
      <x:c r="F70" s="14" t="str">
        <x:v>0–1</x:v>
      </x:c>
      <x:c r="G70" s="14" t="str">
        <x:v>higher_is_better</x:v>
      </x:c>
      <x:c r="H70" s="14" t="str">
        <x:v>R16</x:v>
      </x:c>
      <x:c r="I70" s="14" t="str">
        <x:v>NUM_HIGH</x:v>
      </x:c>
      <x:c r="J70" s="51"/>
      <x:c r="K70" s="51"/>
      <x:c r="L70" s="51"/>
      <x:c r="M70" s="54"/>
      <x:c r="N70" s="58" t="str">
        <x:f>IF($J70="","",IF($J70&lt;0.4,-3,IF($J70&lt;0.6,-2,IF($J70&lt;0.75,0,IF($J70&lt;0.9,2,3)))))</x:f>
      </x:c>
      <x:c r="O70" s="58" t="str">
        <x:f>IF($J70="","",IF(OR('02_Benchmarks'!$P70&lt;&gt;"Aktiv",COUNT('02_Benchmarks'!$J70:$M70)&lt;4),"",IF($G70="lower_is_better",IF($J70&lt;='02_Benchmarks'!$J70,3,IF($J70&lt;'02_Benchmarks'!$K70,2,IF($J70&lt;='02_Benchmarks'!$L70,0,IF($J70&lt;='02_Benchmarks'!$M70,-2,-3)))),IF($J70&gt;='02_Benchmarks'!$J70,3,IF($J70&gt;'02_Benchmarks'!$K70,2,IF($J70&gt;='02_Benchmarks'!$L70,0,IF($J70&gt;='02_Benchmarks'!$M70,-2,-3)))))))</x:f>
      </x:c>
      <x:c r="P70" s="58" t="str">
        <x:f>IF(COUNT($N70:$O70)+IF(ISNUMBER($K70),1,0)=0,"",MIN($N70:$O70,$K70))</x:f>
      </x:c>
      <x:c r="Q70" s="58" t="str">
        <x:f>IF($P70="","",INDEX('04_Tarifmodell'!$B$6:$B$12,$P70+4))</x:f>
      </x:c>
      <x:c r="R70" s="64" t="str">
        <x:f>IF($P70="","",INDEX('04_Tarifmodell'!$C$6:$C$12,$P70+4))</x:f>
      </x:c>
      <x:c r="S70" s="14" t="str">
        <x:f>IF(OR($I70="QUALITATIVE",$I70="MANUAL_HYBRID"),IF($K70="","Assurance-Score fehlt","Assurance-bewertet"),IF($I70="BENCHMARK",IF($W70&lt;&gt;"Aktiv",IF($K70="","Benchmark fehlt","Assurance-bewertet"),IF($J70="","Messwert fehlt",IF($P70="","Nicht bewertbar","Berechnet"))),IF(AND($J70="",$K70&lt;&gt;""),"Nur Assurance-Score",IF($J70="","Messwert fehlt",IF($P70="","Nicht bewertbar",IF($P70&lt;=-2,"Kritische Wirkung / Prüfung","Berechnet"))))))</x:f>
        <x:v>Messwert fehlt</x:v>
      </x:c>
      <x:c r="T70" s="14" t="str">
        <x:v>Vollständige fünfstufige numerische Regel.</x:v>
      </x:c>
      <x:c r="U70" s="14" t="str">
        <x:v>≥0,9:+3; 0,75–0,89:+2; 0,6–0,74:0; 0,4–0,59:‑2; &lt;0,4:‑3</x:v>
      </x:c>
      <x:c r="V70" s="14" t="str">
        <x:v>ISO/IEC 27001 &amp; 27701, NIS2</x:v>
      </x:c>
      <x:c r="W70" s="14" t="str">
        <x:f>'02_Benchmarks'!$P70</x:f>
        <x:v>Optional – kein aktiver Benchmark</x:v>
      </x:c>
      <x:c r="X70" s="14" t="str">
        <x:v>Messgrundlage belegt; Schwellenkalibrierung offen</x:v>
      </x:c>
      <x:c r="Y70" s="14" t="str">
        <x:v>Mittel</x:v>
      </x:c>
      <x:c r="Z70" s="14" t="str">
        <x:v>Arbeitskalibrierung – fachlich zu validieren</x:v>
      </x:c>
      <x:c r="AA70" s="14" t="str">
        <x:v>Organisation/Governance; konsolidierter Kreis und relevante Rechtseinheiten</x:v>
      </x:c>
      <x:c r="AB70" s="14" t="str">
        <x:v>Primärdaten bevorzugt; Sekundärdaten nur transparent und versioniert; Methode und Systemgrenze dokumentieren</x:v>
      </x:c>
      <x:c r="AC70" s="14" t="str">
        <x:v>Limited Assurance; risikobasiert höhere Prüftiefe</x:v>
      </x:c>
    </x:row>
    <x:row r="71" ht="42" customHeight="1">
      <x:c r="A71" s="14" t="str">
        <x:v>WOK-RE-101</x:v>
      </x:c>
      <x:c r="B71" s="14" t="str">
        <x:v>SDG 3 – Gesundheit</x:v>
      </x:c>
      <x:c r="C71" s="14" t="str">
        <x:v>3.9</x:v>
      </x:c>
      <x:c r="D71" s="14" t="str">
        <x:v>Gesunde Gebäude (IAQ)</x:v>
      </x:c>
      <x:c r="E71" s="14" t="str">
        <x:v>Gesunde Gebäude (IAQ) – Betriebsenergie</x:v>
      </x:c>
      <x:c r="F71" s="14" t="str">
        <x:v>kWh/m²a</x:v>
      </x:c>
      <x:c r="G71" s="14" t="str">
        <x:v>lower_is_better</x:v>
      </x:c>
      <x:c r="H71" s="14" t="str">
        <x:v>R05</x:v>
      </x:c>
      <x:c r="I71" s="14" t="str">
        <x:v>BENCHMARK</x:v>
      </x:c>
      <x:c r="J71" s="51"/>
      <x:c r="K71" s="51"/>
      <x:c r="L71" s="51"/>
      <x:c r="M71" s="54"/>
      <x:c r="N71" s="58" t="str">
        <x:f>""</x:f>
      </x:c>
      <x:c r="O71" s="58" t="str">
        <x:f>IF($J71="","",IF(OR('02_Benchmarks'!$P71&lt;&gt;"Aktiv",COUNT('02_Benchmarks'!$J71:$M71)&lt;4),"",IF($G71="lower_is_better",IF($J71&lt;='02_Benchmarks'!$J71,3,IF($J71&lt;'02_Benchmarks'!$K71,2,IF($J71&lt;='02_Benchmarks'!$L71,0,IF($J71&lt;='02_Benchmarks'!$M71,-2,-3)))),IF($J71&gt;='02_Benchmarks'!$J71,3,IF($J71&gt;'02_Benchmarks'!$K71,2,IF($J71&gt;='02_Benchmarks'!$L71,0,IF($J71&gt;='02_Benchmarks'!$M71,-2,-3)))))))</x:f>
      </x:c>
      <x:c r="P71" s="58" t="str">
        <x:f>IF(COUNT($N71:$O71)+IF(ISNUMBER($K71),1,0)=0,"",MIN($N71:$O71,$K71))</x:f>
      </x:c>
      <x:c r="Q71" s="58" t="str">
        <x:f>IF($P71="","",INDEX('04_Tarifmodell'!$B$6:$B$12,$P71+4))</x:f>
      </x:c>
      <x:c r="R71" s="64" t="str">
        <x:f>IF($P71="","",INDEX('04_Tarifmodell'!$C$6:$C$12,$P71+4))</x:f>
      </x:c>
      <x:c r="S71" s="14" t="str">
        <x:f>IF(OR($I71="QUALITATIVE",$I71="MANUAL_HYBRID"),IF($K71="","Assurance-Score fehlt","Assurance-bewertet"),IF($I71="BENCHMARK",IF($W71&lt;&gt;"Aktiv",IF($K71="","Benchmark fehlt","Assurance-bewertet"),IF($J71="","Messwert fehlt",IF($P71="","Nicht bewertbar","Berechnet"))),IF(AND($J71="",$K71&lt;&gt;""),"Nur Assurance-Score",IF($J71="","Messwert fehlt",IF($P71="","Nicht bewertbar",IF($P71&lt;=-2,"Kritische Wirkung / Prüfung","Berechnet"))))))</x:f>
        <x:v>Benchmark fehlt</x:v>
      </x:c>
      <x:c r="T71" s="14" t="str">
        <x:v>Die Grenze &gt;+60 % ist derzeit nicht eindeutig in −2/−3 aufgelöst.</x:v>
      </x:c>
      <x:c r="U71" s="14" t="str">
        <x:v>Top 15%:+3; +15–30%:+2; +31–60%:0; &gt;+60%:‑2/‑3</x:v>
      </x:c>
      <x:c r="V71" s="14" t="str">
        <x:v>ESRS E1, ISO 50001 (EnMS), ISO/IEC 30134‑2 (PUE), EU EPBD</x:v>
      </x:c>
      <x:c r="W71" s="14" t="str">
        <x:f>'02_Benchmarks'!$P71</x:f>
        <x:v>Offen – validierter Benchmark fehlt</x:v>
      </x:c>
      <x:c r="X71" s="14" t="str">
        <x:v>Teilbelegt – Benchmarkquelle fehlt</x:v>
      </x:c>
      <x:c r="Y71" s="14" t="str">
        <x:v>Hoch</x:v>
      </x:c>
      <x:c r="Z71" s="14" t="str">
        <x:v>Validierter Benchmark fehlt</x:v>
      </x:c>
      <x:c r="AA71" s="14" t="str">
        <x:v>Gebäude/Standort; Betrieb plus relevante Lebenszyklusmodule</x:v>
      </x:c>
      <x:c r="AB71" s="14" t="str">
        <x:v>Primärdaten plus repräsentativer, versionierter Benchmarkdatensatz; Stichprobe und Population offenlegen</x:v>
      </x:c>
      <x:c r="AC71" s="14" t="str">
        <x:v>Messwert-Assurance und unabhängige Benchmark-Governance</x:v>
      </x:c>
    </x:row>
    <x:row r="72" ht="42" customHeight="1">
      <x:c r="A72" s="14" t="str">
        <x:v>WOK-RE-102</x:v>
      </x:c>
      <x:c r="B72" s="14" t="str">
        <x:v>SDG 3 – Gesundheit</x:v>
      </x:c>
      <x:c r="C72" s="14" t="str">
        <x:v>3.9</x:v>
      </x:c>
      <x:c r="D72" s="14" t="str">
        <x:v>Gesunde Gebäude (IAQ)</x:v>
      </x:c>
      <x:c r="E72" s="14" t="str">
        <x:v>Gesunde Gebäude (IAQ) – Graue Emissionen</x:v>
      </x:c>
      <x:c r="F72" s="14" t="str">
        <x:v>kg CO₂e/m²</x:v>
      </x:c>
      <x:c r="G72" s="14" t="str">
        <x:v>lower_is_better</x:v>
      </x:c>
      <x:c r="H72" s="14" t="str">
        <x:v>R06</x:v>
      </x:c>
      <x:c r="I72" s="14" t="str">
        <x:v>BENCHMARK</x:v>
      </x:c>
      <x:c r="J72" s="51"/>
      <x:c r="K72" s="51"/>
      <x:c r="L72" s="51"/>
      <x:c r="M72" s="54"/>
      <x:c r="N72" s="58" t="str">
        <x:f>""</x:f>
      </x:c>
      <x:c r="O72" s="58" t="str">
        <x:f>IF($J72="","",IF(OR('02_Benchmarks'!$P72&lt;&gt;"Aktiv",COUNT('02_Benchmarks'!$J72:$M72)&lt;4),"",IF($G72="lower_is_better",IF($J72&lt;='02_Benchmarks'!$J72,3,IF($J72&lt;'02_Benchmarks'!$K72,2,IF($J72&lt;='02_Benchmarks'!$L72,0,IF($J72&lt;='02_Benchmarks'!$M72,-2,-3)))),IF($J72&gt;='02_Benchmarks'!$J72,3,IF($J72&gt;'02_Benchmarks'!$K72,2,IF($J72&gt;='02_Benchmarks'!$L72,0,IF($J72&gt;='02_Benchmarks'!$M72,-2,-3)))))))</x:f>
      </x:c>
      <x:c r="P72" s="58" t="str">
        <x:f>IF(COUNT($N72:$O72)+IF(ISNUMBER($K72),1,0)=0,"",MIN($N72:$O72,$K72))</x:f>
      </x:c>
      <x:c r="Q72" s="58" t="str">
        <x:f>IF($P72="","",INDEX('04_Tarifmodell'!$B$6:$B$12,$P72+4))</x:f>
      </x:c>
      <x:c r="R72" s="64" t="str">
        <x:f>IF($P72="","",INDEX('04_Tarifmodell'!$C$6:$C$12,$P72+4))</x:f>
      </x:c>
      <x:c r="S72" s="14" t="str">
        <x:f>IF(OR($I72="QUALITATIVE",$I72="MANUAL_HYBRID"),IF($K72="","Assurance-Score fehlt","Assurance-bewertet"),IF($I72="BENCHMARK",IF($W72&lt;&gt;"Aktiv",IF($K72="","Benchmark fehlt","Assurance-bewertet"),IF($J72="","Messwert fehlt",IF($P72="","Nicht bewertbar","Berechnet"))),IF(AND($J72="",$K72&lt;&gt;""),"Nur Assurance-Score",IF($J72="","Messwert fehlt",IF($P72="","Nicht bewertbar",IF($P72&lt;=-2,"Kritische Wirkung / Prüfung","Berechnet"))))))</x:f>
        <x:v>Benchmark fehlt</x:v>
      </x:c>
      <x:c r="T72" s="14" t="str">
        <x:v>Top-10-Prozent, Mittelwert, 150 % und 250 % müssen aus einer dokumentierten Grundgesamtheit stammen.</x:v>
      </x:c>
      <x:c r="U72" s="14" t="str">
        <x:v>Top‑10%:+3; Mittel:0; &gt;150%:‑2; &gt;250%:‑3</x:v>
      </x:c>
      <x:c r="V72" s="14" t="str">
        <x:v>ESRS E1, GHG Protocol (Corporate/Scope 1–3), ISO 14064/14067</x:v>
      </x:c>
      <x:c r="W72" s="14" t="str">
        <x:f>'02_Benchmarks'!$P72</x:f>
        <x:v>Offen – validierter Benchmark fehlt</x:v>
      </x:c>
      <x:c r="X72" s="14" t="str">
        <x:v>Teilbelegt – Benchmarkquelle fehlt</x:v>
      </x:c>
      <x:c r="Y72" s="14" t="str">
        <x:v>Hoch</x:v>
      </x:c>
      <x:c r="Z72" s="14" t="str">
        <x:v>Validierter Benchmark fehlt</x:v>
      </x:c>
      <x:c r="AA72" s="14" t="str">
        <x:v>Gebäude/Standort; Betrieb plus relevante Lebenszyklusmodule</x:v>
      </x:c>
      <x:c r="AB72" s="14" t="str">
        <x:v>Primärdaten plus repräsentativer, versionierter Benchmarkdatensatz; Stichprobe und Population offenlegen</x:v>
      </x:c>
      <x:c r="AC72" s="14" t="str">
        <x:v>Messwert-Assurance und unabhängige Benchmark-Governance</x:v>
      </x:c>
    </x:row>
    <x:row r="73" ht="42" customHeight="1">
      <x:c r="A73" s="14" t="str">
        <x:v>WOK-RE-103</x:v>
      </x:c>
      <x:c r="B73" s="14" t="str">
        <x:v>SDG 3 – Gesundheit</x:v>
      </x:c>
      <x:c r="C73" s="14" t="str">
        <x:v>3.9</x:v>
      </x:c>
      <x:c r="D73" s="14" t="str">
        <x:v>Gesunde Gebäude (IAQ)</x:v>
      </x:c>
      <x:c r="E73" s="14" t="str">
        <x:v>Gesunde Gebäude (IAQ) – ÖPNV‑Erreichbarkeit</x:v>
      </x:c>
      <x:c r="F73" s="14" t="str">
        <x:v>0–1</x:v>
      </x:c>
      <x:c r="G73" s="14" t="str">
        <x:v>higher_is_better</x:v>
      </x:c>
      <x:c r="H73" s="14" t="str">
        <x:v>R14</x:v>
      </x:c>
      <x:c r="I73" s="14" t="str">
        <x:v>NUM_HIGH</x:v>
      </x:c>
      <x:c r="J73" s="51"/>
      <x:c r="K73" s="51"/>
      <x:c r="L73" s="51"/>
      <x:c r="M73" s="54"/>
      <x:c r="N73" s="58" t="str">
        <x:f>IF($J73="","",IF($J73&lt;0.2,-3,IF($J73&lt;0.4,-2,IF($J73&lt;0.6,0,IF($J73&lt;0.8,2,3)))))</x:f>
      </x:c>
      <x:c r="O73" s="58" t="str">
        <x:f>IF($J73="","",IF(OR('02_Benchmarks'!$P73&lt;&gt;"Aktiv",COUNT('02_Benchmarks'!$J73:$M73)&lt;4),"",IF($G73="lower_is_better",IF($J73&lt;='02_Benchmarks'!$J73,3,IF($J73&lt;'02_Benchmarks'!$K73,2,IF($J73&lt;='02_Benchmarks'!$L73,0,IF($J73&lt;='02_Benchmarks'!$M73,-2,-3)))),IF($J73&gt;='02_Benchmarks'!$J73,3,IF($J73&gt;'02_Benchmarks'!$K73,2,IF($J73&gt;='02_Benchmarks'!$L73,0,IF($J73&gt;='02_Benchmarks'!$M73,-2,-3)))))))</x:f>
      </x:c>
      <x:c r="P73" s="58" t="str">
        <x:f>IF(COUNT($N73:$O73)+IF(ISNUMBER($K73),1,0)=0,"",MIN($N73:$O73,$K73))</x:f>
      </x:c>
      <x:c r="Q73" s="58" t="str">
        <x:f>IF($P73="","",INDEX('04_Tarifmodell'!$B$6:$B$12,$P73+4))</x:f>
      </x:c>
      <x:c r="R73" s="64" t="str">
        <x:f>IF($P73="","",INDEX('04_Tarifmodell'!$C$6:$C$12,$P73+4))</x:f>
      </x:c>
      <x:c r="S73" s="14" t="str">
        <x:f>IF(OR($I73="QUALITATIVE",$I73="MANUAL_HYBRID"),IF($K73="","Assurance-Score fehlt","Assurance-bewertet"),IF($I73="BENCHMARK",IF($W73&lt;&gt;"Aktiv",IF($K73="","Benchmark fehlt","Assurance-bewertet"),IF($J73="","Messwert fehlt",IF($P73="","Nicht bewertbar","Berechnet"))),IF(AND($J73="",$K73&lt;&gt;""),"Nur Assurance-Score",IF($J73="","Messwert fehlt",IF($P73="","Nicht bewertbar",IF($P73&lt;=-2,"Kritische Wirkung / Prüfung","Berechnet"))))))</x:f>
        <x:v>Messwert fehlt</x:v>
      </x:c>
      <x:c r="T73" s="14" t="str">
        <x:v>Konkreten Datenhalter, GIS-Layer, Stichtag und Methodik ergänzen. Vollständige fünfstufige numerische Regel.</x:v>
      </x:c>
      <x:c r="U73" s="14" t="str">
        <x:v>≥0,8:+3; 0,6–0,79:+2; 0,4–0,59:0; 0,2–0,39:‑2; &lt;0,2:‑3</x:v>
      </x:c>
      <x:c r="V73" s="14" t="str">
        <x:v>EN 15978 (Bau LCA), EU EPBD, ISO 52000</x:v>
      </x:c>
      <x:c r="W73" s="14" t="str">
        <x:f>'02_Benchmarks'!$P73</x:f>
        <x:v>Optional – kein aktiver Benchmark</x:v>
      </x:c>
      <x:c r="X73" s="14" t="str">
        <x:v>Platzhalter – konkrete Datenquelle fehlt</x:v>
      </x:c>
      <x:c r="Y73" s="14" t="str">
        <x:v>Hoch</x:v>
      </x:c>
      <x:c r="Z73" s="14" t="str">
        <x:v>Arbeitskalibrierung – fachlich zu validieren</x:v>
      </x:c>
      <x:c r="AA73" s="14" t="str">
        <x:v>Gebäude/Standort; Betrieb plus relevante Lebenszyklusmodule</x:v>
      </x:c>
      <x:c r="AB73" s="14" t="str">
        <x:v>Primärdaten oder qualitätsgesicherte Sekundärdaten; Methode, Zeitraum und Systemgrenze dokumentieren</x:v>
      </x:c>
      <x:c r="AC73" s="14" t="str">
        <x:v>Limited Assurance; bei materieller Steuerwirkung risikobasiert vertiefen</x:v>
      </x:c>
    </x:row>
    <x:row r="74" ht="42" customHeight="1">
      <x:c r="A74" s="14" t="str">
        <x:v>WOK-SYS-104</x:v>
      </x:c>
      <x:c r="B74" s="14" t="str">
        <x:v>SDG 3 – Gesundheit</x:v>
      </x:c>
      <x:c r="C74" s="14" t="str">
        <x:v>3.4</x:v>
      </x:c>
      <x:c r="D74" s="14" t="str">
        <x:v>Kultur/Bewegung fördern</x:v>
      </x:c>
      <x:c r="E74" s="14" t="str">
        <x:v>Kultur/Bewegung fördern – Index</x:v>
      </x:c>
      <x:c r="F74" s="14" t="str">
        <x:v>0–1</x:v>
      </x:c>
      <x:c r="G74" s="14" t="str">
        <x:v>higher_is_better</x:v>
      </x:c>
      <x:c r="H74" s="14" t="str">
        <x:v>R15</x:v>
      </x:c>
      <x:c r="I74" s="14" t="str">
        <x:v>NUM_HIGH</x:v>
      </x:c>
      <x:c r="J74" s="51"/>
      <x:c r="K74" s="51"/>
      <x:c r="L74" s="51"/>
      <x:c r="M74" s="54"/>
      <x:c r="N74" s="58" t="str">
        <x:f>IF($J74="","",IF($J74&lt;0.5,-3,IF($J74&lt;0.6,-2,IF($J74&lt;0.7,0,IF($J74&lt;0.8,2,3)))))</x:f>
      </x:c>
      <x:c r="O74" s="58" t="str">
        <x:f>IF($J74="","",IF(OR('02_Benchmarks'!$P74&lt;&gt;"Aktiv",COUNT('02_Benchmarks'!$J74:$M74)&lt;4),"",IF($G74="lower_is_better",IF($J74&lt;='02_Benchmarks'!$J74,3,IF($J74&lt;'02_Benchmarks'!$K74,2,IF($J74&lt;='02_Benchmarks'!$L74,0,IF($J74&lt;='02_Benchmarks'!$M74,-2,-3)))),IF($J74&gt;='02_Benchmarks'!$J74,3,IF($J74&gt;'02_Benchmarks'!$K74,2,IF($J74&gt;='02_Benchmarks'!$L74,0,IF($J74&gt;='02_Benchmarks'!$M74,-2,-3)))))))</x:f>
      </x:c>
      <x:c r="P74" s="58" t="str">
        <x:f>IF(COUNT($N74:$O74)+IF(ISNUMBER($K74),1,0)=0,"",MIN($N74:$O74,$K74))</x:f>
      </x:c>
      <x:c r="Q74" s="58" t="str">
        <x:f>IF($P74="","",INDEX('04_Tarifmodell'!$B$6:$B$12,$P74+4))</x:f>
      </x:c>
      <x:c r="R74" s="64" t="str">
        <x:f>IF($P74="","",INDEX('04_Tarifmodell'!$C$6:$C$12,$P74+4))</x:f>
      </x:c>
      <x:c r="S74" s="14" t="str">
        <x:f>IF(OR($I74="QUALITATIVE",$I74="MANUAL_HYBRID"),IF($K74="","Assurance-Score fehlt","Assurance-bewertet"),IF($I74="BENCHMARK",IF($W74&lt;&gt;"Aktiv",IF($K74="","Benchmark fehlt","Assurance-bewertet"),IF($J74="","Messwert fehlt",IF($P74="","Nicht bewertbar","Berechnet"))),IF(AND($J74="",$K74&lt;&gt;""),"Nur Assurance-Score",IF($J74="","Messwert fehlt",IF($P74="","Nicht bewertbar",IF($P74&lt;=-2,"Kritische Wirkung / Prüfung","Berechnet"))))))</x:f>
        <x:v>Messwert fehlt</x:v>
      </x:c>
      <x:c r="T74" s="14" t="str">
        <x:v>Item-Bezeichnung und Messdefinition passen nicht ausreichend zusammen. SROI/SDG 17 ist keine hinreichend konkrete Mess- oder Schwellenquelle. Vollständige fünfstufige numerische Regel.</x:v>
      </x:c>
      <x:c r="U74" s="14" t="str">
        <x:v>≥0,8:+3; 0,7–0,79:+2; 0,6–0,69:0; 0,5–0,59:‑2; &lt;0,5:‑3</x:v>
      </x:c>
      <x:c r="V74" s="14" t="str">
        <x:v>SDG 16/17, WJP, V‑Dem</x:v>
      </x:c>
      <x:c r="W74" s="14" t="str">
        <x:f>'02_Benchmarks'!$P74</x:f>
        <x:v>Optional – kein aktiver Benchmark</x:v>
      </x:c>
      <x:c r="X74" s="14" t="str">
        <x:v>Platzhalter – fachliche Operationalisierung offen</x:v>
      </x:c>
      <x:c r="Y74" s="14" t="str">
        <x:v>Kritisch</x:v>
      </x:c>
      <x:c r="Z74" s="14" t="str">
        <x:v>Arbeitskalibrierung – fachlich zu validieren</x:v>
      </x:c>
      <x:c r="AA74" s="14" t="str">
        <x:v>Programm/Portfolio/Systemraum; Empfängergruppe, Region und Zeitraum explizit definieren</x:v>
      </x:c>
      <x:c r="AB74" s="14" t="str">
        <x:v>Primärdaten bevorzugt; Sekundärdaten nur transparent und versioniert; Methode und Systemgrenze dokumentieren</x:v>
      </x:c>
      <x:c r="AC74" s="14" t="str">
        <x:v>Limited Assurance; risikobasiert höhere Prüftiefe</x:v>
      </x:c>
    </x:row>
    <x:row r="75" ht="42" customHeight="1">
      <x:c r="A75" s="14" t="str">
        <x:v>WOK-SYS-105</x:v>
      </x:c>
      <x:c r="B75" s="14" t="str">
        <x:v>SDG 3 – Gesundheit</x:v>
      </x:c>
      <x:c r="C75" s="14" t="str">
        <x:v>3.4</x:v>
      </x:c>
      <x:c r="D75" s="14" t="str">
        <x:v>Kultur/Bewegung fördern</x:v>
      </x:c>
      <x:c r="E75" s="14" t="str">
        <x:v>Kultur/Bewegung fördern – Exposure</x:v>
      </x:c>
      <x:c r="F75" s="14" t="str">
        <x:v>%</x:v>
      </x:c>
      <x:c r="G75" s="14" t="str">
        <x:v>lower_is_better</x:v>
      </x:c>
      <x:c r="H75" s="14" t="str">
        <x:v>R13</x:v>
      </x:c>
      <x:c r="I75" s="14" t="str">
        <x:v>NUM_LOW</x:v>
      </x:c>
      <x:c r="J75" s="51"/>
      <x:c r="K75" s="51"/>
      <x:c r="L75" s="51"/>
      <x:c r="M75" s="54"/>
      <x:c r="N75" s="58" t="str">
        <x:f>IF($J75="","",IF($J75&lt;=5,3,IF($J75&lt;=10,2,IF($J75&lt;=20,0,IF($J75&lt;=30,-2,-3)))))</x:f>
      </x:c>
      <x:c r="O75" s="58" t="str">
        <x:f>IF($J75="","",IF(OR('02_Benchmarks'!$P75&lt;&gt;"Aktiv",COUNT('02_Benchmarks'!$J75:$M75)&lt;4),"",IF($G75="lower_is_better",IF($J75&lt;='02_Benchmarks'!$J75,3,IF($J75&lt;'02_Benchmarks'!$K75,2,IF($J75&lt;='02_Benchmarks'!$L75,0,IF($J75&lt;='02_Benchmarks'!$M75,-2,-3)))),IF($J75&gt;='02_Benchmarks'!$J75,3,IF($J75&gt;'02_Benchmarks'!$K75,2,IF($J75&gt;='02_Benchmarks'!$L75,0,IF($J75&gt;='02_Benchmarks'!$M75,-2,-3)))))))</x:f>
      </x:c>
      <x:c r="P75" s="58" t="str">
        <x:f>IF(COUNT($N75:$O75)+IF(ISNUMBER($K75),1,0)=0,"",MIN($N75:$O75,$K75))</x:f>
      </x:c>
      <x:c r="Q75" s="58" t="str">
        <x:f>IF($P75="","",INDEX('04_Tarifmodell'!$B$6:$B$12,$P75+4))</x:f>
      </x:c>
      <x:c r="R75" s="64" t="str">
        <x:f>IF($P75="","",INDEX('04_Tarifmodell'!$C$6:$C$12,$P75+4))</x:f>
      </x:c>
      <x:c r="S75" s="14" t="str">
        <x:f>IF(OR($I75="QUALITATIVE",$I75="MANUAL_HYBRID"),IF($K75="","Assurance-Score fehlt","Assurance-bewertet"),IF($I75="BENCHMARK",IF($W75&lt;&gt;"Aktiv",IF($K75="","Benchmark fehlt","Assurance-bewertet"),IF($J75="","Messwert fehlt",IF($P75="","Nicht bewertbar","Berechnet"))),IF(AND($J75="",$K75&lt;&gt;""),"Nur Assurance-Score",IF($J75="","Messwert fehlt",IF($P75="","Nicht bewertbar",IF($P75&lt;=-2,"Kritische Wirkung / Prüfung","Berechnet"))))))</x:f>
        <x:v>Messwert fehlt</x:v>
      </x:c>
      <x:c r="T75" s="14" t="str">
        <x:v>Item-Bezeichnung und Messdefinition passen nicht ausreichend zusammen. SROI/SDG 17 ist keine hinreichend konkrete Mess- oder Schwellenquelle. Vollständige fünfstufige numerische Regel.</x:v>
      </x:c>
      <x:c r="U75" s="14" t="str">
        <x:v>≤5:+3; 6–10:+2; 11–20:0; 21–30:‑2; &gt;30:‑3</x:v>
      </x:c>
      <x:c r="V75" s="14" t="str">
        <x:v>SROI/SDG17</x:v>
      </x:c>
      <x:c r="W75" s="14" t="str">
        <x:f>'02_Benchmarks'!$P75</x:f>
        <x:v>Optional – kein aktiver Benchmark</x:v>
      </x:c>
      <x:c r="X75" s="14" t="str">
        <x:v>Platzhalter – fachliche Operationalisierung offen</x:v>
      </x:c>
      <x:c r="Y75" s="14" t="str">
        <x:v>Kritisch</x:v>
      </x:c>
      <x:c r="Z75" s="14" t="str">
        <x:v>Arbeitskalibrierung – fachlich zu validieren</x:v>
      </x:c>
      <x:c r="AA75" s="14" t="str">
        <x:v>Programm/Portfolio/Systemraum; Empfängergruppe, Region und Zeitraum explizit definieren</x:v>
      </x:c>
      <x:c r="AB75" s="14" t="str">
        <x:v>Primärdaten bevorzugt; Sekundärdaten nur transparent und versioniert; Methode und Systemgrenze dokumentieren</x:v>
      </x:c>
      <x:c r="AC75" s="14" t="str">
        <x:v>Limited Assurance; risikobasiert höhere Prüftiefe</x:v>
      </x:c>
    </x:row>
    <x:row r="76" ht="42" customHeight="1">
      <x:c r="A76" s="14" t="str">
        <x:v>WOK-SYS-106</x:v>
      </x:c>
      <x:c r="B76" s="14" t="str">
        <x:v>SDG 3 – Gesundheit</x:v>
      </x:c>
      <x:c r="C76" s="14" t="str">
        <x:v>3.4</x:v>
      </x:c>
      <x:c r="D76" s="14" t="str">
        <x:v>Kultur/Bewegung fördern</x:v>
      </x:c>
      <x:c r="E76" s="14" t="str">
        <x:v>Kultur/Bewegung fördern – Kooperationen</x:v>
      </x:c>
      <x:c r="F76" s="14" t="str">
        <x:v>#/Jahr</x:v>
      </x:c>
      <x:c r="G76" s="14" t="str">
        <x:v>higher_is_better</x:v>
      </x:c>
      <x:c r="H76" s="14" t="str">
        <x:v>R20</x:v>
      </x:c>
      <x:c r="I76" s="14" t="str">
        <x:v>NUM_HIGH</x:v>
      </x:c>
      <x:c r="J76" s="51"/>
      <x:c r="K76" s="51"/>
      <x:c r="L76" s="51"/>
      <x:c r="M76" s="54"/>
      <x:c r="N76" s="58" t="str">
        <x:f>IF($J76="","",IF($J76&lt;0,-3,IF($J76&lt;1,-2,IF($J76&lt;3,0,IF($J76&lt;5,2,3)))))</x:f>
      </x:c>
      <x:c r="O76" s="58" t="str">
        <x:f>IF($J76="","",IF(OR('02_Benchmarks'!$P76&lt;&gt;"Aktiv",COUNT('02_Benchmarks'!$J76:$M76)&lt;4),"",IF($G76="lower_is_better",IF($J76&lt;='02_Benchmarks'!$J76,3,IF($J76&lt;'02_Benchmarks'!$K76,2,IF($J76&lt;='02_Benchmarks'!$L76,0,IF($J76&lt;='02_Benchmarks'!$M76,-2,-3)))),IF($J76&gt;='02_Benchmarks'!$J76,3,IF($J76&gt;'02_Benchmarks'!$K76,2,IF($J76&gt;='02_Benchmarks'!$L76,0,IF($J76&gt;='02_Benchmarks'!$M76,-2,-3)))))))</x:f>
      </x:c>
      <x:c r="P76" s="58" t="str">
        <x:f>IF(COUNT($N76:$O76)+IF(ISNUMBER($K76),1,0)=0,"",MIN($N76:$O76,$K76))</x:f>
      </x:c>
      <x:c r="Q76" s="58" t="str">
        <x:f>IF($P76="","",INDEX('04_Tarifmodell'!$B$6:$B$12,$P76+4))</x:f>
      </x:c>
      <x:c r="R76" s="64" t="str">
        <x:f>IF($P76="","",INDEX('04_Tarifmodell'!$C$6:$C$12,$P76+4))</x:f>
      </x:c>
      <x:c r="S76" s="14" t="str">
        <x:f>IF(OR($I76="QUALITATIVE",$I76="MANUAL_HYBRID"),IF($K76="","Assurance-Score fehlt","Assurance-bewertet"),IF($I76="BENCHMARK",IF($W76&lt;&gt;"Aktiv",IF($K76="","Benchmark fehlt","Assurance-bewertet"),IF($J76="","Messwert fehlt",IF($P76="","Nicht bewertbar","Berechnet"))),IF(AND($J76="",$K76&lt;&gt;""),"Nur Assurance-Score",IF($J76="","Messwert fehlt",IF($P76="","Nicht bewertbar",IF($P76&lt;=-2,"Kritische Wirkung / Prüfung","Berechnet"))))))</x:f>
        <x:v>Messwert fehlt</x:v>
      </x:c>
      <x:c r="T76" s="14" t="str">
        <x:v>Item-Bezeichnung und Messdefinition passen nicht ausreichend zusammen. SROI/SDG 17 ist keine hinreichend konkrete Mess- oder Schwellenquelle. Für sachlogisch nichtnegative Zählwerte ist 0 die schlechteste reguläre Klasse (−2).</x:v>
      </x:c>
      <x:c r="U76" s="14" t="str">
        <x:v>≥5:+3; 3–4:+2; 1–2:0; 0:‑2</x:v>
      </x:c>
      <x:c r="V76" s="14" t="str">
        <x:v>SDG 16/17, WJP, V‑Dem</x:v>
      </x:c>
      <x:c r="W76" s="14" t="str">
        <x:f>'02_Benchmarks'!$P76</x:f>
        <x:v>Optional – kein aktiver Benchmark</x:v>
      </x:c>
      <x:c r="X76" s="14" t="str">
        <x:v>Platzhalter – fachliche Operationalisierung offen</x:v>
      </x:c>
      <x:c r="Y76" s="14" t="str">
        <x:v>Kritisch</x:v>
      </x:c>
      <x:c r="Z76" s="14" t="str">
        <x:v>Klasse −3 nur für negative/unzulässige Werte ergänzt</x:v>
      </x:c>
      <x:c r="AA76" s="14" t="str">
        <x:v>Programm/Portfolio/Systemraum; Empfängergruppe, Region und Zeitraum explizit definieren</x:v>
      </x:c>
      <x:c r="AB76" s="14" t="str">
        <x:v>Primärdaten bevorzugt; Sekundärdaten nur transparent und versioniert; Methode und Systemgrenze dokumentieren</x:v>
      </x:c>
      <x:c r="AC76" s="14" t="str">
        <x:v>Limited Assurance; risikobasiert höhere Prüftiefe</x:v>
      </x:c>
    </x:row>
    <x:row r="77" ht="42" customHeight="1">
      <x:c r="A77" s="14" t="str">
        <x:v>WOK-S-122</x:v>
      </x:c>
      <x:c r="B77" s="14" t="str">
        <x:v>SDG 3 – Gesundheit</x:v>
      </x:c>
      <x:c r="C77" s="14" t="str">
        <x:v>3.4</x:v>
      </x:c>
      <x:c r="D77" s="14" t="str">
        <x:v>Psycho‑soziale Risiken</x:v>
      </x:c>
      <x:c r="E77" s="14" t="str">
        <x:v>Psycho‑soziale Risiken – Living Wage</x:v>
      </x:c>
      <x:c r="F77" s="14" t="str">
        <x:v>% Beschäftigte</x:v>
      </x:c>
      <x:c r="G77" s="14" t="str">
        <x:v>higher_is_better</x:v>
      </x:c>
      <x:c r="H77" s="14" t="str">
        <x:v>R27</x:v>
      </x:c>
      <x:c r="I77" s="14" t="str">
        <x:v>NUM_HIGH</x:v>
      </x:c>
      <x:c r="J77" s="51"/>
      <x:c r="K77" s="51"/>
      <x:c r="L77" s="51"/>
      <x:c r="M77" s="54"/>
      <x:c r="N77" s="58" t="str">
        <x:f>IF($J77="","",IF($J77&lt;40,-3,IF($J77&lt;60,-2,IF($J77&lt;80,0,IF($J77&lt;95,2,3)))))</x:f>
      </x:c>
      <x:c r="O77" s="58" t="str">
        <x:f>IF($J77="","",IF(OR('02_Benchmarks'!$P77&lt;&gt;"Aktiv",COUNT('02_Benchmarks'!$J77:$M77)&lt;4),"",IF($G77="lower_is_better",IF($J77&lt;='02_Benchmarks'!$J77,3,IF($J77&lt;'02_Benchmarks'!$K77,2,IF($J77&lt;='02_Benchmarks'!$L77,0,IF($J77&lt;='02_Benchmarks'!$M77,-2,-3)))),IF($J77&gt;='02_Benchmarks'!$J77,3,IF($J77&gt;'02_Benchmarks'!$K77,2,IF($J77&gt;='02_Benchmarks'!$L77,0,IF($J77&gt;='02_Benchmarks'!$M77,-2,-3)))))))</x:f>
      </x:c>
      <x:c r="P77" s="58" t="str">
        <x:f>IF(COUNT($N77:$O77)+IF(ISNUMBER($K77),1,0)=0,"",MIN($N77:$O77,$K77))</x:f>
      </x:c>
      <x:c r="Q77" s="58" t="str">
        <x:f>IF($P77="","",INDEX('04_Tarifmodell'!$B$6:$B$12,$P77+4))</x:f>
      </x:c>
      <x:c r="R77" s="64" t="str">
        <x:f>IF($P77="","",INDEX('04_Tarifmodell'!$C$6:$C$12,$P77+4))</x:f>
      </x:c>
      <x:c r="S77" s="14" t="str">
        <x:f>IF(OR($I77="QUALITATIVE",$I77="MANUAL_HYBRID"),IF($K77="","Assurance-Score fehlt","Assurance-bewertet"),IF($I77="BENCHMARK",IF($W77&lt;&gt;"Aktiv",IF($K77="","Benchmark fehlt","Assurance-bewertet"),IF($J77="","Messwert fehlt",IF($P77="","Nicht bewertbar","Berechnet"))),IF(AND($J77="",$K77&lt;&gt;""),"Nur Assurance-Score",IF($J77="","Messwert fehlt",IF($P77="","Nicht bewertbar",IF($P77&lt;=-2,"Kritische Wirkung / Prüfung","Berechnet"))))))</x:f>
        <x:v>Messwert fehlt</x:v>
      </x:c>
      <x:c r="T77" s="14" t="str">
        <x:v>Vollständige fünfstufige numerische Regel.</x:v>
      </x:c>
      <x:c r="U77" s="14" t="str">
        <x:v>≥95:+3; 80–94:+2; 60–79:0; 40–59:‑2; &lt;40:‑3</x:v>
      </x:c>
      <x:c r="V77" s="14" t="str">
        <x:v>ESRS S1, GRI 401/403/405/406, ILO</x:v>
      </x:c>
      <x:c r="W77" s="14" t="str">
        <x:f>'02_Benchmarks'!$P77</x:f>
        <x:v>Optional – kein aktiver Benchmark</x:v>
      </x:c>
      <x:c r="X77" s="14" t="str">
        <x:v>Messgrundlage belegt; Schwellenkalibrierung offen</x:v>
      </x:c>
      <x:c r="Y77" s="14" t="str">
        <x:v>Mittel</x:v>
      </x:c>
      <x:c r="Z77" s="14" t="str">
        <x:v>Arbeitskalibrierung – fachlich zu validieren</x:v>
      </x:c>
      <x:c r="AA77" s="14" t="str">
        <x:v>Eigene Belegschaft/Organisation; FTE, Beschäftigtengruppe und Zeitraum</x:v>
      </x:c>
      <x:c r="AB77" s="14" t="str">
        <x:v>Primärdaten bevorzugt; Sekundärdaten nur transparent und versioniert; Methode und Systemgrenze dokumentieren</x:v>
      </x:c>
      <x:c r="AC77" s="14" t="str">
        <x:v>Limited Assurance; risikobasiert höhere Prüftiefe</x:v>
      </x:c>
    </x:row>
    <x:row r="78" ht="42" customHeight="1">
      <x:c r="A78" s="14" t="str">
        <x:v>WOK-S-123</x:v>
      </x:c>
      <x:c r="B78" s="14" t="str">
        <x:v>SDG 3 – Gesundheit</x:v>
      </x:c>
      <x:c r="C78" s="14" t="str">
        <x:v>3.4</x:v>
      </x:c>
      <x:c r="D78" s="14" t="str">
        <x:v>Psycho‑soziale Risiken</x:v>
      </x:c>
      <x:c r="E78" s="14" t="str">
        <x:v>Psycho‑soziale Risiken – Tarifbindung</x:v>
      </x:c>
      <x:c r="F78" s="14" t="str">
        <x:v>%</x:v>
      </x:c>
      <x:c r="G78" s="14" t="str">
        <x:v>higher_is_better</x:v>
      </x:c>
      <x:c r="H78" s="14" t="str">
        <x:v>R26</x:v>
      </x:c>
      <x:c r="I78" s="14" t="str">
        <x:v>NUM_HIGH</x:v>
      </x:c>
      <x:c r="J78" s="51"/>
      <x:c r="K78" s="51"/>
      <x:c r="L78" s="51"/>
      <x:c r="M78" s="54"/>
      <x:c r="N78" s="58" t="str">
        <x:f>IF($J78="","",IF($J78&lt;30,-3,IF($J78&lt;50,-2,IF($J78&lt;70,0,IF($J78&lt;90,2,3)))))</x:f>
      </x:c>
      <x:c r="O78" s="58" t="str">
        <x:f>IF($J78="","",IF(OR('02_Benchmarks'!$P78&lt;&gt;"Aktiv",COUNT('02_Benchmarks'!$J78:$M78)&lt;4),"",IF($G78="lower_is_better",IF($J78&lt;='02_Benchmarks'!$J78,3,IF($J78&lt;'02_Benchmarks'!$K78,2,IF($J78&lt;='02_Benchmarks'!$L78,0,IF($J78&lt;='02_Benchmarks'!$M78,-2,-3)))),IF($J78&gt;='02_Benchmarks'!$J78,3,IF($J78&gt;'02_Benchmarks'!$K78,2,IF($J78&gt;='02_Benchmarks'!$L78,0,IF($J78&gt;='02_Benchmarks'!$M78,-2,-3)))))))</x:f>
      </x:c>
      <x:c r="P78" s="58" t="str">
        <x:f>IF(COUNT($N78:$O78)+IF(ISNUMBER($K78),1,0)=0,"",MIN($N78:$O78,$K78))</x:f>
      </x:c>
      <x:c r="Q78" s="58" t="str">
        <x:f>IF($P78="","",INDEX('04_Tarifmodell'!$B$6:$B$12,$P78+4))</x:f>
      </x:c>
      <x:c r="R78" s="64" t="str">
        <x:f>IF($P78="","",INDEX('04_Tarifmodell'!$C$6:$C$12,$P78+4))</x:f>
      </x:c>
      <x:c r="S78" s="14" t="str">
        <x:f>IF(OR($I78="QUALITATIVE",$I78="MANUAL_HYBRID"),IF($K78="","Assurance-Score fehlt","Assurance-bewertet"),IF($I78="BENCHMARK",IF($W78&lt;&gt;"Aktiv",IF($K78="","Benchmark fehlt","Assurance-bewertet"),IF($J78="","Messwert fehlt",IF($P78="","Nicht bewertbar","Berechnet"))),IF(AND($J78="",$K78&lt;&gt;""),"Nur Assurance-Score",IF($J78="","Messwert fehlt",IF($P78="","Nicht bewertbar",IF($P78&lt;=-2,"Kritische Wirkung / Prüfung","Berechnet"))))))</x:f>
        <x:v>Messwert fehlt</x:v>
      </x:c>
      <x:c r="T78" s="14" t="str">
        <x:v>Vollständige fünfstufige numerische Regel.</x:v>
      </x:c>
      <x:c r="U78" s="14" t="str">
        <x:v>≥90:+3; 70–89:+2; 50–69:0; 30–49:‑2; &lt;30:‑3</x:v>
      </x:c>
      <x:c r="V78" s="14" t="str">
        <x:v>ESRS S1, GRI 401/403/405/406, ILO</x:v>
      </x:c>
      <x:c r="W78" s="14" t="str">
        <x:f>'02_Benchmarks'!$P78</x:f>
        <x:v>Optional – kein aktiver Benchmark</x:v>
      </x:c>
      <x:c r="X78" s="14" t="str">
        <x:v>Messgrundlage belegt; Schwellenkalibrierung offen</x:v>
      </x:c>
      <x:c r="Y78" s="14" t="str">
        <x:v>Mittel</x:v>
      </x:c>
      <x:c r="Z78" s="14" t="str">
        <x:v>Arbeitskalibrierung – fachlich zu validieren</x:v>
      </x:c>
      <x:c r="AA78" s="14" t="str">
        <x:v>Eigene Belegschaft/Organisation; FTE, Beschäftigtengruppe und Zeitraum</x:v>
      </x:c>
      <x:c r="AB78" s="14" t="str">
        <x:v>Primärdaten bevorzugt; Sekundärdaten nur transparent und versioniert; Methode und Systemgrenze dokumentieren</x:v>
      </x:c>
      <x:c r="AC78" s="14" t="str">
        <x:v>Limited Assurance; risikobasiert höhere Prüftiefe</x:v>
      </x:c>
    </x:row>
    <x:row r="79" ht="42" customHeight="1">
      <x:c r="A79" s="14" t="str">
        <x:v>WOK-S-124</x:v>
      </x:c>
      <x:c r="B79" s="14" t="str">
        <x:v>SDG 3 – Gesundheit</x:v>
      </x:c>
      <x:c r="C79" s="14" t="str">
        <x:v>3.4</x:v>
      </x:c>
      <x:c r="D79" s="14" t="str">
        <x:v>Psycho‑soziale Risiken</x:v>
      </x:c>
      <x:c r="E79" s="14" t="str">
        <x:v>Psycho‑soziale Risiken – LTIFR</x:v>
      </x:c>
      <x:c r="F79" s="14" t="str">
        <x:v>Unfälle/Mio Std.</x:v>
      </x:c>
      <x:c r="G79" s="14" t="str">
        <x:v>lower_is_better</x:v>
      </x:c>
      <x:c r="H79" s="14" t="str">
        <x:v>R02</x:v>
      </x:c>
      <x:c r="I79" s="14" t="str">
        <x:v>NUM_LOW</x:v>
      </x:c>
      <x:c r="J79" s="51"/>
      <x:c r="K79" s="51"/>
      <x:c r="L79" s="51"/>
      <x:c r="M79" s="54"/>
      <x:c r="N79" s="58" t="str">
        <x:f>IF($J79="","",IF($J79&lt;=0,3,IF($J79&lt;=1,2,IF($J79&lt;=3,0,IF($J79&lt;=5,-2,-3)))))</x:f>
      </x:c>
      <x:c r="O79" s="58" t="str">
        <x:f>IF($J79="","",IF(OR('02_Benchmarks'!$P79&lt;&gt;"Aktiv",COUNT('02_Benchmarks'!$J79:$M79)&lt;4),"",IF($G79="lower_is_better",IF($J79&lt;='02_Benchmarks'!$J79,3,IF($J79&lt;'02_Benchmarks'!$K79,2,IF($J79&lt;='02_Benchmarks'!$L79,0,IF($J79&lt;='02_Benchmarks'!$M79,-2,-3)))),IF($J79&gt;='02_Benchmarks'!$J79,3,IF($J79&gt;'02_Benchmarks'!$K79,2,IF($J79&gt;='02_Benchmarks'!$L79,0,IF($J79&gt;='02_Benchmarks'!$M79,-2,-3)))))))</x:f>
      </x:c>
      <x:c r="P79" s="58" t="str">
        <x:f>IF(COUNT($N79:$O79)+IF(ISNUMBER($K79),1,0)=0,"",MIN($N79:$O79,$K79))</x:f>
      </x:c>
      <x:c r="Q79" s="58" t="str">
        <x:f>IF($P79="","",INDEX('04_Tarifmodell'!$B$6:$B$12,$P79+4))</x:f>
      </x:c>
      <x:c r="R79" s="64" t="str">
        <x:f>IF($P79="","",INDEX('04_Tarifmodell'!$C$6:$C$12,$P79+4))</x:f>
      </x:c>
      <x:c r="S79" s="14" t="str">
        <x:f>IF(OR($I79="QUALITATIVE",$I79="MANUAL_HYBRID"),IF($K79="","Assurance-Score fehlt","Assurance-bewertet"),IF($I79="BENCHMARK",IF($W79&lt;&gt;"Aktiv",IF($K79="","Benchmark fehlt","Assurance-bewertet"),IF($J79="","Messwert fehlt",IF($P79="","Nicht bewertbar","Berechnet"))),IF(AND($J79="",$K79&lt;&gt;""),"Nur Assurance-Score",IF($J79="","Messwert fehlt",IF($P79="","Nicht bewertbar",IF($P79&lt;=-2,"Kritische Wirkung / Prüfung","Berechnet"))))))</x:f>
        <x:v>Messwert fehlt</x:v>
      </x:c>
      <x:c r="T79" s="14" t="str">
        <x:v>Vollständige fünfstufige numerische Regel.</x:v>
      </x:c>
      <x:c r="U79" s="14" t="str">
        <x:v>0:+3; ≤1:+2; ≤3:0; ≤5:‑2; &gt;5:‑3</x:v>
      </x:c>
      <x:c r="V79" s="14" t="str">
        <x:v>ESRS S1, GRI 401/403/405/406, ILO</x:v>
      </x:c>
      <x:c r="W79" s="14" t="str">
        <x:f>'02_Benchmarks'!$P79</x:f>
        <x:v>Optional – kein aktiver Benchmark</x:v>
      </x:c>
      <x:c r="X79" s="14" t="str">
        <x:v>Messgrundlage belegt; Schwellenkalibrierung offen</x:v>
      </x:c>
      <x:c r="Y79" s="14" t="str">
        <x:v>Mittel</x:v>
      </x:c>
      <x:c r="Z79" s="14" t="str">
        <x:v>Arbeitskalibrierung – fachlich zu validieren</x:v>
      </x:c>
      <x:c r="AA79" s="14" t="str">
        <x:v>Eigene Belegschaft/Organisation; FTE, Beschäftigtengruppe und Zeitraum</x:v>
      </x:c>
      <x:c r="AB79" s="14" t="str">
        <x:v>Primärdaten bevorzugt; Sekundärdaten nur transparent und versioniert; Methode und Systemgrenze dokumentieren</x:v>
      </x:c>
      <x:c r="AC79" s="14" t="str">
        <x:v>Limited Assurance; risikobasiert höhere Prüftiefe</x:v>
      </x:c>
    </x:row>
    <x:row r="80" ht="42" customHeight="1">
      <x:c r="A80" s="14" t="str">
        <x:v>WOK-E-119</x:v>
      </x:c>
      <x:c r="B80" s="14" t="str">
        <x:v>SDG 3 – Gesundheit</x:v>
      </x:c>
      <x:c r="C80" s="14" t="str">
        <x:v>3.9</x:v>
      </x:c>
      <x:c r="D80" s="14" t="str">
        <x:v>Chemikaliensicherheit/REACH</x:v>
      </x:c>
      <x:c r="E80" s="14" t="str">
        <x:v>Chemikaliensicherheit/REACH – Abfallintensität</x:v>
      </x:c>
      <x:c r="F80" s="14" t="str">
        <x:v>kg/t</x:v>
      </x:c>
      <x:c r="G80" s="14" t="str">
        <x:v>lower_is_better</x:v>
      </x:c>
      <x:c r="H80" s="14" t="str">
        <x:v>R06</x:v>
      </x:c>
      <x:c r="I80" s="14" t="str">
        <x:v>BENCHMARK</x:v>
      </x:c>
      <x:c r="J80" s="51"/>
      <x:c r="K80" s="51"/>
      <x:c r="L80" s="51"/>
      <x:c r="M80" s="54"/>
      <x:c r="N80" s="58" t="str">
        <x:f>""</x:f>
      </x:c>
      <x:c r="O80" s="58" t="str">
        <x:f>IF($J80="","",IF(OR('02_Benchmarks'!$P80&lt;&gt;"Aktiv",COUNT('02_Benchmarks'!$J80:$M80)&lt;4),"",IF($G80="lower_is_better",IF($J80&lt;='02_Benchmarks'!$J80,3,IF($J80&lt;'02_Benchmarks'!$K80,2,IF($J80&lt;='02_Benchmarks'!$L80,0,IF($J80&lt;='02_Benchmarks'!$M80,-2,-3)))),IF($J80&gt;='02_Benchmarks'!$J80,3,IF($J80&gt;'02_Benchmarks'!$K80,2,IF($J80&gt;='02_Benchmarks'!$L80,0,IF($J80&gt;='02_Benchmarks'!$M80,-2,-3)))))))</x:f>
      </x:c>
      <x:c r="P80" s="58" t="str">
        <x:f>IF(COUNT($N80:$O80)+IF(ISNUMBER($K80),1,0)=0,"",MIN($N80:$O80,$K80))</x:f>
      </x:c>
      <x:c r="Q80" s="58" t="str">
        <x:f>IF($P80="","",INDEX('04_Tarifmodell'!$B$6:$B$12,$P80+4))</x:f>
      </x:c>
      <x:c r="R80" s="64" t="str">
        <x:f>IF($P80="","",INDEX('04_Tarifmodell'!$C$6:$C$12,$P80+4))</x:f>
      </x:c>
      <x:c r="S80" s="14" t="str">
        <x:f>IF(OR($I80="QUALITATIVE",$I80="MANUAL_HYBRID"),IF($K80="","Assurance-Score fehlt","Assurance-bewertet"),IF($I80="BENCHMARK",IF($W80&lt;&gt;"Aktiv",IF($K80="","Benchmark fehlt","Assurance-bewertet"),IF($J80="","Messwert fehlt",IF($P80="","Nicht bewertbar","Berechnet"))),IF(AND($J80="",$K80&lt;&gt;""),"Nur Assurance-Score",IF($J80="","Messwert fehlt",IF($P80="","Nicht bewertbar",IF($P80&lt;=-2,"Kritische Wirkung / Prüfung","Berechnet"))))))</x:f>
        <x:v>Benchmark fehlt</x:v>
      </x:c>
      <x:c r="T80" s="14" t="str">
        <x:v>Top-10-Prozent, Mittelwert, 150 % und 250 % müssen aus einer dokumentierten Grundgesamtheit stammen.</x:v>
      </x:c>
      <x:c r="U80" s="14" t="str">
        <x:v>Top‑10%:+3; Mittel:0; &gt;150%:‑2; &gt;250%:‑3</x:v>
      </x:c>
      <x:c r="V80" s="14" t="str">
        <x:v>ESRS E5, GRI 306, WEEE/VerpackG</x:v>
      </x:c>
      <x:c r="W80" s="14" t="str">
        <x:f>'02_Benchmarks'!$P80</x:f>
        <x:v>Offen – validierter Benchmark fehlt</x:v>
      </x:c>
      <x:c r="X80" s="14" t="str">
        <x:v>Teilbelegt – Benchmarkquelle fehlt</x:v>
      </x:c>
      <x:c r="Y80" s="14" t="str">
        <x:v>Hoch</x:v>
      </x:c>
      <x:c r="Z80" s="14" t="str">
        <x:v>Validierter Benchmark fehlt</x:v>
      </x:c>
      <x:c r="AA80" s="14" t="str">
        <x:v>Standort/Prozess/Aktivität; Bezugsgröße und relevante Umweltmedien</x:v>
      </x:c>
      <x:c r="AB80" s="14" t="str">
        <x:v>Primärdaten plus repräsentativer, versionierter Benchmarkdatensatz; Stichprobe und Population offenlegen</x:v>
      </x:c>
      <x:c r="AC80" s="14" t="str">
        <x:v>Messwert-Assurance und unabhängige Benchmark-Governance</x:v>
      </x:c>
    </x:row>
    <x:row r="81" ht="42" customHeight="1">
      <x:c r="A81" s="14" t="str">
        <x:v>WOK-E-120</x:v>
      </x:c>
      <x:c r="B81" s="14" t="str">
        <x:v>SDG 3 – Gesundheit</x:v>
      </x:c>
      <x:c r="C81" s="14" t="str">
        <x:v>3.9</x:v>
      </x:c>
      <x:c r="D81" s="14" t="str">
        <x:v>Chemikaliensicherheit/REACH</x:v>
      </x:c>
      <x:c r="E81" s="14" t="str">
        <x:v>Chemikaliensicherheit/REACH – Recyclingquote</x:v>
      </x:c>
      <x:c r="F81" s="14" t="str">
        <x:v>%</x:v>
      </x:c>
      <x:c r="G81" s="14" t="str">
        <x:v>higher_is_better</x:v>
      </x:c>
      <x:c r="H81" s="14" t="str">
        <x:v>R25</x:v>
      </x:c>
      <x:c r="I81" s="14" t="str">
        <x:v>NUM_HIGH</x:v>
      </x:c>
      <x:c r="J81" s="51"/>
      <x:c r="K81" s="51"/>
      <x:c r="L81" s="51"/>
      <x:c r="M81" s="54"/>
      <x:c r="N81" s="58" t="str">
        <x:f>IF($J81="","",IF($J81&lt;30,-3,IF($J81&lt;50,-2,IF($J81&lt;70,0,IF($J81&lt;90,2,3)))))</x:f>
      </x:c>
      <x:c r="O81" s="58" t="str">
        <x:f>IF($J81="","",IF(OR('02_Benchmarks'!$P81&lt;&gt;"Aktiv",COUNT('02_Benchmarks'!$J81:$M81)&lt;4),"",IF($G81="lower_is_better",IF($J81&lt;='02_Benchmarks'!$J81,3,IF($J81&lt;'02_Benchmarks'!$K81,2,IF($J81&lt;='02_Benchmarks'!$L81,0,IF($J81&lt;='02_Benchmarks'!$M81,-2,-3)))),IF($J81&gt;='02_Benchmarks'!$J81,3,IF($J81&gt;'02_Benchmarks'!$K81,2,IF($J81&gt;='02_Benchmarks'!$L81,0,IF($J81&gt;='02_Benchmarks'!$M81,-2,-3)))))))</x:f>
      </x:c>
      <x:c r="P81" s="58" t="str">
        <x:f>IF(COUNT($N81:$O81)+IF(ISNUMBER($K81),1,0)=0,"",MIN($N81:$O81,$K81))</x:f>
      </x:c>
      <x:c r="Q81" s="58" t="str">
        <x:f>IF($P81="","",INDEX('04_Tarifmodell'!$B$6:$B$12,$P81+4))</x:f>
      </x:c>
      <x:c r="R81" s="64" t="str">
        <x:f>IF($P81="","",INDEX('04_Tarifmodell'!$C$6:$C$12,$P81+4))</x:f>
      </x:c>
      <x:c r="S81" s="14" t="str">
        <x:f>IF(OR($I81="QUALITATIVE",$I81="MANUAL_HYBRID"),IF($K81="","Assurance-Score fehlt","Assurance-bewertet"),IF($I81="BENCHMARK",IF($W81&lt;&gt;"Aktiv",IF($K81="","Benchmark fehlt","Assurance-bewertet"),IF($J81="","Messwert fehlt",IF($P81="","Nicht bewertbar","Berechnet"))),IF(AND($J81="",$K81&lt;&gt;""),"Nur Assurance-Score",IF($J81="","Messwert fehlt",IF($P81="","Nicht bewertbar",IF($P81&lt;=-2,"Kritische Wirkung / Prüfung","Berechnet"))))))</x:f>
        <x:v>Messwert fehlt</x:v>
      </x:c>
      <x:c r="T81" s="14" t="str">
        <x:v>Vollständige fünfstufige Prozentregel.</x:v>
      </x:c>
      <x:c r="U81" s="14" t="str">
        <x:v>≥90%:+3; 70–89%:+2; 50–69%:0; 30–49%:‑2; &lt;30%:‑3</x:v>
      </x:c>
      <x:c r="V81" s="14" t="str">
        <x:v>ESRS E5, GRI 306, WEEE/VerpackG</x:v>
      </x:c>
      <x:c r="W81" s="14" t="str">
        <x:f>'02_Benchmarks'!$P81</x:f>
        <x:v>Optional – kein aktiver Benchmark</x:v>
      </x:c>
      <x:c r="X81" s="14" t="str">
        <x:v>Messgrundlage belegt; Schwellenkalibrierung offen</x:v>
      </x:c>
      <x:c r="Y81" s="14" t="str">
        <x:v>Mittel</x:v>
      </x:c>
      <x:c r="Z81" s="14" t="str">
        <x:v>Arbeitskalibrierung – fachlich zu validieren</x:v>
      </x:c>
      <x:c r="AA81" s="14" t="str">
        <x:v>Standort/Prozess/Aktivität; Bezugsgröße und relevante Umweltmedien</x:v>
      </x:c>
      <x:c r="AB81" s="14" t="str">
        <x:v>Primärdaten bevorzugt; Sekundärdaten nur transparent und versioniert; Methode und Systemgrenze dokumentieren</x:v>
      </x:c>
      <x:c r="AC81" s="14" t="str">
        <x:v>Limited Assurance; risikobasiert höhere Prüftiefe</x:v>
      </x:c>
    </x:row>
    <x:row r="82" ht="42" customHeight="1">
      <x:c r="A82" s="14" t="str">
        <x:v>WOK-E-121</x:v>
      </x:c>
      <x:c r="B82" s="14" t="str">
        <x:v>SDG 3 – Gesundheit</x:v>
      </x:c>
      <x:c r="C82" s="14" t="str">
        <x:v>3.9</x:v>
      </x:c>
      <x:c r="D82" s="14" t="str">
        <x:v>Chemikaliensicherheit/REACH</x:v>
      </x:c>
      <x:c r="E82" s="14" t="str">
        <x:v>Chemikaliensicherheit/REACH – Gefährlicher Abfall</x:v>
      </x:c>
      <x:c r="F82" s="14" t="str">
        <x:v>kg/t</x:v>
      </x:c>
      <x:c r="G82" s="14" t="str">
        <x:v>lower_is_better</x:v>
      </x:c>
      <x:c r="H82" s="14" t="str">
        <x:v>R06</x:v>
      </x:c>
      <x:c r="I82" s="14" t="str">
        <x:v>BENCHMARK</x:v>
      </x:c>
      <x:c r="J82" s="51"/>
      <x:c r="K82" s="51"/>
      <x:c r="L82" s="51"/>
      <x:c r="M82" s="54"/>
      <x:c r="N82" s="58" t="str">
        <x:f>""</x:f>
      </x:c>
      <x:c r="O82" s="58" t="str">
        <x:f>IF($J82="","",IF(OR('02_Benchmarks'!$P82&lt;&gt;"Aktiv",COUNT('02_Benchmarks'!$J82:$M82)&lt;4),"",IF($G82="lower_is_better",IF($J82&lt;='02_Benchmarks'!$J82,3,IF($J82&lt;'02_Benchmarks'!$K82,2,IF($J82&lt;='02_Benchmarks'!$L82,0,IF($J82&lt;='02_Benchmarks'!$M82,-2,-3)))),IF($J82&gt;='02_Benchmarks'!$J82,3,IF($J82&gt;'02_Benchmarks'!$K82,2,IF($J82&gt;='02_Benchmarks'!$L82,0,IF($J82&gt;='02_Benchmarks'!$M82,-2,-3)))))))</x:f>
      </x:c>
      <x:c r="P82" s="58" t="str">
        <x:f>IF(COUNT($N82:$O82)+IF(ISNUMBER($K82),1,0)=0,"",MIN($N82:$O82,$K82))</x:f>
      </x:c>
      <x:c r="Q82" s="58" t="str">
        <x:f>IF($P82="","",INDEX('04_Tarifmodell'!$B$6:$B$12,$P82+4))</x:f>
      </x:c>
      <x:c r="R82" s="64" t="str">
        <x:f>IF($P82="","",INDEX('04_Tarifmodell'!$C$6:$C$12,$P82+4))</x:f>
      </x:c>
      <x:c r="S82" s="14" t="str">
        <x:f>IF(OR($I82="QUALITATIVE",$I82="MANUAL_HYBRID"),IF($K82="","Assurance-Score fehlt","Assurance-bewertet"),IF($I82="BENCHMARK",IF($W82&lt;&gt;"Aktiv",IF($K82="","Benchmark fehlt","Assurance-bewertet"),IF($J82="","Messwert fehlt",IF($P82="","Nicht bewertbar","Berechnet"))),IF(AND($J82="",$K82&lt;&gt;""),"Nur Assurance-Score",IF($J82="","Messwert fehlt",IF($P82="","Nicht bewertbar",IF($P82&lt;=-2,"Kritische Wirkung / Prüfung","Berechnet"))))))</x:f>
        <x:v>Benchmark fehlt</x:v>
      </x:c>
      <x:c r="T82" s="14" t="str">
        <x:v>Top-10-Prozent, Mittelwert, 150 % und 250 % müssen aus einer dokumentierten Grundgesamtheit stammen.</x:v>
      </x:c>
      <x:c r="U82" s="14" t="str">
        <x:v>Top‑10%:+3; Mittel:0; &gt;150%:‑2; &gt;250%:‑3</x:v>
      </x:c>
      <x:c r="V82" s="14" t="str">
        <x:v>ESRS E5, GRI 306, WEEE/VerpackG</x:v>
      </x:c>
      <x:c r="W82" s="14" t="str">
        <x:f>'02_Benchmarks'!$P82</x:f>
        <x:v>Offen – validierter Benchmark fehlt</x:v>
      </x:c>
      <x:c r="X82" s="14" t="str">
        <x:v>Teilbelegt – Benchmarkquelle fehlt</x:v>
      </x:c>
      <x:c r="Y82" s="14" t="str">
        <x:v>Hoch</x:v>
      </x:c>
      <x:c r="Z82" s="14" t="str">
        <x:v>Validierter Benchmark fehlt</x:v>
      </x:c>
      <x:c r="AA82" s="14" t="str">
        <x:v>Standort/Prozess/Aktivität; Bezugsgröße und relevante Umweltmedien</x:v>
      </x:c>
      <x:c r="AB82" s="14" t="str">
        <x:v>Primärdaten plus repräsentativer, versionierter Benchmarkdatensatz; Stichprobe und Population offenlegen</x:v>
      </x:c>
      <x:c r="AC82" s="14" t="str">
        <x:v>Messwert-Assurance und unabhängige Benchmark-Governance</x:v>
      </x:c>
    </x:row>
    <x:row r="83" ht="42" customHeight="1">
      <x:c r="A83" s="14" t="str">
        <x:v>WOK-G-113</x:v>
      </x:c>
      <x:c r="B83" s="14" t="str">
        <x:v>SDG 3 – Gesundheit</x:v>
      </x:c>
      <x:c r="C83" s="14" t="str">
        <x:v>3.8</x:v>
      </x:c>
      <x:c r="D83" s="14" t="str">
        <x:v>Patientensicherheit Kliniken</x:v>
      </x:c>
      <x:c r="E83" s="14" t="str">
        <x:v>Patientensicherheit Kliniken – Antikorruption</x:v>
      </x:c>
      <x:c r="F83" s="14" t="str">
        <x:v>Fälle/1.000 FTE</x:v>
      </x:c>
      <x:c r="G83" s="14" t="str">
        <x:v>lower_is_better</x:v>
      </x:c>
      <x:c r="H83" s="14" t="str">
        <x:v>R01</x:v>
      </x:c>
      <x:c r="I83" s="14" t="str">
        <x:v>NUM_LOW</x:v>
      </x:c>
      <x:c r="J83" s="51"/>
      <x:c r="K83" s="51"/>
      <x:c r="L83" s="51"/>
      <x:c r="M83" s="54"/>
      <x:c r="N83" s="58" t="str">
        <x:f>IF($J83="","",IF($J83&lt;=0,3,IF($J83&lt;=0.2,2,IF($J83&lt;=0.5,0,IF($J83&lt;=1,-2,-3)))))</x:f>
      </x:c>
      <x:c r="O83" s="58" t="str">
        <x:f>IF($J83="","",IF(OR('02_Benchmarks'!$P83&lt;&gt;"Aktiv",COUNT('02_Benchmarks'!$J83:$M83)&lt;4),"",IF($G83="lower_is_better",IF($J83&lt;='02_Benchmarks'!$J83,3,IF($J83&lt;'02_Benchmarks'!$K83,2,IF($J83&lt;='02_Benchmarks'!$L83,0,IF($J83&lt;='02_Benchmarks'!$M83,-2,-3)))),IF($J83&gt;='02_Benchmarks'!$J83,3,IF($J83&gt;'02_Benchmarks'!$K83,2,IF($J83&gt;='02_Benchmarks'!$L83,0,IF($J83&gt;='02_Benchmarks'!$M83,-2,-3)))))))</x:f>
      </x:c>
      <x:c r="P83" s="58" t="str">
        <x:f>IF(COUNT($N83:$O83)+IF(ISNUMBER($K83),1,0)=0,"",MIN($N83:$O83,$K83))</x:f>
      </x:c>
      <x:c r="Q83" s="58" t="str">
        <x:f>IF($P83="","",INDEX('04_Tarifmodell'!$B$6:$B$12,$P83+4))</x:f>
      </x:c>
      <x:c r="R83" s="64" t="str">
        <x:f>IF($P83="","",INDEX('04_Tarifmodell'!$C$6:$C$12,$P83+4))</x:f>
      </x:c>
      <x:c r="S83" s="14" t="str">
        <x:f>IF(OR($I83="QUALITATIVE",$I83="MANUAL_HYBRID"),IF($K83="","Assurance-Score fehlt","Assurance-bewertet"),IF($I83="BENCHMARK",IF($W83&lt;&gt;"Aktiv",IF($K83="","Benchmark fehlt","Assurance-bewertet"),IF($J83="","Messwert fehlt",IF($P83="","Nicht bewertbar","Berechnet"))),IF(AND($J83="",$K83&lt;&gt;""),"Nur Assurance-Score",IF($J83="","Messwert fehlt",IF($P83="","Nicht bewertbar",IF($P83&lt;=-2,"Kritische Wirkung / Prüfung","Berechnet"))))))</x:f>
        <x:v>Messwert fehlt</x:v>
      </x:c>
      <x:c r="T83" s="14" t="str">
        <x:v>Item-Bezeichnung und Messdefinition passen nicht ausreichend zusammen. Vollständige fünfstufige numerische Regel.</x:v>
      </x:c>
      <x:c r="U83" s="14" t="str">
        <x:v>0:+3; ≤0,2:+2; ≤0,5:0; ≤1:‑2; &gt;1:‑3</x:v>
      </x:c>
      <x:c r="V83" s="14" t="str">
        <x:v>ESRS G1, GRI 205/207, OECD Anti‑Bribery</x:v>
      </x:c>
      <x:c r="W83" s="14" t="str">
        <x:f>'02_Benchmarks'!$P83</x:f>
        <x:v>Optional – kein aktiver Benchmark</x:v>
      </x:c>
      <x:c r="X83" s="14" t="str">
        <x:v>Messgrundlage belegt; Schwellenkalibrierung offen</x:v>
      </x:c>
      <x:c r="Y83" s="14" t="str">
        <x:v>Kritisch</x:v>
      </x:c>
      <x:c r="Z83" s="14" t="str">
        <x:v>Arbeitskalibrierung – fachlich zu validieren</x:v>
      </x:c>
      <x:c r="AA83" s="14" t="str">
        <x:v>Organisation/Governance; konsolidierter Kreis und relevante Rechtseinheiten</x:v>
      </x:c>
      <x:c r="AB83" s="14" t="str">
        <x:v>Primärdaten bevorzugt; Sekundärdaten nur transparent und versioniert; Methode und Systemgrenze dokumentieren</x:v>
      </x:c>
      <x:c r="AC83" s="14" t="str">
        <x:v>Limited Assurance; risikobasiert höhere Prüftiefe</x:v>
      </x:c>
    </x:row>
    <x:row r="84" ht="42" customHeight="1">
      <x:c r="A84" s="14" t="str">
        <x:v>WOK-G-114</x:v>
      </x:c>
      <x:c r="B84" s="14" t="str">
        <x:v>SDG 3 – Gesundheit</x:v>
      </x:c>
      <x:c r="C84" s="14" t="str">
        <x:v>3.8</x:v>
      </x:c>
      <x:c r="D84" s="14" t="str">
        <x:v>Patientensicherheit Kliniken</x:v>
      </x:c>
      <x:c r="E84" s="14" t="str">
        <x:v>Patientensicherheit Kliniken – Whistleblowing</x:v>
      </x:c>
      <x:c r="F84" s="14" t="str">
        <x:v>0–1</x:v>
      </x:c>
      <x:c r="G84" s="14" t="str">
        <x:v>higher_is_better</x:v>
      </x:c>
      <x:c r="H84" s="14" t="str">
        <x:v>R16</x:v>
      </x:c>
      <x:c r="I84" s="14" t="str">
        <x:v>NUM_HIGH</x:v>
      </x:c>
      <x:c r="J84" s="51"/>
      <x:c r="K84" s="51"/>
      <x:c r="L84" s="51"/>
      <x:c r="M84" s="54"/>
      <x:c r="N84" s="58" t="str">
        <x:f>IF($J84="","",IF($J84&lt;0.4,-3,IF($J84&lt;0.6,-2,IF($J84&lt;0.75,0,IF($J84&lt;0.9,2,3)))))</x:f>
      </x:c>
      <x:c r="O84" s="58" t="str">
        <x:f>IF($J84="","",IF(OR('02_Benchmarks'!$P84&lt;&gt;"Aktiv",COUNT('02_Benchmarks'!$J84:$M84)&lt;4),"",IF($G84="lower_is_better",IF($J84&lt;='02_Benchmarks'!$J84,3,IF($J84&lt;'02_Benchmarks'!$K84,2,IF($J84&lt;='02_Benchmarks'!$L84,0,IF($J84&lt;='02_Benchmarks'!$M84,-2,-3)))),IF($J84&gt;='02_Benchmarks'!$J84,3,IF($J84&gt;'02_Benchmarks'!$K84,2,IF($J84&gt;='02_Benchmarks'!$L84,0,IF($J84&gt;='02_Benchmarks'!$M84,-2,-3)))))))</x:f>
      </x:c>
      <x:c r="P84" s="58" t="str">
        <x:f>IF(COUNT($N84:$O84)+IF(ISNUMBER($K84),1,0)=0,"",MIN($N84:$O84,$K84))</x:f>
      </x:c>
      <x:c r="Q84" s="58" t="str">
        <x:f>IF($P84="","",INDEX('04_Tarifmodell'!$B$6:$B$12,$P84+4))</x:f>
      </x:c>
      <x:c r="R84" s="64" t="str">
        <x:f>IF($P84="","",INDEX('04_Tarifmodell'!$C$6:$C$12,$P84+4))</x:f>
      </x:c>
      <x:c r="S84" s="14" t="str">
        <x:f>IF(OR($I84="QUALITATIVE",$I84="MANUAL_HYBRID"),IF($K84="","Assurance-Score fehlt","Assurance-bewertet"),IF($I84="BENCHMARK",IF($W84&lt;&gt;"Aktiv",IF($K84="","Benchmark fehlt","Assurance-bewertet"),IF($J84="","Messwert fehlt",IF($P84="","Nicht bewertbar","Berechnet"))),IF(AND($J84="",$K84&lt;&gt;""),"Nur Assurance-Score",IF($J84="","Messwert fehlt",IF($P84="","Nicht bewertbar",IF($P84&lt;=-2,"Kritische Wirkung / Prüfung","Berechnet"))))))</x:f>
        <x:v>Messwert fehlt</x:v>
      </x:c>
      <x:c r="T84" s="14" t="str">
        <x:v>Item-Bezeichnung und Messdefinition passen nicht ausreichend zusammen. Vollständige fünfstufige numerische Regel.</x:v>
      </x:c>
      <x:c r="U84" s="14" t="str">
        <x:v>≥0,9:+3; 0,75–0,89:+2; 0,6–0,74:0; 0,4–0,59:‑2; &lt;0,4:‑3</x:v>
      </x:c>
      <x:c r="V84" s="14" t="str">
        <x:v>ESRS G1, GRI 205/207, OECD Anti‑Bribery</x:v>
      </x:c>
      <x:c r="W84" s="14" t="str">
        <x:f>'02_Benchmarks'!$P84</x:f>
        <x:v>Optional – kein aktiver Benchmark</x:v>
      </x:c>
      <x:c r="X84" s="14" t="str">
        <x:v>Messgrundlage belegt; Schwellenkalibrierung offen</x:v>
      </x:c>
      <x:c r="Y84" s="14" t="str">
        <x:v>Kritisch</x:v>
      </x:c>
      <x:c r="Z84" s="14" t="str">
        <x:v>Arbeitskalibrierung – fachlich zu validieren</x:v>
      </x:c>
      <x:c r="AA84" s="14" t="str">
        <x:v>Organisation/Governance; konsolidierter Kreis und relevante Rechtseinheiten</x:v>
      </x:c>
      <x:c r="AB84" s="14" t="str">
        <x:v>Primärdaten bevorzugt; Sekundärdaten nur transparent und versioniert; Methode und Systemgrenze dokumentieren</x:v>
      </x:c>
      <x:c r="AC84" s="14" t="str">
        <x:v>Limited Assurance; risikobasiert höhere Prüftiefe</x:v>
      </x:c>
    </x:row>
    <x:row r="85" ht="42" customHeight="1">
      <x:c r="A85" s="14" t="str">
        <x:v>WOK-G-115</x:v>
      </x:c>
      <x:c r="B85" s="14" t="str">
        <x:v>SDG 3 – Gesundheit</x:v>
      </x:c>
      <x:c r="C85" s="14" t="str">
        <x:v>3.8</x:v>
      </x:c>
      <x:c r="D85" s="14" t="str">
        <x:v>Patientensicherheit Kliniken</x:v>
      </x:c>
      <x:c r="E85" s="14" t="str">
        <x:v>Patientensicherheit Kliniken – Steuertransparenz</x:v>
      </x:c>
      <x:c r="F85" s="14" t="str">
        <x:v>0–1</x:v>
      </x:c>
      <x:c r="G85" s="14" t="str">
        <x:v>higher_is_better</x:v>
      </x:c>
      <x:c r="H85" s="14" t="str">
        <x:v>R08</x:v>
      </x:c>
      <x:c r="I85" s="14" t="str">
        <x:v>QUALITATIVE</x:v>
      </x:c>
      <x:c r="J85" s="51"/>
      <x:c r="K85" s="51"/>
      <x:c r="L85" s="51"/>
      <x:c r="M85" s="54"/>
      <x:c r="N85" s="58" t="str">
        <x:f>""</x:f>
      </x:c>
      <x:c r="O85" s="58" t="str">
        <x:f>IF($J85="","",IF(OR('02_Benchmarks'!$P85&lt;&gt;"Aktiv",COUNT('02_Benchmarks'!$J85:$M85)&lt;4),"",IF($G85="lower_is_better",IF($J85&lt;='02_Benchmarks'!$J85,3,IF($J85&lt;'02_Benchmarks'!$K85,2,IF($J85&lt;='02_Benchmarks'!$L85,0,IF($J85&lt;='02_Benchmarks'!$M85,-2,-3)))),IF($J85&gt;='02_Benchmarks'!$J85,3,IF($J85&gt;'02_Benchmarks'!$K85,2,IF($J85&gt;='02_Benchmarks'!$L85,0,IF($J85&gt;='02_Benchmarks'!$M85,-2,-3)))))))</x:f>
      </x:c>
      <x:c r="P85" s="58" t="str">
        <x:f>IF(COUNT($N85:$O85)+IF(ISNUMBER($K85),1,0)=0,"",MIN($N85:$O85,$K85))</x:f>
      </x:c>
      <x:c r="Q85" s="58" t="str">
        <x:f>IF($P85="","",INDEX('04_Tarifmodell'!$B$6:$B$12,$P85+4))</x:f>
      </x:c>
      <x:c r="R85" s="64" t="str">
        <x:f>IF($P85="","",INDEX('04_Tarifmodell'!$C$6:$C$12,$P85+4))</x:f>
      </x:c>
      <x:c r="S85" s="14" t="str">
        <x:f>IF(OR($I85="QUALITATIVE",$I85="MANUAL_HYBRID"),IF($K85="","Assurance-Score fehlt","Assurance-bewertet"),IF($I85="BENCHMARK",IF($W85&lt;&gt;"Aktiv",IF($K85="","Benchmark fehlt","Assurance-bewertet"),IF($J85="","Messwert fehlt",IF($P85="","Nicht bewertbar","Berechnet"))),IF(AND($J85="",$K85&lt;&gt;""),"Nur Assurance-Score",IF($J85="","Messwert fehlt",IF($P85="","Nicht bewertbar",IF($P85&lt;=-2,"Kritische Wirkung / Prüfung","Berechnet"))))))</x:f>
        <x:v>Assurance-Score fehlt</x:v>
      </x:c>
      <x:c r="T85" s="14" t="str">
        <x:v>Item-Bezeichnung und Messdefinition passen nicht ausreichend zusammen. Die Kategorie −3 fehlt; Vollständigkeit und Wirksamkeit sind feldspezifisch zu definieren.</x:v>
      </x:c>
      <x:c r="U85" s="14" t="str">
        <x:v>vollständig:+3; teilweise:+2; minimal:0; schlecht:‑2</x:v>
      </x:c>
      <x:c r="V85" s="14" t="str">
        <x:v>ESRS G1, GRI 205/207, OECD Anti‑Bribery</x:v>
      </x:c>
      <x:c r="W85" s="14" t="str">
        <x:f>'02_Benchmarks'!$P85</x:f>
        <x:v>Optional – kein aktiver Benchmark</x:v>
      </x:c>
      <x:c r="X85" s="14" t="str">
        <x:v>Messgrundlage belegt; Schwellenkalibrierung offen</x:v>
      </x:c>
      <x:c r="Y85" s="14" t="str">
        <x:v>Kritisch</x:v>
      </x:c>
      <x:c r="Z85" s="14" t="str">
        <x:v>Assurance und Kriterienkatalog erforderlich</x:v>
      </x:c>
      <x:c r="AA85" s="14" t="str">
        <x:v>Organisation/Governance; konsolidierter Kreis und relevante Rechtseinheiten</x:v>
      </x:c>
      <x:c r="AB85" s="14" t="str">
        <x:v>Dokumentierter Kriterienkatalog; nachvollziehbare Evidenz; DQR A/B bevorzugt</x:v>
      </x:c>
      <x:c r="AC85" s="14" t="str">
        <x:v>Unabhängige Fachprüfung/Limited Assurance; bei roten Linien Reasonable Assurance</x:v>
      </x:c>
    </x:row>
    <x:row r="86" ht="42" customHeight="1">
      <x:c r="A86" s="14" t="str">
        <x:v>WOK-S-125</x:v>
      </x:c>
      <x:c r="B86" s="14" t="str">
        <x:v>SDG 4 – Bildung</x:v>
      </x:c>
      <x:c r="C86" s="14" t="str">
        <x:v>4.4</x:v>
      </x:c>
      <x:c r="D86" s="14" t="str">
        <x:v>Weiterbildung &amp; Future Skills</x:v>
      </x:c>
      <x:c r="E86" s="14" t="str">
        <x:v>Weiterbildung &amp; Future Skills – Living Wage</x:v>
      </x:c>
      <x:c r="F86" s="14" t="str">
        <x:v>% Beschäftigte</x:v>
      </x:c>
      <x:c r="G86" s="14" t="str">
        <x:v>higher_is_better</x:v>
      </x:c>
      <x:c r="H86" s="14" t="str">
        <x:v>R27</x:v>
      </x:c>
      <x:c r="I86" s="14" t="str">
        <x:v>NUM_HIGH</x:v>
      </x:c>
      <x:c r="J86" s="51"/>
      <x:c r="K86" s="51"/>
      <x:c r="L86" s="51"/>
      <x:c r="M86" s="54"/>
      <x:c r="N86" s="58" t="str">
        <x:f>IF($J86="","",IF($J86&lt;40,-3,IF($J86&lt;60,-2,IF($J86&lt;80,0,IF($J86&lt;95,2,3)))))</x:f>
      </x:c>
      <x:c r="O86" s="58" t="str">
        <x:f>IF($J86="","",IF(OR('02_Benchmarks'!$P86&lt;&gt;"Aktiv",COUNT('02_Benchmarks'!$J86:$M86)&lt;4),"",IF($G86="lower_is_better",IF($J86&lt;='02_Benchmarks'!$J86,3,IF($J86&lt;'02_Benchmarks'!$K86,2,IF($J86&lt;='02_Benchmarks'!$L86,0,IF($J86&lt;='02_Benchmarks'!$M86,-2,-3)))),IF($J86&gt;='02_Benchmarks'!$J86,3,IF($J86&gt;'02_Benchmarks'!$K86,2,IF($J86&gt;='02_Benchmarks'!$L86,0,IF($J86&gt;='02_Benchmarks'!$M86,-2,-3)))))))</x:f>
      </x:c>
      <x:c r="P86" s="58" t="str">
        <x:f>IF(COUNT($N86:$O86)+IF(ISNUMBER($K86),1,0)=0,"",MIN($N86:$O86,$K86))</x:f>
      </x:c>
      <x:c r="Q86" s="58" t="str">
        <x:f>IF($P86="","",INDEX('04_Tarifmodell'!$B$6:$B$12,$P86+4))</x:f>
      </x:c>
      <x:c r="R86" s="64" t="str">
        <x:f>IF($P86="","",INDEX('04_Tarifmodell'!$C$6:$C$12,$P86+4))</x:f>
      </x:c>
      <x:c r="S86" s="14" t="str">
        <x:f>IF(OR($I86="QUALITATIVE",$I86="MANUAL_HYBRID"),IF($K86="","Assurance-Score fehlt","Assurance-bewertet"),IF($I86="BENCHMARK",IF($W86&lt;&gt;"Aktiv",IF($K86="","Benchmark fehlt","Assurance-bewertet"),IF($J86="","Messwert fehlt",IF($P86="","Nicht bewertbar","Berechnet"))),IF(AND($J86="",$K86&lt;&gt;""),"Nur Assurance-Score",IF($J86="","Messwert fehlt",IF($P86="","Nicht bewertbar",IF($P86&lt;=-2,"Kritische Wirkung / Prüfung","Berechnet"))))))</x:f>
        <x:v>Messwert fehlt</x:v>
      </x:c>
      <x:c r="T86" s="14" t="str">
        <x:v>Vollständige fünfstufige numerische Regel.</x:v>
      </x:c>
      <x:c r="U86" s="14" t="str">
        <x:v>≥95:+3; 80–94:+2; 60–79:0; 40–59:‑2; &lt;40:‑3</x:v>
      </x:c>
      <x:c r="V86" s="14" t="str">
        <x:v>ESRS S1, GRI 401/403/405/406, ILO</x:v>
      </x:c>
      <x:c r="W86" s="14" t="str">
        <x:f>'02_Benchmarks'!$P86</x:f>
        <x:v>Optional – kein aktiver Benchmark</x:v>
      </x:c>
      <x:c r="X86" s="14" t="str">
        <x:v>Messgrundlage belegt; Schwellenkalibrierung offen</x:v>
      </x:c>
      <x:c r="Y86" s="14" t="str">
        <x:v>Mittel</x:v>
      </x:c>
      <x:c r="Z86" s="14" t="str">
        <x:v>Arbeitskalibrierung – fachlich zu validieren</x:v>
      </x:c>
      <x:c r="AA86" s="14" t="str">
        <x:v>Eigene Belegschaft/Organisation; FTE, Beschäftigtengruppe und Zeitraum</x:v>
      </x:c>
      <x:c r="AB86" s="14" t="str">
        <x:v>Primärdaten bevorzugt; Sekundärdaten nur transparent und versioniert; Methode und Systemgrenze dokumentieren</x:v>
      </x:c>
      <x:c r="AC86" s="14" t="str">
        <x:v>Limited Assurance; risikobasiert höhere Prüftiefe</x:v>
      </x:c>
    </x:row>
    <x:row r="87" ht="42" customHeight="1">
      <x:c r="A87" s="14" t="str">
        <x:v>WOK-S-126</x:v>
      </x:c>
      <x:c r="B87" s="14" t="str">
        <x:v>SDG 4 – Bildung</x:v>
      </x:c>
      <x:c r="C87" s="14" t="str">
        <x:v>4.4</x:v>
      </x:c>
      <x:c r="D87" s="14" t="str">
        <x:v>Weiterbildung &amp; Future Skills</x:v>
      </x:c>
      <x:c r="E87" s="14" t="str">
        <x:v>Weiterbildung &amp; Future Skills – Tarifbindung</x:v>
      </x:c>
      <x:c r="F87" s="14" t="str">
        <x:v>%</x:v>
      </x:c>
      <x:c r="G87" s="14" t="str">
        <x:v>higher_is_better</x:v>
      </x:c>
      <x:c r="H87" s="14" t="str">
        <x:v>R26</x:v>
      </x:c>
      <x:c r="I87" s="14" t="str">
        <x:v>NUM_HIGH</x:v>
      </x:c>
      <x:c r="J87" s="51"/>
      <x:c r="K87" s="51"/>
      <x:c r="L87" s="51"/>
      <x:c r="M87" s="54"/>
      <x:c r="N87" s="58" t="str">
        <x:f>IF($J87="","",IF($J87&lt;30,-3,IF($J87&lt;50,-2,IF($J87&lt;70,0,IF($J87&lt;90,2,3)))))</x:f>
      </x:c>
      <x:c r="O87" s="58" t="str">
        <x:f>IF($J87="","",IF(OR('02_Benchmarks'!$P87&lt;&gt;"Aktiv",COUNT('02_Benchmarks'!$J87:$M87)&lt;4),"",IF($G87="lower_is_better",IF($J87&lt;='02_Benchmarks'!$J87,3,IF($J87&lt;'02_Benchmarks'!$K87,2,IF($J87&lt;='02_Benchmarks'!$L87,0,IF($J87&lt;='02_Benchmarks'!$M87,-2,-3)))),IF($J87&gt;='02_Benchmarks'!$J87,3,IF($J87&gt;'02_Benchmarks'!$K87,2,IF($J87&gt;='02_Benchmarks'!$L87,0,IF($J87&gt;='02_Benchmarks'!$M87,-2,-3)))))))</x:f>
      </x:c>
      <x:c r="P87" s="58" t="str">
        <x:f>IF(COUNT($N87:$O87)+IF(ISNUMBER($K87),1,0)=0,"",MIN($N87:$O87,$K87))</x:f>
      </x:c>
      <x:c r="Q87" s="58" t="str">
        <x:f>IF($P87="","",INDEX('04_Tarifmodell'!$B$6:$B$12,$P87+4))</x:f>
      </x:c>
      <x:c r="R87" s="64" t="str">
        <x:f>IF($P87="","",INDEX('04_Tarifmodell'!$C$6:$C$12,$P87+4))</x:f>
      </x:c>
      <x:c r="S87" s="14" t="str">
        <x:f>IF(OR($I87="QUALITATIVE",$I87="MANUAL_HYBRID"),IF($K87="","Assurance-Score fehlt","Assurance-bewertet"),IF($I87="BENCHMARK",IF($W87&lt;&gt;"Aktiv",IF($K87="","Benchmark fehlt","Assurance-bewertet"),IF($J87="","Messwert fehlt",IF($P87="","Nicht bewertbar","Berechnet"))),IF(AND($J87="",$K87&lt;&gt;""),"Nur Assurance-Score",IF($J87="","Messwert fehlt",IF($P87="","Nicht bewertbar",IF($P87&lt;=-2,"Kritische Wirkung / Prüfung","Berechnet"))))))</x:f>
        <x:v>Messwert fehlt</x:v>
      </x:c>
      <x:c r="T87" s="14" t="str">
        <x:v>Vollständige fünfstufige numerische Regel.</x:v>
      </x:c>
      <x:c r="U87" s="14" t="str">
        <x:v>≥90:+3; 70–89:+2; 50–69:0; 30–49:‑2; &lt;30:‑3</x:v>
      </x:c>
      <x:c r="V87" s="14" t="str">
        <x:v>ESRS S1, GRI 401/403/405/406, ILO</x:v>
      </x:c>
      <x:c r="W87" s="14" t="str">
        <x:f>'02_Benchmarks'!$P87</x:f>
        <x:v>Optional – kein aktiver Benchmark</x:v>
      </x:c>
      <x:c r="X87" s="14" t="str">
        <x:v>Messgrundlage belegt; Schwellenkalibrierung offen</x:v>
      </x:c>
      <x:c r="Y87" s="14" t="str">
        <x:v>Mittel</x:v>
      </x:c>
      <x:c r="Z87" s="14" t="str">
        <x:v>Arbeitskalibrierung – fachlich zu validieren</x:v>
      </x:c>
      <x:c r="AA87" s="14" t="str">
        <x:v>Eigene Belegschaft/Organisation; FTE, Beschäftigtengruppe und Zeitraum</x:v>
      </x:c>
      <x:c r="AB87" s="14" t="str">
        <x:v>Primärdaten bevorzugt; Sekundärdaten nur transparent und versioniert; Methode und Systemgrenze dokumentieren</x:v>
      </x:c>
      <x:c r="AC87" s="14" t="str">
        <x:v>Limited Assurance; risikobasiert höhere Prüftiefe</x:v>
      </x:c>
    </x:row>
    <x:row r="88" ht="42" customHeight="1">
      <x:c r="A88" s="14" t="str">
        <x:v>WOK-S-127</x:v>
      </x:c>
      <x:c r="B88" s="14" t="str">
        <x:v>SDG 4 – Bildung</x:v>
      </x:c>
      <x:c r="C88" s="14" t="str">
        <x:v>4.4</x:v>
      </x:c>
      <x:c r="D88" s="14" t="str">
        <x:v>Weiterbildung &amp; Future Skills</x:v>
      </x:c>
      <x:c r="E88" s="14" t="str">
        <x:v>Weiterbildung &amp; Future Skills – LTIFR</x:v>
      </x:c>
      <x:c r="F88" s="14" t="str">
        <x:v>Unfälle/Mio Std.</x:v>
      </x:c>
      <x:c r="G88" s="14" t="str">
        <x:v>lower_is_better</x:v>
      </x:c>
      <x:c r="H88" s="14" t="str">
        <x:v>R02</x:v>
      </x:c>
      <x:c r="I88" s="14" t="str">
        <x:v>NUM_LOW</x:v>
      </x:c>
      <x:c r="J88" s="51"/>
      <x:c r="K88" s="51"/>
      <x:c r="L88" s="51"/>
      <x:c r="M88" s="54"/>
      <x:c r="N88" s="58" t="str">
        <x:f>IF($J88="","",IF($J88&lt;=0,3,IF($J88&lt;=1,2,IF($J88&lt;=3,0,IF($J88&lt;=5,-2,-3)))))</x:f>
      </x:c>
      <x:c r="O88" s="58" t="str">
        <x:f>IF($J88="","",IF(OR('02_Benchmarks'!$P88&lt;&gt;"Aktiv",COUNT('02_Benchmarks'!$J88:$M88)&lt;4),"",IF($G88="lower_is_better",IF($J88&lt;='02_Benchmarks'!$J88,3,IF($J88&lt;'02_Benchmarks'!$K88,2,IF($J88&lt;='02_Benchmarks'!$L88,0,IF($J88&lt;='02_Benchmarks'!$M88,-2,-3)))),IF($J88&gt;='02_Benchmarks'!$J88,3,IF($J88&gt;'02_Benchmarks'!$K88,2,IF($J88&gt;='02_Benchmarks'!$L88,0,IF($J88&gt;='02_Benchmarks'!$M88,-2,-3)))))))</x:f>
      </x:c>
      <x:c r="P88" s="58" t="str">
        <x:f>IF(COUNT($N88:$O88)+IF(ISNUMBER($K88),1,0)=0,"",MIN($N88:$O88,$K88))</x:f>
      </x:c>
      <x:c r="Q88" s="58" t="str">
        <x:f>IF($P88="","",INDEX('04_Tarifmodell'!$B$6:$B$12,$P88+4))</x:f>
      </x:c>
      <x:c r="R88" s="64" t="str">
        <x:f>IF($P88="","",INDEX('04_Tarifmodell'!$C$6:$C$12,$P88+4))</x:f>
      </x:c>
      <x:c r="S88" s="14" t="str">
        <x:f>IF(OR($I88="QUALITATIVE",$I88="MANUAL_HYBRID"),IF($K88="","Assurance-Score fehlt","Assurance-bewertet"),IF($I88="BENCHMARK",IF($W88&lt;&gt;"Aktiv",IF($K88="","Benchmark fehlt","Assurance-bewertet"),IF($J88="","Messwert fehlt",IF($P88="","Nicht bewertbar","Berechnet"))),IF(AND($J88="",$K88&lt;&gt;""),"Nur Assurance-Score",IF($J88="","Messwert fehlt",IF($P88="","Nicht bewertbar",IF($P88&lt;=-2,"Kritische Wirkung / Prüfung","Berechnet"))))))</x:f>
        <x:v>Messwert fehlt</x:v>
      </x:c>
      <x:c r="T88" s="14" t="str">
        <x:v>Vollständige fünfstufige numerische Regel.</x:v>
      </x:c>
      <x:c r="U88" s="14" t="str">
        <x:v>0:+3; ≤1:+2; ≤3:0; ≤5:‑2; &gt;5:‑3</x:v>
      </x:c>
      <x:c r="V88" s="14" t="str">
        <x:v>ESRS S1, GRI 401/403/405/406, ILO</x:v>
      </x:c>
      <x:c r="W88" s="14" t="str">
        <x:f>'02_Benchmarks'!$P88</x:f>
        <x:v>Optional – kein aktiver Benchmark</x:v>
      </x:c>
      <x:c r="X88" s="14" t="str">
        <x:v>Messgrundlage belegt; Schwellenkalibrierung offen</x:v>
      </x:c>
      <x:c r="Y88" s="14" t="str">
        <x:v>Mittel</x:v>
      </x:c>
      <x:c r="Z88" s="14" t="str">
        <x:v>Arbeitskalibrierung – fachlich zu validieren</x:v>
      </x:c>
      <x:c r="AA88" s="14" t="str">
        <x:v>Eigene Belegschaft/Organisation; FTE, Beschäftigtengruppe und Zeitraum</x:v>
      </x:c>
      <x:c r="AB88" s="14" t="str">
        <x:v>Primärdaten bevorzugt; Sekundärdaten nur transparent und versioniert; Methode und Systemgrenze dokumentieren</x:v>
      </x:c>
      <x:c r="AC88" s="14" t="str">
        <x:v>Limited Assurance; risikobasiert höhere Prüftiefe</x:v>
      </x:c>
    </x:row>
    <x:row r="89" ht="42" customHeight="1">
      <x:c r="A89" s="14" t="str">
        <x:v>WOK-S-128</x:v>
      </x:c>
      <x:c r="B89" s="14" t="str">
        <x:v>SDG 4 – Bildung</x:v>
      </x:c>
      <x:c r="C89" s="14" t="str">
        <x:v>4.3</x:v>
      </x:c>
      <x:c r="D89" s="14" t="str">
        <x:v>Ausbildungsquote/Praktika</x:v>
      </x:c>
      <x:c r="E89" s="14" t="str">
        <x:v>Ausbildungsquote/Praktika – Living Wage</x:v>
      </x:c>
      <x:c r="F89" s="14" t="str">
        <x:v>% Beschäftigte</x:v>
      </x:c>
      <x:c r="G89" s="14" t="str">
        <x:v>higher_is_better</x:v>
      </x:c>
      <x:c r="H89" s="14" t="str">
        <x:v>R27</x:v>
      </x:c>
      <x:c r="I89" s="14" t="str">
        <x:v>NUM_HIGH</x:v>
      </x:c>
      <x:c r="J89" s="51"/>
      <x:c r="K89" s="51"/>
      <x:c r="L89" s="51"/>
      <x:c r="M89" s="54"/>
      <x:c r="N89" s="58" t="str">
        <x:f>IF($J89="","",IF($J89&lt;40,-3,IF($J89&lt;60,-2,IF($J89&lt;80,0,IF($J89&lt;95,2,3)))))</x:f>
      </x:c>
      <x:c r="O89" s="58" t="str">
        <x:f>IF($J89="","",IF(OR('02_Benchmarks'!$P89&lt;&gt;"Aktiv",COUNT('02_Benchmarks'!$J89:$M89)&lt;4),"",IF($G89="lower_is_better",IF($J89&lt;='02_Benchmarks'!$J89,3,IF($J89&lt;'02_Benchmarks'!$K89,2,IF($J89&lt;='02_Benchmarks'!$L89,0,IF($J89&lt;='02_Benchmarks'!$M89,-2,-3)))),IF($J89&gt;='02_Benchmarks'!$J89,3,IF($J89&gt;'02_Benchmarks'!$K89,2,IF($J89&gt;='02_Benchmarks'!$L89,0,IF($J89&gt;='02_Benchmarks'!$M89,-2,-3)))))))</x:f>
      </x:c>
      <x:c r="P89" s="58" t="str">
        <x:f>IF(COUNT($N89:$O89)+IF(ISNUMBER($K89),1,0)=0,"",MIN($N89:$O89,$K89))</x:f>
      </x:c>
      <x:c r="Q89" s="58" t="str">
        <x:f>IF($P89="","",INDEX('04_Tarifmodell'!$B$6:$B$12,$P89+4))</x:f>
      </x:c>
      <x:c r="R89" s="64" t="str">
        <x:f>IF($P89="","",INDEX('04_Tarifmodell'!$C$6:$C$12,$P89+4))</x:f>
      </x:c>
      <x:c r="S89" s="14" t="str">
        <x:f>IF(OR($I89="QUALITATIVE",$I89="MANUAL_HYBRID"),IF($K89="","Assurance-Score fehlt","Assurance-bewertet"),IF($I89="BENCHMARK",IF($W89&lt;&gt;"Aktiv",IF($K89="","Benchmark fehlt","Assurance-bewertet"),IF($J89="","Messwert fehlt",IF($P89="","Nicht bewertbar","Berechnet"))),IF(AND($J89="",$K89&lt;&gt;""),"Nur Assurance-Score",IF($J89="","Messwert fehlt",IF($P89="","Nicht bewertbar",IF($P89&lt;=-2,"Kritische Wirkung / Prüfung","Berechnet"))))))</x:f>
        <x:v>Messwert fehlt</x:v>
      </x:c>
      <x:c r="T89" s="14" t="str">
        <x:v>Vollständige fünfstufige numerische Regel.</x:v>
      </x:c>
      <x:c r="U89" s="14" t="str">
        <x:v>≥95:+3; 80–94:+2; 60–79:0; 40–59:‑2; &lt;40:‑3</x:v>
      </x:c>
      <x:c r="V89" s="14" t="str">
        <x:v>ESRS S1, GRI 401/403/405/406, ILO</x:v>
      </x:c>
      <x:c r="W89" s="14" t="str">
        <x:f>'02_Benchmarks'!$P89</x:f>
        <x:v>Optional – kein aktiver Benchmark</x:v>
      </x:c>
      <x:c r="X89" s="14" t="str">
        <x:v>Messgrundlage belegt; Schwellenkalibrierung offen</x:v>
      </x:c>
      <x:c r="Y89" s="14" t="str">
        <x:v>Mittel</x:v>
      </x:c>
      <x:c r="Z89" s="14" t="str">
        <x:v>Arbeitskalibrierung – fachlich zu validieren</x:v>
      </x:c>
      <x:c r="AA89" s="14" t="str">
        <x:v>Eigene Belegschaft/Organisation; FTE, Beschäftigtengruppe und Zeitraum</x:v>
      </x:c>
      <x:c r="AB89" s="14" t="str">
        <x:v>Primärdaten bevorzugt; Sekundärdaten nur transparent und versioniert; Methode und Systemgrenze dokumentieren</x:v>
      </x:c>
      <x:c r="AC89" s="14" t="str">
        <x:v>Limited Assurance; risikobasiert höhere Prüftiefe</x:v>
      </x:c>
    </x:row>
    <x:row r="90" ht="42" customHeight="1">
      <x:c r="A90" s="14" t="str">
        <x:v>WOK-S-129</x:v>
      </x:c>
      <x:c r="B90" s="14" t="str">
        <x:v>SDG 4 – Bildung</x:v>
      </x:c>
      <x:c r="C90" s="14" t="str">
        <x:v>4.3</x:v>
      </x:c>
      <x:c r="D90" s="14" t="str">
        <x:v>Ausbildungsquote/Praktika</x:v>
      </x:c>
      <x:c r="E90" s="14" t="str">
        <x:v>Ausbildungsquote/Praktika – Tarifbindung</x:v>
      </x:c>
      <x:c r="F90" s="14" t="str">
        <x:v>%</x:v>
      </x:c>
      <x:c r="G90" s="14" t="str">
        <x:v>higher_is_better</x:v>
      </x:c>
      <x:c r="H90" s="14" t="str">
        <x:v>R26</x:v>
      </x:c>
      <x:c r="I90" s="14" t="str">
        <x:v>NUM_HIGH</x:v>
      </x:c>
      <x:c r="J90" s="51"/>
      <x:c r="K90" s="51"/>
      <x:c r="L90" s="51"/>
      <x:c r="M90" s="54"/>
      <x:c r="N90" s="58" t="str">
        <x:f>IF($J90="","",IF($J90&lt;30,-3,IF($J90&lt;50,-2,IF($J90&lt;70,0,IF($J90&lt;90,2,3)))))</x:f>
      </x:c>
      <x:c r="O90" s="58" t="str">
        <x:f>IF($J90="","",IF(OR('02_Benchmarks'!$P90&lt;&gt;"Aktiv",COUNT('02_Benchmarks'!$J90:$M90)&lt;4),"",IF($G90="lower_is_better",IF($J90&lt;='02_Benchmarks'!$J90,3,IF($J90&lt;'02_Benchmarks'!$K90,2,IF($J90&lt;='02_Benchmarks'!$L90,0,IF($J90&lt;='02_Benchmarks'!$M90,-2,-3)))),IF($J90&gt;='02_Benchmarks'!$J90,3,IF($J90&gt;'02_Benchmarks'!$K90,2,IF($J90&gt;='02_Benchmarks'!$L90,0,IF($J90&gt;='02_Benchmarks'!$M90,-2,-3)))))))</x:f>
      </x:c>
      <x:c r="P90" s="58" t="str">
        <x:f>IF(COUNT($N90:$O90)+IF(ISNUMBER($K90),1,0)=0,"",MIN($N90:$O90,$K90))</x:f>
      </x:c>
      <x:c r="Q90" s="58" t="str">
        <x:f>IF($P90="","",INDEX('04_Tarifmodell'!$B$6:$B$12,$P90+4))</x:f>
      </x:c>
      <x:c r="R90" s="64" t="str">
        <x:f>IF($P90="","",INDEX('04_Tarifmodell'!$C$6:$C$12,$P90+4))</x:f>
      </x:c>
      <x:c r="S90" s="14" t="str">
        <x:f>IF(OR($I90="QUALITATIVE",$I90="MANUAL_HYBRID"),IF($K90="","Assurance-Score fehlt","Assurance-bewertet"),IF($I90="BENCHMARK",IF($W90&lt;&gt;"Aktiv",IF($K90="","Benchmark fehlt","Assurance-bewertet"),IF($J90="","Messwert fehlt",IF($P90="","Nicht bewertbar","Berechnet"))),IF(AND($J90="",$K90&lt;&gt;""),"Nur Assurance-Score",IF($J90="","Messwert fehlt",IF($P90="","Nicht bewertbar",IF($P90&lt;=-2,"Kritische Wirkung / Prüfung","Berechnet"))))))</x:f>
        <x:v>Messwert fehlt</x:v>
      </x:c>
      <x:c r="T90" s="14" t="str">
        <x:v>Vollständige fünfstufige numerische Regel.</x:v>
      </x:c>
      <x:c r="U90" s="14" t="str">
        <x:v>≥90:+3; 70–89:+2; 50–69:0; 30–49:‑2; &lt;30:‑3</x:v>
      </x:c>
      <x:c r="V90" s="14" t="str">
        <x:v>ESRS S1, GRI 401/403/405/406, ILO</x:v>
      </x:c>
      <x:c r="W90" s="14" t="str">
        <x:f>'02_Benchmarks'!$P90</x:f>
        <x:v>Optional – kein aktiver Benchmark</x:v>
      </x:c>
      <x:c r="X90" s="14" t="str">
        <x:v>Messgrundlage belegt; Schwellenkalibrierung offen</x:v>
      </x:c>
      <x:c r="Y90" s="14" t="str">
        <x:v>Mittel</x:v>
      </x:c>
      <x:c r="Z90" s="14" t="str">
        <x:v>Arbeitskalibrierung – fachlich zu validieren</x:v>
      </x:c>
      <x:c r="AA90" s="14" t="str">
        <x:v>Eigene Belegschaft/Organisation; FTE, Beschäftigtengruppe und Zeitraum</x:v>
      </x:c>
      <x:c r="AB90" s="14" t="str">
        <x:v>Primärdaten bevorzugt; Sekundärdaten nur transparent und versioniert; Methode und Systemgrenze dokumentieren</x:v>
      </x:c>
      <x:c r="AC90" s="14" t="str">
        <x:v>Limited Assurance; risikobasiert höhere Prüftiefe</x:v>
      </x:c>
    </x:row>
    <x:row r="91" ht="42" customHeight="1">
      <x:c r="A91" s="14" t="str">
        <x:v>WOK-S-130</x:v>
      </x:c>
      <x:c r="B91" s="14" t="str">
        <x:v>SDG 4 – Bildung</x:v>
      </x:c>
      <x:c r="C91" s="14" t="str">
        <x:v>4.3</x:v>
      </x:c>
      <x:c r="D91" s="14" t="str">
        <x:v>Ausbildungsquote/Praktika</x:v>
      </x:c>
      <x:c r="E91" s="14" t="str">
        <x:v>Ausbildungsquote/Praktika – LTIFR</x:v>
      </x:c>
      <x:c r="F91" s="14" t="str">
        <x:v>Unfälle/Mio Std.</x:v>
      </x:c>
      <x:c r="G91" s="14" t="str">
        <x:v>lower_is_better</x:v>
      </x:c>
      <x:c r="H91" s="14" t="str">
        <x:v>R02</x:v>
      </x:c>
      <x:c r="I91" s="14" t="str">
        <x:v>NUM_LOW</x:v>
      </x:c>
      <x:c r="J91" s="51"/>
      <x:c r="K91" s="51"/>
      <x:c r="L91" s="51"/>
      <x:c r="M91" s="54"/>
      <x:c r="N91" s="58" t="str">
        <x:f>IF($J91="","",IF($J91&lt;=0,3,IF($J91&lt;=1,2,IF($J91&lt;=3,0,IF($J91&lt;=5,-2,-3)))))</x:f>
      </x:c>
      <x:c r="O91" s="58" t="str">
        <x:f>IF($J91="","",IF(OR('02_Benchmarks'!$P91&lt;&gt;"Aktiv",COUNT('02_Benchmarks'!$J91:$M91)&lt;4),"",IF($G91="lower_is_better",IF($J91&lt;='02_Benchmarks'!$J91,3,IF($J91&lt;'02_Benchmarks'!$K91,2,IF($J91&lt;='02_Benchmarks'!$L91,0,IF($J91&lt;='02_Benchmarks'!$M91,-2,-3)))),IF($J91&gt;='02_Benchmarks'!$J91,3,IF($J91&gt;'02_Benchmarks'!$K91,2,IF($J91&gt;='02_Benchmarks'!$L91,0,IF($J91&gt;='02_Benchmarks'!$M91,-2,-3)))))))</x:f>
      </x:c>
      <x:c r="P91" s="58" t="str">
        <x:f>IF(COUNT($N91:$O91)+IF(ISNUMBER($K91),1,0)=0,"",MIN($N91:$O91,$K91))</x:f>
      </x:c>
      <x:c r="Q91" s="58" t="str">
        <x:f>IF($P91="","",INDEX('04_Tarifmodell'!$B$6:$B$12,$P91+4))</x:f>
      </x:c>
      <x:c r="R91" s="64" t="str">
        <x:f>IF($P91="","",INDEX('04_Tarifmodell'!$C$6:$C$12,$P91+4))</x:f>
      </x:c>
      <x:c r="S91" s="14" t="str">
        <x:f>IF(OR($I91="QUALITATIVE",$I91="MANUAL_HYBRID"),IF($K91="","Assurance-Score fehlt","Assurance-bewertet"),IF($I91="BENCHMARK",IF($W91&lt;&gt;"Aktiv",IF($K91="","Benchmark fehlt","Assurance-bewertet"),IF($J91="","Messwert fehlt",IF($P91="","Nicht bewertbar","Berechnet"))),IF(AND($J91="",$K91&lt;&gt;""),"Nur Assurance-Score",IF($J91="","Messwert fehlt",IF($P91="","Nicht bewertbar",IF($P91&lt;=-2,"Kritische Wirkung / Prüfung","Berechnet"))))))</x:f>
        <x:v>Messwert fehlt</x:v>
      </x:c>
      <x:c r="T91" s="14" t="str">
        <x:v>Vollständige fünfstufige numerische Regel.</x:v>
      </x:c>
      <x:c r="U91" s="14" t="str">
        <x:v>0:+3; ≤1:+2; ≤3:0; ≤5:‑2; &gt;5:‑3</x:v>
      </x:c>
      <x:c r="V91" s="14" t="str">
        <x:v>ESRS S1, GRI 401/403/405/406, ILO</x:v>
      </x:c>
      <x:c r="W91" s="14" t="str">
        <x:f>'02_Benchmarks'!$P91</x:f>
        <x:v>Optional – kein aktiver Benchmark</x:v>
      </x:c>
      <x:c r="X91" s="14" t="str">
        <x:v>Messgrundlage belegt; Schwellenkalibrierung offen</x:v>
      </x:c>
      <x:c r="Y91" s="14" t="str">
        <x:v>Mittel</x:v>
      </x:c>
      <x:c r="Z91" s="14" t="str">
        <x:v>Arbeitskalibrierung – fachlich zu validieren</x:v>
      </x:c>
      <x:c r="AA91" s="14" t="str">
        <x:v>Eigene Belegschaft/Organisation; FTE, Beschäftigtengruppe und Zeitraum</x:v>
      </x:c>
      <x:c r="AB91" s="14" t="str">
        <x:v>Primärdaten bevorzugt; Sekundärdaten nur transparent und versioniert; Methode und Systemgrenze dokumentieren</x:v>
      </x:c>
      <x:c r="AC91" s="14" t="str">
        <x:v>Limited Assurance; risikobasiert höhere Prüftiefe</x:v>
      </x:c>
    </x:row>
    <x:row r="92" ht="42" customHeight="1">
      <x:c r="A92" s="14" t="str">
        <x:v>WOK-SYS-107</x:v>
      </x:c>
      <x:c r="B92" s="14" t="str">
        <x:v>SDG 4 – Bildung</x:v>
      </x:c>
      <x:c r="C92" s="14" t="str">
        <x:v>4.7</x:v>
      </x:c>
      <x:c r="D92" s="14" t="str">
        <x:v>Open Access / Open Science</x:v>
      </x:c>
      <x:c r="E92" s="14" t="str">
        <x:v>Open Access / Open Science – Index</x:v>
      </x:c>
      <x:c r="F92" s="14" t="str">
        <x:v>0–1</x:v>
      </x:c>
      <x:c r="G92" s="14" t="str">
        <x:v>higher_is_better</x:v>
      </x:c>
      <x:c r="H92" s="14" t="str">
        <x:v>R15</x:v>
      </x:c>
      <x:c r="I92" s="14" t="str">
        <x:v>NUM_HIGH</x:v>
      </x:c>
      <x:c r="J92" s="51"/>
      <x:c r="K92" s="51"/>
      <x:c r="L92" s="51"/>
      <x:c r="M92" s="54"/>
      <x:c r="N92" s="58" t="str">
        <x:f>IF($J92="","",IF($J92&lt;0.5,-3,IF($J92&lt;0.6,-2,IF($J92&lt;0.7,0,IF($J92&lt;0.8,2,3)))))</x:f>
      </x:c>
      <x:c r="O92" s="58" t="str">
        <x:f>IF($J92="","",IF(OR('02_Benchmarks'!$P92&lt;&gt;"Aktiv",COUNT('02_Benchmarks'!$J92:$M92)&lt;4),"",IF($G92="lower_is_better",IF($J92&lt;='02_Benchmarks'!$J92,3,IF($J92&lt;'02_Benchmarks'!$K92,2,IF($J92&lt;='02_Benchmarks'!$L92,0,IF($J92&lt;='02_Benchmarks'!$M92,-2,-3)))),IF($J92&gt;='02_Benchmarks'!$J92,3,IF($J92&gt;'02_Benchmarks'!$K92,2,IF($J92&gt;='02_Benchmarks'!$L92,0,IF($J92&gt;='02_Benchmarks'!$M92,-2,-3)))))))</x:f>
      </x:c>
      <x:c r="P92" s="58" t="str">
        <x:f>IF(COUNT($N92:$O92)+IF(ISNUMBER($K92),1,0)=0,"",MIN($N92:$O92,$K92))</x:f>
      </x:c>
      <x:c r="Q92" s="58" t="str">
        <x:f>IF($P92="","",INDEX('04_Tarifmodell'!$B$6:$B$12,$P92+4))</x:f>
      </x:c>
      <x:c r="R92" s="64" t="str">
        <x:f>IF($P92="","",INDEX('04_Tarifmodell'!$C$6:$C$12,$P92+4))</x:f>
      </x:c>
      <x:c r="S92" s="14" t="str">
        <x:f>IF(OR($I92="QUALITATIVE",$I92="MANUAL_HYBRID"),IF($K92="","Assurance-Score fehlt","Assurance-bewertet"),IF($I92="BENCHMARK",IF($W92&lt;&gt;"Aktiv",IF($K92="","Benchmark fehlt","Assurance-bewertet"),IF($J92="","Messwert fehlt",IF($P92="","Nicht bewertbar","Berechnet"))),IF(AND($J92="",$K92&lt;&gt;""),"Nur Assurance-Score",IF($J92="","Messwert fehlt",IF($P92="","Nicht bewertbar",IF($P92&lt;=-2,"Kritische Wirkung / Prüfung","Berechnet"))))))</x:f>
        <x:v>Messwert fehlt</x:v>
      </x:c>
      <x:c r="T92" s="14" t="str">
        <x:v>SROI/SDG 17 ist keine hinreichend konkrete Mess- oder Schwellenquelle. Vollständige fünfstufige numerische Regel.</x:v>
      </x:c>
      <x:c r="U92" s="14" t="str">
        <x:v>≥0,8:+3; 0,7–0,79:+2; 0,6–0,69:0; 0,5–0,59:‑2; &lt;0,5:‑3</x:v>
      </x:c>
      <x:c r="V92" s="14" t="str">
        <x:v>SDG 16/17, WJP, V‑Dem</x:v>
      </x:c>
      <x:c r="W92" s="14" t="str">
        <x:f>'02_Benchmarks'!$P92</x:f>
        <x:v>Optional – kein aktiver Benchmark</x:v>
      </x:c>
      <x:c r="X92" s="14" t="str">
        <x:v>Platzhalter – fachliche Operationalisierung offen</x:v>
      </x:c>
      <x:c r="Y92" s="14" t="str">
        <x:v>Kritisch</x:v>
      </x:c>
      <x:c r="Z92" s="14" t="str">
        <x:v>Arbeitskalibrierung – fachlich zu validieren</x:v>
      </x:c>
      <x:c r="AA92" s="14" t="str">
        <x:v>Programm/Portfolio/Systemraum; Empfängergruppe, Region und Zeitraum explizit definieren</x:v>
      </x:c>
      <x:c r="AB92" s="14" t="str">
        <x:v>Primärdaten bevorzugt; Sekundärdaten nur transparent und versioniert; Methode und Systemgrenze dokumentieren</x:v>
      </x:c>
      <x:c r="AC92" s="14" t="str">
        <x:v>Limited Assurance; risikobasiert höhere Prüftiefe</x:v>
      </x:c>
    </x:row>
    <x:row r="93" ht="42" customHeight="1">
      <x:c r="A93" s="14" t="str">
        <x:v>WOK-SYS-108</x:v>
      </x:c>
      <x:c r="B93" s="14" t="str">
        <x:v>SDG 4 – Bildung</x:v>
      </x:c>
      <x:c r="C93" s="14" t="str">
        <x:v>4.7</x:v>
      </x:c>
      <x:c r="D93" s="14" t="str">
        <x:v>Open Access / Open Science</x:v>
      </x:c>
      <x:c r="E93" s="14" t="str">
        <x:v>Open Access / Open Science – Exposure</x:v>
      </x:c>
      <x:c r="F93" s="14" t="str">
        <x:v>%</x:v>
      </x:c>
      <x:c r="G93" s="14" t="str">
        <x:v>lower_is_better</x:v>
      </x:c>
      <x:c r="H93" s="14" t="str">
        <x:v>R13</x:v>
      </x:c>
      <x:c r="I93" s="14" t="str">
        <x:v>NUM_LOW</x:v>
      </x:c>
      <x:c r="J93" s="51"/>
      <x:c r="K93" s="51"/>
      <x:c r="L93" s="51"/>
      <x:c r="M93" s="54"/>
      <x:c r="N93" s="58" t="str">
        <x:f>IF($J93="","",IF($J93&lt;=5,3,IF($J93&lt;=10,2,IF($J93&lt;=20,0,IF($J93&lt;=30,-2,-3)))))</x:f>
      </x:c>
      <x:c r="O93" s="58" t="str">
        <x:f>IF($J93="","",IF(OR('02_Benchmarks'!$P93&lt;&gt;"Aktiv",COUNT('02_Benchmarks'!$J93:$M93)&lt;4),"",IF($G93="lower_is_better",IF($J93&lt;='02_Benchmarks'!$J93,3,IF($J93&lt;'02_Benchmarks'!$K93,2,IF($J93&lt;='02_Benchmarks'!$L93,0,IF($J93&lt;='02_Benchmarks'!$M93,-2,-3)))),IF($J93&gt;='02_Benchmarks'!$J93,3,IF($J93&gt;'02_Benchmarks'!$K93,2,IF($J93&gt;='02_Benchmarks'!$L93,0,IF($J93&gt;='02_Benchmarks'!$M93,-2,-3)))))))</x:f>
      </x:c>
      <x:c r="P93" s="58" t="str">
        <x:f>IF(COUNT($N93:$O93)+IF(ISNUMBER($K93),1,0)=0,"",MIN($N93:$O93,$K93))</x:f>
      </x:c>
      <x:c r="Q93" s="58" t="str">
        <x:f>IF($P93="","",INDEX('04_Tarifmodell'!$B$6:$B$12,$P93+4))</x:f>
      </x:c>
      <x:c r="R93" s="64" t="str">
        <x:f>IF($P93="","",INDEX('04_Tarifmodell'!$C$6:$C$12,$P93+4))</x:f>
      </x:c>
      <x:c r="S93" s="14" t="str">
        <x:f>IF(OR($I93="QUALITATIVE",$I93="MANUAL_HYBRID"),IF($K93="","Assurance-Score fehlt","Assurance-bewertet"),IF($I93="BENCHMARK",IF($W93&lt;&gt;"Aktiv",IF($K93="","Benchmark fehlt","Assurance-bewertet"),IF($J93="","Messwert fehlt",IF($P93="","Nicht bewertbar","Berechnet"))),IF(AND($J93="",$K93&lt;&gt;""),"Nur Assurance-Score",IF($J93="","Messwert fehlt",IF($P93="","Nicht bewertbar",IF($P93&lt;=-2,"Kritische Wirkung / Prüfung","Berechnet"))))))</x:f>
        <x:v>Messwert fehlt</x:v>
      </x:c>
      <x:c r="T93" s="14" t="str">
        <x:v>SROI/SDG 17 ist keine hinreichend konkrete Mess- oder Schwellenquelle. Vollständige fünfstufige numerische Regel.</x:v>
      </x:c>
      <x:c r="U93" s="14" t="str">
        <x:v>≤5:+3; 6–10:+2; 11–20:0; 21–30:‑2; &gt;30:‑3</x:v>
      </x:c>
      <x:c r="V93" s="14" t="str">
        <x:v>SROI/SDG17</x:v>
      </x:c>
      <x:c r="W93" s="14" t="str">
        <x:f>'02_Benchmarks'!$P93</x:f>
        <x:v>Optional – kein aktiver Benchmark</x:v>
      </x:c>
      <x:c r="X93" s="14" t="str">
        <x:v>Platzhalter – fachliche Operationalisierung offen</x:v>
      </x:c>
      <x:c r="Y93" s="14" t="str">
        <x:v>Kritisch</x:v>
      </x:c>
      <x:c r="Z93" s="14" t="str">
        <x:v>Arbeitskalibrierung – fachlich zu validieren</x:v>
      </x:c>
      <x:c r="AA93" s="14" t="str">
        <x:v>Programm/Portfolio/Systemraum; Empfängergruppe, Region und Zeitraum explizit definieren</x:v>
      </x:c>
      <x:c r="AB93" s="14" t="str">
        <x:v>Primärdaten bevorzugt; Sekundärdaten nur transparent und versioniert; Methode und Systemgrenze dokumentieren</x:v>
      </x:c>
      <x:c r="AC93" s="14" t="str">
        <x:v>Limited Assurance; risikobasiert höhere Prüftiefe</x:v>
      </x:c>
    </x:row>
    <x:row r="94" ht="42" customHeight="1">
      <x:c r="A94" s="14" t="str">
        <x:v>WOK-SYS-109</x:v>
      </x:c>
      <x:c r="B94" s="14" t="str">
        <x:v>SDG 4 – Bildung</x:v>
      </x:c>
      <x:c r="C94" s="14" t="str">
        <x:v>4.7</x:v>
      </x:c>
      <x:c r="D94" s="14" t="str">
        <x:v>Open Access / Open Science</x:v>
      </x:c>
      <x:c r="E94" s="14" t="str">
        <x:v>Open Access / Open Science – Kooperationen</x:v>
      </x:c>
      <x:c r="F94" s="14" t="str">
        <x:v>#/Jahr</x:v>
      </x:c>
      <x:c r="G94" s="14" t="str">
        <x:v>higher_is_better</x:v>
      </x:c>
      <x:c r="H94" s="14" t="str">
        <x:v>R20</x:v>
      </x:c>
      <x:c r="I94" s="14" t="str">
        <x:v>NUM_HIGH</x:v>
      </x:c>
      <x:c r="J94" s="51"/>
      <x:c r="K94" s="51"/>
      <x:c r="L94" s="51"/>
      <x:c r="M94" s="54"/>
      <x:c r="N94" s="58" t="str">
        <x:f>IF($J94="","",IF($J94&lt;0,-3,IF($J94&lt;1,-2,IF($J94&lt;3,0,IF($J94&lt;5,2,3)))))</x:f>
      </x:c>
      <x:c r="O94" s="58" t="str">
        <x:f>IF($J94="","",IF(OR('02_Benchmarks'!$P94&lt;&gt;"Aktiv",COUNT('02_Benchmarks'!$J94:$M94)&lt;4),"",IF($G94="lower_is_better",IF($J94&lt;='02_Benchmarks'!$J94,3,IF($J94&lt;'02_Benchmarks'!$K94,2,IF($J94&lt;='02_Benchmarks'!$L94,0,IF($J94&lt;='02_Benchmarks'!$M94,-2,-3)))),IF($J94&gt;='02_Benchmarks'!$J94,3,IF($J94&gt;'02_Benchmarks'!$K94,2,IF($J94&gt;='02_Benchmarks'!$L94,0,IF($J94&gt;='02_Benchmarks'!$M94,-2,-3)))))))</x:f>
      </x:c>
      <x:c r="P94" s="58" t="str">
        <x:f>IF(COUNT($N94:$O94)+IF(ISNUMBER($K94),1,0)=0,"",MIN($N94:$O94,$K94))</x:f>
      </x:c>
      <x:c r="Q94" s="58" t="str">
        <x:f>IF($P94="","",INDEX('04_Tarifmodell'!$B$6:$B$12,$P94+4))</x:f>
      </x:c>
      <x:c r="R94" s="64" t="str">
        <x:f>IF($P94="","",INDEX('04_Tarifmodell'!$C$6:$C$12,$P94+4))</x:f>
      </x:c>
      <x:c r="S94" s="14" t="str">
        <x:f>IF(OR($I94="QUALITATIVE",$I94="MANUAL_HYBRID"),IF($K94="","Assurance-Score fehlt","Assurance-bewertet"),IF($I94="BENCHMARK",IF($W94&lt;&gt;"Aktiv",IF($K94="","Benchmark fehlt","Assurance-bewertet"),IF($J94="","Messwert fehlt",IF($P94="","Nicht bewertbar","Berechnet"))),IF(AND($J94="",$K94&lt;&gt;""),"Nur Assurance-Score",IF($J94="","Messwert fehlt",IF($P94="","Nicht bewertbar",IF($P94&lt;=-2,"Kritische Wirkung / Prüfung","Berechnet"))))))</x:f>
        <x:v>Messwert fehlt</x:v>
      </x:c>
      <x:c r="T94" s="14" t="str">
        <x:v>SROI/SDG 17 ist keine hinreichend konkrete Mess- oder Schwellenquelle. Für sachlogisch nichtnegative Zählwerte ist 0 die schlechteste reguläre Klasse (−2).</x:v>
      </x:c>
      <x:c r="U94" s="14" t="str">
        <x:v>≥5:+3; 3–4:+2; 1–2:0; 0:‑2</x:v>
      </x:c>
      <x:c r="V94" s="14" t="str">
        <x:v>SDG 16/17, WJP, V‑Dem</x:v>
      </x:c>
      <x:c r="W94" s="14" t="str">
        <x:f>'02_Benchmarks'!$P94</x:f>
        <x:v>Optional – kein aktiver Benchmark</x:v>
      </x:c>
      <x:c r="X94" s="14" t="str">
        <x:v>Platzhalter – fachliche Operationalisierung offen</x:v>
      </x:c>
      <x:c r="Y94" s="14" t="str">
        <x:v>Kritisch</x:v>
      </x:c>
      <x:c r="Z94" s="14" t="str">
        <x:v>Klasse −3 nur für negative/unzulässige Werte ergänzt</x:v>
      </x:c>
      <x:c r="AA94" s="14" t="str">
        <x:v>Programm/Portfolio/Systemraum; Empfängergruppe, Region und Zeitraum explizit definieren</x:v>
      </x:c>
      <x:c r="AB94" s="14" t="str">
        <x:v>Primärdaten bevorzugt; Sekundärdaten nur transparent und versioniert; Methode und Systemgrenze dokumentieren</x:v>
      </x:c>
      <x:c r="AC94" s="14" t="str">
        <x:v>Limited Assurance; risikobasiert höhere Prüftiefe</x:v>
      </x:c>
    </x:row>
    <x:row r="95" ht="42" customHeight="1">
      <x:c r="A95" s="14" t="str">
        <x:v>WOK-G-116</x:v>
      </x:c>
      <x:c r="B95" s="14" t="str">
        <x:v>SDG 4 – Bildung</x:v>
      </x:c>
      <x:c r="C95" s="14" t="str">
        <x:v>4.5</x:v>
      </x:c>
      <x:c r="D95" s="14" t="str">
        <x:v>Gleichberechtigter Zugang</x:v>
      </x:c>
      <x:c r="E95" s="14" t="str">
        <x:v>Gleichberechtigter Zugang – Antikorruption</x:v>
      </x:c>
      <x:c r="F95" s="14" t="str">
        <x:v>Fälle/1.000 FTE</x:v>
      </x:c>
      <x:c r="G95" s="14" t="str">
        <x:v>lower_is_better</x:v>
      </x:c>
      <x:c r="H95" s="14" t="str">
        <x:v>R01</x:v>
      </x:c>
      <x:c r="I95" s="14" t="str">
        <x:v>NUM_LOW</x:v>
      </x:c>
      <x:c r="J95" s="51"/>
      <x:c r="K95" s="51"/>
      <x:c r="L95" s="51"/>
      <x:c r="M95" s="54"/>
      <x:c r="N95" s="58" t="str">
        <x:f>IF($J95="","",IF($J95&lt;=0,3,IF($J95&lt;=0.2,2,IF($J95&lt;=0.5,0,IF($J95&lt;=1,-2,-3)))))</x:f>
      </x:c>
      <x:c r="O95" s="58" t="str">
        <x:f>IF($J95="","",IF(OR('02_Benchmarks'!$P95&lt;&gt;"Aktiv",COUNT('02_Benchmarks'!$J95:$M95)&lt;4),"",IF($G95="lower_is_better",IF($J95&lt;='02_Benchmarks'!$J95,3,IF($J95&lt;'02_Benchmarks'!$K95,2,IF($J95&lt;='02_Benchmarks'!$L95,0,IF($J95&lt;='02_Benchmarks'!$M95,-2,-3)))),IF($J95&gt;='02_Benchmarks'!$J95,3,IF($J95&gt;'02_Benchmarks'!$K95,2,IF($J95&gt;='02_Benchmarks'!$L95,0,IF($J95&gt;='02_Benchmarks'!$M95,-2,-3)))))))</x:f>
      </x:c>
      <x:c r="P95" s="58" t="str">
        <x:f>IF(COUNT($N95:$O95)+IF(ISNUMBER($K95),1,0)=0,"",MIN($N95:$O95,$K95))</x:f>
      </x:c>
      <x:c r="Q95" s="58" t="str">
        <x:f>IF($P95="","",INDEX('04_Tarifmodell'!$B$6:$B$12,$P95+4))</x:f>
      </x:c>
      <x:c r="R95" s="64" t="str">
        <x:f>IF($P95="","",INDEX('04_Tarifmodell'!$C$6:$C$12,$P95+4))</x:f>
      </x:c>
      <x:c r="S95" s="14" t="str">
        <x:f>IF(OR($I95="QUALITATIVE",$I95="MANUAL_HYBRID"),IF($K95="","Assurance-Score fehlt","Assurance-bewertet"),IF($I95="BENCHMARK",IF($W95&lt;&gt;"Aktiv",IF($K95="","Benchmark fehlt","Assurance-bewertet"),IF($J95="","Messwert fehlt",IF($P95="","Nicht bewertbar","Berechnet"))),IF(AND($J95="",$K95&lt;&gt;""),"Nur Assurance-Score",IF($J95="","Messwert fehlt",IF($P95="","Nicht bewertbar",IF($P95&lt;=-2,"Kritische Wirkung / Prüfung","Berechnet"))))))</x:f>
        <x:v>Messwert fehlt</x:v>
      </x:c>
      <x:c r="T95" s="14" t="str">
        <x:v>Vollständige fünfstufige numerische Regel.</x:v>
      </x:c>
      <x:c r="U95" s="14" t="str">
        <x:v>0:+3; ≤0,2:+2; ≤0,5:0; ≤1:‑2; &gt;1:‑3</x:v>
      </x:c>
      <x:c r="V95" s="14" t="str">
        <x:v>ESRS G1, GRI 205/207, OECD Anti‑Bribery</x:v>
      </x:c>
      <x:c r="W95" s="14" t="str">
        <x:f>'02_Benchmarks'!$P95</x:f>
        <x:v>Optional – kein aktiver Benchmark</x:v>
      </x:c>
      <x:c r="X95" s="14" t="str">
        <x:v>Messgrundlage belegt; Schwellenkalibrierung offen</x:v>
      </x:c>
      <x:c r="Y95" s="14" t="str">
        <x:v>Mittel</x:v>
      </x:c>
      <x:c r="Z95" s="14" t="str">
        <x:v>Arbeitskalibrierung – fachlich zu validieren</x:v>
      </x:c>
      <x:c r="AA95" s="14" t="str">
        <x:v>Organisation/Governance; konsolidierter Kreis und relevante Rechtseinheiten</x:v>
      </x:c>
      <x:c r="AB95" s="14" t="str">
        <x:v>Primärdaten bevorzugt; Sekundärdaten nur transparent und versioniert; Methode und Systemgrenze dokumentieren</x:v>
      </x:c>
      <x:c r="AC95" s="14" t="str">
        <x:v>Limited Assurance; risikobasiert höhere Prüftiefe</x:v>
      </x:c>
    </x:row>
    <x:row r="96" ht="42" customHeight="1">
      <x:c r="A96" s="14" t="str">
        <x:v>WOK-G-117</x:v>
      </x:c>
      <x:c r="B96" s="14" t="str">
        <x:v>SDG 4 – Bildung</x:v>
      </x:c>
      <x:c r="C96" s="14" t="str">
        <x:v>4.5</x:v>
      </x:c>
      <x:c r="D96" s="14" t="str">
        <x:v>Gleichberechtigter Zugang</x:v>
      </x:c>
      <x:c r="E96" s="14" t="str">
        <x:v>Gleichberechtigter Zugang – Whistleblowing</x:v>
      </x:c>
      <x:c r="F96" s="14" t="str">
        <x:v>0–1</x:v>
      </x:c>
      <x:c r="G96" s="14" t="str">
        <x:v>higher_is_better</x:v>
      </x:c>
      <x:c r="H96" s="14" t="str">
        <x:v>R16</x:v>
      </x:c>
      <x:c r="I96" s="14" t="str">
        <x:v>NUM_HIGH</x:v>
      </x:c>
      <x:c r="J96" s="51"/>
      <x:c r="K96" s="51"/>
      <x:c r="L96" s="51"/>
      <x:c r="M96" s="54"/>
      <x:c r="N96" s="58" t="str">
        <x:f>IF($J96="","",IF($J96&lt;0.4,-3,IF($J96&lt;0.6,-2,IF($J96&lt;0.75,0,IF($J96&lt;0.9,2,3)))))</x:f>
      </x:c>
      <x:c r="O96" s="58" t="str">
        <x:f>IF($J96="","",IF(OR('02_Benchmarks'!$P96&lt;&gt;"Aktiv",COUNT('02_Benchmarks'!$J96:$M96)&lt;4),"",IF($G96="lower_is_better",IF($J96&lt;='02_Benchmarks'!$J96,3,IF($J96&lt;'02_Benchmarks'!$K96,2,IF($J96&lt;='02_Benchmarks'!$L96,0,IF($J96&lt;='02_Benchmarks'!$M96,-2,-3)))),IF($J96&gt;='02_Benchmarks'!$J96,3,IF($J96&gt;'02_Benchmarks'!$K96,2,IF($J96&gt;='02_Benchmarks'!$L96,0,IF($J96&gt;='02_Benchmarks'!$M96,-2,-3)))))))</x:f>
      </x:c>
      <x:c r="P96" s="58" t="str">
        <x:f>IF(COUNT($N96:$O96)+IF(ISNUMBER($K96),1,0)=0,"",MIN($N96:$O96,$K96))</x:f>
      </x:c>
      <x:c r="Q96" s="58" t="str">
        <x:f>IF($P96="","",INDEX('04_Tarifmodell'!$B$6:$B$12,$P96+4))</x:f>
      </x:c>
      <x:c r="R96" s="64" t="str">
        <x:f>IF($P96="","",INDEX('04_Tarifmodell'!$C$6:$C$12,$P96+4))</x:f>
      </x:c>
      <x:c r="S96" s="14" t="str">
        <x:f>IF(OR($I96="QUALITATIVE",$I96="MANUAL_HYBRID"),IF($K96="","Assurance-Score fehlt","Assurance-bewertet"),IF($I96="BENCHMARK",IF($W96&lt;&gt;"Aktiv",IF($K96="","Benchmark fehlt","Assurance-bewertet"),IF($J96="","Messwert fehlt",IF($P96="","Nicht bewertbar","Berechnet"))),IF(AND($J96="",$K96&lt;&gt;""),"Nur Assurance-Score",IF($J96="","Messwert fehlt",IF($P96="","Nicht bewertbar",IF($P96&lt;=-2,"Kritische Wirkung / Prüfung","Berechnet"))))))</x:f>
        <x:v>Messwert fehlt</x:v>
      </x:c>
      <x:c r="T96" s="14" t="str">
        <x:v>Vollständige fünfstufige numerische Regel.</x:v>
      </x:c>
      <x:c r="U96" s="14" t="str">
        <x:v>≥0,9:+3; 0,75–0,89:+2; 0,6–0,74:0; 0,4–0,59:‑2; &lt;0,4:‑3</x:v>
      </x:c>
      <x:c r="V96" s="14" t="str">
        <x:v>ESRS G1, GRI 205/207, OECD Anti‑Bribery</x:v>
      </x:c>
      <x:c r="W96" s="14" t="str">
        <x:f>'02_Benchmarks'!$P96</x:f>
        <x:v>Optional – kein aktiver Benchmark</x:v>
      </x:c>
      <x:c r="X96" s="14" t="str">
        <x:v>Messgrundlage belegt; Schwellenkalibrierung offen</x:v>
      </x:c>
      <x:c r="Y96" s="14" t="str">
        <x:v>Mittel</x:v>
      </x:c>
      <x:c r="Z96" s="14" t="str">
        <x:v>Arbeitskalibrierung – fachlich zu validieren</x:v>
      </x:c>
      <x:c r="AA96" s="14" t="str">
        <x:v>Organisation/Governance; konsolidierter Kreis und relevante Rechtseinheiten</x:v>
      </x:c>
      <x:c r="AB96" s="14" t="str">
        <x:v>Primärdaten bevorzugt; Sekundärdaten nur transparent und versioniert; Methode und Systemgrenze dokumentieren</x:v>
      </x:c>
      <x:c r="AC96" s="14" t="str">
        <x:v>Limited Assurance; risikobasiert höhere Prüftiefe</x:v>
      </x:c>
    </x:row>
    <x:row r="97" ht="42" customHeight="1">
      <x:c r="A97" s="14" t="str">
        <x:v>WOK-G-118</x:v>
      </x:c>
      <x:c r="B97" s="14" t="str">
        <x:v>SDG 4 – Bildung</x:v>
      </x:c>
      <x:c r="C97" s="14" t="str">
        <x:v>4.5</x:v>
      </x:c>
      <x:c r="D97" s="14" t="str">
        <x:v>Gleichberechtigter Zugang</x:v>
      </x:c>
      <x:c r="E97" s="14" t="str">
        <x:v>Gleichberechtigter Zugang – Steuertransparenz</x:v>
      </x:c>
      <x:c r="F97" s="14" t="str">
        <x:v>0–1</x:v>
      </x:c>
      <x:c r="G97" s="14" t="str">
        <x:v>higher_is_better</x:v>
      </x:c>
      <x:c r="H97" s="14" t="str">
        <x:v>R08</x:v>
      </x:c>
      <x:c r="I97" s="14" t="str">
        <x:v>QUALITATIVE</x:v>
      </x:c>
      <x:c r="J97" s="51"/>
      <x:c r="K97" s="51"/>
      <x:c r="L97" s="51"/>
      <x:c r="M97" s="54"/>
      <x:c r="N97" s="58" t="str">
        <x:f>""</x:f>
      </x:c>
      <x:c r="O97" s="58" t="str">
        <x:f>IF($J97="","",IF(OR('02_Benchmarks'!$P97&lt;&gt;"Aktiv",COUNT('02_Benchmarks'!$J97:$M97)&lt;4),"",IF($G97="lower_is_better",IF($J97&lt;='02_Benchmarks'!$J97,3,IF($J97&lt;'02_Benchmarks'!$K97,2,IF($J97&lt;='02_Benchmarks'!$L97,0,IF($J97&lt;='02_Benchmarks'!$M97,-2,-3)))),IF($J97&gt;='02_Benchmarks'!$J97,3,IF($J97&gt;'02_Benchmarks'!$K97,2,IF($J97&gt;='02_Benchmarks'!$L97,0,IF($J97&gt;='02_Benchmarks'!$M97,-2,-3)))))))</x:f>
      </x:c>
      <x:c r="P97" s="58" t="str">
        <x:f>IF(COUNT($N97:$O97)+IF(ISNUMBER($K97),1,0)=0,"",MIN($N97:$O97,$K97))</x:f>
      </x:c>
      <x:c r="Q97" s="58" t="str">
        <x:f>IF($P97="","",INDEX('04_Tarifmodell'!$B$6:$B$12,$P97+4))</x:f>
      </x:c>
      <x:c r="R97" s="64" t="str">
        <x:f>IF($P97="","",INDEX('04_Tarifmodell'!$C$6:$C$12,$P97+4))</x:f>
      </x:c>
      <x:c r="S97" s="14" t="str">
        <x:f>IF(OR($I97="QUALITATIVE",$I97="MANUAL_HYBRID"),IF($K97="","Assurance-Score fehlt","Assurance-bewertet"),IF($I97="BENCHMARK",IF($W97&lt;&gt;"Aktiv",IF($K97="","Benchmark fehlt","Assurance-bewertet"),IF($J97="","Messwert fehlt",IF($P97="","Nicht bewertbar","Berechnet"))),IF(AND($J97="",$K97&lt;&gt;""),"Nur Assurance-Score",IF($J97="","Messwert fehlt",IF($P97="","Nicht bewertbar",IF($P97&lt;=-2,"Kritische Wirkung / Prüfung","Berechnet"))))))</x:f>
        <x:v>Assurance-Score fehlt</x:v>
      </x:c>
      <x:c r="T97" s="14" t="str">
        <x:v>Die Kategorie −3 fehlt; Vollständigkeit und Wirksamkeit sind feldspezifisch zu definieren.</x:v>
      </x:c>
      <x:c r="U97" s="14" t="str">
        <x:v>vollständig:+3; teilweise:+2; minimal:0; schlecht:‑2</x:v>
      </x:c>
      <x:c r="V97" s="14" t="str">
        <x:v>ESRS G1, GRI 205/207, OECD Anti‑Bribery</x:v>
      </x:c>
      <x:c r="W97" s="14" t="str">
        <x:f>'02_Benchmarks'!$P97</x:f>
        <x:v>Optional – kein aktiver Benchmark</x:v>
      </x:c>
      <x:c r="X97" s="14" t="str">
        <x:v>Messgrundlage belegt; Schwellenkalibrierung offen</x:v>
      </x:c>
      <x:c r="Y97" s="14" t="str">
        <x:v>Hoch</x:v>
      </x:c>
      <x:c r="Z97" s="14" t="str">
        <x:v>Assurance und Kriterienkatalog erforderlich</x:v>
      </x:c>
      <x:c r="AA97" s="14" t="str">
        <x:v>Organisation/Governance; konsolidierter Kreis und relevante Rechtseinheiten</x:v>
      </x:c>
      <x:c r="AB97" s="14" t="str">
        <x:v>Dokumentierter Kriterienkatalog; nachvollziehbare Evidenz; DQR A/B bevorzugt</x:v>
      </x:c>
      <x:c r="AC97" s="14" t="str">
        <x:v>Unabhängige Fachprüfung/Limited Assurance; bei roten Linien Reasonable Assurance</x:v>
      </x:c>
    </x:row>
    <x:row r="98" ht="42" customHeight="1">
      <x:c r="A98" s="14" t="str">
        <x:v>WOK-RE-104</x:v>
      </x:c>
      <x:c r="B98" s="14" t="str">
        <x:v>SDG 4 – Bildung</x:v>
      </x:c>
      <x:c r="C98" s="14" t="str">
        <x:v>4.a</x:v>
      </x:c>
      <x:c r="D98" s="14" t="str">
        <x:v>Lernorte &amp; Infrastruktur</x:v>
      </x:c>
      <x:c r="E98" s="14" t="str">
        <x:v>Lernorte &amp; Infrastruktur – Betriebsenergie</x:v>
      </x:c>
      <x:c r="F98" s="14" t="str">
        <x:v>kWh/m²a</x:v>
      </x:c>
      <x:c r="G98" s="14" t="str">
        <x:v>lower_is_better</x:v>
      </x:c>
      <x:c r="H98" s="14" t="str">
        <x:v>R05</x:v>
      </x:c>
      <x:c r="I98" s="14" t="str">
        <x:v>BENCHMARK</x:v>
      </x:c>
      <x:c r="J98" s="51"/>
      <x:c r="K98" s="51"/>
      <x:c r="L98" s="51"/>
      <x:c r="M98" s="54"/>
      <x:c r="N98" s="58" t="str">
        <x:f>""</x:f>
      </x:c>
      <x:c r="O98" s="58" t="str">
        <x:f>IF($J98="","",IF(OR('02_Benchmarks'!$P98&lt;&gt;"Aktiv",COUNT('02_Benchmarks'!$J98:$M98)&lt;4),"",IF($G98="lower_is_better",IF($J98&lt;='02_Benchmarks'!$J98,3,IF($J98&lt;'02_Benchmarks'!$K98,2,IF($J98&lt;='02_Benchmarks'!$L98,0,IF($J98&lt;='02_Benchmarks'!$M98,-2,-3)))),IF($J98&gt;='02_Benchmarks'!$J98,3,IF($J98&gt;'02_Benchmarks'!$K98,2,IF($J98&gt;='02_Benchmarks'!$L98,0,IF($J98&gt;='02_Benchmarks'!$M98,-2,-3)))))))</x:f>
      </x:c>
      <x:c r="P98" s="58" t="str">
        <x:f>IF(COUNT($N98:$O98)+IF(ISNUMBER($K98),1,0)=0,"",MIN($N98:$O98,$K98))</x:f>
      </x:c>
      <x:c r="Q98" s="58" t="str">
        <x:f>IF($P98="","",INDEX('04_Tarifmodell'!$B$6:$B$12,$P98+4))</x:f>
      </x:c>
      <x:c r="R98" s="64" t="str">
        <x:f>IF($P98="","",INDEX('04_Tarifmodell'!$C$6:$C$12,$P98+4))</x:f>
      </x:c>
      <x:c r="S98" s="14" t="str">
        <x:f>IF(OR($I98="QUALITATIVE",$I98="MANUAL_HYBRID"),IF($K98="","Assurance-Score fehlt","Assurance-bewertet"),IF($I98="BENCHMARK",IF($W98&lt;&gt;"Aktiv",IF($K98="","Benchmark fehlt","Assurance-bewertet"),IF($J98="","Messwert fehlt",IF($P98="","Nicht bewertbar","Berechnet"))),IF(AND($J98="",$K98&lt;&gt;""),"Nur Assurance-Score",IF($J98="","Messwert fehlt",IF($P98="","Nicht bewertbar",IF($P98&lt;=-2,"Kritische Wirkung / Prüfung","Berechnet"))))))</x:f>
        <x:v>Benchmark fehlt</x:v>
      </x:c>
      <x:c r="T98" s="14" t="str">
        <x:v>Die Grenze &gt;+60 % ist derzeit nicht eindeutig in −2/−3 aufgelöst.</x:v>
      </x:c>
      <x:c r="U98" s="14" t="str">
        <x:v>Top 15%:+3; +15–30%:+2; +31–60%:0; &gt;+60%:‑2/‑3</x:v>
      </x:c>
      <x:c r="V98" s="14" t="str">
        <x:v>ESRS E1, ISO 50001 (EnMS), ISO/IEC 30134‑2 (PUE), EU EPBD</x:v>
      </x:c>
      <x:c r="W98" s="14" t="str">
        <x:f>'02_Benchmarks'!$P98</x:f>
        <x:v>Offen – validierter Benchmark fehlt</x:v>
      </x:c>
      <x:c r="X98" s="14" t="str">
        <x:v>Teilbelegt – Benchmarkquelle fehlt</x:v>
      </x:c>
      <x:c r="Y98" s="14" t="str">
        <x:v>Hoch</x:v>
      </x:c>
      <x:c r="Z98" s="14" t="str">
        <x:v>Validierter Benchmark fehlt</x:v>
      </x:c>
      <x:c r="AA98" s="14" t="str">
        <x:v>Gebäude/Standort; Betrieb plus relevante Lebenszyklusmodule</x:v>
      </x:c>
      <x:c r="AB98" s="14" t="str">
        <x:v>Primärdaten plus repräsentativer, versionierter Benchmarkdatensatz; Stichprobe und Population offenlegen</x:v>
      </x:c>
      <x:c r="AC98" s="14" t="str">
        <x:v>Messwert-Assurance und unabhängige Benchmark-Governance</x:v>
      </x:c>
    </x:row>
    <x:row r="99" ht="42" customHeight="1">
      <x:c r="A99" s="14" t="str">
        <x:v>WOK-RE-105</x:v>
      </x:c>
      <x:c r="B99" s="14" t="str">
        <x:v>SDG 4 – Bildung</x:v>
      </x:c>
      <x:c r="C99" s="14" t="str">
        <x:v>4.a</x:v>
      </x:c>
      <x:c r="D99" s="14" t="str">
        <x:v>Lernorte &amp; Infrastruktur</x:v>
      </x:c>
      <x:c r="E99" s="14" t="str">
        <x:v>Lernorte &amp; Infrastruktur – Graue Emissionen</x:v>
      </x:c>
      <x:c r="F99" s="14" t="str">
        <x:v>kg CO₂e/m²</x:v>
      </x:c>
      <x:c r="G99" s="14" t="str">
        <x:v>lower_is_better</x:v>
      </x:c>
      <x:c r="H99" s="14" t="str">
        <x:v>R06</x:v>
      </x:c>
      <x:c r="I99" s="14" t="str">
        <x:v>BENCHMARK</x:v>
      </x:c>
      <x:c r="J99" s="51"/>
      <x:c r="K99" s="51"/>
      <x:c r="L99" s="51"/>
      <x:c r="M99" s="54"/>
      <x:c r="N99" s="58" t="str">
        <x:f>""</x:f>
      </x:c>
      <x:c r="O99" s="58" t="str">
        <x:f>IF($J99="","",IF(OR('02_Benchmarks'!$P99&lt;&gt;"Aktiv",COUNT('02_Benchmarks'!$J99:$M99)&lt;4),"",IF($G99="lower_is_better",IF($J99&lt;='02_Benchmarks'!$J99,3,IF($J99&lt;'02_Benchmarks'!$K99,2,IF($J99&lt;='02_Benchmarks'!$L99,0,IF($J99&lt;='02_Benchmarks'!$M99,-2,-3)))),IF($J99&gt;='02_Benchmarks'!$J99,3,IF($J99&gt;'02_Benchmarks'!$K99,2,IF($J99&gt;='02_Benchmarks'!$L99,0,IF($J99&gt;='02_Benchmarks'!$M99,-2,-3)))))))</x:f>
      </x:c>
      <x:c r="P99" s="58" t="str">
        <x:f>IF(COUNT($N99:$O99)+IF(ISNUMBER($K99),1,0)=0,"",MIN($N99:$O99,$K99))</x:f>
      </x:c>
      <x:c r="Q99" s="58" t="str">
        <x:f>IF($P99="","",INDEX('04_Tarifmodell'!$B$6:$B$12,$P99+4))</x:f>
      </x:c>
      <x:c r="R99" s="64" t="str">
        <x:f>IF($P99="","",INDEX('04_Tarifmodell'!$C$6:$C$12,$P99+4))</x:f>
      </x:c>
      <x:c r="S99" s="14" t="str">
        <x:f>IF(OR($I99="QUALITATIVE",$I99="MANUAL_HYBRID"),IF($K99="","Assurance-Score fehlt","Assurance-bewertet"),IF($I99="BENCHMARK",IF($W99&lt;&gt;"Aktiv",IF($K99="","Benchmark fehlt","Assurance-bewertet"),IF($J99="","Messwert fehlt",IF($P99="","Nicht bewertbar","Berechnet"))),IF(AND($J99="",$K99&lt;&gt;""),"Nur Assurance-Score",IF($J99="","Messwert fehlt",IF($P99="","Nicht bewertbar",IF($P99&lt;=-2,"Kritische Wirkung / Prüfung","Berechnet"))))))</x:f>
        <x:v>Benchmark fehlt</x:v>
      </x:c>
      <x:c r="T99" s="14" t="str">
        <x:v>Top-10-Prozent, Mittelwert, 150 % und 250 % müssen aus einer dokumentierten Grundgesamtheit stammen.</x:v>
      </x:c>
      <x:c r="U99" s="14" t="str">
        <x:v>Top‑10%:+3; Mittel:0; &gt;150%:‑2; &gt;250%:‑3</x:v>
      </x:c>
      <x:c r="V99" s="14" t="str">
        <x:v>ESRS E1, GHG Protocol (Corporate/Scope 1–3), ISO 14064/14067</x:v>
      </x:c>
      <x:c r="W99" s="14" t="str">
        <x:f>'02_Benchmarks'!$P99</x:f>
        <x:v>Offen – validierter Benchmark fehlt</x:v>
      </x:c>
      <x:c r="X99" s="14" t="str">
        <x:v>Teilbelegt – Benchmarkquelle fehlt</x:v>
      </x:c>
      <x:c r="Y99" s="14" t="str">
        <x:v>Hoch</x:v>
      </x:c>
      <x:c r="Z99" s="14" t="str">
        <x:v>Validierter Benchmark fehlt</x:v>
      </x:c>
      <x:c r="AA99" s="14" t="str">
        <x:v>Gebäude/Standort; Betrieb plus relevante Lebenszyklusmodule</x:v>
      </x:c>
      <x:c r="AB99" s="14" t="str">
        <x:v>Primärdaten plus repräsentativer, versionierter Benchmarkdatensatz; Stichprobe und Population offenlegen</x:v>
      </x:c>
      <x:c r="AC99" s="14" t="str">
        <x:v>Messwert-Assurance und unabhängige Benchmark-Governance</x:v>
      </x:c>
    </x:row>
    <x:row r="100" ht="42" customHeight="1">
      <x:c r="A100" s="14" t="str">
        <x:v>WOK-RE-106</x:v>
      </x:c>
      <x:c r="B100" s="14" t="str">
        <x:v>SDG 4 – Bildung</x:v>
      </x:c>
      <x:c r="C100" s="14" t="str">
        <x:v>4.a</x:v>
      </x:c>
      <x:c r="D100" s="14" t="str">
        <x:v>Lernorte &amp; Infrastruktur</x:v>
      </x:c>
      <x:c r="E100" s="14" t="str">
        <x:v>Lernorte &amp; Infrastruktur – ÖPNV‑Erreichbarkeit</x:v>
      </x:c>
      <x:c r="F100" s="14" t="str">
        <x:v>0–1</x:v>
      </x:c>
      <x:c r="G100" s="14" t="str">
        <x:v>higher_is_better</x:v>
      </x:c>
      <x:c r="H100" s="14" t="str">
        <x:v>R14</x:v>
      </x:c>
      <x:c r="I100" s="14" t="str">
        <x:v>NUM_HIGH</x:v>
      </x:c>
      <x:c r="J100" s="51"/>
      <x:c r="K100" s="51"/>
      <x:c r="L100" s="51"/>
      <x:c r="M100" s="54"/>
      <x:c r="N100" s="58" t="str">
        <x:f>IF($J100="","",IF($J100&lt;0.2,-3,IF($J100&lt;0.4,-2,IF($J100&lt;0.6,0,IF($J100&lt;0.8,2,3)))))</x:f>
      </x:c>
      <x:c r="O100" s="58" t="str">
        <x:f>IF($J100="","",IF(OR('02_Benchmarks'!$P100&lt;&gt;"Aktiv",COUNT('02_Benchmarks'!$J100:$M100)&lt;4),"",IF($G100="lower_is_better",IF($J100&lt;='02_Benchmarks'!$J100,3,IF($J100&lt;'02_Benchmarks'!$K100,2,IF($J100&lt;='02_Benchmarks'!$L100,0,IF($J100&lt;='02_Benchmarks'!$M100,-2,-3)))),IF($J100&gt;='02_Benchmarks'!$J100,3,IF($J100&gt;'02_Benchmarks'!$K100,2,IF($J100&gt;='02_Benchmarks'!$L100,0,IF($J100&gt;='02_Benchmarks'!$M100,-2,-3)))))))</x:f>
      </x:c>
      <x:c r="P100" s="58" t="str">
        <x:f>IF(COUNT($N100:$O100)+IF(ISNUMBER($K100),1,0)=0,"",MIN($N100:$O100,$K100))</x:f>
      </x:c>
      <x:c r="Q100" s="58" t="str">
        <x:f>IF($P100="","",INDEX('04_Tarifmodell'!$B$6:$B$12,$P100+4))</x:f>
      </x:c>
      <x:c r="R100" s="64" t="str">
        <x:f>IF($P100="","",INDEX('04_Tarifmodell'!$C$6:$C$12,$P100+4))</x:f>
      </x:c>
      <x:c r="S100" s="14" t="str">
        <x:f>IF(OR($I100="QUALITATIVE",$I100="MANUAL_HYBRID"),IF($K100="","Assurance-Score fehlt","Assurance-bewertet"),IF($I100="BENCHMARK",IF($W100&lt;&gt;"Aktiv",IF($K100="","Benchmark fehlt","Assurance-bewertet"),IF($J100="","Messwert fehlt",IF($P100="","Nicht bewertbar","Berechnet"))),IF(AND($J100="",$K100&lt;&gt;""),"Nur Assurance-Score",IF($J100="","Messwert fehlt",IF($P100="","Nicht bewertbar",IF($P100&lt;=-2,"Kritische Wirkung / Prüfung","Berechnet"))))))</x:f>
        <x:v>Messwert fehlt</x:v>
      </x:c>
      <x:c r="T100" s="14" t="str">
        <x:v>Konkreten Datenhalter, GIS-Layer, Stichtag und Methodik ergänzen. Vollständige fünfstufige numerische Regel.</x:v>
      </x:c>
      <x:c r="U100" s="14" t="str">
        <x:v>≥0,8:+3; 0,6–0,79:+2; 0,4–0,59:0; 0,2–0,39:‑2; &lt;0,2:‑3</x:v>
      </x:c>
      <x:c r="V100" s="14" t="str">
        <x:v>Stadt/GIS</x:v>
      </x:c>
      <x:c r="W100" s="14" t="str">
        <x:f>'02_Benchmarks'!$P100</x:f>
        <x:v>Optional – kein aktiver Benchmark</x:v>
      </x:c>
      <x:c r="X100" s="14" t="str">
        <x:v>Platzhalter – konkrete Datenquelle fehlt</x:v>
      </x:c>
      <x:c r="Y100" s="14" t="str">
        <x:v>Hoch</x:v>
      </x:c>
      <x:c r="Z100" s="14" t="str">
        <x:v>Arbeitskalibrierung – fachlich zu validieren</x:v>
      </x:c>
      <x:c r="AA100" s="14" t="str">
        <x:v>Gebäude/Standort; Betrieb plus relevante Lebenszyklusmodule</x:v>
      </x:c>
      <x:c r="AB100" s="14" t="str">
        <x:v>Primärdaten oder qualitätsgesicherte Sekundärdaten; Methode, Zeitraum und Systemgrenze dokumentieren</x:v>
      </x:c>
      <x:c r="AC100" s="14" t="str">
        <x:v>Limited Assurance; bei materieller Steuerwirkung risikobasiert vertiefen</x:v>
      </x:c>
    </x:row>
    <x:row r="101" ht="42" customHeight="1">
      <x:c r="A101" s="14" t="str">
        <x:v>WOK-P-107</x:v>
      </x:c>
      <x:c r="B101" s="14" t="str">
        <x:v>SDG 4 – Bildung</x:v>
      </x:c>
      <x:c r="C101" s="14" t="str">
        <x:v>4.1</x:v>
      </x:c>
      <x:c r="D101" s="14" t="str">
        <x:v>Bildungs‑Produkte (Safety/Accessibility)</x:v>
      </x:c>
      <x:c r="E101" s="14" t="str">
        <x:v>Bildungs‑Produkte (Safety/Accessibility) – PCF</x:v>
      </x:c>
      <x:c r="F101" s="14" t="str">
        <x:v>kg CO₂e/Einheit</x:v>
      </x:c>
      <x:c r="G101" s="14" t="str">
        <x:v>lower_is_better</x:v>
      </x:c>
      <x:c r="H101" s="14" t="str">
        <x:v>R07</x:v>
      </x:c>
      <x:c r="I101" s="14" t="str">
        <x:v>BENCHMARK</x:v>
      </x:c>
      <x:c r="J101" s="51"/>
      <x:c r="K101" s="51"/>
      <x:c r="L101" s="51"/>
      <x:c r="M101" s="54"/>
      <x:c r="N101" s="58" t="str">
        <x:f>""</x:f>
      </x:c>
      <x:c r="O101" s="58" t="str">
        <x:f>IF($J101="","",IF(OR('02_Benchmarks'!$P101&lt;&gt;"Aktiv",COUNT('02_Benchmarks'!$J101:$M101)&lt;4),"",IF($G101="lower_is_better",IF($J101&lt;='02_Benchmarks'!$J101,3,IF($J101&lt;'02_Benchmarks'!$K101,2,IF($J101&lt;='02_Benchmarks'!$L101,0,IF($J101&lt;='02_Benchmarks'!$M101,-2,-3)))),IF($J101&gt;='02_Benchmarks'!$J101,3,IF($J101&gt;'02_Benchmarks'!$K101,2,IF($J101&gt;='02_Benchmarks'!$L101,0,IF($J101&gt;='02_Benchmarks'!$M101,-2,-3)))))))</x:f>
      </x:c>
      <x:c r="P101" s="58" t="str">
        <x:f>IF(COUNT($N101:$O101)+IF(ISNUMBER($K101),1,0)=0,"",MIN($N101:$O101,$K101))</x:f>
      </x:c>
      <x:c r="Q101" s="58" t="str">
        <x:f>IF($P101="","",INDEX('04_Tarifmodell'!$B$6:$B$12,$P101+4))</x:f>
      </x:c>
      <x:c r="R101" s="64" t="str">
        <x:f>IF($P101="","",INDEX('04_Tarifmodell'!$C$6:$C$12,$P101+4))</x:f>
      </x:c>
      <x:c r="S101" s="14" t="str">
        <x:f>IF(OR($I101="QUALITATIVE",$I101="MANUAL_HYBRID"),IF($K101="","Assurance-Score fehlt","Assurance-bewertet"),IF($I101="BENCHMARK",IF($W101&lt;&gt;"Aktiv",IF($K101="","Benchmark fehlt","Assurance-bewertet"),IF($J101="","Messwert fehlt",IF($P101="","Nicht bewertbar","Berechnet"))),IF(AND($J101="",$K101&lt;&gt;""),"Nur Assurance-Score",IF($J101="","Messwert fehlt",IF($P101="","Nicht bewertbar",IF($P101&lt;=-2,"Kritische Wirkung / Prüfung","Berechnet"))))))</x:f>
        <x:v>Benchmark fehlt</x:v>
      </x:c>
      <x:c r="T101" s="14" t="str">
        <x:v>Produktspezifische Referenzpopulation erforderlich.</x:v>
      </x:c>
      <x:c r="U101" s="14" t="str">
        <x:v>Top‑10%:+3; ±Benchmark:0; &gt;150%:‑2; &gt;250%:‑3</x:v>
      </x:c>
      <x:c r="V101" s="14" t="str">
        <x:v>ISO 14067/14040/44 (LCA/PCF), PEF/EF 3.1, EU Reparierbarkeitsindex</x:v>
      </x:c>
      <x:c r="W101" s="14" t="str">
        <x:f>'02_Benchmarks'!$P101</x:f>
        <x:v>Offen – validierter Benchmark fehlt</x:v>
      </x:c>
      <x:c r="X101" s="14" t="str">
        <x:v>Teilbelegt – Benchmarkquelle fehlt</x:v>
      </x:c>
      <x:c r="Y101" s="14" t="str">
        <x:v>Hoch</x:v>
      </x:c>
      <x:c r="Z101" s="14" t="str">
        <x:v>Validierter Benchmark fehlt</x:v>
      </x:c>
      <x:c r="AA101" s="14" t="str">
        <x:v>Produkt/Funktionseinheit; Lebenszyklusgrenze mindestens cradle-to-gate, bei Nutzungs-/End-of-Life-Relevanz cradle-to-grave</x:v>
      </x:c>
      <x:c r="AB101" s="14" t="str">
        <x:v>Primärdaten plus repräsentativer, versionierter Benchmarkdatensatz; Stichprobe und Population offenlegen</x:v>
      </x:c>
      <x:c r="AC101" s="14" t="str">
        <x:v>Messwert-Assurance und unabhängige Benchmark-Governance</x:v>
      </x:c>
    </x:row>
    <x:row r="102" ht="42" customHeight="1">
      <x:c r="A102" s="14" t="str">
        <x:v>WOK-P-108</x:v>
      </x:c>
      <x:c r="B102" s="14" t="str">
        <x:v>SDG 4 – Bildung</x:v>
      </x:c>
      <x:c r="C102" s="14" t="str">
        <x:v>4.1</x:v>
      </x:c>
      <x:c r="D102" s="14" t="str">
        <x:v>Bildungs‑Produkte (Safety/Accessibility)</x:v>
      </x:c>
      <x:c r="E102" s="14" t="str">
        <x:v>Bildungs‑Produkte (Safety/Accessibility) – Reparierbarkeit</x:v>
      </x:c>
      <x:c r="F102" s="14" t="str">
        <x:v>Score 0–10</x:v>
      </x:c>
      <x:c r="G102" s="14" t="str">
        <x:v>higher_is_better</x:v>
      </x:c>
      <x:c r="H102" s="14" t="str">
        <x:v>R24</x:v>
      </x:c>
      <x:c r="I102" s="14" t="str">
        <x:v>NUM_HIGH</x:v>
      </x:c>
      <x:c r="J102" s="51"/>
      <x:c r="K102" s="51"/>
      <x:c r="L102" s="51"/>
      <x:c r="M102" s="54"/>
      <x:c r="N102" s="58" t="str">
        <x:f>IF($J102="","",IF($J102&lt;2,-3,IF($J102&lt;4,-2,IF($J102&lt;6,0,IF($J102&lt;8,2,3)))))</x:f>
      </x:c>
      <x:c r="O102" s="58" t="str">
        <x:f>IF($J102="","",IF(OR('02_Benchmarks'!$P102&lt;&gt;"Aktiv",COUNT('02_Benchmarks'!$J102:$M102)&lt;4),"",IF($G102="lower_is_better",IF($J102&lt;='02_Benchmarks'!$J102,3,IF($J102&lt;'02_Benchmarks'!$K102,2,IF($J102&lt;='02_Benchmarks'!$L102,0,IF($J102&lt;='02_Benchmarks'!$M102,-2,-3)))),IF($J102&gt;='02_Benchmarks'!$J102,3,IF($J102&gt;'02_Benchmarks'!$K102,2,IF($J102&gt;='02_Benchmarks'!$L102,0,IF($J102&gt;='02_Benchmarks'!$M102,-2,-3)))))))</x:f>
      </x:c>
      <x:c r="P102" s="58" t="str">
        <x:f>IF(COUNT($N102:$O102)+IF(ISNUMBER($K102),1,0)=0,"",MIN($N102:$O102,$K102))</x:f>
      </x:c>
      <x:c r="Q102" s="58" t="str">
        <x:f>IF($P102="","",INDEX('04_Tarifmodell'!$B$6:$B$12,$P102+4))</x:f>
      </x:c>
      <x:c r="R102" s="64" t="str">
        <x:f>IF($P102="","",INDEX('04_Tarifmodell'!$C$6:$C$12,$P102+4))</x:f>
      </x:c>
      <x:c r="S102" s="14" t="str">
        <x:f>IF(OR($I102="QUALITATIVE",$I102="MANUAL_HYBRID"),IF($K102="","Assurance-Score fehlt","Assurance-bewertet"),IF($I102="BENCHMARK",IF($W102&lt;&gt;"Aktiv",IF($K102="","Benchmark fehlt","Assurance-bewertet"),IF($J102="","Messwert fehlt",IF($P102="","Nicht bewertbar","Berechnet"))),IF(AND($J102="",$K102&lt;&gt;""),"Nur Assurance-Score",IF($J102="","Messwert fehlt",IF($P102="","Nicht bewertbar",IF($P102&lt;=-2,"Kritische Wirkung / Prüfung","Berechnet"))))))</x:f>
        <x:v>Messwert fehlt</x:v>
      </x:c>
      <x:c r="T102" s="14" t="str">
        <x:v>Indexsystem, Produktgruppe und Rechtsstand festlegen. Französischer Index und EU-Score sind nicht pauschal austauschbar.</x:v>
      </x:c>
      <x:c r="U102" s="14" t="str">
        <x:v>≥8:+3; 6–7,9:+2; 4–5,9:0; 2–3,9:‑2; &lt;2:‑3</x:v>
      </x:c>
      <x:c r="V102" s="14" t="str">
        <x:v>ISO 14067/14040/44 (LCA/PCF), PEF/EF 3.1, EU Reparierbarkeitsindex</x:v>
      </x:c>
      <x:c r="W102" s="14" t="str">
        <x:f>'02_Benchmarks'!$P102</x:f>
        <x:v>Optional – kein aktiver Benchmark</x:v>
      </x:c>
      <x:c r="X102" s="14" t="str">
        <x:v>Teilbelegt – produktspezifisch zu validieren</x:v>
      </x:c>
      <x:c r="Y102" s="14" t="str">
        <x:v>Hoch</x:v>
      </x:c>
      <x:c r="Z102" s="14" t="str">
        <x:v>Indexsystem und Produktgruppe müssen ausgewiesen werden</x:v>
      </x:c>
      <x:c r="AA102" s="14" t="str">
        <x:v>Produkt/Funktionseinheit; Lebenszyklusgrenze mindestens cradle-to-gate, bei Nutzungs-/End-of-Life-Relevanz cradle-to-grave</x:v>
      </x:c>
      <x:c r="AB102" s="14" t="str">
        <x:v>Primärdaten oder qualitätsgesicherte Sekundärdaten; Methode, Zeitraum und Systemgrenze dokumentieren</x:v>
      </x:c>
      <x:c r="AC102" s="14" t="str">
        <x:v>Limited Assurance; bei materieller Steuerwirkung risikobasiert vertiefen</x:v>
      </x:c>
    </x:row>
    <x:row r="103" ht="42" customHeight="1">
      <x:c r="A103" s="14" t="str">
        <x:v>WOK-P-109</x:v>
      </x:c>
      <x:c r="B103" s="14" t="str">
        <x:v>SDG 4 – Bildung</x:v>
      </x:c>
      <x:c r="C103" s="14" t="str">
        <x:v>4.1</x:v>
      </x:c>
      <x:c r="D103" s="14" t="str">
        <x:v>Bildungs‑Produkte (Safety/Accessibility)</x:v>
      </x:c>
      <x:c r="E103" s="14" t="str">
        <x:v>Bildungs‑Produkte (Safety/Accessibility) – Rücknahme/Recycling</x:v>
      </x:c>
      <x:c r="F103" s="14" t="str">
        <x:v>%</x:v>
      </x:c>
      <x:c r="G103" s="14" t="str">
        <x:v>higher_is_better</x:v>
      </x:c>
      <x:c r="H103" s="14" t="str">
        <x:v>R22</x:v>
      </x:c>
      <x:c r="I103" s="14" t="str">
        <x:v>NUM_HIGH</x:v>
      </x:c>
      <x:c r="J103" s="51"/>
      <x:c r="K103" s="51"/>
      <x:c r="L103" s="51"/>
      <x:c r="M103" s="54"/>
      <x:c r="N103" s="58" t="str">
        <x:f>IF($J103="","",IF($J103&lt;15,-3,IF($J103&lt;30,-2,IF($J103&lt;50,0,IF($J103&lt;70,2,3)))))</x:f>
      </x:c>
      <x:c r="O103" s="58" t="str">
        <x:f>IF($J103="","",IF(OR('02_Benchmarks'!$P103&lt;&gt;"Aktiv",COUNT('02_Benchmarks'!$J103:$M103)&lt;4),"",IF($G103="lower_is_better",IF($J103&lt;='02_Benchmarks'!$J103,3,IF($J103&lt;'02_Benchmarks'!$K103,2,IF($J103&lt;='02_Benchmarks'!$L103,0,IF($J103&lt;='02_Benchmarks'!$M103,-2,-3)))),IF($J103&gt;='02_Benchmarks'!$J103,3,IF($J103&gt;'02_Benchmarks'!$K103,2,IF($J103&gt;='02_Benchmarks'!$L103,0,IF($J103&gt;='02_Benchmarks'!$M103,-2,-3)))))))</x:f>
      </x:c>
      <x:c r="P103" s="58" t="str">
        <x:f>IF(COUNT($N103:$O103)+IF(ISNUMBER($K103),1,0)=0,"",MIN($N103:$O103,$K103))</x:f>
      </x:c>
      <x:c r="Q103" s="58" t="str">
        <x:f>IF($P103="","",INDEX('04_Tarifmodell'!$B$6:$B$12,$P103+4))</x:f>
      </x:c>
      <x:c r="R103" s="64" t="str">
        <x:f>IF($P103="","",INDEX('04_Tarifmodell'!$C$6:$C$12,$P103+4))</x:f>
      </x:c>
      <x:c r="S103" s="14" t="str">
        <x:f>IF(OR($I103="QUALITATIVE",$I103="MANUAL_HYBRID"),IF($K103="","Assurance-Score fehlt","Assurance-bewertet"),IF($I103="BENCHMARK",IF($W103&lt;&gt;"Aktiv",IF($K103="","Benchmark fehlt","Assurance-bewertet"),IF($J103="","Messwert fehlt",IF($P103="","Nicht bewertbar","Berechnet"))),IF(AND($J103="",$K103&lt;&gt;""),"Nur Assurance-Score",IF($J103="","Messwert fehlt",IF($P103="","Nicht bewertbar",IF($P103&lt;=-2,"Kritische Wirkung / Prüfung","Berechnet"))))))</x:f>
        <x:v>Messwert fehlt</x:v>
      </x:c>
      <x:c r="T103" s="14" t="str">
        <x:v>Vollständige fünfstufige numerische Regel.</x:v>
      </x:c>
      <x:c r="U103" s="14" t="str">
        <x:v>≥70:+3; 50–69:+2; 30–49:0; 15–29:‑2; &lt;15:‑3</x:v>
      </x:c>
      <x:c r="V103" s="14" t="str">
        <x:v>ESRS E5, GRI 306, WEEE/VerpackG</x:v>
      </x:c>
      <x:c r="W103" s="14" t="str">
        <x:f>'02_Benchmarks'!$P103</x:f>
        <x:v>Optional – kein aktiver Benchmark</x:v>
      </x:c>
      <x:c r="X103" s="14" t="str">
        <x:v>Messgrundlage belegt; Schwellenkalibrierung offen</x:v>
      </x:c>
      <x:c r="Y103" s="14" t="str">
        <x:v>Mittel</x:v>
      </x:c>
      <x:c r="Z103" s="14" t="str">
        <x:v>Arbeitskalibrierung – fachlich zu validieren</x:v>
      </x:c>
      <x:c r="AA103" s="14" t="str">
        <x:v>Produkt/Funktionseinheit; Lebenszyklusgrenze mindestens cradle-to-gate, bei Nutzungs-/End-of-Life-Relevanz cradle-to-grave</x:v>
      </x:c>
      <x:c r="AB103" s="14" t="str">
        <x:v>Primärdaten bevorzugt; Sekundärdaten nur transparent und versioniert; Methode und Systemgrenze dokumentieren</x:v>
      </x:c>
      <x:c r="AC103" s="14" t="str">
        <x:v>Limited Assurance; risikobasiert höhere Prüftiefe</x:v>
      </x:c>
    </x:row>
    <x:row r="104" ht="42" customHeight="1">
      <x:c r="A104" s="14" t="str">
        <x:v>WOK-SYS-110</x:v>
      </x:c>
      <x:c r="B104" s="14" t="str">
        <x:v>SDG 4 – Bildung</x:v>
      </x:c>
      <x:c r="C104" s="14" t="str">
        <x:v>4.7</x:v>
      </x:c>
      <x:c r="D104" s="14" t="str">
        <x:v>Bildungspartnerschaften</x:v>
      </x:c>
      <x:c r="E104" s="14" t="str">
        <x:v>Bildungspartnerschaften – Index</x:v>
      </x:c>
      <x:c r="F104" s="14" t="str">
        <x:v>0–1</x:v>
      </x:c>
      <x:c r="G104" s="14" t="str">
        <x:v>higher_is_better</x:v>
      </x:c>
      <x:c r="H104" s="14" t="str">
        <x:v>R15</x:v>
      </x:c>
      <x:c r="I104" s="14" t="str">
        <x:v>NUM_HIGH</x:v>
      </x:c>
      <x:c r="J104" s="51"/>
      <x:c r="K104" s="51"/>
      <x:c r="L104" s="51"/>
      <x:c r="M104" s="54"/>
      <x:c r="N104" s="58" t="str">
        <x:f>IF($J104="","",IF($J104&lt;0.5,-3,IF($J104&lt;0.6,-2,IF($J104&lt;0.7,0,IF($J104&lt;0.8,2,3)))))</x:f>
      </x:c>
      <x:c r="O104" s="58" t="str">
        <x:f>IF($J104="","",IF(OR('02_Benchmarks'!$P104&lt;&gt;"Aktiv",COUNT('02_Benchmarks'!$J104:$M104)&lt;4),"",IF($G104="lower_is_better",IF($J104&lt;='02_Benchmarks'!$J104,3,IF($J104&lt;'02_Benchmarks'!$K104,2,IF($J104&lt;='02_Benchmarks'!$L104,0,IF($J104&lt;='02_Benchmarks'!$M104,-2,-3)))),IF($J104&gt;='02_Benchmarks'!$J104,3,IF($J104&gt;'02_Benchmarks'!$K104,2,IF($J104&gt;='02_Benchmarks'!$L104,0,IF($J104&gt;='02_Benchmarks'!$M104,-2,-3)))))))</x:f>
      </x:c>
      <x:c r="P104" s="58" t="str">
        <x:f>IF(COUNT($N104:$O104)+IF(ISNUMBER($K104),1,0)=0,"",MIN($N104:$O104,$K104))</x:f>
      </x:c>
      <x:c r="Q104" s="58" t="str">
        <x:f>IF($P104="","",INDEX('04_Tarifmodell'!$B$6:$B$12,$P104+4))</x:f>
      </x:c>
      <x:c r="R104" s="64" t="str">
        <x:f>IF($P104="","",INDEX('04_Tarifmodell'!$C$6:$C$12,$P104+4))</x:f>
      </x:c>
      <x:c r="S104" s="14" t="str">
        <x:f>IF(OR($I104="QUALITATIVE",$I104="MANUAL_HYBRID"),IF($K104="","Assurance-Score fehlt","Assurance-bewertet"),IF($I104="BENCHMARK",IF($W104&lt;&gt;"Aktiv",IF($K104="","Benchmark fehlt","Assurance-bewertet"),IF($J104="","Messwert fehlt",IF($P104="","Nicht bewertbar","Berechnet"))),IF(AND($J104="",$K104&lt;&gt;""),"Nur Assurance-Score",IF($J104="","Messwert fehlt",IF($P104="","Nicht bewertbar",IF($P104&lt;=-2,"Kritische Wirkung / Prüfung","Berechnet"))))))</x:f>
        <x:v>Messwert fehlt</x:v>
      </x:c>
      <x:c r="T104" s="14" t="str">
        <x:v>SROI/SDG 17 ist keine hinreichend konkrete Mess- oder Schwellenquelle. Vollständige fünfstufige numerische Regel.</x:v>
      </x:c>
      <x:c r="U104" s="14" t="str">
        <x:v>≥0,8:+3; 0,7–0,79:+2; 0,6–0,69:0; 0,5–0,59:‑2; &lt;0,5:‑3</x:v>
      </x:c>
      <x:c r="V104" s="14" t="str">
        <x:v>SDG 16/17, WJP, V‑Dem</x:v>
      </x:c>
      <x:c r="W104" s="14" t="str">
        <x:f>'02_Benchmarks'!$P104</x:f>
        <x:v>Optional – kein aktiver Benchmark</x:v>
      </x:c>
      <x:c r="X104" s="14" t="str">
        <x:v>Platzhalter – fachliche Operationalisierung offen</x:v>
      </x:c>
      <x:c r="Y104" s="14" t="str">
        <x:v>Kritisch</x:v>
      </x:c>
      <x:c r="Z104" s="14" t="str">
        <x:v>Arbeitskalibrierung – fachlich zu validieren</x:v>
      </x:c>
      <x:c r="AA104" s="14" t="str">
        <x:v>Programm/Portfolio/Systemraum; Empfängergruppe, Region und Zeitraum explizit definieren</x:v>
      </x:c>
      <x:c r="AB104" s="14" t="str">
        <x:v>Primärdaten bevorzugt; Sekundärdaten nur transparent und versioniert; Methode und Systemgrenze dokumentieren</x:v>
      </x:c>
      <x:c r="AC104" s="14" t="str">
        <x:v>Limited Assurance; risikobasiert höhere Prüftiefe</x:v>
      </x:c>
    </x:row>
    <x:row r="105" ht="42" customHeight="1">
      <x:c r="A105" s="14" t="str">
        <x:v>WOK-SYS-111</x:v>
      </x:c>
      <x:c r="B105" s="14" t="str">
        <x:v>SDG 4 – Bildung</x:v>
      </x:c>
      <x:c r="C105" s="14" t="str">
        <x:v>4.7</x:v>
      </x:c>
      <x:c r="D105" s="14" t="str">
        <x:v>Bildungspartnerschaften</x:v>
      </x:c>
      <x:c r="E105" s="14" t="str">
        <x:v>Bildungspartnerschaften – Exposure</x:v>
      </x:c>
      <x:c r="F105" s="14" t="str">
        <x:v>%</x:v>
      </x:c>
      <x:c r="G105" s="14" t="str">
        <x:v>lower_is_better</x:v>
      </x:c>
      <x:c r="H105" s="14" t="str">
        <x:v>R13</x:v>
      </x:c>
      <x:c r="I105" s="14" t="str">
        <x:v>NUM_LOW</x:v>
      </x:c>
      <x:c r="J105" s="51"/>
      <x:c r="K105" s="51"/>
      <x:c r="L105" s="51"/>
      <x:c r="M105" s="54"/>
      <x:c r="N105" s="58" t="str">
        <x:f>IF($J105="","",IF($J105&lt;=5,3,IF($J105&lt;=10,2,IF($J105&lt;=20,0,IF($J105&lt;=30,-2,-3)))))</x:f>
      </x:c>
      <x:c r="O105" s="58" t="str">
        <x:f>IF($J105="","",IF(OR('02_Benchmarks'!$P105&lt;&gt;"Aktiv",COUNT('02_Benchmarks'!$J105:$M105)&lt;4),"",IF($G105="lower_is_better",IF($J105&lt;='02_Benchmarks'!$J105,3,IF($J105&lt;'02_Benchmarks'!$K105,2,IF($J105&lt;='02_Benchmarks'!$L105,0,IF($J105&lt;='02_Benchmarks'!$M105,-2,-3)))),IF($J105&gt;='02_Benchmarks'!$J105,3,IF($J105&gt;'02_Benchmarks'!$K105,2,IF($J105&gt;='02_Benchmarks'!$L105,0,IF($J105&gt;='02_Benchmarks'!$M105,-2,-3)))))))</x:f>
      </x:c>
      <x:c r="P105" s="58" t="str">
        <x:f>IF(COUNT($N105:$O105)+IF(ISNUMBER($K105),1,0)=0,"",MIN($N105:$O105,$K105))</x:f>
      </x:c>
      <x:c r="Q105" s="58" t="str">
        <x:f>IF($P105="","",INDEX('04_Tarifmodell'!$B$6:$B$12,$P105+4))</x:f>
      </x:c>
      <x:c r="R105" s="64" t="str">
        <x:f>IF($P105="","",INDEX('04_Tarifmodell'!$C$6:$C$12,$P105+4))</x:f>
      </x:c>
      <x:c r="S105" s="14" t="str">
        <x:f>IF(OR($I105="QUALITATIVE",$I105="MANUAL_HYBRID"),IF($K105="","Assurance-Score fehlt","Assurance-bewertet"),IF($I105="BENCHMARK",IF($W105&lt;&gt;"Aktiv",IF($K105="","Benchmark fehlt","Assurance-bewertet"),IF($J105="","Messwert fehlt",IF($P105="","Nicht bewertbar","Berechnet"))),IF(AND($J105="",$K105&lt;&gt;""),"Nur Assurance-Score",IF($J105="","Messwert fehlt",IF($P105="","Nicht bewertbar",IF($P105&lt;=-2,"Kritische Wirkung / Prüfung","Berechnet"))))))</x:f>
        <x:v>Messwert fehlt</x:v>
      </x:c>
      <x:c r="T105" s="14" t="str">
        <x:v>SROI/SDG 17 ist keine hinreichend konkrete Mess- oder Schwellenquelle. Vollständige fünfstufige numerische Regel.</x:v>
      </x:c>
      <x:c r="U105" s="14" t="str">
        <x:v>≤5:+3; 6–10:+2; 11–20:0; 21–30:‑2; &gt;30:‑3</x:v>
      </x:c>
      <x:c r="V105" s="14" t="str">
        <x:v>SDG 16/17, WJP, V‑Dem</x:v>
      </x:c>
      <x:c r="W105" s="14" t="str">
        <x:f>'02_Benchmarks'!$P105</x:f>
        <x:v>Optional – kein aktiver Benchmark</x:v>
      </x:c>
      <x:c r="X105" s="14" t="str">
        <x:v>Platzhalter – fachliche Operationalisierung offen</x:v>
      </x:c>
      <x:c r="Y105" s="14" t="str">
        <x:v>Kritisch</x:v>
      </x:c>
      <x:c r="Z105" s="14" t="str">
        <x:v>Arbeitskalibrierung – fachlich zu validieren</x:v>
      </x:c>
      <x:c r="AA105" s="14" t="str">
        <x:v>Programm/Portfolio/Systemraum; Empfängergruppe, Region und Zeitraum explizit definieren</x:v>
      </x:c>
      <x:c r="AB105" s="14" t="str">
        <x:v>Primärdaten bevorzugt; Sekundärdaten nur transparent und versioniert; Methode und Systemgrenze dokumentieren</x:v>
      </x:c>
      <x:c r="AC105" s="14" t="str">
        <x:v>Limited Assurance; risikobasiert höhere Prüftiefe</x:v>
      </x:c>
    </x:row>
    <x:row r="106" ht="42" customHeight="1">
      <x:c r="A106" s="14" t="str">
        <x:v>WOK-SYS-112</x:v>
      </x:c>
      <x:c r="B106" s="14" t="str">
        <x:v>SDG 4 – Bildung</x:v>
      </x:c>
      <x:c r="C106" s="14" t="str">
        <x:v>4.7</x:v>
      </x:c>
      <x:c r="D106" s="14" t="str">
        <x:v>Bildungspartnerschaften</x:v>
      </x:c>
      <x:c r="E106" s="14" t="str">
        <x:v>Bildungspartnerschaften – Kooperationen</x:v>
      </x:c>
      <x:c r="F106" s="14" t="str">
        <x:v>#/Jahr</x:v>
      </x:c>
      <x:c r="G106" s="14" t="str">
        <x:v>higher_is_better</x:v>
      </x:c>
      <x:c r="H106" s="14" t="str">
        <x:v>R20</x:v>
      </x:c>
      <x:c r="I106" s="14" t="str">
        <x:v>NUM_HIGH</x:v>
      </x:c>
      <x:c r="J106" s="51"/>
      <x:c r="K106" s="51"/>
      <x:c r="L106" s="51"/>
      <x:c r="M106" s="54"/>
      <x:c r="N106" s="58" t="str">
        <x:f>IF($J106="","",IF($J106&lt;0,-3,IF($J106&lt;1,-2,IF($J106&lt;3,0,IF($J106&lt;5,2,3)))))</x:f>
      </x:c>
      <x:c r="O106" s="58" t="str">
        <x:f>IF($J106="","",IF(OR('02_Benchmarks'!$P106&lt;&gt;"Aktiv",COUNT('02_Benchmarks'!$J106:$M106)&lt;4),"",IF($G106="lower_is_better",IF($J106&lt;='02_Benchmarks'!$J106,3,IF($J106&lt;'02_Benchmarks'!$K106,2,IF($J106&lt;='02_Benchmarks'!$L106,0,IF($J106&lt;='02_Benchmarks'!$M106,-2,-3)))),IF($J106&gt;='02_Benchmarks'!$J106,3,IF($J106&gt;'02_Benchmarks'!$K106,2,IF($J106&gt;='02_Benchmarks'!$L106,0,IF($J106&gt;='02_Benchmarks'!$M106,-2,-3)))))))</x:f>
      </x:c>
      <x:c r="P106" s="58" t="str">
        <x:f>IF(COUNT($N106:$O106)+IF(ISNUMBER($K106),1,0)=0,"",MIN($N106:$O106,$K106))</x:f>
      </x:c>
      <x:c r="Q106" s="58" t="str">
        <x:f>IF($P106="","",INDEX('04_Tarifmodell'!$B$6:$B$12,$P106+4))</x:f>
      </x:c>
      <x:c r="R106" s="64" t="str">
        <x:f>IF($P106="","",INDEX('04_Tarifmodell'!$C$6:$C$12,$P106+4))</x:f>
      </x:c>
      <x:c r="S106" s="14" t="str">
        <x:f>IF(OR($I106="QUALITATIVE",$I106="MANUAL_HYBRID"),IF($K106="","Assurance-Score fehlt","Assurance-bewertet"),IF($I106="BENCHMARK",IF($W106&lt;&gt;"Aktiv",IF($K106="","Benchmark fehlt","Assurance-bewertet"),IF($J106="","Messwert fehlt",IF($P106="","Nicht bewertbar","Berechnet"))),IF(AND($J106="",$K106&lt;&gt;""),"Nur Assurance-Score",IF($J106="","Messwert fehlt",IF($P106="","Nicht bewertbar",IF($P106&lt;=-2,"Kritische Wirkung / Prüfung","Berechnet"))))))</x:f>
        <x:v>Messwert fehlt</x:v>
      </x:c>
      <x:c r="T106" s="14" t="str">
        <x:v>SROI/SDG 17 ist keine hinreichend konkrete Mess- oder Schwellenquelle. Für sachlogisch nichtnegative Zählwerte ist 0 die schlechteste reguläre Klasse (−2).</x:v>
      </x:c>
      <x:c r="U106" s="14" t="str">
        <x:v>≥5:+3; 3–4:+2; 1–2:0; 0:‑2</x:v>
      </x:c>
      <x:c r="V106" s="14" t="str">
        <x:v>SDG 16/17, WJP, V‑Dem</x:v>
      </x:c>
      <x:c r="W106" s="14" t="str">
        <x:f>'02_Benchmarks'!$P106</x:f>
        <x:v>Optional – kein aktiver Benchmark</x:v>
      </x:c>
      <x:c r="X106" s="14" t="str">
        <x:v>Platzhalter – fachliche Operationalisierung offen</x:v>
      </x:c>
      <x:c r="Y106" s="14" t="str">
        <x:v>Kritisch</x:v>
      </x:c>
      <x:c r="Z106" s="14" t="str">
        <x:v>Klasse −3 nur für negative/unzulässige Werte ergänzt</x:v>
      </x:c>
      <x:c r="AA106" s="14" t="str">
        <x:v>Programm/Portfolio/Systemraum; Empfängergruppe, Region und Zeitraum explizit definieren</x:v>
      </x:c>
      <x:c r="AB106" s="14" t="str">
        <x:v>Primärdaten bevorzugt; Sekundärdaten nur transparent und versioniert; Methode und Systemgrenze dokumentieren</x:v>
      </x:c>
      <x:c r="AC106" s="14" t="str">
        <x:v>Limited Assurance; risikobasiert höhere Prüftiefe</x:v>
      </x:c>
    </x:row>
    <x:row r="107" ht="42" customHeight="1">
      <x:c r="A107" s="14" t="str">
        <x:v>WOK-S-131</x:v>
      </x:c>
      <x:c r="B107" s="14" t="str">
        <x:v>SDG 4 – Bildung</x:v>
      </x:c>
      <x:c r="C107" s="14" t="str">
        <x:v>4.4</x:v>
      </x:c>
      <x:c r="D107" s="14" t="str">
        <x:v>Digital Literacy Training</x:v>
      </x:c>
      <x:c r="E107" s="14" t="str">
        <x:v>Digital Literacy Training – Living Wage</x:v>
      </x:c>
      <x:c r="F107" s="14" t="str">
        <x:v>% Beschäftigte</x:v>
      </x:c>
      <x:c r="G107" s="14" t="str">
        <x:v>higher_is_better</x:v>
      </x:c>
      <x:c r="H107" s="14" t="str">
        <x:v>R27</x:v>
      </x:c>
      <x:c r="I107" s="14" t="str">
        <x:v>NUM_HIGH</x:v>
      </x:c>
      <x:c r="J107" s="51"/>
      <x:c r="K107" s="51"/>
      <x:c r="L107" s="51"/>
      <x:c r="M107" s="54"/>
      <x:c r="N107" s="58" t="str">
        <x:f>IF($J107="","",IF($J107&lt;40,-3,IF($J107&lt;60,-2,IF($J107&lt;80,0,IF($J107&lt;95,2,3)))))</x:f>
      </x:c>
      <x:c r="O107" s="58" t="str">
        <x:f>IF($J107="","",IF(OR('02_Benchmarks'!$P107&lt;&gt;"Aktiv",COUNT('02_Benchmarks'!$J107:$M107)&lt;4),"",IF($G107="lower_is_better",IF($J107&lt;='02_Benchmarks'!$J107,3,IF($J107&lt;'02_Benchmarks'!$K107,2,IF($J107&lt;='02_Benchmarks'!$L107,0,IF($J107&lt;='02_Benchmarks'!$M107,-2,-3)))),IF($J107&gt;='02_Benchmarks'!$J107,3,IF($J107&gt;'02_Benchmarks'!$K107,2,IF($J107&gt;='02_Benchmarks'!$L107,0,IF($J107&gt;='02_Benchmarks'!$M107,-2,-3)))))))</x:f>
      </x:c>
      <x:c r="P107" s="58" t="str">
        <x:f>IF(COUNT($N107:$O107)+IF(ISNUMBER($K107),1,0)=0,"",MIN($N107:$O107,$K107))</x:f>
      </x:c>
      <x:c r="Q107" s="58" t="str">
        <x:f>IF($P107="","",INDEX('04_Tarifmodell'!$B$6:$B$12,$P107+4))</x:f>
      </x:c>
      <x:c r="R107" s="64" t="str">
        <x:f>IF($P107="","",INDEX('04_Tarifmodell'!$C$6:$C$12,$P107+4))</x:f>
      </x:c>
      <x:c r="S107" s="14" t="str">
        <x:f>IF(OR($I107="QUALITATIVE",$I107="MANUAL_HYBRID"),IF($K107="","Assurance-Score fehlt","Assurance-bewertet"),IF($I107="BENCHMARK",IF($W107&lt;&gt;"Aktiv",IF($K107="","Benchmark fehlt","Assurance-bewertet"),IF($J107="","Messwert fehlt",IF($P107="","Nicht bewertbar","Berechnet"))),IF(AND($J107="",$K107&lt;&gt;""),"Nur Assurance-Score",IF($J107="","Messwert fehlt",IF($P107="","Nicht bewertbar",IF($P107&lt;=-2,"Kritische Wirkung / Prüfung","Berechnet"))))))</x:f>
        <x:v>Messwert fehlt</x:v>
      </x:c>
      <x:c r="T107" s="14" t="str">
        <x:v>Vollständige fünfstufige numerische Regel.</x:v>
      </x:c>
      <x:c r="U107" s="14" t="str">
        <x:v>≥95:+3; 80–94:+2; 60–79:0; 40–59:‑2; &lt;40:‑3</x:v>
      </x:c>
      <x:c r="V107" s="14" t="str">
        <x:v>ESRS S1, GRI 401/403/405/406, ILO</x:v>
      </x:c>
      <x:c r="W107" s="14" t="str">
        <x:f>'02_Benchmarks'!$P107</x:f>
        <x:v>Optional – kein aktiver Benchmark</x:v>
      </x:c>
      <x:c r="X107" s="14" t="str">
        <x:v>Messgrundlage belegt; Schwellenkalibrierung offen</x:v>
      </x:c>
      <x:c r="Y107" s="14" t="str">
        <x:v>Mittel</x:v>
      </x:c>
      <x:c r="Z107" s="14" t="str">
        <x:v>Arbeitskalibrierung – fachlich zu validieren</x:v>
      </x:c>
      <x:c r="AA107" s="14" t="str">
        <x:v>Eigene Belegschaft/Organisation; FTE, Beschäftigtengruppe und Zeitraum</x:v>
      </x:c>
      <x:c r="AB107" s="14" t="str">
        <x:v>Primärdaten bevorzugt; Sekundärdaten nur transparent und versioniert; Methode und Systemgrenze dokumentieren</x:v>
      </x:c>
      <x:c r="AC107" s="14" t="str">
        <x:v>Limited Assurance; risikobasiert höhere Prüftiefe</x:v>
      </x:c>
    </x:row>
    <x:row r="108" ht="42" customHeight="1">
      <x:c r="A108" s="14" t="str">
        <x:v>WOK-S-132</x:v>
      </x:c>
      <x:c r="B108" s="14" t="str">
        <x:v>SDG 4 – Bildung</x:v>
      </x:c>
      <x:c r="C108" s="14" t="str">
        <x:v>4.4</x:v>
      </x:c>
      <x:c r="D108" s="14" t="str">
        <x:v>Digital Literacy Training</x:v>
      </x:c>
      <x:c r="E108" s="14" t="str">
        <x:v>Digital Literacy Training – Tarifbindung</x:v>
      </x:c>
      <x:c r="F108" s="14" t="str">
        <x:v>%</x:v>
      </x:c>
      <x:c r="G108" s="14" t="str">
        <x:v>higher_is_better</x:v>
      </x:c>
      <x:c r="H108" s="14" t="str">
        <x:v>R26</x:v>
      </x:c>
      <x:c r="I108" s="14" t="str">
        <x:v>NUM_HIGH</x:v>
      </x:c>
      <x:c r="J108" s="51"/>
      <x:c r="K108" s="51"/>
      <x:c r="L108" s="51"/>
      <x:c r="M108" s="54"/>
      <x:c r="N108" s="58" t="str">
        <x:f>IF($J108="","",IF($J108&lt;30,-3,IF($J108&lt;50,-2,IF($J108&lt;70,0,IF($J108&lt;90,2,3)))))</x:f>
      </x:c>
      <x:c r="O108" s="58" t="str">
        <x:f>IF($J108="","",IF(OR('02_Benchmarks'!$P108&lt;&gt;"Aktiv",COUNT('02_Benchmarks'!$J108:$M108)&lt;4),"",IF($G108="lower_is_better",IF($J108&lt;='02_Benchmarks'!$J108,3,IF($J108&lt;'02_Benchmarks'!$K108,2,IF($J108&lt;='02_Benchmarks'!$L108,0,IF($J108&lt;='02_Benchmarks'!$M108,-2,-3)))),IF($J108&gt;='02_Benchmarks'!$J108,3,IF($J108&gt;'02_Benchmarks'!$K108,2,IF($J108&gt;='02_Benchmarks'!$L108,0,IF($J108&gt;='02_Benchmarks'!$M108,-2,-3)))))))</x:f>
      </x:c>
      <x:c r="P108" s="58" t="str">
        <x:f>IF(COUNT($N108:$O108)+IF(ISNUMBER($K108),1,0)=0,"",MIN($N108:$O108,$K108))</x:f>
      </x:c>
      <x:c r="Q108" s="58" t="str">
        <x:f>IF($P108="","",INDEX('04_Tarifmodell'!$B$6:$B$12,$P108+4))</x:f>
      </x:c>
      <x:c r="R108" s="64" t="str">
        <x:f>IF($P108="","",INDEX('04_Tarifmodell'!$C$6:$C$12,$P108+4))</x:f>
      </x:c>
      <x:c r="S108" s="14" t="str">
        <x:f>IF(OR($I108="QUALITATIVE",$I108="MANUAL_HYBRID"),IF($K108="","Assurance-Score fehlt","Assurance-bewertet"),IF($I108="BENCHMARK",IF($W108&lt;&gt;"Aktiv",IF($K108="","Benchmark fehlt","Assurance-bewertet"),IF($J108="","Messwert fehlt",IF($P108="","Nicht bewertbar","Berechnet"))),IF(AND($J108="",$K108&lt;&gt;""),"Nur Assurance-Score",IF($J108="","Messwert fehlt",IF($P108="","Nicht bewertbar",IF($P108&lt;=-2,"Kritische Wirkung / Prüfung","Berechnet"))))))</x:f>
        <x:v>Messwert fehlt</x:v>
      </x:c>
      <x:c r="T108" s="14" t="str">
        <x:v>Vollständige fünfstufige numerische Regel.</x:v>
      </x:c>
      <x:c r="U108" s="14" t="str">
        <x:v>≥90:+3; 70–89:+2; 50–69:0; 30–49:‑2; &lt;30:‑3</x:v>
      </x:c>
      <x:c r="V108" s="14" t="str">
        <x:v>ESRS S1, GRI 401/403/405/406, ILO</x:v>
      </x:c>
      <x:c r="W108" s="14" t="str">
        <x:f>'02_Benchmarks'!$P108</x:f>
        <x:v>Optional – kein aktiver Benchmark</x:v>
      </x:c>
      <x:c r="X108" s="14" t="str">
        <x:v>Messgrundlage belegt; Schwellenkalibrierung offen</x:v>
      </x:c>
      <x:c r="Y108" s="14" t="str">
        <x:v>Mittel</x:v>
      </x:c>
      <x:c r="Z108" s="14" t="str">
        <x:v>Arbeitskalibrierung – fachlich zu validieren</x:v>
      </x:c>
      <x:c r="AA108" s="14" t="str">
        <x:v>Eigene Belegschaft/Organisation; FTE, Beschäftigtengruppe und Zeitraum</x:v>
      </x:c>
      <x:c r="AB108" s="14" t="str">
        <x:v>Primärdaten bevorzugt; Sekundärdaten nur transparent und versioniert; Methode und Systemgrenze dokumentieren</x:v>
      </x:c>
      <x:c r="AC108" s="14" t="str">
        <x:v>Limited Assurance; risikobasiert höhere Prüftiefe</x:v>
      </x:c>
    </x:row>
    <x:row r="109" ht="42" customHeight="1">
      <x:c r="A109" s="14" t="str">
        <x:v>WOK-S-133</x:v>
      </x:c>
      <x:c r="B109" s="14" t="str">
        <x:v>SDG 4 – Bildung</x:v>
      </x:c>
      <x:c r="C109" s="14" t="str">
        <x:v>4.4</x:v>
      </x:c>
      <x:c r="D109" s="14" t="str">
        <x:v>Digital Literacy Training</x:v>
      </x:c>
      <x:c r="E109" s="14" t="str">
        <x:v>Digital Literacy Training – LTIFR</x:v>
      </x:c>
      <x:c r="F109" s="14" t="str">
        <x:v>Unfälle/Mio Std.</x:v>
      </x:c>
      <x:c r="G109" s="14" t="str">
        <x:v>lower_is_better</x:v>
      </x:c>
      <x:c r="H109" s="14" t="str">
        <x:v>R02</x:v>
      </x:c>
      <x:c r="I109" s="14" t="str">
        <x:v>NUM_LOW</x:v>
      </x:c>
      <x:c r="J109" s="51"/>
      <x:c r="K109" s="51"/>
      <x:c r="L109" s="51"/>
      <x:c r="M109" s="54"/>
      <x:c r="N109" s="58" t="str">
        <x:f>IF($J109="","",IF($J109&lt;=0,3,IF($J109&lt;=1,2,IF($J109&lt;=3,0,IF($J109&lt;=5,-2,-3)))))</x:f>
      </x:c>
      <x:c r="O109" s="58" t="str">
        <x:f>IF($J109="","",IF(OR('02_Benchmarks'!$P109&lt;&gt;"Aktiv",COUNT('02_Benchmarks'!$J109:$M109)&lt;4),"",IF($G109="lower_is_better",IF($J109&lt;='02_Benchmarks'!$J109,3,IF($J109&lt;'02_Benchmarks'!$K109,2,IF($J109&lt;='02_Benchmarks'!$L109,0,IF($J109&lt;='02_Benchmarks'!$M109,-2,-3)))),IF($J109&gt;='02_Benchmarks'!$J109,3,IF($J109&gt;'02_Benchmarks'!$K109,2,IF($J109&gt;='02_Benchmarks'!$L109,0,IF($J109&gt;='02_Benchmarks'!$M109,-2,-3)))))))</x:f>
      </x:c>
      <x:c r="P109" s="58" t="str">
        <x:f>IF(COUNT($N109:$O109)+IF(ISNUMBER($K109),1,0)=0,"",MIN($N109:$O109,$K109))</x:f>
      </x:c>
      <x:c r="Q109" s="58" t="str">
        <x:f>IF($P109="","",INDEX('04_Tarifmodell'!$B$6:$B$12,$P109+4))</x:f>
      </x:c>
      <x:c r="R109" s="64" t="str">
        <x:f>IF($P109="","",INDEX('04_Tarifmodell'!$C$6:$C$12,$P109+4))</x:f>
      </x:c>
      <x:c r="S109" s="14" t="str">
        <x:f>IF(OR($I109="QUALITATIVE",$I109="MANUAL_HYBRID"),IF($K109="","Assurance-Score fehlt","Assurance-bewertet"),IF($I109="BENCHMARK",IF($W109&lt;&gt;"Aktiv",IF($K109="","Benchmark fehlt","Assurance-bewertet"),IF($J109="","Messwert fehlt",IF($P109="","Nicht bewertbar","Berechnet"))),IF(AND($J109="",$K109&lt;&gt;""),"Nur Assurance-Score",IF($J109="","Messwert fehlt",IF($P109="","Nicht bewertbar",IF($P109&lt;=-2,"Kritische Wirkung / Prüfung","Berechnet"))))))</x:f>
        <x:v>Messwert fehlt</x:v>
      </x:c>
      <x:c r="T109" s="14" t="str">
        <x:v>Vollständige fünfstufige numerische Regel.</x:v>
      </x:c>
      <x:c r="U109" s="14" t="str">
        <x:v>0:+3; ≤1:+2; ≤3:0; ≤5:‑2; &gt;5:‑3</x:v>
      </x:c>
      <x:c r="V109" s="14" t="str">
        <x:v>ESRS S1, GRI 401/403/405/406, ILO</x:v>
      </x:c>
      <x:c r="W109" s="14" t="str">
        <x:f>'02_Benchmarks'!$P109</x:f>
        <x:v>Optional – kein aktiver Benchmark</x:v>
      </x:c>
      <x:c r="X109" s="14" t="str">
        <x:v>Messgrundlage belegt; Schwellenkalibrierung offen</x:v>
      </x:c>
      <x:c r="Y109" s="14" t="str">
        <x:v>Mittel</x:v>
      </x:c>
      <x:c r="Z109" s="14" t="str">
        <x:v>Arbeitskalibrierung – fachlich zu validieren</x:v>
      </x:c>
      <x:c r="AA109" s="14" t="str">
        <x:v>Eigene Belegschaft/Organisation; FTE, Beschäftigtengruppe und Zeitraum</x:v>
      </x:c>
      <x:c r="AB109" s="14" t="str">
        <x:v>Primärdaten bevorzugt; Sekundärdaten nur transparent und versioniert; Methode und Systemgrenze dokumentieren</x:v>
      </x:c>
      <x:c r="AC109" s="14" t="str">
        <x:v>Limited Assurance; risikobasiert höhere Prüftiefe</x:v>
      </x:c>
    </x:row>
    <x:row r="110" ht="42" customHeight="1">
      <x:c r="A110" s="14" t="str">
        <x:v>WOK-G-119</x:v>
      </x:c>
      <x:c r="B110" s="14" t="str">
        <x:v>SDG 4 – Bildung</x:v>
      </x:c>
      <x:c r="C110" s="14" t="str">
        <x:v>4.7</x:v>
      </x:c>
      <x:c r="D110" s="14" t="str">
        <x:v>Academic Integrity</x:v>
      </x:c>
      <x:c r="E110" s="14" t="str">
        <x:v>Academic Integrity – Antikorruption</x:v>
      </x:c>
      <x:c r="F110" s="14" t="str">
        <x:v>Fälle/1.000 FTE</x:v>
      </x:c>
      <x:c r="G110" s="14" t="str">
        <x:v>lower_is_better</x:v>
      </x:c>
      <x:c r="H110" s="14" t="str">
        <x:v>R01</x:v>
      </x:c>
      <x:c r="I110" s="14" t="str">
        <x:v>NUM_LOW</x:v>
      </x:c>
      <x:c r="J110" s="51"/>
      <x:c r="K110" s="51"/>
      <x:c r="L110" s="51"/>
      <x:c r="M110" s="54"/>
      <x:c r="N110" s="58" t="str">
        <x:f>IF($J110="","",IF($J110&lt;=0,3,IF($J110&lt;=0.2,2,IF($J110&lt;=0.5,0,IF($J110&lt;=1,-2,-3)))))</x:f>
      </x:c>
      <x:c r="O110" s="58" t="str">
        <x:f>IF($J110="","",IF(OR('02_Benchmarks'!$P110&lt;&gt;"Aktiv",COUNT('02_Benchmarks'!$J110:$M110)&lt;4),"",IF($G110="lower_is_better",IF($J110&lt;='02_Benchmarks'!$J110,3,IF($J110&lt;'02_Benchmarks'!$K110,2,IF($J110&lt;='02_Benchmarks'!$L110,0,IF($J110&lt;='02_Benchmarks'!$M110,-2,-3)))),IF($J110&gt;='02_Benchmarks'!$J110,3,IF($J110&gt;'02_Benchmarks'!$K110,2,IF($J110&gt;='02_Benchmarks'!$L110,0,IF($J110&gt;='02_Benchmarks'!$M110,-2,-3)))))))</x:f>
      </x:c>
      <x:c r="P110" s="58" t="str">
        <x:f>IF(COUNT($N110:$O110)+IF(ISNUMBER($K110),1,0)=0,"",MIN($N110:$O110,$K110))</x:f>
      </x:c>
      <x:c r="Q110" s="58" t="str">
        <x:f>IF($P110="","",INDEX('04_Tarifmodell'!$B$6:$B$12,$P110+4))</x:f>
      </x:c>
      <x:c r="R110" s="64" t="str">
        <x:f>IF($P110="","",INDEX('04_Tarifmodell'!$C$6:$C$12,$P110+4))</x:f>
      </x:c>
      <x:c r="S110" s="14" t="str">
        <x:f>IF(OR($I110="QUALITATIVE",$I110="MANUAL_HYBRID"),IF($K110="","Assurance-Score fehlt","Assurance-bewertet"),IF($I110="BENCHMARK",IF($W110&lt;&gt;"Aktiv",IF($K110="","Benchmark fehlt","Assurance-bewertet"),IF($J110="","Messwert fehlt",IF($P110="","Nicht bewertbar","Berechnet"))),IF(AND($J110="",$K110&lt;&gt;""),"Nur Assurance-Score",IF($J110="","Messwert fehlt",IF($P110="","Nicht bewertbar",IF($P110&lt;=-2,"Kritische Wirkung / Prüfung","Berechnet"))))))</x:f>
        <x:v>Messwert fehlt</x:v>
      </x:c>
      <x:c r="T110" s="14" t="str">
        <x:v>Vollständige fünfstufige numerische Regel.</x:v>
      </x:c>
      <x:c r="U110" s="14" t="str">
        <x:v>0:+3; ≤0,2:+2; ≤0,5:0; ≤1:‑2; &gt;1:‑3</x:v>
      </x:c>
      <x:c r="V110" s="14" t="str">
        <x:v>ESRS G1, GRI 205/207, OECD Anti‑Bribery</x:v>
      </x:c>
      <x:c r="W110" s="14" t="str">
        <x:f>'02_Benchmarks'!$P110</x:f>
        <x:v>Optional – kein aktiver Benchmark</x:v>
      </x:c>
      <x:c r="X110" s="14" t="str">
        <x:v>Messgrundlage belegt; Schwellenkalibrierung offen</x:v>
      </x:c>
      <x:c r="Y110" s="14" t="str">
        <x:v>Mittel</x:v>
      </x:c>
      <x:c r="Z110" s="14" t="str">
        <x:v>Arbeitskalibrierung – fachlich zu validieren</x:v>
      </x:c>
      <x:c r="AA110" s="14" t="str">
        <x:v>Organisation/Governance; konsolidierter Kreis und relevante Rechtseinheiten</x:v>
      </x:c>
      <x:c r="AB110" s="14" t="str">
        <x:v>Primärdaten bevorzugt; Sekundärdaten nur transparent und versioniert; Methode und Systemgrenze dokumentieren</x:v>
      </x:c>
      <x:c r="AC110" s="14" t="str">
        <x:v>Limited Assurance; risikobasiert höhere Prüftiefe</x:v>
      </x:c>
    </x:row>
    <x:row r="111" ht="42" customHeight="1">
      <x:c r="A111" s="14" t="str">
        <x:v>WOK-G-120</x:v>
      </x:c>
      <x:c r="B111" s="14" t="str">
        <x:v>SDG 4 – Bildung</x:v>
      </x:c>
      <x:c r="C111" s="14" t="str">
        <x:v>4.7</x:v>
      </x:c>
      <x:c r="D111" s="14" t="str">
        <x:v>Academic Integrity</x:v>
      </x:c>
      <x:c r="E111" s="14" t="str">
        <x:v>Academic Integrity – Whistleblowing</x:v>
      </x:c>
      <x:c r="F111" s="14" t="str">
        <x:v>0–1</x:v>
      </x:c>
      <x:c r="G111" s="14" t="str">
        <x:v>higher_is_better</x:v>
      </x:c>
      <x:c r="H111" s="14" t="str">
        <x:v>R16</x:v>
      </x:c>
      <x:c r="I111" s="14" t="str">
        <x:v>NUM_HIGH</x:v>
      </x:c>
      <x:c r="J111" s="51"/>
      <x:c r="K111" s="51"/>
      <x:c r="L111" s="51"/>
      <x:c r="M111" s="54"/>
      <x:c r="N111" s="58" t="str">
        <x:f>IF($J111="","",IF($J111&lt;0.4,-3,IF($J111&lt;0.6,-2,IF($J111&lt;0.75,0,IF($J111&lt;0.9,2,3)))))</x:f>
      </x:c>
      <x:c r="O111" s="58" t="str">
        <x:f>IF($J111="","",IF(OR('02_Benchmarks'!$P111&lt;&gt;"Aktiv",COUNT('02_Benchmarks'!$J111:$M111)&lt;4),"",IF($G111="lower_is_better",IF($J111&lt;='02_Benchmarks'!$J111,3,IF($J111&lt;'02_Benchmarks'!$K111,2,IF($J111&lt;='02_Benchmarks'!$L111,0,IF($J111&lt;='02_Benchmarks'!$M111,-2,-3)))),IF($J111&gt;='02_Benchmarks'!$J111,3,IF($J111&gt;'02_Benchmarks'!$K111,2,IF($J111&gt;='02_Benchmarks'!$L111,0,IF($J111&gt;='02_Benchmarks'!$M111,-2,-3)))))))</x:f>
      </x:c>
      <x:c r="P111" s="58" t="str">
        <x:f>IF(COUNT($N111:$O111)+IF(ISNUMBER($K111),1,0)=0,"",MIN($N111:$O111,$K111))</x:f>
      </x:c>
      <x:c r="Q111" s="58" t="str">
        <x:f>IF($P111="","",INDEX('04_Tarifmodell'!$B$6:$B$12,$P111+4))</x:f>
      </x:c>
      <x:c r="R111" s="64" t="str">
        <x:f>IF($P111="","",INDEX('04_Tarifmodell'!$C$6:$C$12,$P111+4))</x:f>
      </x:c>
      <x:c r="S111" s="14" t="str">
        <x:f>IF(OR($I111="QUALITATIVE",$I111="MANUAL_HYBRID"),IF($K111="","Assurance-Score fehlt","Assurance-bewertet"),IF($I111="BENCHMARK",IF($W111&lt;&gt;"Aktiv",IF($K111="","Benchmark fehlt","Assurance-bewertet"),IF($J111="","Messwert fehlt",IF($P111="","Nicht bewertbar","Berechnet"))),IF(AND($J111="",$K111&lt;&gt;""),"Nur Assurance-Score",IF($J111="","Messwert fehlt",IF($P111="","Nicht bewertbar",IF($P111&lt;=-2,"Kritische Wirkung / Prüfung","Berechnet"))))))</x:f>
        <x:v>Messwert fehlt</x:v>
      </x:c>
      <x:c r="T111" s="14" t="str">
        <x:v>Vollständige fünfstufige numerische Regel.</x:v>
      </x:c>
      <x:c r="U111" s="14" t="str">
        <x:v>≥0,9:+3; 0,75–0,89:+2; 0,6–0,74:0; 0,4–0,59:‑2; &lt;0,4:‑3</x:v>
      </x:c>
      <x:c r="V111" s="14" t="str">
        <x:v>ESRS G1, GRI 205/207, OECD Anti‑Bribery</x:v>
      </x:c>
      <x:c r="W111" s="14" t="str">
        <x:f>'02_Benchmarks'!$P111</x:f>
        <x:v>Optional – kein aktiver Benchmark</x:v>
      </x:c>
      <x:c r="X111" s="14" t="str">
        <x:v>Messgrundlage belegt; Schwellenkalibrierung offen</x:v>
      </x:c>
      <x:c r="Y111" s="14" t="str">
        <x:v>Mittel</x:v>
      </x:c>
      <x:c r="Z111" s="14" t="str">
        <x:v>Arbeitskalibrierung – fachlich zu validieren</x:v>
      </x:c>
      <x:c r="AA111" s="14" t="str">
        <x:v>Organisation/Governance; konsolidierter Kreis und relevante Rechtseinheiten</x:v>
      </x:c>
      <x:c r="AB111" s="14" t="str">
        <x:v>Primärdaten bevorzugt; Sekundärdaten nur transparent und versioniert; Methode und Systemgrenze dokumentieren</x:v>
      </x:c>
      <x:c r="AC111" s="14" t="str">
        <x:v>Limited Assurance; risikobasiert höhere Prüftiefe</x:v>
      </x:c>
    </x:row>
    <x:row r="112" ht="42" customHeight="1">
      <x:c r="A112" s="14" t="str">
        <x:v>WOK-G-121</x:v>
      </x:c>
      <x:c r="B112" s="14" t="str">
        <x:v>SDG 4 – Bildung</x:v>
      </x:c>
      <x:c r="C112" s="14" t="str">
        <x:v>4.7</x:v>
      </x:c>
      <x:c r="D112" s="14" t="str">
        <x:v>Academic Integrity</x:v>
      </x:c>
      <x:c r="E112" s="14" t="str">
        <x:v>Academic Integrity – Steuertransparenz</x:v>
      </x:c>
      <x:c r="F112" s="14" t="str">
        <x:v>0–1</x:v>
      </x:c>
      <x:c r="G112" s="14" t="str">
        <x:v>higher_is_better</x:v>
      </x:c>
      <x:c r="H112" s="14" t="str">
        <x:v>R08</x:v>
      </x:c>
      <x:c r="I112" s="14" t="str">
        <x:v>QUALITATIVE</x:v>
      </x:c>
      <x:c r="J112" s="51"/>
      <x:c r="K112" s="51"/>
      <x:c r="L112" s="51"/>
      <x:c r="M112" s="54"/>
      <x:c r="N112" s="58" t="str">
        <x:f>""</x:f>
      </x:c>
      <x:c r="O112" s="58" t="str">
        <x:f>IF($J112="","",IF(OR('02_Benchmarks'!$P112&lt;&gt;"Aktiv",COUNT('02_Benchmarks'!$J112:$M112)&lt;4),"",IF($G112="lower_is_better",IF($J112&lt;='02_Benchmarks'!$J112,3,IF($J112&lt;'02_Benchmarks'!$K112,2,IF($J112&lt;='02_Benchmarks'!$L112,0,IF($J112&lt;='02_Benchmarks'!$M112,-2,-3)))),IF($J112&gt;='02_Benchmarks'!$J112,3,IF($J112&gt;'02_Benchmarks'!$K112,2,IF($J112&gt;='02_Benchmarks'!$L112,0,IF($J112&gt;='02_Benchmarks'!$M112,-2,-3)))))))</x:f>
      </x:c>
      <x:c r="P112" s="58" t="str">
        <x:f>IF(COUNT($N112:$O112)+IF(ISNUMBER($K112),1,0)=0,"",MIN($N112:$O112,$K112))</x:f>
      </x:c>
      <x:c r="Q112" s="58" t="str">
        <x:f>IF($P112="","",INDEX('04_Tarifmodell'!$B$6:$B$12,$P112+4))</x:f>
      </x:c>
      <x:c r="R112" s="64" t="str">
        <x:f>IF($P112="","",INDEX('04_Tarifmodell'!$C$6:$C$12,$P112+4))</x:f>
      </x:c>
      <x:c r="S112" s="14" t="str">
        <x:f>IF(OR($I112="QUALITATIVE",$I112="MANUAL_HYBRID"),IF($K112="","Assurance-Score fehlt","Assurance-bewertet"),IF($I112="BENCHMARK",IF($W112&lt;&gt;"Aktiv",IF($K112="","Benchmark fehlt","Assurance-bewertet"),IF($J112="","Messwert fehlt",IF($P112="","Nicht bewertbar","Berechnet"))),IF(AND($J112="",$K112&lt;&gt;""),"Nur Assurance-Score",IF($J112="","Messwert fehlt",IF($P112="","Nicht bewertbar",IF($P112&lt;=-2,"Kritische Wirkung / Prüfung","Berechnet"))))))</x:f>
        <x:v>Assurance-Score fehlt</x:v>
      </x:c>
      <x:c r="T112" s="14" t="str">
        <x:v>Die Kategorie −3 fehlt; Vollständigkeit und Wirksamkeit sind feldspezifisch zu definieren.</x:v>
      </x:c>
      <x:c r="U112" s="14" t="str">
        <x:v>vollständig:+3; teilweise:+2; minimal:0; schlecht:‑2</x:v>
      </x:c>
      <x:c r="V112" s="14" t="str">
        <x:v>ESRS G1, GRI 205/207, OECD Anti‑Bribery</x:v>
      </x:c>
      <x:c r="W112" s="14" t="str">
        <x:f>'02_Benchmarks'!$P112</x:f>
        <x:v>Optional – kein aktiver Benchmark</x:v>
      </x:c>
      <x:c r="X112" s="14" t="str">
        <x:v>Messgrundlage belegt; Schwellenkalibrierung offen</x:v>
      </x:c>
      <x:c r="Y112" s="14" t="str">
        <x:v>Hoch</x:v>
      </x:c>
      <x:c r="Z112" s="14" t="str">
        <x:v>Assurance und Kriterienkatalog erforderlich</x:v>
      </x:c>
      <x:c r="AA112" s="14" t="str">
        <x:v>Organisation/Governance; konsolidierter Kreis und relevante Rechtseinheiten</x:v>
      </x:c>
      <x:c r="AB112" s="14" t="str">
        <x:v>Dokumentierter Kriterienkatalog; nachvollziehbare Evidenz; DQR A/B bevorzugt</x:v>
      </x:c>
      <x:c r="AC112" s="14" t="str">
        <x:v>Unabhängige Fachprüfung/Limited Assurance; bei roten Linien Reasonable Assurance</x:v>
      </x:c>
    </x:row>
    <x:row r="113" ht="42" customHeight="1">
      <x:c r="A113" s="14" t="str">
        <x:v>WOK-S-134</x:v>
      </x:c>
      <x:c r="B113" s="14" t="str">
        <x:v>SDG 5 – Gleichstellung</x:v>
      </x:c>
      <x:c r="C113" s="14" t="str">
        <x:v>5.1</x:v>
      </x:c>
      <x:c r="D113" s="14" t="str">
        <x:v>Gender Pay Gap</x:v>
      </x:c>
      <x:c r="E113" s="14" t="str">
        <x:v>Gender Pay Gap – Gender Pay Gap</x:v>
      </x:c>
      <x:c r="F113" s="14" t="str">
        <x:v>%</x:v>
      </x:c>
      <x:c r="G113" s="14" t="str">
        <x:v>lower_is_better</x:v>
      </x:c>
      <x:c r="H113" s="14" t="str">
        <x:v>R11</x:v>
      </x:c>
      <x:c r="I113" s="14" t="str">
        <x:v>NUM_LOW</x:v>
      </x:c>
      <x:c r="J113" s="51"/>
      <x:c r="K113" s="51"/>
      <x:c r="L113" s="51"/>
      <x:c r="M113" s="54"/>
      <x:c r="N113" s="58" t="str">
        <x:f>IF($J113="","",IF($J113&lt;=2,3,IF($J113&lt;=5,2,IF($J113&lt;=8,0,IF($J113&lt;=1E+99,-2,-2)))))</x:f>
      </x:c>
      <x:c r="O113" s="58" t="str">
        <x:f>IF($J113="","",IF(OR('02_Benchmarks'!$P113&lt;&gt;"Aktiv",COUNT('02_Benchmarks'!$J113:$M113)&lt;4),"",IF($G113="lower_is_better",IF($J113&lt;='02_Benchmarks'!$J113,3,IF($J113&lt;'02_Benchmarks'!$K113,2,IF($J113&lt;='02_Benchmarks'!$L113,0,IF($J113&lt;='02_Benchmarks'!$M113,-2,-3)))),IF($J113&gt;='02_Benchmarks'!$J113,3,IF($J113&gt;'02_Benchmarks'!$K113,2,IF($J113&gt;='02_Benchmarks'!$L113,0,IF($J113&gt;='02_Benchmarks'!$M113,-2,-3)))))))</x:f>
      </x:c>
      <x:c r="P113" s="58" t="str">
        <x:f>IF(COUNT($N113:$O113)+IF(ISNUMBER($K113),1,0)=0,"",MIN($N113:$O113,$K113))</x:f>
      </x:c>
      <x:c r="Q113" s="58" t="str">
        <x:f>IF($P113="","",INDEX('04_Tarifmodell'!$B$6:$B$12,$P113+4))</x:f>
      </x:c>
      <x:c r="R113" s="64" t="str">
        <x:f>IF($P113="","",INDEX('04_Tarifmodell'!$C$6:$C$12,$P113+4))</x:f>
      </x:c>
      <x:c r="S113" s="14" t="str">
        <x:f>IF(OR($I113="QUALITATIVE",$I113="MANUAL_HYBRID"),IF($K113="","Assurance-Score fehlt","Assurance-bewertet"),IF($I113="BENCHMARK",IF($W113&lt;&gt;"Aktiv",IF($K113="","Benchmark fehlt","Assurance-bewertet"),IF($J113="","Messwert fehlt",IF($P113="","Nicht bewertbar","Berechnet"))),IF(AND($J113="",$K113&lt;&gt;""),"Nur Assurance-Score",IF($J113="","Messwert fehlt",IF($P113="","Nicht bewertbar",IF($P113&lt;=-2,"Kritische Wirkung / Prüfung","Berechnet"))))))</x:f>
        <x:v>Messwert fehlt</x:v>
      </x:c>
      <x:c r="T113" s="14" t="str">
        <x:v>Werte &gt;8 werden bis zur Fachentscheidung konservativ mit −2 bewertet; manuelle Verschärfung über Assurance möglich.</x:v>
      </x:c>
      <x:c r="U113" s="14" t="str">
        <x:v>≤2:+3; ≤5:+2; ≤8:0; &gt;8:‑2/‑3</x:v>
      </x:c>
      <x:c r="V113" s="14" t="str">
        <x:v>ESRS S1, GRI 401/403/405/406, ILO</x:v>
      </x:c>
      <x:c r="W113" s="14" t="str">
        <x:f>'02_Benchmarks'!$P113</x:f>
        <x:v>Optional – kein aktiver Benchmark</x:v>
      </x:c>
      <x:c r="X113" s="14" t="str">
        <x:v>Messgrundlage belegt; Schwellenkalibrierung offen</x:v>
      </x:c>
      <x:c r="Y113" s="14" t="str">
        <x:v>Hoch</x:v>
      </x:c>
      <x:c r="Z113" s="14" t="str">
        <x:v>Grenze zwischen −2 und −3 offen</x:v>
      </x:c>
      <x:c r="AA113" s="14" t="str">
        <x:v>Eigene Belegschaft/Organisation; FTE, Beschäftigtengruppe und Zeitraum</x:v>
      </x:c>
      <x:c r="AB113" s="14" t="str">
        <x:v>Primärdaten oder qualitätsgesicherte Sekundärdaten; Methode, Zeitraum und Systemgrenze dokumentieren</x:v>
      </x:c>
      <x:c r="AC113" s="14" t="str">
        <x:v>Limited Assurance; bei materieller Steuerwirkung risikobasiert vertiefen</x:v>
      </x:c>
    </x:row>
    <x:row r="114" ht="42" customHeight="1">
      <x:c r="A114" s="14" t="str">
        <x:v>WOK-S-135</x:v>
      </x:c>
      <x:c r="B114" s="14" t="str">
        <x:v>SDG 5 – Gleichstellung</x:v>
      </x:c>
      <x:c r="C114" s="14" t="str">
        <x:v>5.1</x:v>
      </x:c>
      <x:c r="D114" s="14" t="str">
        <x:v>Gender Pay Gap</x:v>
      </x:c>
      <x:c r="E114" s="14" t="str">
        <x:v>Gender Pay Gap – Führung Diversität</x:v>
      </x:c>
      <x:c r="F114" s="14" t="str">
        <x:v>%</x:v>
      </x:c>
      <x:c r="G114" s="14" t="str">
        <x:v>higher_is_better</x:v>
      </x:c>
      <x:c r="H114" s="14" t="str">
        <x:v>R18</x:v>
      </x:c>
      <x:c r="I114" s="14" t="str">
        <x:v>NUM_HIGH</x:v>
      </x:c>
      <x:c r="J114" s="51"/>
      <x:c r="K114" s="51"/>
      <x:c r="L114" s="51"/>
      <x:c r="M114" s="54"/>
      <x:c r="N114" s="58" t="str">
        <x:f>IF($J114="","",IF($J114&lt;30,-2,IF($J114&lt;40,0,IF($J114&lt;50,2,IF($J114&lt;1E+99,3,3)))))</x:f>
      </x:c>
      <x:c r="O114" s="58" t="str">
        <x:f>IF($J114="","",IF(OR('02_Benchmarks'!$P114&lt;&gt;"Aktiv",COUNT('02_Benchmarks'!$J114:$M114)&lt;4),"",IF($G114="lower_is_better",IF($J114&lt;='02_Benchmarks'!$J114,3,IF($J114&lt;'02_Benchmarks'!$K114,2,IF($J114&lt;='02_Benchmarks'!$L114,0,IF($J114&lt;='02_Benchmarks'!$M114,-2,-3)))),IF($J114&gt;='02_Benchmarks'!$J114,3,IF($J114&gt;'02_Benchmarks'!$K114,2,IF($J114&gt;='02_Benchmarks'!$L114,0,IF($J114&gt;='02_Benchmarks'!$M114,-2,-3)))))))</x:f>
      </x:c>
      <x:c r="P114" s="58" t="str">
        <x:f>IF(COUNT($N114:$O114)+IF(ISNUMBER($K114),1,0)=0,"",MIN($N114:$O114,$K114))</x:f>
      </x:c>
      <x:c r="Q114" s="58" t="str">
        <x:f>IF($P114="","",INDEX('04_Tarifmodell'!$B$6:$B$12,$P114+4))</x:f>
      </x:c>
      <x:c r="R114" s="64" t="str">
        <x:f>IF($P114="","",INDEX('04_Tarifmodell'!$C$6:$C$12,$P114+4))</x:f>
      </x:c>
      <x:c r="S114" s="14" t="str">
        <x:f>IF(OR($I114="QUALITATIVE",$I114="MANUAL_HYBRID"),IF($K114="","Assurance-Score fehlt","Assurance-bewertet"),IF($I114="BENCHMARK",IF($W114&lt;&gt;"Aktiv",IF($K114="","Benchmark fehlt","Assurance-bewertet"),IF($J114="","Messwert fehlt",IF($P114="","Nicht bewertbar","Berechnet"))),IF(AND($J114="",$K114&lt;&gt;""),"Nur Assurance-Score",IF($J114="","Messwert fehlt",IF($P114="","Nicht bewertbar",IF($P114&lt;=-2,"Kritische Wirkung / Prüfung","Berechnet"))))))</x:f>
        <x:v>Messwert fehlt</x:v>
      </x:c>
      <x:c r="T114" s="14" t="str">
        <x:v>Werte &lt;30 werden bis zur Fachentscheidung mit −2 bewertet; manuelle Verschärfung über Assurance möglich.</x:v>
      </x:c>
      <x:c r="U114" s="14" t="str">
        <x:v>≥50:+3; ≥40:+2; ≥30:0; &lt;30:‑2/‑3</x:v>
      </x:c>
      <x:c r="V114" s="14" t="str">
        <x:v>ESRS G1; GRI 205/207</x:v>
      </x:c>
      <x:c r="W114" s="14" t="str">
        <x:f>'02_Benchmarks'!$P114</x:f>
        <x:v>Optional – kein aktiver Benchmark</x:v>
      </x:c>
      <x:c r="X114" s="14" t="str">
        <x:v>Messgrundlage belegt; Schwellenkalibrierung offen</x:v>
      </x:c>
      <x:c r="Y114" s="14" t="str">
        <x:v>Hoch</x:v>
      </x:c>
      <x:c r="Z114" s="14" t="str">
        <x:v>Grenze zwischen −2 und −3 offen</x:v>
      </x:c>
      <x:c r="AA114" s="14" t="str">
        <x:v>Eigene Belegschaft/Organisation; FTE, Beschäftigtengruppe und Zeitraum</x:v>
      </x:c>
      <x:c r="AB114" s="14" t="str">
        <x:v>Primärdaten oder qualitätsgesicherte Sekundärdaten; Methode, Zeitraum und Systemgrenze dokumentieren</x:v>
      </x:c>
      <x:c r="AC114" s="14" t="str">
        <x:v>Limited Assurance; bei materieller Steuerwirkung risikobasiert vertiefen</x:v>
      </x:c>
    </x:row>
    <x:row r="115" ht="42" customHeight="1">
      <x:c r="A115" s="14" t="str">
        <x:v>WOK-S-136</x:v>
      </x:c>
      <x:c r="B115" s="14" t="str">
        <x:v>SDG 5 – Gleichstellung</x:v>
      </x:c>
      <x:c r="C115" s="14" t="str">
        <x:v>5.1</x:v>
      </x:c>
      <x:c r="D115" s="14" t="str">
        <x:v>Gender Pay Gap</x:v>
      </x:c>
      <x:c r="E115" s="14" t="str">
        <x:v>Gender Pay Gap – Inklusion</x:v>
      </x:c>
      <x:c r="F115" s="14" t="str">
        <x:v>%</x:v>
      </x:c>
      <x:c r="G115" s="14" t="str">
        <x:v>higher_is_better</x:v>
      </x:c>
      <x:c r="H115" s="14" t="str">
        <x:v>R21</x:v>
      </x:c>
      <x:c r="I115" s="14" t="str">
        <x:v>NUM_HIGH</x:v>
      </x:c>
      <x:c r="J115" s="51"/>
      <x:c r="K115" s="51"/>
      <x:c r="L115" s="51"/>
      <x:c r="M115" s="54"/>
      <x:c r="N115" s="58" t="str">
        <x:f>IF($J115="","",IF($J115&lt;1,-3,IF($J115&lt;2,-2,IF($J115&lt;4,0,IF($J115&lt;6,2,3)))))</x:f>
      </x:c>
      <x:c r="O115" s="58" t="str">
        <x:f>IF($J115="","",IF(OR('02_Benchmarks'!$P115&lt;&gt;"Aktiv",COUNT('02_Benchmarks'!$J115:$M115)&lt;4),"",IF($G115="lower_is_better",IF($J115&lt;='02_Benchmarks'!$J115,3,IF($J115&lt;'02_Benchmarks'!$K115,2,IF($J115&lt;='02_Benchmarks'!$L115,0,IF($J115&lt;='02_Benchmarks'!$M115,-2,-3)))),IF($J115&gt;='02_Benchmarks'!$J115,3,IF($J115&gt;'02_Benchmarks'!$K115,2,IF($J115&gt;='02_Benchmarks'!$L115,0,IF($J115&gt;='02_Benchmarks'!$M115,-2,-3)))))))</x:f>
      </x:c>
      <x:c r="P115" s="58" t="str">
        <x:f>IF(COUNT($N115:$O115)+IF(ISNUMBER($K115),1,0)=0,"",MIN($N115:$O115,$K115))</x:f>
      </x:c>
      <x:c r="Q115" s="58" t="str">
        <x:f>IF($P115="","",INDEX('04_Tarifmodell'!$B$6:$B$12,$P115+4))</x:f>
      </x:c>
      <x:c r="R115" s="64" t="str">
        <x:f>IF($P115="","",INDEX('04_Tarifmodell'!$C$6:$C$12,$P115+4))</x:f>
      </x:c>
      <x:c r="S115" s="14" t="str">
        <x:f>IF(OR($I115="QUALITATIVE",$I115="MANUAL_HYBRID"),IF($K115="","Assurance-Score fehlt","Assurance-bewertet"),IF($I115="BENCHMARK",IF($W115&lt;&gt;"Aktiv",IF($K115="","Benchmark fehlt","Assurance-bewertet"),IF($J115="","Messwert fehlt",IF($P115="","Nicht bewertbar","Berechnet"))),IF(AND($J115="",$K115&lt;&gt;""),"Nur Assurance-Score",IF($J115="","Messwert fehlt",IF($P115="","Nicht bewertbar",IF($P115&lt;=-2,"Kritische Wirkung / Prüfung","Berechnet"))))))</x:f>
        <x:v>Messwert fehlt</x:v>
      </x:c>
      <x:c r="T115" s="14" t="str">
        <x:v>Vollständige fünfstufige numerische Regel.</x:v>
      </x:c>
      <x:c r="U115" s="14" t="str">
        <x:v>≥6:+3; 4–5,9:+2; 2–3,9:0; 1–1,9:‑2; &lt;1:‑3</x:v>
      </x:c>
      <x:c r="V115" s="14" t="str">
        <x:v>ESRS S1, GRI 401/403/405/406, ILO</x:v>
      </x:c>
      <x:c r="W115" s="14" t="str">
        <x:f>'02_Benchmarks'!$P115</x:f>
        <x:v>Optional – kein aktiver Benchmark</x:v>
      </x:c>
      <x:c r="X115" s="14" t="str">
        <x:v>Messgrundlage belegt; Schwellenkalibrierung offen</x:v>
      </x:c>
      <x:c r="Y115" s="14" t="str">
        <x:v>Mittel</x:v>
      </x:c>
      <x:c r="Z115" s="14" t="str">
        <x:v>Arbeitskalibrierung – fachlich zu validieren</x:v>
      </x:c>
      <x:c r="AA115" s="14" t="str">
        <x:v>Eigene Belegschaft/Organisation; FTE, Beschäftigtengruppe und Zeitraum</x:v>
      </x:c>
      <x:c r="AB115" s="14" t="str">
        <x:v>Primärdaten bevorzugt; Sekundärdaten nur transparent und versioniert; Methode und Systemgrenze dokumentieren</x:v>
      </x:c>
      <x:c r="AC115" s="14" t="str">
        <x:v>Limited Assurance; risikobasiert höhere Prüftiefe</x:v>
      </x:c>
    </x:row>
    <x:row r="116" ht="42" customHeight="1">
      <x:c r="A116" s="14" t="str">
        <x:v>WOK-G-122</x:v>
      </x:c>
      <x:c r="B116" s="14" t="str">
        <x:v>SDG 5 – Gleichstellung</x:v>
      </x:c>
      <x:c r="C116" s="14" t="str">
        <x:v>5.5</x:v>
      </x:c>
      <x:c r="D116" s="14" t="str">
        <x:v>Diversität in Führung</x:v>
      </x:c>
      <x:c r="E116" s="14" t="str">
        <x:v>Diversität in Führung – Gender Pay Gap</x:v>
      </x:c>
      <x:c r="F116" s="14" t="str">
        <x:v>%</x:v>
      </x:c>
      <x:c r="G116" s="14" t="str">
        <x:v>lower_is_better</x:v>
      </x:c>
      <x:c r="H116" s="14" t="str">
        <x:v>R11</x:v>
      </x:c>
      <x:c r="I116" s="14" t="str">
        <x:v>NUM_LOW</x:v>
      </x:c>
      <x:c r="J116" s="51"/>
      <x:c r="K116" s="51"/>
      <x:c r="L116" s="51"/>
      <x:c r="M116" s="54"/>
      <x:c r="N116" s="58" t="str">
        <x:f>IF($J116="","",IF($J116&lt;=2,3,IF($J116&lt;=5,2,IF($J116&lt;=8,0,IF($J116&lt;=1E+99,-2,-2)))))</x:f>
      </x:c>
      <x:c r="O116" s="58" t="str">
        <x:f>IF($J116="","",IF(OR('02_Benchmarks'!$P116&lt;&gt;"Aktiv",COUNT('02_Benchmarks'!$J116:$M116)&lt;4),"",IF($G116="lower_is_better",IF($J116&lt;='02_Benchmarks'!$J116,3,IF($J116&lt;'02_Benchmarks'!$K116,2,IF($J116&lt;='02_Benchmarks'!$L116,0,IF($J116&lt;='02_Benchmarks'!$M116,-2,-3)))),IF($J116&gt;='02_Benchmarks'!$J116,3,IF($J116&gt;'02_Benchmarks'!$K116,2,IF($J116&gt;='02_Benchmarks'!$L116,0,IF($J116&gt;='02_Benchmarks'!$M116,-2,-3)))))))</x:f>
      </x:c>
      <x:c r="P116" s="58" t="str">
        <x:f>IF(COUNT($N116:$O116)+IF(ISNUMBER($K116),1,0)=0,"",MIN($N116:$O116,$K116))</x:f>
      </x:c>
      <x:c r="Q116" s="58" t="str">
        <x:f>IF($P116="","",INDEX('04_Tarifmodell'!$B$6:$B$12,$P116+4))</x:f>
      </x:c>
      <x:c r="R116" s="64" t="str">
        <x:f>IF($P116="","",INDEX('04_Tarifmodell'!$C$6:$C$12,$P116+4))</x:f>
      </x:c>
      <x:c r="S116" s="14" t="str">
        <x:f>IF(OR($I116="QUALITATIVE",$I116="MANUAL_HYBRID"),IF($K116="","Assurance-Score fehlt","Assurance-bewertet"),IF($I116="BENCHMARK",IF($W116&lt;&gt;"Aktiv",IF($K116="","Benchmark fehlt","Assurance-bewertet"),IF($J116="","Messwert fehlt",IF($P116="","Nicht bewertbar","Berechnet"))),IF(AND($J116="",$K116&lt;&gt;""),"Nur Assurance-Score",IF($J116="","Messwert fehlt",IF($P116="","Nicht bewertbar",IF($P116&lt;=-2,"Kritische Wirkung / Prüfung","Berechnet"))))))</x:f>
        <x:v>Messwert fehlt</x:v>
      </x:c>
      <x:c r="T116" s="14" t="str">
        <x:v>Werte &gt;8 werden bis zur Fachentscheidung konservativ mit −2 bewertet; manuelle Verschärfung über Assurance möglich.</x:v>
      </x:c>
      <x:c r="U116" s="14" t="str">
        <x:v>≤2:+3; ≤5:+2; ≤8:0; &gt;8:‑2/‑3</x:v>
      </x:c>
      <x:c r="V116" s="14" t="str">
        <x:v>ESRS S1, GRI 401/403/405/406, ILO</x:v>
      </x:c>
      <x:c r="W116" s="14" t="str">
        <x:f>'02_Benchmarks'!$P116</x:f>
        <x:v>Optional – kein aktiver Benchmark</x:v>
      </x:c>
      <x:c r="X116" s="14" t="str">
        <x:v>Messgrundlage belegt; Schwellenkalibrierung offen</x:v>
      </x:c>
      <x:c r="Y116" s="14" t="str">
        <x:v>Hoch</x:v>
      </x:c>
      <x:c r="Z116" s="14" t="str">
        <x:v>Grenze zwischen −2 und −3 offen</x:v>
      </x:c>
      <x:c r="AA116" s="14" t="str">
        <x:v>Organisation/Governance; konsolidierter Kreis und relevante Rechtseinheiten</x:v>
      </x:c>
      <x:c r="AB116" s="14" t="str">
        <x:v>Primärdaten oder qualitätsgesicherte Sekundärdaten; Methode, Zeitraum und Systemgrenze dokumentieren</x:v>
      </x:c>
      <x:c r="AC116" s="14" t="str">
        <x:v>Limited Assurance; bei materieller Steuerwirkung risikobasiert vertiefen</x:v>
      </x:c>
    </x:row>
    <x:row r="117" ht="42" customHeight="1">
      <x:c r="A117" s="14" t="str">
        <x:v>WOK-G-123</x:v>
      </x:c>
      <x:c r="B117" s="14" t="str">
        <x:v>SDG 5 – Gleichstellung</x:v>
      </x:c>
      <x:c r="C117" s="14" t="str">
        <x:v>5.5</x:v>
      </x:c>
      <x:c r="D117" s="14" t="str">
        <x:v>Diversität in Führung</x:v>
      </x:c>
      <x:c r="E117" s="14" t="str">
        <x:v>Diversität in Führung – Führung Diversität</x:v>
      </x:c>
      <x:c r="F117" s="14" t="str">
        <x:v>%</x:v>
      </x:c>
      <x:c r="G117" s="14" t="str">
        <x:v>higher_is_better</x:v>
      </x:c>
      <x:c r="H117" s="14" t="str">
        <x:v>R18</x:v>
      </x:c>
      <x:c r="I117" s="14" t="str">
        <x:v>NUM_HIGH</x:v>
      </x:c>
      <x:c r="J117" s="51"/>
      <x:c r="K117" s="51"/>
      <x:c r="L117" s="51"/>
      <x:c r="M117" s="54"/>
      <x:c r="N117" s="58" t="str">
        <x:f>IF($J117="","",IF($J117&lt;30,-2,IF($J117&lt;40,0,IF($J117&lt;50,2,IF($J117&lt;1E+99,3,3)))))</x:f>
      </x:c>
      <x:c r="O117" s="58" t="str">
        <x:f>IF($J117="","",IF(OR('02_Benchmarks'!$P117&lt;&gt;"Aktiv",COUNT('02_Benchmarks'!$J117:$M117)&lt;4),"",IF($G117="lower_is_better",IF($J117&lt;='02_Benchmarks'!$J117,3,IF($J117&lt;'02_Benchmarks'!$K117,2,IF($J117&lt;='02_Benchmarks'!$L117,0,IF($J117&lt;='02_Benchmarks'!$M117,-2,-3)))),IF($J117&gt;='02_Benchmarks'!$J117,3,IF($J117&gt;'02_Benchmarks'!$K117,2,IF($J117&gt;='02_Benchmarks'!$L117,0,IF($J117&gt;='02_Benchmarks'!$M117,-2,-3)))))))</x:f>
      </x:c>
      <x:c r="P117" s="58" t="str">
        <x:f>IF(COUNT($N117:$O117)+IF(ISNUMBER($K117),1,0)=0,"",MIN($N117:$O117,$K117))</x:f>
      </x:c>
      <x:c r="Q117" s="58" t="str">
        <x:f>IF($P117="","",INDEX('04_Tarifmodell'!$B$6:$B$12,$P117+4))</x:f>
      </x:c>
      <x:c r="R117" s="64" t="str">
        <x:f>IF($P117="","",INDEX('04_Tarifmodell'!$C$6:$C$12,$P117+4))</x:f>
      </x:c>
      <x:c r="S117" s="14" t="str">
        <x:f>IF(OR($I117="QUALITATIVE",$I117="MANUAL_HYBRID"),IF($K117="","Assurance-Score fehlt","Assurance-bewertet"),IF($I117="BENCHMARK",IF($W117&lt;&gt;"Aktiv",IF($K117="","Benchmark fehlt","Assurance-bewertet"),IF($J117="","Messwert fehlt",IF($P117="","Nicht bewertbar","Berechnet"))),IF(AND($J117="",$K117&lt;&gt;""),"Nur Assurance-Score",IF($J117="","Messwert fehlt",IF($P117="","Nicht bewertbar",IF($P117&lt;=-2,"Kritische Wirkung / Prüfung","Berechnet"))))))</x:f>
        <x:v>Messwert fehlt</x:v>
      </x:c>
      <x:c r="T117" s="14" t="str">
        <x:v>Werte &lt;30 werden bis zur Fachentscheidung mit −2 bewertet; manuelle Verschärfung über Assurance möglich.</x:v>
      </x:c>
      <x:c r="U117" s="14" t="str">
        <x:v>≥50:+3; ≥40:+2; ≥30:0; &lt;30:‑2/‑3</x:v>
      </x:c>
      <x:c r="V117" s="14" t="str">
        <x:v>ESRS G1; GRI 205/207</x:v>
      </x:c>
      <x:c r="W117" s="14" t="str">
        <x:f>'02_Benchmarks'!$P117</x:f>
        <x:v>Optional – kein aktiver Benchmark</x:v>
      </x:c>
      <x:c r="X117" s="14" t="str">
        <x:v>Messgrundlage belegt; Schwellenkalibrierung offen</x:v>
      </x:c>
      <x:c r="Y117" s="14" t="str">
        <x:v>Hoch</x:v>
      </x:c>
      <x:c r="Z117" s="14" t="str">
        <x:v>Grenze zwischen −2 und −3 offen</x:v>
      </x:c>
      <x:c r="AA117" s="14" t="str">
        <x:v>Organisation/Governance; konsolidierter Kreis und relevante Rechtseinheiten</x:v>
      </x:c>
      <x:c r="AB117" s="14" t="str">
        <x:v>Primärdaten oder qualitätsgesicherte Sekundärdaten; Methode, Zeitraum und Systemgrenze dokumentieren</x:v>
      </x:c>
      <x:c r="AC117" s="14" t="str">
        <x:v>Limited Assurance; bei materieller Steuerwirkung risikobasiert vertiefen</x:v>
      </x:c>
    </x:row>
    <x:row r="118" ht="42" customHeight="1">
      <x:c r="A118" s="14" t="str">
        <x:v>WOK-G-124</x:v>
      </x:c>
      <x:c r="B118" s="14" t="str">
        <x:v>SDG 5 – Gleichstellung</x:v>
      </x:c>
      <x:c r="C118" s="14" t="str">
        <x:v>5.5</x:v>
      </x:c>
      <x:c r="D118" s="14" t="str">
        <x:v>Diversität in Führung</x:v>
      </x:c>
      <x:c r="E118" s="14" t="str">
        <x:v>Diversität in Führung – Inklusion</x:v>
      </x:c>
      <x:c r="F118" s="14" t="str">
        <x:v>%</x:v>
      </x:c>
      <x:c r="G118" s="14" t="str">
        <x:v>higher_is_better</x:v>
      </x:c>
      <x:c r="H118" s="14" t="str">
        <x:v>R21</x:v>
      </x:c>
      <x:c r="I118" s="14" t="str">
        <x:v>NUM_HIGH</x:v>
      </x:c>
      <x:c r="J118" s="51"/>
      <x:c r="K118" s="51"/>
      <x:c r="L118" s="51"/>
      <x:c r="M118" s="54"/>
      <x:c r="N118" s="58" t="str">
        <x:f>IF($J118="","",IF($J118&lt;1,-3,IF($J118&lt;2,-2,IF($J118&lt;4,0,IF($J118&lt;6,2,3)))))</x:f>
      </x:c>
      <x:c r="O118" s="58" t="str">
        <x:f>IF($J118="","",IF(OR('02_Benchmarks'!$P118&lt;&gt;"Aktiv",COUNT('02_Benchmarks'!$J118:$M118)&lt;4),"",IF($G118="lower_is_better",IF($J118&lt;='02_Benchmarks'!$J118,3,IF($J118&lt;'02_Benchmarks'!$K118,2,IF($J118&lt;='02_Benchmarks'!$L118,0,IF($J118&lt;='02_Benchmarks'!$M118,-2,-3)))),IF($J118&gt;='02_Benchmarks'!$J118,3,IF($J118&gt;'02_Benchmarks'!$K118,2,IF($J118&gt;='02_Benchmarks'!$L118,0,IF($J118&gt;='02_Benchmarks'!$M118,-2,-3)))))))</x:f>
      </x:c>
      <x:c r="P118" s="58" t="str">
        <x:f>IF(COUNT($N118:$O118)+IF(ISNUMBER($K118),1,0)=0,"",MIN($N118:$O118,$K118))</x:f>
      </x:c>
      <x:c r="Q118" s="58" t="str">
        <x:f>IF($P118="","",INDEX('04_Tarifmodell'!$B$6:$B$12,$P118+4))</x:f>
      </x:c>
      <x:c r="R118" s="64" t="str">
        <x:f>IF($P118="","",INDEX('04_Tarifmodell'!$C$6:$C$12,$P118+4))</x:f>
      </x:c>
      <x:c r="S118" s="14" t="str">
        <x:f>IF(OR($I118="QUALITATIVE",$I118="MANUAL_HYBRID"),IF($K118="","Assurance-Score fehlt","Assurance-bewertet"),IF($I118="BENCHMARK",IF($W118&lt;&gt;"Aktiv",IF($K118="","Benchmark fehlt","Assurance-bewertet"),IF($J118="","Messwert fehlt",IF($P118="","Nicht bewertbar","Berechnet"))),IF(AND($J118="",$K118&lt;&gt;""),"Nur Assurance-Score",IF($J118="","Messwert fehlt",IF($P118="","Nicht bewertbar",IF($P118&lt;=-2,"Kritische Wirkung / Prüfung","Berechnet"))))))</x:f>
        <x:v>Messwert fehlt</x:v>
      </x:c>
      <x:c r="T118" s="14" t="str">
        <x:v>Vollständige fünfstufige numerische Regel.</x:v>
      </x:c>
      <x:c r="U118" s="14" t="str">
        <x:v>≥6:+3; 4–5,9:+2; 2–3,9:0; 1–1,9:‑2; &lt;1:‑3</x:v>
      </x:c>
      <x:c r="V118" s="14" t="str">
        <x:v>ESRS S1, GRI 401/403/405/406, ILO</x:v>
      </x:c>
      <x:c r="W118" s="14" t="str">
        <x:f>'02_Benchmarks'!$P118</x:f>
        <x:v>Optional – kein aktiver Benchmark</x:v>
      </x:c>
      <x:c r="X118" s="14" t="str">
        <x:v>Messgrundlage belegt; Schwellenkalibrierung offen</x:v>
      </x:c>
      <x:c r="Y118" s="14" t="str">
        <x:v>Mittel</x:v>
      </x:c>
      <x:c r="Z118" s="14" t="str">
        <x:v>Arbeitskalibrierung – fachlich zu validieren</x:v>
      </x:c>
      <x:c r="AA118" s="14" t="str">
        <x:v>Organisation/Governance; konsolidierter Kreis und relevante Rechtseinheiten</x:v>
      </x:c>
      <x:c r="AB118" s="14" t="str">
        <x:v>Primärdaten bevorzugt; Sekundärdaten nur transparent und versioniert; Methode und Systemgrenze dokumentieren</x:v>
      </x:c>
      <x:c r="AC118" s="14" t="str">
        <x:v>Limited Assurance; risikobasiert höhere Prüftiefe</x:v>
      </x:c>
    </x:row>
    <x:row r="119" ht="42" customHeight="1">
      <x:c r="A119" s="14" t="str">
        <x:v>WOK-S-137</x:v>
      </x:c>
      <x:c r="B119" s="14" t="str">
        <x:v>SDG 5 – Gleichstellung</x:v>
      </x:c>
      <x:c r="C119" s="14" t="str">
        <x:v>5.2</x:v>
      </x:c>
      <x:c r="D119" s="14" t="str">
        <x:v>Antidiskriminierung &amp; Fälle</x:v>
      </x:c>
      <x:c r="E119" s="14" t="str">
        <x:v>Antidiskriminierung &amp; Fälle – Gender Pay Gap</x:v>
      </x:c>
      <x:c r="F119" s="14" t="str">
        <x:v>%</x:v>
      </x:c>
      <x:c r="G119" s="14" t="str">
        <x:v>lower_is_better</x:v>
      </x:c>
      <x:c r="H119" s="14" t="str">
        <x:v>R11</x:v>
      </x:c>
      <x:c r="I119" s="14" t="str">
        <x:v>NUM_LOW</x:v>
      </x:c>
      <x:c r="J119" s="51"/>
      <x:c r="K119" s="51"/>
      <x:c r="L119" s="51"/>
      <x:c r="M119" s="54"/>
      <x:c r="N119" s="58" t="str">
        <x:f>IF($J119="","",IF($J119&lt;=2,3,IF($J119&lt;=5,2,IF($J119&lt;=8,0,IF($J119&lt;=1E+99,-2,-2)))))</x:f>
      </x:c>
      <x:c r="O119" s="58" t="str">
        <x:f>IF($J119="","",IF(OR('02_Benchmarks'!$P119&lt;&gt;"Aktiv",COUNT('02_Benchmarks'!$J119:$M119)&lt;4),"",IF($G119="lower_is_better",IF($J119&lt;='02_Benchmarks'!$J119,3,IF($J119&lt;'02_Benchmarks'!$K119,2,IF($J119&lt;='02_Benchmarks'!$L119,0,IF($J119&lt;='02_Benchmarks'!$M119,-2,-3)))),IF($J119&gt;='02_Benchmarks'!$J119,3,IF($J119&gt;'02_Benchmarks'!$K119,2,IF($J119&gt;='02_Benchmarks'!$L119,0,IF($J119&gt;='02_Benchmarks'!$M119,-2,-3)))))))</x:f>
      </x:c>
      <x:c r="P119" s="58" t="str">
        <x:f>IF(COUNT($N119:$O119)+IF(ISNUMBER($K119),1,0)=0,"",MIN($N119:$O119,$K119))</x:f>
      </x:c>
      <x:c r="Q119" s="58" t="str">
        <x:f>IF($P119="","",INDEX('04_Tarifmodell'!$B$6:$B$12,$P119+4))</x:f>
      </x:c>
      <x:c r="R119" s="64" t="str">
        <x:f>IF($P119="","",INDEX('04_Tarifmodell'!$C$6:$C$12,$P119+4))</x:f>
      </x:c>
      <x:c r="S119" s="14" t="str">
        <x:f>IF(OR($I119="QUALITATIVE",$I119="MANUAL_HYBRID"),IF($K119="","Assurance-Score fehlt","Assurance-bewertet"),IF($I119="BENCHMARK",IF($W119&lt;&gt;"Aktiv",IF($K119="","Benchmark fehlt","Assurance-bewertet"),IF($J119="","Messwert fehlt",IF($P119="","Nicht bewertbar","Berechnet"))),IF(AND($J119="",$K119&lt;&gt;""),"Nur Assurance-Score",IF($J119="","Messwert fehlt",IF($P119="","Nicht bewertbar",IF($P119&lt;=-2,"Kritische Wirkung / Prüfung","Berechnet"))))))</x:f>
        <x:v>Messwert fehlt</x:v>
      </x:c>
      <x:c r="T119" s="14" t="str">
        <x:v>Werte &gt;8 werden bis zur Fachentscheidung konservativ mit −2 bewertet; manuelle Verschärfung über Assurance möglich.</x:v>
      </x:c>
      <x:c r="U119" s="14" t="str">
        <x:v>≤2:+3; ≤5:+2; ≤8:0; &gt;8:‑2/‑3</x:v>
      </x:c>
      <x:c r="V119" s="14" t="str">
        <x:v>ESRS S1, GRI 401/403/405/406, ILO</x:v>
      </x:c>
      <x:c r="W119" s="14" t="str">
        <x:f>'02_Benchmarks'!$P119</x:f>
        <x:v>Optional – kein aktiver Benchmark</x:v>
      </x:c>
      <x:c r="X119" s="14" t="str">
        <x:v>Messgrundlage belegt; Schwellenkalibrierung offen</x:v>
      </x:c>
      <x:c r="Y119" s="14" t="str">
        <x:v>Hoch</x:v>
      </x:c>
      <x:c r="Z119" s="14" t="str">
        <x:v>Grenze zwischen −2 und −3 offen</x:v>
      </x:c>
      <x:c r="AA119" s="14" t="str">
        <x:v>Eigene Belegschaft/Organisation; FTE, Beschäftigtengruppe und Zeitraum</x:v>
      </x:c>
      <x:c r="AB119" s="14" t="str">
        <x:v>Primärdaten oder qualitätsgesicherte Sekundärdaten; Methode, Zeitraum und Systemgrenze dokumentieren</x:v>
      </x:c>
      <x:c r="AC119" s="14" t="str">
        <x:v>Limited Assurance; bei materieller Steuerwirkung risikobasiert vertiefen</x:v>
      </x:c>
    </x:row>
    <x:row r="120" ht="42" customHeight="1">
      <x:c r="A120" s="14" t="str">
        <x:v>WOK-S-138</x:v>
      </x:c>
      <x:c r="B120" s="14" t="str">
        <x:v>SDG 5 – Gleichstellung</x:v>
      </x:c>
      <x:c r="C120" s="14" t="str">
        <x:v>5.2</x:v>
      </x:c>
      <x:c r="D120" s="14" t="str">
        <x:v>Antidiskriminierung &amp; Fälle</x:v>
      </x:c>
      <x:c r="E120" s="14" t="str">
        <x:v>Antidiskriminierung &amp; Fälle – Führung Diversität</x:v>
      </x:c>
      <x:c r="F120" s="14" t="str">
        <x:v>%</x:v>
      </x:c>
      <x:c r="G120" s="14" t="str">
        <x:v>higher_is_better</x:v>
      </x:c>
      <x:c r="H120" s="14" t="str">
        <x:v>R18</x:v>
      </x:c>
      <x:c r="I120" s="14" t="str">
        <x:v>NUM_HIGH</x:v>
      </x:c>
      <x:c r="J120" s="51"/>
      <x:c r="K120" s="51"/>
      <x:c r="L120" s="51"/>
      <x:c r="M120" s="54"/>
      <x:c r="N120" s="58" t="str">
        <x:f>IF($J120="","",IF($J120&lt;30,-2,IF($J120&lt;40,0,IF($J120&lt;50,2,IF($J120&lt;1E+99,3,3)))))</x:f>
      </x:c>
      <x:c r="O120" s="58" t="str">
        <x:f>IF($J120="","",IF(OR('02_Benchmarks'!$P120&lt;&gt;"Aktiv",COUNT('02_Benchmarks'!$J120:$M120)&lt;4),"",IF($G120="lower_is_better",IF($J120&lt;='02_Benchmarks'!$J120,3,IF($J120&lt;'02_Benchmarks'!$K120,2,IF($J120&lt;='02_Benchmarks'!$L120,0,IF($J120&lt;='02_Benchmarks'!$M120,-2,-3)))),IF($J120&gt;='02_Benchmarks'!$J120,3,IF($J120&gt;'02_Benchmarks'!$K120,2,IF($J120&gt;='02_Benchmarks'!$L120,0,IF($J120&gt;='02_Benchmarks'!$M120,-2,-3)))))))</x:f>
      </x:c>
      <x:c r="P120" s="58" t="str">
        <x:f>IF(COUNT($N120:$O120)+IF(ISNUMBER($K120),1,0)=0,"",MIN($N120:$O120,$K120))</x:f>
      </x:c>
      <x:c r="Q120" s="58" t="str">
        <x:f>IF($P120="","",INDEX('04_Tarifmodell'!$B$6:$B$12,$P120+4))</x:f>
      </x:c>
      <x:c r="R120" s="64" t="str">
        <x:f>IF($P120="","",INDEX('04_Tarifmodell'!$C$6:$C$12,$P120+4))</x:f>
      </x:c>
      <x:c r="S120" s="14" t="str">
        <x:f>IF(OR($I120="QUALITATIVE",$I120="MANUAL_HYBRID"),IF($K120="","Assurance-Score fehlt","Assurance-bewertet"),IF($I120="BENCHMARK",IF($W120&lt;&gt;"Aktiv",IF($K120="","Benchmark fehlt","Assurance-bewertet"),IF($J120="","Messwert fehlt",IF($P120="","Nicht bewertbar","Berechnet"))),IF(AND($J120="",$K120&lt;&gt;""),"Nur Assurance-Score",IF($J120="","Messwert fehlt",IF($P120="","Nicht bewertbar",IF($P120&lt;=-2,"Kritische Wirkung / Prüfung","Berechnet"))))))</x:f>
        <x:v>Messwert fehlt</x:v>
      </x:c>
      <x:c r="T120" s="14" t="str">
        <x:v>Werte &lt;30 werden bis zur Fachentscheidung mit −2 bewertet; manuelle Verschärfung über Assurance möglich.</x:v>
      </x:c>
      <x:c r="U120" s="14" t="str">
        <x:v>≥50:+3; ≥40:+2; ≥30:0; &lt;30:‑2/‑3</x:v>
      </x:c>
      <x:c r="V120" s="14" t="str">
        <x:v>ESRS G1; GRI 205/207</x:v>
      </x:c>
      <x:c r="W120" s="14" t="str">
        <x:f>'02_Benchmarks'!$P120</x:f>
        <x:v>Optional – kein aktiver Benchmark</x:v>
      </x:c>
      <x:c r="X120" s="14" t="str">
        <x:v>Messgrundlage belegt; Schwellenkalibrierung offen</x:v>
      </x:c>
      <x:c r="Y120" s="14" t="str">
        <x:v>Hoch</x:v>
      </x:c>
      <x:c r="Z120" s="14" t="str">
        <x:v>Grenze zwischen −2 und −3 offen</x:v>
      </x:c>
      <x:c r="AA120" s="14" t="str">
        <x:v>Eigene Belegschaft/Organisation; FTE, Beschäftigtengruppe und Zeitraum</x:v>
      </x:c>
      <x:c r="AB120" s="14" t="str">
        <x:v>Primärdaten oder qualitätsgesicherte Sekundärdaten; Methode, Zeitraum und Systemgrenze dokumentieren</x:v>
      </x:c>
      <x:c r="AC120" s="14" t="str">
        <x:v>Limited Assurance; bei materieller Steuerwirkung risikobasiert vertiefen</x:v>
      </x:c>
    </x:row>
    <x:row r="121" ht="42" customHeight="1">
      <x:c r="A121" s="14" t="str">
        <x:v>WOK-S-139</x:v>
      </x:c>
      <x:c r="B121" s="14" t="str">
        <x:v>SDG 5 – Gleichstellung</x:v>
      </x:c>
      <x:c r="C121" s="14" t="str">
        <x:v>5.2</x:v>
      </x:c>
      <x:c r="D121" s="14" t="str">
        <x:v>Antidiskriminierung &amp; Fälle</x:v>
      </x:c>
      <x:c r="E121" s="14" t="str">
        <x:v>Antidiskriminierung &amp; Fälle – Inklusion</x:v>
      </x:c>
      <x:c r="F121" s="14" t="str">
        <x:v>%</x:v>
      </x:c>
      <x:c r="G121" s="14" t="str">
        <x:v>higher_is_better</x:v>
      </x:c>
      <x:c r="H121" s="14" t="str">
        <x:v>R21</x:v>
      </x:c>
      <x:c r="I121" s="14" t="str">
        <x:v>NUM_HIGH</x:v>
      </x:c>
      <x:c r="J121" s="51"/>
      <x:c r="K121" s="51"/>
      <x:c r="L121" s="51"/>
      <x:c r="M121" s="54"/>
      <x:c r="N121" s="58" t="str">
        <x:f>IF($J121="","",IF($J121&lt;1,-3,IF($J121&lt;2,-2,IF($J121&lt;4,0,IF($J121&lt;6,2,3)))))</x:f>
      </x:c>
      <x:c r="O121" s="58" t="str">
        <x:f>IF($J121="","",IF(OR('02_Benchmarks'!$P121&lt;&gt;"Aktiv",COUNT('02_Benchmarks'!$J121:$M121)&lt;4),"",IF($G121="lower_is_better",IF($J121&lt;='02_Benchmarks'!$J121,3,IF($J121&lt;'02_Benchmarks'!$K121,2,IF($J121&lt;='02_Benchmarks'!$L121,0,IF($J121&lt;='02_Benchmarks'!$M121,-2,-3)))),IF($J121&gt;='02_Benchmarks'!$J121,3,IF($J121&gt;'02_Benchmarks'!$K121,2,IF($J121&gt;='02_Benchmarks'!$L121,0,IF($J121&gt;='02_Benchmarks'!$M121,-2,-3)))))))</x:f>
      </x:c>
      <x:c r="P121" s="58" t="str">
        <x:f>IF(COUNT($N121:$O121)+IF(ISNUMBER($K121),1,0)=0,"",MIN($N121:$O121,$K121))</x:f>
      </x:c>
      <x:c r="Q121" s="58" t="str">
        <x:f>IF($P121="","",INDEX('04_Tarifmodell'!$B$6:$B$12,$P121+4))</x:f>
      </x:c>
      <x:c r="R121" s="64" t="str">
        <x:f>IF($P121="","",INDEX('04_Tarifmodell'!$C$6:$C$12,$P121+4))</x:f>
      </x:c>
      <x:c r="S121" s="14" t="str">
        <x:f>IF(OR($I121="QUALITATIVE",$I121="MANUAL_HYBRID"),IF($K121="","Assurance-Score fehlt","Assurance-bewertet"),IF($I121="BENCHMARK",IF($W121&lt;&gt;"Aktiv",IF($K121="","Benchmark fehlt","Assurance-bewertet"),IF($J121="","Messwert fehlt",IF($P121="","Nicht bewertbar","Berechnet"))),IF(AND($J121="",$K121&lt;&gt;""),"Nur Assurance-Score",IF($J121="","Messwert fehlt",IF($P121="","Nicht bewertbar",IF($P121&lt;=-2,"Kritische Wirkung / Prüfung","Berechnet"))))))</x:f>
        <x:v>Messwert fehlt</x:v>
      </x:c>
      <x:c r="T121" s="14" t="str">
        <x:v>Vollständige fünfstufige numerische Regel.</x:v>
      </x:c>
      <x:c r="U121" s="14" t="str">
        <x:v>≥6:+3; 4–5,9:+2; 2–3,9:0; 1–1,9:‑2; &lt;1:‑3</x:v>
      </x:c>
      <x:c r="V121" s="14" t="str">
        <x:v>ESRS S1, GRI 401/403/405/406, ILO</x:v>
      </x:c>
      <x:c r="W121" s="14" t="str">
        <x:f>'02_Benchmarks'!$P121</x:f>
        <x:v>Optional – kein aktiver Benchmark</x:v>
      </x:c>
      <x:c r="X121" s="14" t="str">
        <x:v>Messgrundlage belegt; Schwellenkalibrierung offen</x:v>
      </x:c>
      <x:c r="Y121" s="14" t="str">
        <x:v>Mittel</x:v>
      </x:c>
      <x:c r="Z121" s="14" t="str">
        <x:v>Arbeitskalibrierung – fachlich zu validieren</x:v>
      </x:c>
      <x:c r="AA121" s="14" t="str">
        <x:v>Eigene Belegschaft/Organisation; FTE, Beschäftigtengruppe und Zeitraum</x:v>
      </x:c>
      <x:c r="AB121" s="14" t="str">
        <x:v>Primärdaten bevorzugt; Sekundärdaten nur transparent und versioniert; Methode und Systemgrenze dokumentieren</x:v>
      </x:c>
      <x:c r="AC121" s="14" t="str">
        <x:v>Limited Assurance; risikobasiert höhere Prüftiefe</x:v>
      </x:c>
    </x:row>
    <x:row r="122" ht="42" customHeight="1">
      <x:c r="A122" s="14" t="str">
        <x:v>WOK-S-140</x:v>
      </x:c>
      <x:c r="B122" s="14" t="str">
        <x:v>SDG 5 – Gleichstellung</x:v>
      </x:c>
      <x:c r="C122" s="14" t="str">
        <x:v>5.4</x:v>
      </x:c>
      <x:c r="D122" s="14" t="str">
        <x:v>Vereinbarkeit &amp; Care</x:v>
      </x:c>
      <x:c r="E122" s="14" t="str">
        <x:v>Vereinbarkeit &amp; Care – Living Wage</x:v>
      </x:c>
      <x:c r="F122" s="14" t="str">
        <x:v>% Beschäftigte</x:v>
      </x:c>
      <x:c r="G122" s="14" t="str">
        <x:v>higher_is_better</x:v>
      </x:c>
      <x:c r="H122" s="14" t="str">
        <x:v>R27</x:v>
      </x:c>
      <x:c r="I122" s="14" t="str">
        <x:v>NUM_HIGH</x:v>
      </x:c>
      <x:c r="J122" s="51"/>
      <x:c r="K122" s="51"/>
      <x:c r="L122" s="51"/>
      <x:c r="M122" s="54"/>
      <x:c r="N122" s="58" t="str">
        <x:f>IF($J122="","",IF($J122&lt;40,-3,IF($J122&lt;60,-2,IF($J122&lt;80,0,IF($J122&lt;95,2,3)))))</x:f>
      </x:c>
      <x:c r="O122" s="58" t="str">
        <x:f>IF($J122="","",IF(OR('02_Benchmarks'!$P122&lt;&gt;"Aktiv",COUNT('02_Benchmarks'!$J122:$M122)&lt;4),"",IF($G122="lower_is_better",IF($J122&lt;='02_Benchmarks'!$J122,3,IF($J122&lt;'02_Benchmarks'!$K122,2,IF($J122&lt;='02_Benchmarks'!$L122,0,IF($J122&lt;='02_Benchmarks'!$M122,-2,-3)))),IF($J122&gt;='02_Benchmarks'!$J122,3,IF($J122&gt;'02_Benchmarks'!$K122,2,IF($J122&gt;='02_Benchmarks'!$L122,0,IF($J122&gt;='02_Benchmarks'!$M122,-2,-3)))))))</x:f>
      </x:c>
      <x:c r="P122" s="58" t="str">
        <x:f>IF(COUNT($N122:$O122)+IF(ISNUMBER($K122),1,0)=0,"",MIN($N122:$O122,$K122))</x:f>
      </x:c>
      <x:c r="Q122" s="58" t="str">
        <x:f>IF($P122="","",INDEX('04_Tarifmodell'!$B$6:$B$12,$P122+4))</x:f>
      </x:c>
      <x:c r="R122" s="64" t="str">
        <x:f>IF($P122="","",INDEX('04_Tarifmodell'!$C$6:$C$12,$P122+4))</x:f>
      </x:c>
      <x:c r="S122" s="14" t="str">
        <x:f>IF(OR($I122="QUALITATIVE",$I122="MANUAL_HYBRID"),IF($K122="","Assurance-Score fehlt","Assurance-bewertet"),IF($I122="BENCHMARK",IF($W122&lt;&gt;"Aktiv",IF($K122="","Benchmark fehlt","Assurance-bewertet"),IF($J122="","Messwert fehlt",IF($P122="","Nicht bewertbar","Berechnet"))),IF(AND($J122="",$K122&lt;&gt;""),"Nur Assurance-Score",IF($J122="","Messwert fehlt",IF($P122="","Nicht bewertbar",IF($P122&lt;=-2,"Kritische Wirkung / Prüfung","Berechnet"))))))</x:f>
        <x:v>Messwert fehlt</x:v>
      </x:c>
      <x:c r="T122" s="14" t="str">
        <x:v>Vollständige fünfstufige numerische Regel.</x:v>
      </x:c>
      <x:c r="U122" s="14" t="str">
        <x:v>≥95:+3; 80–94:+2; 60–79:0; 40–59:‑2; &lt;40:‑3</x:v>
      </x:c>
      <x:c r="V122" s="14" t="str">
        <x:v>ESRS S1, GRI 401/403/405/406, ILO</x:v>
      </x:c>
      <x:c r="W122" s="14" t="str">
        <x:f>'02_Benchmarks'!$P122</x:f>
        <x:v>Optional – kein aktiver Benchmark</x:v>
      </x:c>
      <x:c r="X122" s="14" t="str">
        <x:v>Messgrundlage belegt; Schwellenkalibrierung offen</x:v>
      </x:c>
      <x:c r="Y122" s="14" t="str">
        <x:v>Mittel</x:v>
      </x:c>
      <x:c r="Z122" s="14" t="str">
        <x:v>Arbeitskalibrierung – fachlich zu validieren</x:v>
      </x:c>
      <x:c r="AA122" s="14" t="str">
        <x:v>Eigene Belegschaft/Organisation; FTE, Beschäftigtengruppe und Zeitraum</x:v>
      </x:c>
      <x:c r="AB122" s="14" t="str">
        <x:v>Primärdaten bevorzugt; Sekundärdaten nur transparent und versioniert; Methode und Systemgrenze dokumentieren</x:v>
      </x:c>
      <x:c r="AC122" s="14" t="str">
        <x:v>Limited Assurance; risikobasiert höhere Prüftiefe</x:v>
      </x:c>
    </x:row>
    <x:row r="123" ht="42" customHeight="1">
      <x:c r="A123" s="14" t="str">
        <x:v>WOK-S-141</x:v>
      </x:c>
      <x:c r="B123" s="14" t="str">
        <x:v>SDG 5 – Gleichstellung</x:v>
      </x:c>
      <x:c r="C123" s="14" t="str">
        <x:v>5.4</x:v>
      </x:c>
      <x:c r="D123" s="14" t="str">
        <x:v>Vereinbarkeit &amp; Care</x:v>
      </x:c>
      <x:c r="E123" s="14" t="str">
        <x:v>Vereinbarkeit &amp; Care – Tarifbindung</x:v>
      </x:c>
      <x:c r="F123" s="14" t="str">
        <x:v>%</x:v>
      </x:c>
      <x:c r="G123" s="14" t="str">
        <x:v>higher_is_better</x:v>
      </x:c>
      <x:c r="H123" s="14" t="str">
        <x:v>R26</x:v>
      </x:c>
      <x:c r="I123" s="14" t="str">
        <x:v>NUM_HIGH</x:v>
      </x:c>
      <x:c r="J123" s="51"/>
      <x:c r="K123" s="51"/>
      <x:c r="L123" s="51"/>
      <x:c r="M123" s="54"/>
      <x:c r="N123" s="58" t="str">
        <x:f>IF($J123="","",IF($J123&lt;30,-3,IF($J123&lt;50,-2,IF($J123&lt;70,0,IF($J123&lt;90,2,3)))))</x:f>
      </x:c>
      <x:c r="O123" s="58" t="str">
        <x:f>IF($J123="","",IF(OR('02_Benchmarks'!$P123&lt;&gt;"Aktiv",COUNT('02_Benchmarks'!$J123:$M123)&lt;4),"",IF($G123="lower_is_better",IF($J123&lt;='02_Benchmarks'!$J123,3,IF($J123&lt;'02_Benchmarks'!$K123,2,IF($J123&lt;='02_Benchmarks'!$L123,0,IF($J123&lt;='02_Benchmarks'!$M123,-2,-3)))),IF($J123&gt;='02_Benchmarks'!$J123,3,IF($J123&gt;'02_Benchmarks'!$K123,2,IF($J123&gt;='02_Benchmarks'!$L123,0,IF($J123&gt;='02_Benchmarks'!$M123,-2,-3)))))))</x:f>
      </x:c>
      <x:c r="P123" s="58" t="str">
        <x:f>IF(COUNT($N123:$O123)+IF(ISNUMBER($K123),1,0)=0,"",MIN($N123:$O123,$K123))</x:f>
      </x:c>
      <x:c r="Q123" s="58" t="str">
        <x:f>IF($P123="","",INDEX('04_Tarifmodell'!$B$6:$B$12,$P123+4))</x:f>
      </x:c>
      <x:c r="R123" s="64" t="str">
        <x:f>IF($P123="","",INDEX('04_Tarifmodell'!$C$6:$C$12,$P123+4))</x:f>
      </x:c>
      <x:c r="S123" s="14" t="str">
        <x:f>IF(OR($I123="QUALITATIVE",$I123="MANUAL_HYBRID"),IF($K123="","Assurance-Score fehlt","Assurance-bewertet"),IF($I123="BENCHMARK",IF($W123&lt;&gt;"Aktiv",IF($K123="","Benchmark fehlt","Assurance-bewertet"),IF($J123="","Messwert fehlt",IF($P123="","Nicht bewertbar","Berechnet"))),IF(AND($J123="",$K123&lt;&gt;""),"Nur Assurance-Score",IF($J123="","Messwert fehlt",IF($P123="","Nicht bewertbar",IF($P123&lt;=-2,"Kritische Wirkung / Prüfung","Berechnet"))))))</x:f>
        <x:v>Messwert fehlt</x:v>
      </x:c>
      <x:c r="T123" s="14" t="str">
        <x:v>Vollständige fünfstufige numerische Regel.</x:v>
      </x:c>
      <x:c r="U123" s="14" t="str">
        <x:v>≥90:+3; 70–89:+2; 50–69:0; 30–49:‑2; &lt;30:‑3</x:v>
      </x:c>
      <x:c r="V123" s="14" t="str">
        <x:v>ESRS S1, GRI 401/403/405/406, ILO</x:v>
      </x:c>
      <x:c r="W123" s="14" t="str">
        <x:f>'02_Benchmarks'!$P123</x:f>
        <x:v>Optional – kein aktiver Benchmark</x:v>
      </x:c>
      <x:c r="X123" s="14" t="str">
        <x:v>Messgrundlage belegt; Schwellenkalibrierung offen</x:v>
      </x:c>
      <x:c r="Y123" s="14" t="str">
        <x:v>Mittel</x:v>
      </x:c>
      <x:c r="Z123" s="14" t="str">
        <x:v>Arbeitskalibrierung – fachlich zu validieren</x:v>
      </x:c>
      <x:c r="AA123" s="14" t="str">
        <x:v>Eigene Belegschaft/Organisation; FTE, Beschäftigtengruppe und Zeitraum</x:v>
      </x:c>
      <x:c r="AB123" s="14" t="str">
        <x:v>Primärdaten bevorzugt; Sekundärdaten nur transparent und versioniert; Methode und Systemgrenze dokumentieren</x:v>
      </x:c>
      <x:c r="AC123" s="14" t="str">
        <x:v>Limited Assurance; risikobasiert höhere Prüftiefe</x:v>
      </x:c>
    </x:row>
    <x:row r="124" ht="42" customHeight="1">
      <x:c r="A124" s="14" t="str">
        <x:v>WOK-S-142</x:v>
      </x:c>
      <x:c r="B124" s="14" t="str">
        <x:v>SDG 5 – Gleichstellung</x:v>
      </x:c>
      <x:c r="C124" s="14" t="str">
        <x:v>5.4</x:v>
      </x:c>
      <x:c r="D124" s="14" t="str">
        <x:v>Vereinbarkeit &amp; Care</x:v>
      </x:c>
      <x:c r="E124" s="14" t="str">
        <x:v>Vereinbarkeit &amp; Care – LTIFR</x:v>
      </x:c>
      <x:c r="F124" s="14" t="str">
        <x:v>Unfälle/Mio Std.</x:v>
      </x:c>
      <x:c r="G124" s="14" t="str">
        <x:v>lower_is_better</x:v>
      </x:c>
      <x:c r="H124" s="14" t="str">
        <x:v>R02</x:v>
      </x:c>
      <x:c r="I124" s="14" t="str">
        <x:v>NUM_LOW</x:v>
      </x:c>
      <x:c r="J124" s="51"/>
      <x:c r="K124" s="51"/>
      <x:c r="L124" s="51"/>
      <x:c r="M124" s="54"/>
      <x:c r="N124" s="58" t="str">
        <x:f>IF($J124="","",IF($J124&lt;=0,3,IF($J124&lt;=1,2,IF($J124&lt;=3,0,IF($J124&lt;=5,-2,-3)))))</x:f>
      </x:c>
      <x:c r="O124" s="58" t="str">
        <x:f>IF($J124="","",IF(OR('02_Benchmarks'!$P124&lt;&gt;"Aktiv",COUNT('02_Benchmarks'!$J124:$M124)&lt;4),"",IF($G124="lower_is_better",IF($J124&lt;='02_Benchmarks'!$J124,3,IF($J124&lt;'02_Benchmarks'!$K124,2,IF($J124&lt;='02_Benchmarks'!$L124,0,IF($J124&lt;='02_Benchmarks'!$M124,-2,-3)))),IF($J124&gt;='02_Benchmarks'!$J124,3,IF($J124&gt;'02_Benchmarks'!$K124,2,IF($J124&gt;='02_Benchmarks'!$L124,0,IF($J124&gt;='02_Benchmarks'!$M124,-2,-3)))))))</x:f>
      </x:c>
      <x:c r="P124" s="58" t="str">
        <x:f>IF(COUNT($N124:$O124)+IF(ISNUMBER($K124),1,0)=0,"",MIN($N124:$O124,$K124))</x:f>
      </x:c>
      <x:c r="Q124" s="58" t="str">
        <x:f>IF($P124="","",INDEX('04_Tarifmodell'!$B$6:$B$12,$P124+4))</x:f>
      </x:c>
      <x:c r="R124" s="64" t="str">
        <x:f>IF($P124="","",INDEX('04_Tarifmodell'!$C$6:$C$12,$P124+4))</x:f>
      </x:c>
      <x:c r="S124" s="14" t="str">
        <x:f>IF(OR($I124="QUALITATIVE",$I124="MANUAL_HYBRID"),IF($K124="","Assurance-Score fehlt","Assurance-bewertet"),IF($I124="BENCHMARK",IF($W124&lt;&gt;"Aktiv",IF($K124="","Benchmark fehlt","Assurance-bewertet"),IF($J124="","Messwert fehlt",IF($P124="","Nicht bewertbar","Berechnet"))),IF(AND($J124="",$K124&lt;&gt;""),"Nur Assurance-Score",IF($J124="","Messwert fehlt",IF($P124="","Nicht bewertbar",IF($P124&lt;=-2,"Kritische Wirkung / Prüfung","Berechnet"))))))</x:f>
        <x:v>Messwert fehlt</x:v>
      </x:c>
      <x:c r="T124" s="14" t="str">
        <x:v>Vollständige fünfstufige numerische Regel.</x:v>
      </x:c>
      <x:c r="U124" s="14" t="str">
        <x:v>0:+3; ≤1:+2; ≤3:0; ≤5:‑2; &gt;5:‑3</x:v>
      </x:c>
      <x:c r="V124" s="14" t="str">
        <x:v>ESRS S1, GRI 401/403/405/406, ILO</x:v>
      </x:c>
      <x:c r="W124" s="14" t="str">
        <x:f>'02_Benchmarks'!$P124</x:f>
        <x:v>Optional – kein aktiver Benchmark</x:v>
      </x:c>
      <x:c r="X124" s="14" t="str">
        <x:v>Messgrundlage belegt; Schwellenkalibrierung offen</x:v>
      </x:c>
      <x:c r="Y124" s="14" t="str">
        <x:v>Mittel</x:v>
      </x:c>
      <x:c r="Z124" s="14" t="str">
        <x:v>Arbeitskalibrierung – fachlich zu validieren</x:v>
      </x:c>
      <x:c r="AA124" s="14" t="str">
        <x:v>Eigene Belegschaft/Organisation; FTE, Beschäftigtengruppe und Zeitraum</x:v>
      </x:c>
      <x:c r="AB124" s="14" t="str">
        <x:v>Primärdaten bevorzugt; Sekundärdaten nur transparent und versioniert; Methode und Systemgrenze dokumentieren</x:v>
      </x:c>
      <x:c r="AC124" s="14" t="str">
        <x:v>Limited Assurance; risikobasiert höhere Prüftiefe</x:v>
      </x:c>
    </x:row>
    <x:row r="125" ht="42" customHeight="1">
      <x:c r="A125" s="14" t="str">
        <x:v>WOK-SC-107</x:v>
      </x:c>
      <x:c r="B125" s="14" t="str">
        <x:v>SDG 5 – Gleichstellung</x:v>
      </x:c>
      <x:c r="C125" s="14" t="str">
        <x:v>5.b</x:v>
      </x:c>
      <x:c r="D125" s="14" t="str">
        <x:v>Frauen in Lieferkette</x:v>
      </x:c>
      <x:c r="E125" s="14" t="str">
        <x:v>Frauen in Lieferkette – ESG‑Spend‑Coverage</x:v>
      </x:c>
      <x:c r="F125" s="14" t="str">
        <x:v>%</x:v>
      </x:c>
      <x:c r="G125" s="14" t="str">
        <x:v>higher_is_better</x:v>
      </x:c>
      <x:c r="H125" s="14" t="str">
        <x:v>R26</x:v>
      </x:c>
      <x:c r="I125" s="14" t="str">
        <x:v>NUM_HIGH</x:v>
      </x:c>
      <x:c r="J125" s="51"/>
      <x:c r="K125" s="51"/>
      <x:c r="L125" s="51"/>
      <x:c r="M125" s="54"/>
      <x:c r="N125" s="58" t="str">
        <x:f>IF($J125="","",IF($J125&lt;30,-3,IF($J125&lt;50,-2,IF($J125&lt;70,0,IF($J125&lt;90,2,3)))))</x:f>
      </x:c>
      <x:c r="O125" s="58" t="str">
        <x:f>IF($J125="","",IF(OR('02_Benchmarks'!$P125&lt;&gt;"Aktiv",COUNT('02_Benchmarks'!$J125:$M125)&lt;4),"",IF($G125="lower_is_better",IF($J125&lt;='02_Benchmarks'!$J125,3,IF($J125&lt;'02_Benchmarks'!$K125,2,IF($J125&lt;='02_Benchmarks'!$L125,0,IF($J125&lt;='02_Benchmarks'!$M125,-2,-3)))),IF($J125&gt;='02_Benchmarks'!$J125,3,IF($J125&gt;'02_Benchmarks'!$K125,2,IF($J125&gt;='02_Benchmarks'!$L125,0,IF($J125&gt;='02_Benchmarks'!$M125,-2,-3)))))))</x:f>
      </x:c>
      <x:c r="P125" s="58" t="str">
        <x:f>IF(COUNT($N125:$O125)+IF(ISNUMBER($K125),1,0)=0,"",MIN($N125:$O125,$K125))</x:f>
      </x:c>
      <x:c r="Q125" s="58" t="str">
        <x:f>IF($P125="","",INDEX('04_Tarifmodell'!$B$6:$B$12,$P125+4))</x:f>
      </x:c>
      <x:c r="R125" s="64" t="str">
        <x:f>IF($P125="","",INDEX('04_Tarifmodell'!$C$6:$C$12,$P125+4))</x:f>
      </x:c>
      <x:c r="S125" s="14" t="str">
        <x:f>IF(OR($I125="QUALITATIVE",$I125="MANUAL_HYBRID"),IF($K125="","Assurance-Score fehlt","Assurance-bewertet"),IF($I125="BENCHMARK",IF($W125&lt;&gt;"Aktiv",IF($K125="","Benchmark fehlt","Assurance-bewertet"),IF($J125="","Messwert fehlt",IF($P125="","Nicht bewertbar","Berechnet"))),IF(AND($J125="",$K125&lt;&gt;""),"Nur Assurance-Score",IF($J125="","Messwert fehlt",IF($P125="","Nicht bewertbar",IF($P125&lt;=-2,"Kritische Wirkung / Prüfung","Berechnet"))))))</x:f>
        <x:v>Messwert fehlt</x:v>
      </x:c>
      <x:c r="T125" s="14" t="str">
        <x:v>Vollständige fünfstufige numerische Regel.</x:v>
      </x:c>
      <x:c r="U125" s="14" t="str">
        <x:v>≥90:+3; 70–89:+2; 50–69:0; 30–49:‑2; &lt;30:‑3</x:v>
      </x:c>
      <x:c r="V125" s="14" t="str">
        <x:v>ESRS S2, GRI 308/414, OECD Due Diligence</x:v>
      </x:c>
      <x:c r="W125" s="14" t="str">
        <x:f>'02_Benchmarks'!$P125</x:f>
        <x:v>Optional – kein aktiver Benchmark</x:v>
      </x:c>
      <x:c r="X125" s="14" t="str">
        <x:v>Messgrundlage belegt; Schwellenkalibrierung offen</x:v>
      </x:c>
      <x:c r="Y125" s="14" t="str">
        <x:v>Mittel</x:v>
      </x:c>
      <x:c r="Z125" s="14" t="str">
        <x:v>Arbeitskalibrierung – fachlich zu validieren</x:v>
      </x:c>
      <x:c r="AA125" s="14" t="str">
        <x:v>Vorgelagerte Lieferkette; relevante Tier-Stufen und Beschaffungsvolumen</x:v>
      </x:c>
      <x:c r="AB125" s="14" t="str">
        <x:v>Primärdaten bevorzugt; Sekundärdaten nur transparent und versioniert; Methode und Systemgrenze dokumentieren</x:v>
      </x:c>
      <x:c r="AC125" s="14" t="str">
        <x:v>Limited Assurance; risikobasiert höhere Prüftiefe</x:v>
      </x:c>
    </x:row>
    <x:row r="126" ht="42" customHeight="1">
      <x:c r="A126" s="14" t="str">
        <x:v>WOK-SC-108</x:v>
      </x:c>
      <x:c r="B126" s="14" t="str">
        <x:v>SDG 5 – Gleichstellung</x:v>
      </x:c>
      <x:c r="C126" s="14" t="str">
        <x:v>5.b</x:v>
      </x:c>
      <x:c r="D126" s="14" t="str">
        <x:v>Frauen in Lieferkette</x:v>
      </x:c>
      <x:c r="E126" s="14" t="str">
        <x:v>Frauen in Lieferkette – Kinder/Zwangsarbeit</x:v>
      </x:c>
      <x:c r="F126" s="14" t="str">
        <x:v>% Lieferanten</x:v>
      </x:c>
      <x:c r="G126" s="14" t="str">
        <x:v>higher_is_better</x:v>
      </x:c>
      <x:c r="H126" s="14" t="str">
        <x:v>R28</x:v>
      </x:c>
      <x:c r="I126" s="14" t="str">
        <x:v>NUM_HIGH</x:v>
      </x:c>
      <x:c r="J126" s="51"/>
      <x:c r="K126" s="51"/>
      <x:c r="L126" s="51"/>
      <x:c r="M126" s="54"/>
      <x:c r="N126" s="58" t="str">
        <x:f>IF($J126="","",IF($J126&lt;50,-3,IF($J126&lt;75,-2,IF($J126&lt;90,0,IF($J126&lt;98,2,3)))))</x:f>
      </x:c>
      <x:c r="O126" s="58" t="str">
        <x:f>IF($J126="","",IF(OR('02_Benchmarks'!$P126&lt;&gt;"Aktiv",COUNT('02_Benchmarks'!$J126:$M126)&lt;4),"",IF($G126="lower_is_better",IF($J126&lt;='02_Benchmarks'!$J126,3,IF($J126&lt;'02_Benchmarks'!$K126,2,IF($J126&lt;='02_Benchmarks'!$L126,0,IF($J126&lt;='02_Benchmarks'!$M126,-2,-3)))),IF($J126&gt;='02_Benchmarks'!$J126,3,IF($J126&gt;'02_Benchmarks'!$K126,2,IF($J126&gt;='02_Benchmarks'!$L126,0,IF($J126&gt;='02_Benchmarks'!$M126,-2,-3)))))))</x:f>
      </x:c>
      <x:c r="P126" s="58" t="str">
        <x:f>IF(COUNT($N126:$O126)+IF(ISNUMBER($K126),1,0)=0,"",MIN($N126:$O126,$K126))</x:f>
      </x:c>
      <x:c r="Q126" s="58" t="str">
        <x:f>IF($P126="","",INDEX('04_Tarifmodell'!$B$6:$B$12,$P126+4))</x:f>
      </x:c>
      <x:c r="R126" s="64" t="str">
        <x:f>IF($P126="","",INDEX('04_Tarifmodell'!$C$6:$C$12,$P126+4))</x:f>
      </x:c>
      <x:c r="S126" s="14" t="str">
        <x:f>IF(OR($I126="QUALITATIVE",$I126="MANUAL_HYBRID"),IF($K126="","Assurance-Score fehlt","Assurance-bewertet"),IF($I126="BENCHMARK",IF($W126&lt;&gt;"Aktiv",IF($K126="","Benchmark fehlt","Assurance-bewertet"),IF($J126="","Messwert fehlt",IF($P126="","Nicht bewertbar","Berechnet"))),IF(AND($J126="",$K126&lt;&gt;""),"Nur Assurance-Score",IF($J126="","Messwert fehlt",IF($P126="","Nicht bewertbar",IF($P126&lt;=-2,"Kritische Wirkung / Prüfung","Berechnet"))))))</x:f>
        <x:v>Messwert fehlt</x:v>
      </x:c>
      <x:c r="T126" s="14" t="str">
        <x:v>Vollständige fünfstufige numerische Regel.</x:v>
      </x:c>
      <x:c r="U126" s="14" t="str">
        <x:v>≥98:+3; 90–97:+2; 75–89:0; 50–74:‑2; &lt;50:‑3</x:v>
      </x:c>
      <x:c r="V126" s="14" t="str">
        <x:v>ESRS S2, GRI 308/414, OECD Due Diligence</x:v>
      </x:c>
      <x:c r="W126" s="14" t="str">
        <x:f>'02_Benchmarks'!$P126</x:f>
        <x:v>Optional – kein aktiver Benchmark</x:v>
      </x:c>
      <x:c r="X126" s="14" t="str">
        <x:v>Messgrundlage belegt; Schwellenkalibrierung offen</x:v>
      </x:c>
      <x:c r="Y126" s="14" t="str">
        <x:v>Mittel</x:v>
      </x:c>
      <x:c r="Z126" s="14" t="str">
        <x:v>Arbeitskalibrierung – fachlich zu validieren</x:v>
      </x:c>
      <x:c r="AA126" s="14" t="str">
        <x:v>Vorgelagerte Lieferkette; relevante Tier-Stufen und Beschaffungsvolumen</x:v>
      </x:c>
      <x:c r="AB126" s="14" t="str">
        <x:v>Primärdaten bevorzugt; Sekundärdaten nur transparent und versioniert; Methode und Systemgrenze dokumentieren</x:v>
      </x:c>
      <x:c r="AC126" s="14" t="str">
        <x:v>Limited Assurance; risikobasiert höhere Prüftiefe</x:v>
      </x:c>
    </x:row>
    <x:row r="127" ht="42" customHeight="1">
      <x:c r="A127" s="14" t="str">
        <x:v>WOK-SC-109</x:v>
      </x:c>
      <x:c r="B127" s="14" t="str">
        <x:v>SDG 5 – Gleichstellung</x:v>
      </x:c>
      <x:c r="C127" s="14" t="str">
        <x:v>5.b</x:v>
      </x:c>
      <x:c r="D127" s="14" t="str">
        <x:v>Frauen in Lieferkette</x:v>
      </x:c>
      <x:c r="E127" s="14" t="str">
        <x:v>Frauen in Lieferkette – Scope‑3 Daten</x:v>
      </x:c>
      <x:c r="F127" s="14" t="str">
        <x:v>% Kategorien</x:v>
      </x:c>
      <x:c r="G127" s="14" t="str">
        <x:v>higher_is_better</x:v>
      </x:c>
      <x:c r="H127" s="14" t="str">
        <x:v>R23</x:v>
      </x:c>
      <x:c r="I127" s="14" t="str">
        <x:v>NUM_HIGH</x:v>
      </x:c>
      <x:c r="J127" s="51"/>
      <x:c r="K127" s="51"/>
      <x:c r="L127" s="51"/>
      <x:c r="M127" s="54"/>
      <x:c r="N127" s="58" t="str">
        <x:f>IF($J127="","",IF($J127&lt;20,-3,IF($J127&lt;40,-2,IF($J127&lt;60,0,IF($J127&lt;80,2,3)))))</x:f>
      </x:c>
      <x:c r="O127" s="58" t="str">
        <x:f>IF($J127="","",IF(OR('02_Benchmarks'!$P127&lt;&gt;"Aktiv",COUNT('02_Benchmarks'!$J127:$M127)&lt;4),"",IF($G127="lower_is_better",IF($J127&lt;='02_Benchmarks'!$J127,3,IF($J127&lt;'02_Benchmarks'!$K127,2,IF($J127&lt;='02_Benchmarks'!$L127,0,IF($J127&lt;='02_Benchmarks'!$M127,-2,-3)))),IF($J127&gt;='02_Benchmarks'!$J127,3,IF($J127&gt;'02_Benchmarks'!$K127,2,IF($J127&gt;='02_Benchmarks'!$L127,0,IF($J127&gt;='02_Benchmarks'!$M127,-2,-3)))))))</x:f>
      </x:c>
      <x:c r="P127" s="58" t="str">
        <x:f>IF(COUNT($N127:$O127)+IF(ISNUMBER($K127),1,0)=0,"",MIN($N127:$O127,$K127))</x:f>
      </x:c>
      <x:c r="Q127" s="58" t="str">
        <x:f>IF($P127="","",INDEX('04_Tarifmodell'!$B$6:$B$12,$P127+4))</x:f>
      </x:c>
      <x:c r="R127" s="64" t="str">
        <x:f>IF($P127="","",INDEX('04_Tarifmodell'!$C$6:$C$12,$P127+4))</x:f>
      </x:c>
      <x:c r="S127" s="14" t="str">
        <x:f>IF(OR($I127="QUALITATIVE",$I127="MANUAL_HYBRID"),IF($K127="","Assurance-Score fehlt","Assurance-bewertet"),IF($I127="BENCHMARK",IF($W127&lt;&gt;"Aktiv",IF($K127="","Benchmark fehlt","Assurance-bewertet"),IF($J127="","Messwert fehlt",IF($P127="","Nicht bewertbar","Berechnet"))),IF(AND($J127="",$K127&lt;&gt;""),"Nur Assurance-Score",IF($J127="","Messwert fehlt",IF($P127="","Nicht bewertbar",IF($P127&lt;=-2,"Kritische Wirkung / Prüfung","Berechnet"))))))</x:f>
        <x:v>Messwert fehlt</x:v>
      </x:c>
      <x:c r="T127" s="14" t="str">
        <x:v>Vollständige fünfstufige numerische Regel.</x:v>
      </x:c>
      <x:c r="U127" s="14" t="str">
        <x:v>≥80:+3; 60–79:+2; 40–59:0; 20–39:‑2; &lt;20:‑3</x:v>
      </x:c>
      <x:c r="V127" s="14" t="str">
        <x:v>ESRS E1, GHG Protocol (Corporate/Scope 1–3), ISO 14064/14067</x:v>
      </x:c>
      <x:c r="W127" s="14" t="str">
        <x:f>'02_Benchmarks'!$P127</x:f>
        <x:v>Optional – kein aktiver Benchmark</x:v>
      </x:c>
      <x:c r="X127" s="14" t="str">
        <x:v>Messgrundlage belegt; Schwellenkalibrierung offen</x:v>
      </x:c>
      <x:c r="Y127" s="14" t="str">
        <x:v>Mittel</x:v>
      </x:c>
      <x:c r="Z127" s="14" t="str">
        <x:v>Arbeitskalibrierung – fachlich zu validieren</x:v>
      </x:c>
      <x:c r="AA127" s="14" t="str">
        <x:v>Vorgelagerte Lieferkette; relevante Tier-Stufen und Beschaffungsvolumen</x:v>
      </x:c>
      <x:c r="AB127" s="14" t="str">
        <x:v>Primärdaten bevorzugt; Sekundärdaten nur transparent und versioniert; Methode und Systemgrenze dokumentieren</x:v>
      </x:c>
      <x:c r="AC127" s="14" t="str">
        <x:v>Limited Assurance; risikobasiert höhere Prüftiefe</x:v>
      </x:c>
    </x:row>
    <x:row r="128" ht="42" customHeight="1">
      <x:c r="A128" s="14" t="str">
        <x:v>WOK-G-125</x:v>
      </x:c>
      <x:c r="B128" s="14" t="str">
        <x:v>SDG 5 – Gleichstellung</x:v>
      </x:c>
      <x:c r="C128" s="14" t="str">
        <x:v>5.c</x:v>
      </x:c>
      <x:c r="D128" s="14" t="str">
        <x:v>Gleichstellungs‑Governance</x:v>
      </x:c>
      <x:c r="E128" s="14" t="str">
        <x:v>Gleichstellungs‑Governance – Antikorruption</x:v>
      </x:c>
      <x:c r="F128" s="14" t="str">
        <x:v>Fälle/1.000 FTE</x:v>
      </x:c>
      <x:c r="G128" s="14" t="str">
        <x:v>lower_is_better</x:v>
      </x:c>
      <x:c r="H128" s="14" t="str">
        <x:v>R01</x:v>
      </x:c>
      <x:c r="I128" s="14" t="str">
        <x:v>NUM_LOW</x:v>
      </x:c>
      <x:c r="J128" s="51"/>
      <x:c r="K128" s="51"/>
      <x:c r="L128" s="51"/>
      <x:c r="M128" s="54"/>
      <x:c r="N128" s="58" t="str">
        <x:f>IF($J128="","",IF($J128&lt;=0,3,IF($J128&lt;=0.2,2,IF($J128&lt;=0.5,0,IF($J128&lt;=1,-2,-3)))))</x:f>
      </x:c>
      <x:c r="O128" s="58" t="str">
        <x:f>IF($J128="","",IF(OR('02_Benchmarks'!$P128&lt;&gt;"Aktiv",COUNT('02_Benchmarks'!$J128:$M128)&lt;4),"",IF($G128="lower_is_better",IF($J128&lt;='02_Benchmarks'!$J128,3,IF($J128&lt;'02_Benchmarks'!$K128,2,IF($J128&lt;='02_Benchmarks'!$L128,0,IF($J128&lt;='02_Benchmarks'!$M128,-2,-3)))),IF($J128&gt;='02_Benchmarks'!$J128,3,IF($J128&gt;'02_Benchmarks'!$K128,2,IF($J128&gt;='02_Benchmarks'!$L128,0,IF($J128&gt;='02_Benchmarks'!$M128,-2,-3)))))))</x:f>
      </x:c>
      <x:c r="P128" s="58" t="str">
        <x:f>IF(COUNT($N128:$O128)+IF(ISNUMBER($K128),1,0)=0,"",MIN($N128:$O128,$K128))</x:f>
      </x:c>
      <x:c r="Q128" s="58" t="str">
        <x:f>IF($P128="","",INDEX('04_Tarifmodell'!$B$6:$B$12,$P128+4))</x:f>
      </x:c>
      <x:c r="R128" s="64" t="str">
        <x:f>IF($P128="","",INDEX('04_Tarifmodell'!$C$6:$C$12,$P128+4))</x:f>
      </x:c>
      <x:c r="S128" s="14" t="str">
        <x:f>IF(OR($I128="QUALITATIVE",$I128="MANUAL_HYBRID"),IF($K128="","Assurance-Score fehlt","Assurance-bewertet"),IF($I128="BENCHMARK",IF($W128&lt;&gt;"Aktiv",IF($K128="","Benchmark fehlt","Assurance-bewertet"),IF($J128="","Messwert fehlt",IF($P128="","Nicht bewertbar","Berechnet"))),IF(AND($J128="",$K128&lt;&gt;""),"Nur Assurance-Score",IF($J128="","Messwert fehlt",IF($P128="","Nicht bewertbar",IF($P128&lt;=-2,"Kritische Wirkung / Prüfung","Berechnet"))))))</x:f>
        <x:v>Messwert fehlt</x:v>
      </x:c>
      <x:c r="T128" s="14" t="str">
        <x:v>Vollständige fünfstufige numerische Regel.</x:v>
      </x:c>
      <x:c r="U128" s="14" t="str">
        <x:v>0:+3; ≤0,2:+2; ≤0,5:0; ≤1:‑2; &gt;1:‑3</x:v>
      </x:c>
      <x:c r="V128" s="14" t="str">
        <x:v>ESRS G1, GRI 205/207, OECD Anti‑Bribery</x:v>
      </x:c>
      <x:c r="W128" s="14" t="str">
        <x:f>'02_Benchmarks'!$P128</x:f>
        <x:v>Optional – kein aktiver Benchmark</x:v>
      </x:c>
      <x:c r="X128" s="14" t="str">
        <x:v>Messgrundlage belegt; Schwellenkalibrierung offen</x:v>
      </x:c>
      <x:c r="Y128" s="14" t="str">
        <x:v>Mittel</x:v>
      </x:c>
      <x:c r="Z128" s="14" t="str">
        <x:v>Arbeitskalibrierung – fachlich zu validieren</x:v>
      </x:c>
      <x:c r="AA128" s="14" t="str">
        <x:v>Organisation/Governance; konsolidierter Kreis und relevante Rechtseinheiten</x:v>
      </x:c>
      <x:c r="AB128" s="14" t="str">
        <x:v>Primärdaten bevorzugt; Sekundärdaten nur transparent und versioniert; Methode und Systemgrenze dokumentieren</x:v>
      </x:c>
      <x:c r="AC128" s="14" t="str">
        <x:v>Limited Assurance; risikobasiert höhere Prüftiefe</x:v>
      </x:c>
    </x:row>
    <x:row r="129" ht="42" customHeight="1">
      <x:c r="A129" s="14" t="str">
        <x:v>WOK-G-126</x:v>
      </x:c>
      <x:c r="B129" s="14" t="str">
        <x:v>SDG 5 – Gleichstellung</x:v>
      </x:c>
      <x:c r="C129" s="14" t="str">
        <x:v>5.c</x:v>
      </x:c>
      <x:c r="D129" s="14" t="str">
        <x:v>Gleichstellungs‑Governance</x:v>
      </x:c>
      <x:c r="E129" s="14" t="str">
        <x:v>Gleichstellungs‑Governance – Whistleblowing</x:v>
      </x:c>
      <x:c r="F129" s="14" t="str">
        <x:v>0–1</x:v>
      </x:c>
      <x:c r="G129" s="14" t="str">
        <x:v>higher_is_better</x:v>
      </x:c>
      <x:c r="H129" s="14" t="str">
        <x:v>R16</x:v>
      </x:c>
      <x:c r="I129" s="14" t="str">
        <x:v>NUM_HIGH</x:v>
      </x:c>
      <x:c r="J129" s="51"/>
      <x:c r="K129" s="51"/>
      <x:c r="L129" s="51"/>
      <x:c r="M129" s="54"/>
      <x:c r="N129" s="58" t="str">
        <x:f>IF($J129="","",IF($J129&lt;0.4,-3,IF($J129&lt;0.6,-2,IF($J129&lt;0.75,0,IF($J129&lt;0.9,2,3)))))</x:f>
      </x:c>
      <x:c r="O129" s="58" t="str">
        <x:f>IF($J129="","",IF(OR('02_Benchmarks'!$P129&lt;&gt;"Aktiv",COUNT('02_Benchmarks'!$J129:$M129)&lt;4),"",IF($G129="lower_is_better",IF($J129&lt;='02_Benchmarks'!$J129,3,IF($J129&lt;'02_Benchmarks'!$K129,2,IF($J129&lt;='02_Benchmarks'!$L129,0,IF($J129&lt;='02_Benchmarks'!$M129,-2,-3)))),IF($J129&gt;='02_Benchmarks'!$J129,3,IF($J129&gt;'02_Benchmarks'!$K129,2,IF($J129&gt;='02_Benchmarks'!$L129,0,IF($J129&gt;='02_Benchmarks'!$M129,-2,-3)))))))</x:f>
      </x:c>
      <x:c r="P129" s="58" t="str">
        <x:f>IF(COUNT($N129:$O129)+IF(ISNUMBER($K129),1,0)=0,"",MIN($N129:$O129,$K129))</x:f>
      </x:c>
      <x:c r="Q129" s="58" t="str">
        <x:f>IF($P129="","",INDEX('04_Tarifmodell'!$B$6:$B$12,$P129+4))</x:f>
      </x:c>
      <x:c r="R129" s="64" t="str">
        <x:f>IF($P129="","",INDEX('04_Tarifmodell'!$C$6:$C$12,$P129+4))</x:f>
      </x:c>
      <x:c r="S129" s="14" t="str">
        <x:f>IF(OR($I129="QUALITATIVE",$I129="MANUAL_HYBRID"),IF($K129="","Assurance-Score fehlt","Assurance-bewertet"),IF($I129="BENCHMARK",IF($W129&lt;&gt;"Aktiv",IF($K129="","Benchmark fehlt","Assurance-bewertet"),IF($J129="","Messwert fehlt",IF($P129="","Nicht bewertbar","Berechnet"))),IF(AND($J129="",$K129&lt;&gt;""),"Nur Assurance-Score",IF($J129="","Messwert fehlt",IF($P129="","Nicht bewertbar",IF($P129&lt;=-2,"Kritische Wirkung / Prüfung","Berechnet"))))))</x:f>
        <x:v>Messwert fehlt</x:v>
      </x:c>
      <x:c r="T129" s="14" t="str">
        <x:v>Vollständige fünfstufige numerische Regel.</x:v>
      </x:c>
      <x:c r="U129" s="14" t="str">
        <x:v>≥0,9:+3; 0,75–0,89:+2; 0,6–0,74:0; 0,4–0,59:‑2; &lt;0,4:‑3</x:v>
      </x:c>
      <x:c r="V129" s="14" t="str">
        <x:v>ESRS G1, GRI 205/207, OECD Anti‑Bribery</x:v>
      </x:c>
      <x:c r="W129" s="14" t="str">
        <x:f>'02_Benchmarks'!$P129</x:f>
        <x:v>Optional – kein aktiver Benchmark</x:v>
      </x:c>
      <x:c r="X129" s="14" t="str">
        <x:v>Messgrundlage belegt; Schwellenkalibrierung offen</x:v>
      </x:c>
      <x:c r="Y129" s="14" t="str">
        <x:v>Mittel</x:v>
      </x:c>
      <x:c r="Z129" s="14" t="str">
        <x:v>Arbeitskalibrierung – fachlich zu validieren</x:v>
      </x:c>
      <x:c r="AA129" s="14" t="str">
        <x:v>Organisation/Governance; konsolidierter Kreis und relevante Rechtseinheiten</x:v>
      </x:c>
      <x:c r="AB129" s="14" t="str">
        <x:v>Primärdaten bevorzugt; Sekundärdaten nur transparent und versioniert; Methode und Systemgrenze dokumentieren</x:v>
      </x:c>
      <x:c r="AC129" s="14" t="str">
        <x:v>Limited Assurance; risikobasiert höhere Prüftiefe</x:v>
      </x:c>
    </x:row>
    <x:row r="130" ht="42" customHeight="1">
      <x:c r="A130" s="14" t="str">
        <x:v>WOK-G-127</x:v>
      </x:c>
      <x:c r="B130" s="14" t="str">
        <x:v>SDG 5 – Gleichstellung</x:v>
      </x:c>
      <x:c r="C130" s="14" t="str">
        <x:v>5.c</x:v>
      </x:c>
      <x:c r="D130" s="14" t="str">
        <x:v>Gleichstellungs‑Governance</x:v>
      </x:c>
      <x:c r="E130" s="14" t="str">
        <x:v>Gleichstellungs‑Governance – Steuertransparenz</x:v>
      </x:c>
      <x:c r="F130" s="14" t="str">
        <x:v>0–1</x:v>
      </x:c>
      <x:c r="G130" s="14" t="str">
        <x:v>higher_is_better</x:v>
      </x:c>
      <x:c r="H130" s="14" t="str">
        <x:v>R08</x:v>
      </x:c>
      <x:c r="I130" s="14" t="str">
        <x:v>QUALITATIVE</x:v>
      </x:c>
      <x:c r="J130" s="51"/>
      <x:c r="K130" s="51"/>
      <x:c r="L130" s="51"/>
      <x:c r="M130" s="54"/>
      <x:c r="N130" s="58" t="str">
        <x:f>""</x:f>
      </x:c>
      <x:c r="O130" s="58" t="str">
        <x:f>IF($J130="","",IF(OR('02_Benchmarks'!$P130&lt;&gt;"Aktiv",COUNT('02_Benchmarks'!$J130:$M130)&lt;4),"",IF($G130="lower_is_better",IF($J130&lt;='02_Benchmarks'!$J130,3,IF($J130&lt;'02_Benchmarks'!$K130,2,IF($J130&lt;='02_Benchmarks'!$L130,0,IF($J130&lt;='02_Benchmarks'!$M130,-2,-3)))),IF($J130&gt;='02_Benchmarks'!$J130,3,IF($J130&gt;'02_Benchmarks'!$K130,2,IF($J130&gt;='02_Benchmarks'!$L130,0,IF($J130&gt;='02_Benchmarks'!$M130,-2,-3)))))))</x:f>
      </x:c>
      <x:c r="P130" s="58" t="str">
        <x:f>IF(COUNT($N130:$O130)+IF(ISNUMBER($K130),1,0)=0,"",MIN($N130:$O130,$K130))</x:f>
      </x:c>
      <x:c r="Q130" s="58" t="str">
        <x:f>IF($P130="","",INDEX('04_Tarifmodell'!$B$6:$B$12,$P130+4))</x:f>
      </x:c>
      <x:c r="R130" s="64" t="str">
        <x:f>IF($P130="","",INDEX('04_Tarifmodell'!$C$6:$C$12,$P130+4))</x:f>
      </x:c>
      <x:c r="S130" s="14" t="str">
        <x:f>IF(OR($I130="QUALITATIVE",$I130="MANUAL_HYBRID"),IF($K130="","Assurance-Score fehlt","Assurance-bewertet"),IF($I130="BENCHMARK",IF($W130&lt;&gt;"Aktiv",IF($K130="","Benchmark fehlt","Assurance-bewertet"),IF($J130="","Messwert fehlt",IF($P130="","Nicht bewertbar","Berechnet"))),IF(AND($J130="",$K130&lt;&gt;""),"Nur Assurance-Score",IF($J130="","Messwert fehlt",IF($P130="","Nicht bewertbar",IF($P130&lt;=-2,"Kritische Wirkung / Prüfung","Berechnet"))))))</x:f>
        <x:v>Assurance-Score fehlt</x:v>
      </x:c>
      <x:c r="T130" s="14" t="str">
        <x:v>Die Kategorie −3 fehlt; Vollständigkeit und Wirksamkeit sind feldspezifisch zu definieren.</x:v>
      </x:c>
      <x:c r="U130" s="14" t="str">
        <x:v>vollständig:+3; teilweise:+2; minimal:0; schlecht:‑2</x:v>
      </x:c>
      <x:c r="V130" s="14" t="str">
        <x:v>ESRS G1, GRI 205/207, OECD Anti‑Bribery</x:v>
      </x:c>
      <x:c r="W130" s="14" t="str">
        <x:f>'02_Benchmarks'!$P130</x:f>
        <x:v>Optional – kein aktiver Benchmark</x:v>
      </x:c>
      <x:c r="X130" s="14" t="str">
        <x:v>Messgrundlage belegt; Schwellenkalibrierung offen</x:v>
      </x:c>
      <x:c r="Y130" s="14" t="str">
        <x:v>Hoch</x:v>
      </x:c>
      <x:c r="Z130" s="14" t="str">
        <x:v>Assurance und Kriterienkatalog erforderlich</x:v>
      </x:c>
      <x:c r="AA130" s="14" t="str">
        <x:v>Organisation/Governance; konsolidierter Kreis und relevante Rechtseinheiten</x:v>
      </x:c>
      <x:c r="AB130" s="14" t="str">
        <x:v>Dokumentierter Kriterienkatalog; nachvollziehbare Evidenz; DQR A/B bevorzugt</x:v>
      </x:c>
      <x:c r="AC130" s="14" t="str">
        <x:v>Unabhängige Fachprüfung/Limited Assurance; bei roten Linien Reasonable Assurance</x:v>
      </x:c>
    </x:row>
    <x:row r="131" ht="42" customHeight="1">
      <x:c r="A131" s="14" t="str">
        <x:v>WOK-SYS-113</x:v>
      </x:c>
      <x:c r="B131" s="14" t="str">
        <x:v>SDG 5 – Gleichstellung</x:v>
      </x:c>
      <x:c r="C131" s="14" t="str">
        <x:v>5.5</x:v>
      </x:c>
      <x:c r="D131" s="14" t="str">
        <x:v>Kulturwandel &amp; Vorbilder</x:v>
      </x:c>
      <x:c r="E131" s="14" t="str">
        <x:v>Kulturwandel &amp; Vorbilder – Index</x:v>
      </x:c>
      <x:c r="F131" s="14" t="str">
        <x:v>0–1</x:v>
      </x:c>
      <x:c r="G131" s="14" t="str">
        <x:v>higher_is_better</x:v>
      </x:c>
      <x:c r="H131" s="14" t="str">
        <x:v>R15</x:v>
      </x:c>
      <x:c r="I131" s="14" t="str">
        <x:v>NUM_HIGH</x:v>
      </x:c>
      <x:c r="J131" s="51"/>
      <x:c r="K131" s="51"/>
      <x:c r="L131" s="51"/>
      <x:c r="M131" s="54"/>
      <x:c r="N131" s="58" t="str">
        <x:f>IF($J131="","",IF($J131&lt;0.5,-3,IF($J131&lt;0.6,-2,IF($J131&lt;0.7,0,IF($J131&lt;0.8,2,3)))))</x:f>
      </x:c>
      <x:c r="O131" s="58" t="str">
        <x:f>IF($J131="","",IF(OR('02_Benchmarks'!$P131&lt;&gt;"Aktiv",COUNT('02_Benchmarks'!$J131:$M131)&lt;4),"",IF($G131="lower_is_better",IF($J131&lt;='02_Benchmarks'!$J131,3,IF($J131&lt;'02_Benchmarks'!$K131,2,IF($J131&lt;='02_Benchmarks'!$L131,0,IF($J131&lt;='02_Benchmarks'!$M131,-2,-3)))),IF($J131&gt;='02_Benchmarks'!$J131,3,IF($J131&gt;'02_Benchmarks'!$K131,2,IF($J131&gt;='02_Benchmarks'!$L131,0,IF($J131&gt;='02_Benchmarks'!$M131,-2,-3)))))))</x:f>
      </x:c>
      <x:c r="P131" s="58" t="str">
        <x:f>IF(COUNT($N131:$O131)+IF(ISNUMBER($K131),1,0)=0,"",MIN($N131:$O131,$K131))</x:f>
      </x:c>
      <x:c r="Q131" s="58" t="str">
        <x:f>IF($P131="","",INDEX('04_Tarifmodell'!$B$6:$B$12,$P131+4))</x:f>
      </x:c>
      <x:c r="R131" s="64" t="str">
        <x:f>IF($P131="","",INDEX('04_Tarifmodell'!$C$6:$C$12,$P131+4))</x:f>
      </x:c>
      <x:c r="S131" s="14" t="str">
        <x:f>IF(OR($I131="QUALITATIVE",$I131="MANUAL_HYBRID"),IF($K131="","Assurance-Score fehlt","Assurance-bewertet"),IF($I131="BENCHMARK",IF($W131&lt;&gt;"Aktiv",IF($K131="","Benchmark fehlt","Assurance-bewertet"),IF($J131="","Messwert fehlt",IF($P131="","Nicht bewertbar","Berechnet"))),IF(AND($J131="",$K131&lt;&gt;""),"Nur Assurance-Score",IF($J131="","Messwert fehlt",IF($P131="","Nicht bewertbar",IF($P131&lt;=-2,"Kritische Wirkung / Prüfung","Berechnet"))))))</x:f>
        <x:v>Messwert fehlt</x:v>
      </x:c>
      <x:c r="T131" s="14" t="str">
        <x:v>SROI/SDG 17 ist keine hinreichend konkrete Mess- oder Schwellenquelle. Vollständige fünfstufige numerische Regel.</x:v>
      </x:c>
      <x:c r="U131" s="14" t="str">
        <x:v>≥0,8:+3; 0,7–0,79:+2; 0,6–0,69:0; 0,5–0,59:‑2; &lt;0,5:‑3</x:v>
      </x:c>
      <x:c r="V131" s="14" t="str">
        <x:v>SDG 16/17, WJP, V‑Dem</x:v>
      </x:c>
      <x:c r="W131" s="14" t="str">
        <x:f>'02_Benchmarks'!$P131</x:f>
        <x:v>Optional – kein aktiver Benchmark</x:v>
      </x:c>
      <x:c r="X131" s="14" t="str">
        <x:v>Platzhalter – fachliche Operationalisierung offen</x:v>
      </x:c>
      <x:c r="Y131" s="14" t="str">
        <x:v>Kritisch</x:v>
      </x:c>
      <x:c r="Z131" s="14" t="str">
        <x:v>Arbeitskalibrierung – fachlich zu validieren</x:v>
      </x:c>
      <x:c r="AA131" s="14" t="str">
        <x:v>Programm/Portfolio/Systemraum; Empfängergruppe, Region und Zeitraum explizit definieren</x:v>
      </x:c>
      <x:c r="AB131" s="14" t="str">
        <x:v>Primärdaten bevorzugt; Sekundärdaten nur transparent und versioniert; Methode und Systemgrenze dokumentieren</x:v>
      </x:c>
      <x:c r="AC131" s="14" t="str">
        <x:v>Limited Assurance; risikobasiert höhere Prüftiefe</x:v>
      </x:c>
    </x:row>
    <x:row r="132" ht="42" customHeight="1">
      <x:c r="A132" s="14" t="str">
        <x:v>WOK-SYS-114</x:v>
      </x:c>
      <x:c r="B132" s="14" t="str">
        <x:v>SDG 5 – Gleichstellung</x:v>
      </x:c>
      <x:c r="C132" s="14" t="str">
        <x:v>5.5</x:v>
      </x:c>
      <x:c r="D132" s="14" t="str">
        <x:v>Kulturwandel &amp; Vorbilder</x:v>
      </x:c>
      <x:c r="E132" s="14" t="str">
        <x:v>Kulturwandel &amp; Vorbilder – Exposure</x:v>
      </x:c>
      <x:c r="F132" s="14" t="str">
        <x:v>%</x:v>
      </x:c>
      <x:c r="G132" s="14" t="str">
        <x:v>lower_is_better</x:v>
      </x:c>
      <x:c r="H132" s="14" t="str">
        <x:v>R13</x:v>
      </x:c>
      <x:c r="I132" s="14" t="str">
        <x:v>NUM_LOW</x:v>
      </x:c>
      <x:c r="J132" s="51"/>
      <x:c r="K132" s="51"/>
      <x:c r="L132" s="51"/>
      <x:c r="M132" s="54"/>
      <x:c r="N132" s="58" t="str">
        <x:f>IF($J132="","",IF($J132&lt;=5,3,IF($J132&lt;=10,2,IF($J132&lt;=20,0,IF($J132&lt;=30,-2,-3)))))</x:f>
      </x:c>
      <x:c r="O132" s="58" t="str">
        <x:f>IF($J132="","",IF(OR('02_Benchmarks'!$P132&lt;&gt;"Aktiv",COUNT('02_Benchmarks'!$J132:$M132)&lt;4),"",IF($G132="lower_is_better",IF($J132&lt;='02_Benchmarks'!$J132,3,IF($J132&lt;'02_Benchmarks'!$K132,2,IF($J132&lt;='02_Benchmarks'!$L132,0,IF($J132&lt;='02_Benchmarks'!$M132,-2,-3)))),IF($J132&gt;='02_Benchmarks'!$J132,3,IF($J132&gt;'02_Benchmarks'!$K132,2,IF($J132&gt;='02_Benchmarks'!$L132,0,IF($J132&gt;='02_Benchmarks'!$M132,-2,-3)))))))</x:f>
      </x:c>
      <x:c r="P132" s="58" t="str">
        <x:f>IF(COUNT($N132:$O132)+IF(ISNUMBER($K132),1,0)=0,"",MIN($N132:$O132,$K132))</x:f>
      </x:c>
      <x:c r="Q132" s="58" t="str">
        <x:f>IF($P132="","",INDEX('04_Tarifmodell'!$B$6:$B$12,$P132+4))</x:f>
      </x:c>
      <x:c r="R132" s="64" t="str">
        <x:f>IF($P132="","",INDEX('04_Tarifmodell'!$C$6:$C$12,$P132+4))</x:f>
      </x:c>
      <x:c r="S132" s="14" t="str">
        <x:f>IF(OR($I132="QUALITATIVE",$I132="MANUAL_HYBRID"),IF($K132="","Assurance-Score fehlt","Assurance-bewertet"),IF($I132="BENCHMARK",IF($W132&lt;&gt;"Aktiv",IF($K132="","Benchmark fehlt","Assurance-bewertet"),IF($J132="","Messwert fehlt",IF($P132="","Nicht bewertbar","Berechnet"))),IF(AND($J132="",$K132&lt;&gt;""),"Nur Assurance-Score",IF($J132="","Messwert fehlt",IF($P132="","Nicht bewertbar",IF($P132&lt;=-2,"Kritische Wirkung / Prüfung","Berechnet"))))))</x:f>
        <x:v>Messwert fehlt</x:v>
      </x:c>
      <x:c r="T132" s="14" t="str">
        <x:v>SROI/SDG 17 ist keine hinreichend konkrete Mess- oder Schwellenquelle. Vollständige fünfstufige numerische Regel.</x:v>
      </x:c>
      <x:c r="U132" s="14" t="str">
        <x:v>≤5:+3; 6–10:+2; 11–20:0; 21–30:‑2; &gt;30:‑3</x:v>
      </x:c>
      <x:c r="V132" s="14" t="str">
        <x:v>SROI/SDG17</x:v>
      </x:c>
      <x:c r="W132" s="14" t="str">
        <x:f>'02_Benchmarks'!$P132</x:f>
        <x:v>Optional – kein aktiver Benchmark</x:v>
      </x:c>
      <x:c r="X132" s="14" t="str">
        <x:v>Platzhalter – fachliche Operationalisierung offen</x:v>
      </x:c>
      <x:c r="Y132" s="14" t="str">
        <x:v>Kritisch</x:v>
      </x:c>
      <x:c r="Z132" s="14" t="str">
        <x:v>Arbeitskalibrierung – fachlich zu validieren</x:v>
      </x:c>
      <x:c r="AA132" s="14" t="str">
        <x:v>Programm/Portfolio/Systemraum; Empfängergruppe, Region und Zeitraum explizit definieren</x:v>
      </x:c>
      <x:c r="AB132" s="14" t="str">
        <x:v>Primärdaten bevorzugt; Sekundärdaten nur transparent und versioniert; Methode und Systemgrenze dokumentieren</x:v>
      </x:c>
      <x:c r="AC132" s="14" t="str">
        <x:v>Limited Assurance; risikobasiert höhere Prüftiefe</x:v>
      </x:c>
    </x:row>
    <x:row r="133" ht="42" customHeight="1">
      <x:c r="A133" s="14" t="str">
        <x:v>WOK-SYS-115</x:v>
      </x:c>
      <x:c r="B133" s="14" t="str">
        <x:v>SDG 5 – Gleichstellung</x:v>
      </x:c>
      <x:c r="C133" s="14" t="str">
        <x:v>5.5</x:v>
      </x:c>
      <x:c r="D133" s="14" t="str">
        <x:v>Kulturwandel &amp; Vorbilder</x:v>
      </x:c>
      <x:c r="E133" s="14" t="str">
        <x:v>Kulturwandel &amp; Vorbilder – Kooperationen</x:v>
      </x:c>
      <x:c r="F133" s="14" t="str">
        <x:v>#/Jahr</x:v>
      </x:c>
      <x:c r="G133" s="14" t="str">
        <x:v>higher_is_better</x:v>
      </x:c>
      <x:c r="H133" s="14" t="str">
        <x:v>R20</x:v>
      </x:c>
      <x:c r="I133" s="14" t="str">
        <x:v>NUM_HIGH</x:v>
      </x:c>
      <x:c r="J133" s="51"/>
      <x:c r="K133" s="51"/>
      <x:c r="L133" s="51"/>
      <x:c r="M133" s="54"/>
      <x:c r="N133" s="58" t="str">
        <x:f>IF($J133="","",IF($J133&lt;0,-3,IF($J133&lt;1,-2,IF($J133&lt;3,0,IF($J133&lt;5,2,3)))))</x:f>
      </x:c>
      <x:c r="O133" s="58" t="str">
        <x:f>IF($J133="","",IF(OR('02_Benchmarks'!$P133&lt;&gt;"Aktiv",COUNT('02_Benchmarks'!$J133:$M133)&lt;4),"",IF($G133="lower_is_better",IF($J133&lt;='02_Benchmarks'!$J133,3,IF($J133&lt;'02_Benchmarks'!$K133,2,IF($J133&lt;='02_Benchmarks'!$L133,0,IF($J133&lt;='02_Benchmarks'!$M133,-2,-3)))),IF($J133&gt;='02_Benchmarks'!$J133,3,IF($J133&gt;'02_Benchmarks'!$K133,2,IF($J133&gt;='02_Benchmarks'!$L133,0,IF($J133&gt;='02_Benchmarks'!$M133,-2,-3)))))))</x:f>
      </x:c>
      <x:c r="P133" s="58" t="str">
        <x:f>IF(COUNT($N133:$O133)+IF(ISNUMBER($K133),1,0)=0,"",MIN($N133:$O133,$K133))</x:f>
      </x:c>
      <x:c r="Q133" s="58" t="str">
        <x:f>IF($P133="","",INDEX('04_Tarifmodell'!$B$6:$B$12,$P133+4))</x:f>
      </x:c>
      <x:c r="R133" s="64" t="str">
        <x:f>IF($P133="","",INDEX('04_Tarifmodell'!$C$6:$C$12,$P133+4))</x:f>
      </x:c>
      <x:c r="S133" s="14" t="str">
        <x:f>IF(OR($I133="QUALITATIVE",$I133="MANUAL_HYBRID"),IF($K133="","Assurance-Score fehlt","Assurance-bewertet"),IF($I133="BENCHMARK",IF($W133&lt;&gt;"Aktiv",IF($K133="","Benchmark fehlt","Assurance-bewertet"),IF($J133="","Messwert fehlt",IF($P133="","Nicht bewertbar","Berechnet"))),IF(AND($J133="",$K133&lt;&gt;""),"Nur Assurance-Score",IF($J133="","Messwert fehlt",IF($P133="","Nicht bewertbar",IF($P133&lt;=-2,"Kritische Wirkung / Prüfung","Berechnet"))))))</x:f>
        <x:v>Messwert fehlt</x:v>
      </x:c>
      <x:c r="T133" s="14" t="str">
        <x:v>SROI/SDG 17 ist keine hinreichend konkrete Mess- oder Schwellenquelle. Für sachlogisch nichtnegative Zählwerte ist 0 die schlechteste reguläre Klasse (−2).</x:v>
      </x:c>
      <x:c r="U133" s="14" t="str">
        <x:v>≥5:+3; 3–4:+2; 1–2:0; 0:‑2</x:v>
      </x:c>
      <x:c r="V133" s="14" t="str">
        <x:v>SDG 16/17, WJP, V‑Dem</x:v>
      </x:c>
      <x:c r="W133" s="14" t="str">
        <x:f>'02_Benchmarks'!$P133</x:f>
        <x:v>Optional – kein aktiver Benchmark</x:v>
      </x:c>
      <x:c r="X133" s="14" t="str">
        <x:v>Platzhalter – fachliche Operationalisierung offen</x:v>
      </x:c>
      <x:c r="Y133" s="14" t="str">
        <x:v>Kritisch</x:v>
      </x:c>
      <x:c r="Z133" s="14" t="str">
        <x:v>Klasse −3 nur für negative/unzulässige Werte ergänzt</x:v>
      </x:c>
      <x:c r="AA133" s="14" t="str">
        <x:v>Programm/Portfolio/Systemraum; Empfängergruppe, Region und Zeitraum explizit definieren</x:v>
      </x:c>
      <x:c r="AB133" s="14" t="str">
        <x:v>Primärdaten bevorzugt; Sekundärdaten nur transparent und versioniert; Methode und Systemgrenze dokumentieren</x:v>
      </x:c>
      <x:c r="AC133" s="14" t="str">
        <x:v>Limited Assurance; risikobasiert höhere Prüftiefe</x:v>
      </x:c>
    </x:row>
    <x:row r="134" ht="42" customHeight="1">
      <x:c r="A134" s="14" t="str">
        <x:v>WOK-S-143</x:v>
      </x:c>
      <x:c r="B134" s="14" t="str">
        <x:v>SDG 5 – Gleichstellung</x:v>
      </x:c>
      <x:c r="C134" s="14" t="str">
        <x:v>5.5</x:v>
      </x:c>
      <x:c r="D134" s="14" t="str">
        <x:v>Gender‑Training</x:v>
      </x:c>
      <x:c r="E134" s="14" t="str">
        <x:v>Gender‑Training – Living Wage</x:v>
      </x:c>
      <x:c r="F134" s="14" t="str">
        <x:v>% Beschäftigte</x:v>
      </x:c>
      <x:c r="G134" s="14" t="str">
        <x:v>higher_is_better</x:v>
      </x:c>
      <x:c r="H134" s="14" t="str">
        <x:v>R27</x:v>
      </x:c>
      <x:c r="I134" s="14" t="str">
        <x:v>NUM_HIGH</x:v>
      </x:c>
      <x:c r="J134" s="51"/>
      <x:c r="K134" s="51"/>
      <x:c r="L134" s="51"/>
      <x:c r="M134" s="54"/>
      <x:c r="N134" s="58" t="str">
        <x:f>IF($J134="","",IF($J134&lt;40,-3,IF($J134&lt;60,-2,IF($J134&lt;80,0,IF($J134&lt;95,2,3)))))</x:f>
      </x:c>
      <x:c r="O134" s="58" t="str">
        <x:f>IF($J134="","",IF(OR('02_Benchmarks'!$P134&lt;&gt;"Aktiv",COUNT('02_Benchmarks'!$J134:$M134)&lt;4),"",IF($G134="lower_is_better",IF($J134&lt;='02_Benchmarks'!$J134,3,IF($J134&lt;'02_Benchmarks'!$K134,2,IF($J134&lt;='02_Benchmarks'!$L134,0,IF($J134&lt;='02_Benchmarks'!$M134,-2,-3)))),IF($J134&gt;='02_Benchmarks'!$J134,3,IF($J134&gt;'02_Benchmarks'!$K134,2,IF($J134&gt;='02_Benchmarks'!$L134,0,IF($J134&gt;='02_Benchmarks'!$M134,-2,-3)))))))</x:f>
      </x:c>
      <x:c r="P134" s="58" t="str">
        <x:f>IF(COUNT($N134:$O134)+IF(ISNUMBER($K134),1,0)=0,"",MIN($N134:$O134,$K134))</x:f>
      </x:c>
      <x:c r="Q134" s="58" t="str">
        <x:f>IF($P134="","",INDEX('04_Tarifmodell'!$B$6:$B$12,$P134+4))</x:f>
      </x:c>
      <x:c r="R134" s="64" t="str">
        <x:f>IF($P134="","",INDEX('04_Tarifmodell'!$C$6:$C$12,$P134+4))</x:f>
      </x:c>
      <x:c r="S134" s="14" t="str">
        <x:f>IF(OR($I134="QUALITATIVE",$I134="MANUAL_HYBRID"),IF($K134="","Assurance-Score fehlt","Assurance-bewertet"),IF($I134="BENCHMARK",IF($W134&lt;&gt;"Aktiv",IF($K134="","Benchmark fehlt","Assurance-bewertet"),IF($J134="","Messwert fehlt",IF($P134="","Nicht bewertbar","Berechnet"))),IF(AND($J134="",$K134&lt;&gt;""),"Nur Assurance-Score",IF($J134="","Messwert fehlt",IF($P134="","Nicht bewertbar",IF($P134&lt;=-2,"Kritische Wirkung / Prüfung","Berechnet"))))))</x:f>
        <x:v>Messwert fehlt</x:v>
      </x:c>
      <x:c r="T134" s="14" t="str">
        <x:v>Vollständige fünfstufige numerische Regel.</x:v>
      </x:c>
      <x:c r="U134" s="14" t="str">
        <x:v>≥95:+3; 80–94:+2; 60–79:0; 40–59:‑2; &lt;40:‑3</x:v>
      </x:c>
      <x:c r="V134" s="14" t="str">
        <x:v>ESRS S1, GRI 401/403/405/406, ILO</x:v>
      </x:c>
      <x:c r="W134" s="14" t="str">
        <x:f>'02_Benchmarks'!$P134</x:f>
        <x:v>Optional – kein aktiver Benchmark</x:v>
      </x:c>
      <x:c r="X134" s="14" t="str">
        <x:v>Messgrundlage belegt; Schwellenkalibrierung offen</x:v>
      </x:c>
      <x:c r="Y134" s="14" t="str">
        <x:v>Mittel</x:v>
      </x:c>
      <x:c r="Z134" s="14" t="str">
        <x:v>Arbeitskalibrierung – fachlich zu validieren</x:v>
      </x:c>
      <x:c r="AA134" s="14" t="str">
        <x:v>Eigene Belegschaft/Organisation; FTE, Beschäftigtengruppe und Zeitraum</x:v>
      </x:c>
      <x:c r="AB134" s="14" t="str">
        <x:v>Primärdaten bevorzugt; Sekundärdaten nur transparent und versioniert; Methode und Systemgrenze dokumentieren</x:v>
      </x:c>
      <x:c r="AC134" s="14" t="str">
        <x:v>Limited Assurance; risikobasiert höhere Prüftiefe</x:v>
      </x:c>
    </x:row>
    <x:row r="135" ht="42" customHeight="1">
      <x:c r="A135" s="14" t="str">
        <x:v>WOK-S-144</x:v>
      </x:c>
      <x:c r="B135" s="14" t="str">
        <x:v>SDG 5 – Gleichstellung</x:v>
      </x:c>
      <x:c r="C135" s="14" t="str">
        <x:v>5.5</x:v>
      </x:c>
      <x:c r="D135" s="14" t="str">
        <x:v>Gender‑Training</x:v>
      </x:c>
      <x:c r="E135" s="14" t="str">
        <x:v>Gender‑Training – Tarifbindung</x:v>
      </x:c>
      <x:c r="F135" s="14" t="str">
        <x:v>%</x:v>
      </x:c>
      <x:c r="G135" s="14" t="str">
        <x:v>higher_is_better</x:v>
      </x:c>
      <x:c r="H135" s="14" t="str">
        <x:v>R26</x:v>
      </x:c>
      <x:c r="I135" s="14" t="str">
        <x:v>NUM_HIGH</x:v>
      </x:c>
      <x:c r="J135" s="51"/>
      <x:c r="K135" s="51"/>
      <x:c r="L135" s="51"/>
      <x:c r="M135" s="54"/>
      <x:c r="N135" s="58" t="str">
        <x:f>IF($J135="","",IF($J135&lt;30,-3,IF($J135&lt;50,-2,IF($J135&lt;70,0,IF($J135&lt;90,2,3)))))</x:f>
      </x:c>
      <x:c r="O135" s="58" t="str">
        <x:f>IF($J135="","",IF(OR('02_Benchmarks'!$P135&lt;&gt;"Aktiv",COUNT('02_Benchmarks'!$J135:$M135)&lt;4),"",IF($G135="lower_is_better",IF($J135&lt;='02_Benchmarks'!$J135,3,IF($J135&lt;'02_Benchmarks'!$K135,2,IF($J135&lt;='02_Benchmarks'!$L135,0,IF($J135&lt;='02_Benchmarks'!$M135,-2,-3)))),IF($J135&gt;='02_Benchmarks'!$J135,3,IF($J135&gt;'02_Benchmarks'!$K135,2,IF($J135&gt;='02_Benchmarks'!$L135,0,IF($J135&gt;='02_Benchmarks'!$M135,-2,-3)))))))</x:f>
      </x:c>
      <x:c r="P135" s="58" t="str">
        <x:f>IF(COUNT($N135:$O135)+IF(ISNUMBER($K135),1,0)=0,"",MIN($N135:$O135,$K135))</x:f>
      </x:c>
      <x:c r="Q135" s="58" t="str">
        <x:f>IF($P135="","",INDEX('04_Tarifmodell'!$B$6:$B$12,$P135+4))</x:f>
      </x:c>
      <x:c r="R135" s="64" t="str">
        <x:f>IF($P135="","",INDEX('04_Tarifmodell'!$C$6:$C$12,$P135+4))</x:f>
      </x:c>
      <x:c r="S135" s="14" t="str">
        <x:f>IF(OR($I135="QUALITATIVE",$I135="MANUAL_HYBRID"),IF($K135="","Assurance-Score fehlt","Assurance-bewertet"),IF($I135="BENCHMARK",IF($W135&lt;&gt;"Aktiv",IF($K135="","Benchmark fehlt","Assurance-bewertet"),IF($J135="","Messwert fehlt",IF($P135="","Nicht bewertbar","Berechnet"))),IF(AND($J135="",$K135&lt;&gt;""),"Nur Assurance-Score",IF($J135="","Messwert fehlt",IF($P135="","Nicht bewertbar",IF($P135&lt;=-2,"Kritische Wirkung / Prüfung","Berechnet"))))))</x:f>
        <x:v>Messwert fehlt</x:v>
      </x:c>
      <x:c r="T135" s="14" t="str">
        <x:v>Vollständige fünfstufige numerische Regel.</x:v>
      </x:c>
      <x:c r="U135" s="14" t="str">
        <x:v>≥90:+3; 70–89:+2; 50–69:0; 30–49:‑2; &lt;30:‑3</x:v>
      </x:c>
      <x:c r="V135" s="14" t="str">
        <x:v>ESRS S1, GRI 401/403/405/406, ILO</x:v>
      </x:c>
      <x:c r="W135" s="14" t="str">
        <x:f>'02_Benchmarks'!$P135</x:f>
        <x:v>Optional – kein aktiver Benchmark</x:v>
      </x:c>
      <x:c r="X135" s="14" t="str">
        <x:v>Messgrundlage belegt; Schwellenkalibrierung offen</x:v>
      </x:c>
      <x:c r="Y135" s="14" t="str">
        <x:v>Mittel</x:v>
      </x:c>
      <x:c r="Z135" s="14" t="str">
        <x:v>Arbeitskalibrierung – fachlich zu validieren</x:v>
      </x:c>
      <x:c r="AA135" s="14" t="str">
        <x:v>Eigene Belegschaft/Organisation; FTE, Beschäftigtengruppe und Zeitraum</x:v>
      </x:c>
      <x:c r="AB135" s="14" t="str">
        <x:v>Primärdaten bevorzugt; Sekundärdaten nur transparent und versioniert; Methode und Systemgrenze dokumentieren</x:v>
      </x:c>
      <x:c r="AC135" s="14" t="str">
        <x:v>Limited Assurance; risikobasiert höhere Prüftiefe</x:v>
      </x:c>
    </x:row>
    <x:row r="136" ht="42" customHeight="1">
      <x:c r="A136" s="14" t="str">
        <x:v>WOK-S-145</x:v>
      </x:c>
      <x:c r="B136" s="14" t="str">
        <x:v>SDG 5 – Gleichstellung</x:v>
      </x:c>
      <x:c r="C136" s="14" t="str">
        <x:v>5.5</x:v>
      </x:c>
      <x:c r="D136" s="14" t="str">
        <x:v>Gender‑Training</x:v>
      </x:c>
      <x:c r="E136" s="14" t="str">
        <x:v>Gender‑Training – LTIFR</x:v>
      </x:c>
      <x:c r="F136" s="14" t="str">
        <x:v>Unfälle/Mio Std.</x:v>
      </x:c>
      <x:c r="G136" s="14" t="str">
        <x:v>lower_is_better</x:v>
      </x:c>
      <x:c r="H136" s="14" t="str">
        <x:v>R02</x:v>
      </x:c>
      <x:c r="I136" s="14" t="str">
        <x:v>NUM_LOW</x:v>
      </x:c>
      <x:c r="J136" s="51"/>
      <x:c r="K136" s="51"/>
      <x:c r="L136" s="51"/>
      <x:c r="M136" s="54"/>
      <x:c r="N136" s="58" t="str">
        <x:f>IF($J136="","",IF($J136&lt;=0,3,IF($J136&lt;=1,2,IF($J136&lt;=3,0,IF($J136&lt;=5,-2,-3)))))</x:f>
      </x:c>
      <x:c r="O136" s="58" t="str">
        <x:f>IF($J136="","",IF(OR('02_Benchmarks'!$P136&lt;&gt;"Aktiv",COUNT('02_Benchmarks'!$J136:$M136)&lt;4),"",IF($G136="lower_is_better",IF($J136&lt;='02_Benchmarks'!$J136,3,IF($J136&lt;'02_Benchmarks'!$K136,2,IF($J136&lt;='02_Benchmarks'!$L136,0,IF($J136&lt;='02_Benchmarks'!$M136,-2,-3)))),IF($J136&gt;='02_Benchmarks'!$J136,3,IF($J136&gt;'02_Benchmarks'!$K136,2,IF($J136&gt;='02_Benchmarks'!$L136,0,IF($J136&gt;='02_Benchmarks'!$M136,-2,-3)))))))</x:f>
      </x:c>
      <x:c r="P136" s="58" t="str">
        <x:f>IF(COUNT($N136:$O136)+IF(ISNUMBER($K136),1,0)=0,"",MIN($N136:$O136,$K136))</x:f>
      </x:c>
      <x:c r="Q136" s="58" t="str">
        <x:f>IF($P136="","",INDEX('04_Tarifmodell'!$B$6:$B$12,$P136+4))</x:f>
      </x:c>
      <x:c r="R136" s="64" t="str">
        <x:f>IF($P136="","",INDEX('04_Tarifmodell'!$C$6:$C$12,$P136+4))</x:f>
      </x:c>
      <x:c r="S136" s="14" t="str">
        <x:f>IF(OR($I136="QUALITATIVE",$I136="MANUAL_HYBRID"),IF($K136="","Assurance-Score fehlt","Assurance-bewertet"),IF($I136="BENCHMARK",IF($W136&lt;&gt;"Aktiv",IF($K136="","Benchmark fehlt","Assurance-bewertet"),IF($J136="","Messwert fehlt",IF($P136="","Nicht bewertbar","Berechnet"))),IF(AND($J136="",$K136&lt;&gt;""),"Nur Assurance-Score",IF($J136="","Messwert fehlt",IF($P136="","Nicht bewertbar",IF($P136&lt;=-2,"Kritische Wirkung / Prüfung","Berechnet"))))))</x:f>
        <x:v>Messwert fehlt</x:v>
      </x:c>
      <x:c r="T136" s="14" t="str">
        <x:v>Vollständige fünfstufige numerische Regel.</x:v>
      </x:c>
      <x:c r="U136" s="14" t="str">
        <x:v>0:+3; ≤1:+2; ≤3:0; ≤5:‑2; &gt;5:‑3</x:v>
      </x:c>
      <x:c r="V136" s="14" t="str">
        <x:v>ESRS S1, GRI 401/403/405/406, ILO</x:v>
      </x:c>
      <x:c r="W136" s="14" t="str">
        <x:f>'02_Benchmarks'!$P136</x:f>
        <x:v>Optional – kein aktiver Benchmark</x:v>
      </x:c>
      <x:c r="X136" s="14" t="str">
        <x:v>Messgrundlage belegt; Schwellenkalibrierung offen</x:v>
      </x:c>
      <x:c r="Y136" s="14" t="str">
        <x:v>Mittel</x:v>
      </x:c>
      <x:c r="Z136" s="14" t="str">
        <x:v>Arbeitskalibrierung – fachlich zu validieren</x:v>
      </x:c>
      <x:c r="AA136" s="14" t="str">
        <x:v>Eigene Belegschaft/Organisation; FTE, Beschäftigtengruppe und Zeitraum</x:v>
      </x:c>
      <x:c r="AB136" s="14" t="str">
        <x:v>Primärdaten bevorzugt; Sekundärdaten nur transparent und versioniert; Methode und Systemgrenze dokumentieren</x:v>
      </x:c>
      <x:c r="AC136" s="14" t="str">
        <x:v>Limited Assurance; risikobasiert höhere Prüftiefe</x:v>
      </x:c>
    </x:row>
    <x:row r="137" ht="42" customHeight="1">
      <x:c r="A137" s="14" t="str">
        <x:v>WOK-G-128</x:v>
      </x:c>
      <x:c r="B137" s="14" t="str">
        <x:v>SDG 5 – Gleichstellung</x:v>
      </x:c>
      <x:c r="C137" s="14" t="str">
        <x:v>5.c</x:v>
      </x:c>
      <x:c r="D137" s="14" t="str">
        <x:v>Transparenz Lohnbänder</x:v>
      </x:c>
      <x:c r="E137" s="14" t="str">
        <x:v>Transparenz Lohnbänder – Antikorruption</x:v>
      </x:c>
      <x:c r="F137" s="14" t="str">
        <x:v>Fälle/1.000 FTE</x:v>
      </x:c>
      <x:c r="G137" s="14" t="str">
        <x:v>lower_is_better</x:v>
      </x:c>
      <x:c r="H137" s="14" t="str">
        <x:v>R01</x:v>
      </x:c>
      <x:c r="I137" s="14" t="str">
        <x:v>NUM_LOW</x:v>
      </x:c>
      <x:c r="J137" s="51"/>
      <x:c r="K137" s="51"/>
      <x:c r="L137" s="51"/>
      <x:c r="M137" s="54"/>
      <x:c r="N137" s="58" t="str">
        <x:f>IF($J137="","",IF($J137&lt;=0,3,IF($J137&lt;=0.2,2,IF($J137&lt;=0.5,0,IF($J137&lt;=1,-2,-3)))))</x:f>
      </x:c>
      <x:c r="O137" s="58" t="str">
        <x:f>IF($J137="","",IF(OR('02_Benchmarks'!$P137&lt;&gt;"Aktiv",COUNT('02_Benchmarks'!$J137:$M137)&lt;4),"",IF($G137="lower_is_better",IF($J137&lt;='02_Benchmarks'!$J137,3,IF($J137&lt;'02_Benchmarks'!$K137,2,IF($J137&lt;='02_Benchmarks'!$L137,0,IF($J137&lt;='02_Benchmarks'!$M137,-2,-3)))),IF($J137&gt;='02_Benchmarks'!$J137,3,IF($J137&gt;'02_Benchmarks'!$K137,2,IF($J137&gt;='02_Benchmarks'!$L137,0,IF($J137&gt;='02_Benchmarks'!$M137,-2,-3)))))))</x:f>
      </x:c>
      <x:c r="P137" s="58" t="str">
        <x:f>IF(COUNT($N137:$O137)+IF(ISNUMBER($K137),1,0)=0,"",MIN($N137:$O137,$K137))</x:f>
      </x:c>
      <x:c r="Q137" s="58" t="str">
        <x:f>IF($P137="","",INDEX('04_Tarifmodell'!$B$6:$B$12,$P137+4))</x:f>
      </x:c>
      <x:c r="R137" s="64" t="str">
        <x:f>IF($P137="","",INDEX('04_Tarifmodell'!$C$6:$C$12,$P137+4))</x:f>
      </x:c>
      <x:c r="S137" s="14" t="str">
        <x:f>IF(OR($I137="QUALITATIVE",$I137="MANUAL_HYBRID"),IF($K137="","Assurance-Score fehlt","Assurance-bewertet"),IF($I137="BENCHMARK",IF($W137&lt;&gt;"Aktiv",IF($K137="","Benchmark fehlt","Assurance-bewertet"),IF($J137="","Messwert fehlt",IF($P137="","Nicht bewertbar","Berechnet"))),IF(AND($J137="",$K137&lt;&gt;""),"Nur Assurance-Score",IF($J137="","Messwert fehlt",IF($P137="","Nicht bewertbar",IF($P137&lt;=-2,"Kritische Wirkung / Prüfung","Berechnet"))))))</x:f>
        <x:v>Messwert fehlt</x:v>
      </x:c>
      <x:c r="T137" s="14" t="str">
        <x:v>Vollständige fünfstufige numerische Regel.</x:v>
      </x:c>
      <x:c r="U137" s="14" t="str">
        <x:v>0:+3; ≤0,2:+2; ≤0,5:0; ≤1:‑2; &gt;1:‑3</x:v>
      </x:c>
      <x:c r="V137" s="14" t="str">
        <x:v>ESRS S1, GRI 401/403/405/406, ILO</x:v>
      </x:c>
      <x:c r="W137" s="14" t="str">
        <x:f>'02_Benchmarks'!$P137</x:f>
        <x:v>Optional – kein aktiver Benchmark</x:v>
      </x:c>
      <x:c r="X137" s="14" t="str">
        <x:v>Messgrundlage belegt; Schwellenkalibrierung offen</x:v>
      </x:c>
      <x:c r="Y137" s="14" t="str">
        <x:v>Mittel</x:v>
      </x:c>
      <x:c r="Z137" s="14" t="str">
        <x:v>Arbeitskalibrierung – fachlich zu validieren</x:v>
      </x:c>
      <x:c r="AA137" s="14" t="str">
        <x:v>Organisation/Governance; konsolidierter Kreis und relevante Rechtseinheiten</x:v>
      </x:c>
      <x:c r="AB137" s="14" t="str">
        <x:v>Primärdaten bevorzugt; Sekundärdaten nur transparent und versioniert; Methode und Systemgrenze dokumentieren</x:v>
      </x:c>
      <x:c r="AC137" s="14" t="str">
        <x:v>Limited Assurance; risikobasiert höhere Prüftiefe</x:v>
      </x:c>
    </x:row>
    <x:row r="138" ht="42" customHeight="1">
      <x:c r="A138" s="14" t="str">
        <x:v>WOK-G-129</x:v>
      </x:c>
      <x:c r="B138" s="14" t="str">
        <x:v>SDG 5 – Gleichstellung</x:v>
      </x:c>
      <x:c r="C138" s="14" t="str">
        <x:v>5.c</x:v>
      </x:c>
      <x:c r="D138" s="14" t="str">
        <x:v>Transparenz Lohnbänder</x:v>
      </x:c>
      <x:c r="E138" s="14" t="str">
        <x:v>Transparenz Lohnbänder – Whistleblowing</x:v>
      </x:c>
      <x:c r="F138" s="14" t="str">
        <x:v>0–1</x:v>
      </x:c>
      <x:c r="G138" s="14" t="str">
        <x:v>higher_is_better</x:v>
      </x:c>
      <x:c r="H138" s="14" t="str">
        <x:v>R16</x:v>
      </x:c>
      <x:c r="I138" s="14" t="str">
        <x:v>NUM_HIGH</x:v>
      </x:c>
      <x:c r="J138" s="51"/>
      <x:c r="K138" s="51"/>
      <x:c r="L138" s="51"/>
      <x:c r="M138" s="54"/>
      <x:c r="N138" s="58" t="str">
        <x:f>IF($J138="","",IF($J138&lt;0.4,-3,IF($J138&lt;0.6,-2,IF($J138&lt;0.75,0,IF($J138&lt;0.9,2,3)))))</x:f>
      </x:c>
      <x:c r="O138" s="58" t="str">
        <x:f>IF($J138="","",IF(OR('02_Benchmarks'!$P138&lt;&gt;"Aktiv",COUNT('02_Benchmarks'!$J138:$M138)&lt;4),"",IF($G138="lower_is_better",IF($J138&lt;='02_Benchmarks'!$J138,3,IF($J138&lt;'02_Benchmarks'!$K138,2,IF($J138&lt;='02_Benchmarks'!$L138,0,IF($J138&lt;='02_Benchmarks'!$M138,-2,-3)))),IF($J138&gt;='02_Benchmarks'!$J138,3,IF($J138&gt;'02_Benchmarks'!$K138,2,IF($J138&gt;='02_Benchmarks'!$L138,0,IF($J138&gt;='02_Benchmarks'!$M138,-2,-3)))))))</x:f>
      </x:c>
      <x:c r="P138" s="58" t="str">
        <x:f>IF(COUNT($N138:$O138)+IF(ISNUMBER($K138),1,0)=0,"",MIN($N138:$O138,$K138))</x:f>
      </x:c>
      <x:c r="Q138" s="58" t="str">
        <x:f>IF($P138="","",INDEX('04_Tarifmodell'!$B$6:$B$12,$P138+4))</x:f>
      </x:c>
      <x:c r="R138" s="64" t="str">
        <x:f>IF($P138="","",INDEX('04_Tarifmodell'!$C$6:$C$12,$P138+4))</x:f>
      </x:c>
      <x:c r="S138" s="14" t="str">
        <x:f>IF(OR($I138="QUALITATIVE",$I138="MANUAL_HYBRID"),IF($K138="","Assurance-Score fehlt","Assurance-bewertet"),IF($I138="BENCHMARK",IF($W138&lt;&gt;"Aktiv",IF($K138="","Benchmark fehlt","Assurance-bewertet"),IF($J138="","Messwert fehlt",IF($P138="","Nicht bewertbar","Berechnet"))),IF(AND($J138="",$K138&lt;&gt;""),"Nur Assurance-Score",IF($J138="","Messwert fehlt",IF($P138="","Nicht bewertbar",IF($P138&lt;=-2,"Kritische Wirkung / Prüfung","Berechnet"))))))</x:f>
        <x:v>Messwert fehlt</x:v>
      </x:c>
      <x:c r="T138" s="14" t="str">
        <x:v>Vollständige fünfstufige numerische Regel.</x:v>
      </x:c>
      <x:c r="U138" s="14" t="str">
        <x:v>≥0,9:+3; 0,75–0,89:+2; 0,6–0,74:0; 0,4–0,59:‑2; &lt;0,4:‑3</x:v>
      </x:c>
      <x:c r="V138" s="14" t="str">
        <x:v>ESRS S1, GRI 401/403/405/406, ILO</x:v>
      </x:c>
      <x:c r="W138" s="14" t="str">
        <x:f>'02_Benchmarks'!$P138</x:f>
        <x:v>Optional – kein aktiver Benchmark</x:v>
      </x:c>
      <x:c r="X138" s="14" t="str">
        <x:v>Messgrundlage belegt; Schwellenkalibrierung offen</x:v>
      </x:c>
      <x:c r="Y138" s="14" t="str">
        <x:v>Mittel</x:v>
      </x:c>
      <x:c r="Z138" s="14" t="str">
        <x:v>Arbeitskalibrierung – fachlich zu validieren</x:v>
      </x:c>
      <x:c r="AA138" s="14" t="str">
        <x:v>Organisation/Governance; konsolidierter Kreis und relevante Rechtseinheiten</x:v>
      </x:c>
      <x:c r="AB138" s="14" t="str">
        <x:v>Primärdaten bevorzugt; Sekundärdaten nur transparent und versioniert; Methode und Systemgrenze dokumentieren</x:v>
      </x:c>
      <x:c r="AC138" s="14" t="str">
        <x:v>Limited Assurance; risikobasiert höhere Prüftiefe</x:v>
      </x:c>
    </x:row>
    <x:row r="139" ht="42" customHeight="1">
      <x:c r="A139" s="14" t="str">
        <x:v>WOK-G-130</x:v>
      </x:c>
      <x:c r="B139" s="14" t="str">
        <x:v>SDG 5 – Gleichstellung</x:v>
      </x:c>
      <x:c r="C139" s="14" t="str">
        <x:v>5.c</x:v>
      </x:c>
      <x:c r="D139" s="14" t="str">
        <x:v>Transparenz Lohnbänder</x:v>
      </x:c>
      <x:c r="E139" s="14" t="str">
        <x:v>Transparenz Lohnbänder – Steuertransparenz</x:v>
      </x:c>
      <x:c r="F139" s="14" t="str">
        <x:v>0–1</x:v>
      </x:c>
      <x:c r="G139" s="14" t="str">
        <x:v>higher_is_better</x:v>
      </x:c>
      <x:c r="H139" s="14" t="str">
        <x:v>R08</x:v>
      </x:c>
      <x:c r="I139" s="14" t="str">
        <x:v>QUALITATIVE</x:v>
      </x:c>
      <x:c r="J139" s="51"/>
      <x:c r="K139" s="51"/>
      <x:c r="L139" s="51"/>
      <x:c r="M139" s="54"/>
      <x:c r="N139" s="58" t="str">
        <x:f>""</x:f>
      </x:c>
      <x:c r="O139" s="58" t="str">
        <x:f>IF($J139="","",IF(OR('02_Benchmarks'!$P139&lt;&gt;"Aktiv",COUNT('02_Benchmarks'!$J139:$M139)&lt;4),"",IF($G139="lower_is_better",IF($J139&lt;='02_Benchmarks'!$J139,3,IF($J139&lt;'02_Benchmarks'!$K139,2,IF($J139&lt;='02_Benchmarks'!$L139,0,IF($J139&lt;='02_Benchmarks'!$M139,-2,-3)))),IF($J139&gt;='02_Benchmarks'!$J139,3,IF($J139&gt;'02_Benchmarks'!$K139,2,IF($J139&gt;='02_Benchmarks'!$L139,0,IF($J139&gt;='02_Benchmarks'!$M139,-2,-3)))))))</x:f>
      </x:c>
      <x:c r="P139" s="58" t="str">
        <x:f>IF(COUNT($N139:$O139)+IF(ISNUMBER($K139),1,0)=0,"",MIN($N139:$O139,$K139))</x:f>
      </x:c>
      <x:c r="Q139" s="58" t="str">
        <x:f>IF($P139="","",INDEX('04_Tarifmodell'!$B$6:$B$12,$P139+4))</x:f>
      </x:c>
      <x:c r="R139" s="64" t="str">
        <x:f>IF($P139="","",INDEX('04_Tarifmodell'!$C$6:$C$12,$P139+4))</x:f>
      </x:c>
      <x:c r="S139" s="14" t="str">
        <x:f>IF(OR($I139="QUALITATIVE",$I139="MANUAL_HYBRID"),IF($K139="","Assurance-Score fehlt","Assurance-bewertet"),IF($I139="BENCHMARK",IF($W139&lt;&gt;"Aktiv",IF($K139="","Benchmark fehlt","Assurance-bewertet"),IF($J139="","Messwert fehlt",IF($P139="","Nicht bewertbar","Berechnet"))),IF(AND($J139="",$K139&lt;&gt;""),"Nur Assurance-Score",IF($J139="","Messwert fehlt",IF($P139="","Nicht bewertbar",IF($P139&lt;=-2,"Kritische Wirkung / Prüfung","Berechnet"))))))</x:f>
        <x:v>Assurance-Score fehlt</x:v>
      </x:c>
      <x:c r="T139" s="14" t="str">
        <x:v>Die Kategorie −3 fehlt; Vollständigkeit und Wirksamkeit sind feldspezifisch zu definieren.</x:v>
      </x:c>
      <x:c r="U139" s="14" t="str">
        <x:v>vollständig:+3; teilweise:+2; minimal:0; schlecht:‑2</x:v>
      </x:c>
      <x:c r="V139" s="14" t="str">
        <x:v>ESRS S1, GRI 401/403/405/406, ILO</x:v>
      </x:c>
      <x:c r="W139" s="14" t="str">
        <x:f>'02_Benchmarks'!$P139</x:f>
        <x:v>Optional – kein aktiver Benchmark</x:v>
      </x:c>
      <x:c r="X139" s="14" t="str">
        <x:v>Messgrundlage belegt; Schwellenkalibrierung offen</x:v>
      </x:c>
      <x:c r="Y139" s="14" t="str">
        <x:v>Hoch</x:v>
      </x:c>
      <x:c r="Z139" s="14" t="str">
        <x:v>Assurance und Kriterienkatalog erforderlich</x:v>
      </x:c>
      <x:c r="AA139" s="14" t="str">
        <x:v>Organisation/Governance; konsolidierter Kreis und relevante Rechtseinheiten</x:v>
      </x:c>
      <x:c r="AB139" s="14" t="str">
        <x:v>Dokumentierter Kriterienkatalog; nachvollziehbare Evidenz; DQR A/B bevorzugt</x:v>
      </x:c>
      <x:c r="AC139" s="14" t="str">
        <x:v>Unabhängige Fachprüfung/Limited Assurance; bei roten Linien Reasonable Assurance</x:v>
      </x:c>
    </x:row>
    <x:row r="140" ht="42" customHeight="1">
      <x:c r="A140" s="14" t="str">
        <x:v>WOK-E-122</x:v>
      </x:c>
      <x:c r="B140" s="14" t="str">
        <x:v>SDG 6 – Wasser</x:v>
      </x:c>
      <x:c r="C140" s="14" t="str">
        <x:v>6.4</x:v>
      </x:c>
      <x:c r="D140" s="14" t="str">
        <x:v>Wasserentnahme (WSI)</x:v>
      </x:c>
      <x:c r="E140" s="14" t="str">
        <x:v>Wasserentnahme (WSI) – Entnahme (WSI)</x:v>
      </x:c>
      <x:c r="F140" s="14" t="str">
        <x:v>m³*WSI</x:v>
      </x:c>
      <x:c r="G140" s="14" t="str">
        <x:v>lower_is_better</x:v>
      </x:c>
      <x:c r="H140" s="14" t="str">
        <x:v>R06</x:v>
      </x:c>
      <x:c r="I140" s="14" t="str">
        <x:v>BENCHMARK</x:v>
      </x:c>
      <x:c r="J140" s="51"/>
      <x:c r="K140" s="51"/>
      <x:c r="L140" s="51"/>
      <x:c r="M140" s="54"/>
      <x:c r="N140" s="58" t="str">
        <x:f>""</x:f>
      </x:c>
      <x:c r="O140" s="58" t="str">
        <x:f>IF($J140="","",IF(OR('02_Benchmarks'!$P140&lt;&gt;"Aktiv",COUNT('02_Benchmarks'!$J140:$M140)&lt;4),"",IF($G140="lower_is_better",IF($J140&lt;='02_Benchmarks'!$J140,3,IF($J140&lt;'02_Benchmarks'!$K140,2,IF($J140&lt;='02_Benchmarks'!$L140,0,IF($J140&lt;='02_Benchmarks'!$M140,-2,-3)))),IF($J140&gt;='02_Benchmarks'!$J140,3,IF($J140&gt;'02_Benchmarks'!$K140,2,IF($J140&gt;='02_Benchmarks'!$L140,0,IF($J140&gt;='02_Benchmarks'!$M140,-2,-3)))))))</x:f>
      </x:c>
      <x:c r="P140" s="58" t="str">
        <x:f>IF(COUNT($N140:$O140)+IF(ISNUMBER($K140),1,0)=0,"",MIN($N140:$O140,$K140))</x:f>
      </x:c>
      <x:c r="Q140" s="58" t="str">
        <x:f>IF($P140="","",INDEX('04_Tarifmodell'!$B$6:$B$12,$P140+4))</x:f>
      </x:c>
      <x:c r="R140" s="64" t="str">
        <x:f>IF($P140="","",INDEX('04_Tarifmodell'!$C$6:$C$12,$P140+4))</x:f>
      </x:c>
      <x:c r="S140" s="14" t="str">
        <x:f>IF(OR($I140="QUALITATIVE",$I140="MANUAL_HYBRID"),IF($K140="","Assurance-Score fehlt","Assurance-bewertet"),IF($I140="BENCHMARK",IF($W140&lt;&gt;"Aktiv",IF($K140="","Benchmark fehlt","Assurance-bewertet"),IF($J140="","Messwert fehlt",IF($P140="","Nicht bewertbar","Berechnet"))),IF(AND($J140="",$K140&lt;&gt;""),"Nur Assurance-Score",IF($J140="","Messwert fehlt",IF($P140="","Nicht bewertbar",IF($P140&lt;=-2,"Kritische Wirkung / Prüfung","Berechnet"))))))</x:f>
        <x:v>Benchmark fehlt</x:v>
      </x:c>
      <x:c r="T140" s="14" t="str">
        <x:v>Top-10-Prozent, Mittelwert, 150 % und 250 % müssen aus einer dokumentierten Grundgesamtheit stammen.</x:v>
      </x:c>
      <x:c r="U140" s="14" t="str">
        <x:v>Top‑10%:+3; Mittel:0; &gt;150%:‑2; &gt;250%:‑3</x:v>
      </x:c>
      <x:c r="V140" s="14" t="str">
        <x:v>ESRS E3, WRI Aqueduct, ISO 14046 (Water Footprint)</x:v>
      </x:c>
      <x:c r="W140" s="14" t="str">
        <x:f>'02_Benchmarks'!$P140</x:f>
        <x:v>Offen – validierter Benchmark fehlt</x:v>
      </x:c>
      <x:c r="X140" s="14" t="str">
        <x:v>Teilbelegt – Benchmarkquelle fehlt</x:v>
      </x:c>
      <x:c r="Y140" s="14" t="str">
        <x:v>Hoch</x:v>
      </x:c>
      <x:c r="Z140" s="14" t="str">
        <x:v>Validierter Benchmark fehlt</x:v>
      </x:c>
      <x:c r="AA140" s="14" t="str">
        <x:v>Standort/Prozess/Aktivität; Bezugsgröße und relevante Umweltmedien</x:v>
      </x:c>
      <x:c r="AB140" s="14" t="str">
        <x:v>Primärdaten plus repräsentativer, versionierter Benchmarkdatensatz; Stichprobe und Population offenlegen</x:v>
      </x:c>
      <x:c r="AC140" s="14" t="str">
        <x:v>Messwert-Assurance und unabhängige Benchmark-Governance</x:v>
      </x:c>
    </x:row>
    <x:row r="141" ht="42" customHeight="1">
      <x:c r="A141" s="14" t="str">
        <x:v>WOK-E-123</x:v>
      </x:c>
      <x:c r="B141" s="14" t="str">
        <x:v>SDG 6 – Wasser</x:v>
      </x:c>
      <x:c r="C141" s="14" t="str">
        <x:v>6.4</x:v>
      </x:c>
      <x:c r="D141" s="14" t="str">
        <x:v>Wasserentnahme (WSI)</x:v>
      </x:c>
      <x:c r="E141" s="14" t="str">
        <x:v>Wasserentnahme (WSI) – Reuse</x:v>
      </x:c>
      <x:c r="F141" s="14" t="str">
        <x:v>%</x:v>
      </x:c>
      <x:c r="G141" s="14" t="str">
        <x:v>higher_is_better</x:v>
      </x:c>
      <x:c r="H141" s="14" t="str">
        <x:v>R25</x:v>
      </x:c>
      <x:c r="I141" s="14" t="str">
        <x:v>NUM_HIGH</x:v>
      </x:c>
      <x:c r="J141" s="51"/>
      <x:c r="K141" s="51"/>
      <x:c r="L141" s="51"/>
      <x:c r="M141" s="54"/>
      <x:c r="N141" s="58" t="str">
        <x:f>IF($J141="","",IF($J141&lt;30,-3,IF($J141&lt;50,-2,IF($J141&lt;70,0,IF($J141&lt;90,2,3)))))</x:f>
      </x:c>
      <x:c r="O141" s="58" t="str">
        <x:f>IF($J141="","",IF(OR('02_Benchmarks'!$P141&lt;&gt;"Aktiv",COUNT('02_Benchmarks'!$J141:$M141)&lt;4),"",IF($G141="lower_is_better",IF($J141&lt;='02_Benchmarks'!$J141,3,IF($J141&lt;'02_Benchmarks'!$K141,2,IF($J141&lt;='02_Benchmarks'!$L141,0,IF($J141&lt;='02_Benchmarks'!$M141,-2,-3)))),IF($J141&gt;='02_Benchmarks'!$J141,3,IF($J141&gt;'02_Benchmarks'!$K141,2,IF($J141&gt;='02_Benchmarks'!$L141,0,IF($J141&gt;='02_Benchmarks'!$M141,-2,-3)))))))</x:f>
      </x:c>
      <x:c r="P141" s="58" t="str">
        <x:f>IF(COUNT($N141:$O141)+IF(ISNUMBER($K141),1,0)=0,"",MIN($N141:$O141,$K141))</x:f>
      </x:c>
      <x:c r="Q141" s="58" t="str">
        <x:f>IF($P141="","",INDEX('04_Tarifmodell'!$B$6:$B$12,$P141+4))</x:f>
      </x:c>
      <x:c r="R141" s="64" t="str">
        <x:f>IF($P141="","",INDEX('04_Tarifmodell'!$C$6:$C$12,$P141+4))</x:f>
      </x:c>
      <x:c r="S141" s="14" t="str">
        <x:f>IF(OR($I141="QUALITATIVE",$I141="MANUAL_HYBRID"),IF($K141="","Assurance-Score fehlt","Assurance-bewertet"),IF($I141="BENCHMARK",IF($W141&lt;&gt;"Aktiv",IF($K141="","Benchmark fehlt","Assurance-bewertet"),IF($J141="","Messwert fehlt",IF($P141="","Nicht bewertbar","Berechnet"))),IF(AND($J141="",$K141&lt;&gt;""),"Nur Assurance-Score",IF($J141="","Messwert fehlt",IF($P141="","Nicht bewertbar",IF($P141&lt;=-2,"Kritische Wirkung / Prüfung","Berechnet"))))))</x:f>
        <x:v>Messwert fehlt</x:v>
      </x:c>
      <x:c r="T141" s="14" t="str">
        <x:v>Vollständige fünfstufige Prozentregel.</x:v>
      </x:c>
      <x:c r="U141" s="14" t="str">
        <x:v>≥90%:+3; 70–89%:+2; 50–69%:0; 30–49%:‑2; &lt;30%:‑3</x:v>
      </x:c>
      <x:c r="V141" s="14" t="str">
        <x:v>ESRS E3, WRI Aqueduct, ISO 14046 (Water Footprint)</x:v>
      </x:c>
      <x:c r="W141" s="14" t="str">
        <x:f>'02_Benchmarks'!$P141</x:f>
        <x:v>Optional – kein aktiver Benchmark</x:v>
      </x:c>
      <x:c r="X141" s="14" t="str">
        <x:v>Messgrundlage belegt; Schwellenkalibrierung offen</x:v>
      </x:c>
      <x:c r="Y141" s="14" t="str">
        <x:v>Mittel</x:v>
      </x:c>
      <x:c r="Z141" s="14" t="str">
        <x:v>Arbeitskalibrierung – fachlich zu validieren</x:v>
      </x:c>
      <x:c r="AA141" s="14" t="str">
        <x:v>Standort/Prozess/Aktivität; Bezugsgröße und relevante Umweltmedien</x:v>
      </x:c>
      <x:c r="AB141" s="14" t="str">
        <x:v>Primärdaten bevorzugt; Sekundärdaten nur transparent und versioniert; Methode und Systemgrenze dokumentieren</x:v>
      </x:c>
      <x:c r="AC141" s="14" t="str">
        <x:v>Limited Assurance; risikobasiert höhere Prüftiefe</x:v>
      </x:c>
    </x:row>
    <x:row r="142" ht="42" customHeight="1">
      <x:c r="A142" s="14" t="str">
        <x:v>WOK-E-124</x:v>
      </x:c>
      <x:c r="B142" s="14" t="str">
        <x:v>SDG 6 – Wasser</x:v>
      </x:c>
      <x:c r="C142" s="14" t="str">
        <x:v>6.4</x:v>
      </x:c>
      <x:c r="D142" s="14" t="str">
        <x:v>Wasserentnahme (WSI)</x:v>
      </x:c>
      <x:c r="E142" s="14" t="str">
        <x:v>Wasserentnahme (WSI) – Abwasserqualität</x:v>
      </x:c>
      <x:c r="F142" s="14" t="str">
        <x:v>% des Grenzwerts</x:v>
      </x:c>
      <x:c r="G142" s="14" t="str">
        <x:v>lower_is_better</x:v>
      </x:c>
      <x:c r="H142" s="14" t="str">
        <x:v>R12</x:v>
      </x:c>
      <x:c r="I142" s="14" t="str">
        <x:v>LEGAL_RATIO</x:v>
      </x:c>
      <x:c r="J142" s="51"/>
      <x:c r="K142" s="51"/>
      <x:c r="L142" s="51"/>
      <x:c r="M142" s="54"/>
      <x:c r="N142" s="58" t="str">
        <x:f>IF($J142="","",IF($J142&lt;=50,3,IF($J142&lt;=75,2,IF($J142&lt;=100,0,IF($J142&lt;=120,-2,-3)))))</x:f>
      </x:c>
      <x:c r="O142" s="58" t="str">
        <x:f>IF($J142="","",IF(OR('02_Benchmarks'!$P142&lt;&gt;"Aktiv",COUNT('02_Benchmarks'!$J142:$M142)&lt;4),"",IF($G142="lower_is_better",IF($J142&lt;='02_Benchmarks'!$J142,3,IF($J142&lt;'02_Benchmarks'!$K142,2,IF($J142&lt;='02_Benchmarks'!$L142,0,IF($J142&lt;='02_Benchmarks'!$M142,-2,-3)))),IF($J142&gt;='02_Benchmarks'!$J142,3,IF($J142&gt;'02_Benchmarks'!$K142,2,IF($J142&gt;='02_Benchmarks'!$L142,0,IF($J142&gt;='02_Benchmarks'!$M142,-2,-3)))))))</x:f>
      </x:c>
      <x:c r="P142" s="58" t="str">
        <x:f>IF(COUNT($N142:$O142)+IF(ISNUMBER($K142),1,0)=0,"",MIN($N142:$O142,$K142))</x:f>
      </x:c>
      <x:c r="Q142" s="58" t="str">
        <x:f>IF($P142="","",INDEX('04_Tarifmodell'!$B$6:$B$12,$P142+4))</x:f>
      </x:c>
      <x:c r="R142" s="64" t="str">
        <x:f>IF($P142="","",INDEX('04_Tarifmodell'!$C$6:$C$12,$P142+4))</x:f>
      </x:c>
      <x:c r="S142" s="14" t="str">
        <x:f>IF(OR($I142="QUALITATIVE",$I142="MANUAL_HYBRID"),IF($K142="","Assurance-Score fehlt","Assurance-bewertet"),IF($I142="BENCHMARK",IF($W142&lt;&gt;"Aktiv",IF($K142="","Benchmark fehlt","Assurance-bewertet"),IF($J142="","Messwert fehlt",IF($P142="","Nicht bewertbar","Berechnet"))),IF(AND($J142="",$K142&lt;&gt;""),"Nur Assurance-Score",IF($J142="","Messwert fehlt",IF($P142="","Nicht bewertbar",IF($P142&lt;=-2,"Kritische Wirkung / Prüfung","Berechnet"))))))</x:f>
        <x:v>Messwert fehlt</x:v>
      </x:c>
      <x:c r="T142" s="14" t="str">
        <x:v>Nicht der absolute Messwert, sondern Messwert ÷ Grenzwert × 100 wird bewertet.</x:v>
      </x:c>
      <x:c r="U142" s="14" t="str">
        <x:v>≤50% Grenzwert:+3; ≤75%:+2; ≤100%:0; 101–120%:‑2; &gt;120%:‑3</x:v>
      </x:c>
      <x:c r="V142" s="14" t="str">
        <x:v>ESRS E3, WRI Aqueduct, ISO 14046 (Water Footprint)</x:v>
      </x:c>
      <x:c r="W142" s="14" t="str">
        <x:f>'02_Benchmarks'!$P142</x:f>
        <x:v>Optional – kein aktiver Benchmark</x:v>
      </x:c>
      <x:c r="X142" s="14" t="str">
        <x:v>Teilbelegt – Rechtsfundstelle je Messung fehlt</x:v>
      </x:c>
      <x:c r="Y142" s="14" t="str">
        <x:v>Hoch</x:v>
      </x:c>
      <x:c r="Z142" s="14" t="str">
        <x:v>Rechtsfundstelle je Fall erforderlich</x:v>
      </x:c>
      <x:c r="AA142" s="14" t="str">
        <x:v>Standort/Prozess/Aktivität; Bezugsgröße und relevante Umweltmedien</x:v>
      </x:c>
      <x:c r="AB142" s="14" t="str">
        <x:v>Kalibrierter Messwert; Rechtsfundstelle, Grenzwert, Einheit, Messpunkt und Zeitraum</x:v>
      </x:c>
      <x:c r="AC142" s="14" t="str">
        <x:v>Behördlicher/akkreditierter Nachweis oder unabhängige Prüfung</x:v>
      </x:c>
    </x:row>
    <x:row r="143" ht="42" customHeight="1">
      <x:c r="A143" s="14" t="str">
        <x:v>WOK-E-125</x:v>
      </x:c>
      <x:c r="B143" s="14" t="str">
        <x:v>SDG 6 – Wasser</x:v>
      </x:c>
      <x:c r="C143" s="14" t="str">
        <x:v>6.3</x:v>
      </x:c>
      <x:c r="D143" s="14" t="str">
        <x:v>Abwasserqualität</x:v>
      </x:c>
      <x:c r="E143" s="14" t="str">
        <x:v>Abwasserqualität – Entnahme (WSI)</x:v>
      </x:c>
      <x:c r="F143" s="14" t="str">
        <x:v>m³*WSI</x:v>
      </x:c>
      <x:c r="G143" s="14" t="str">
        <x:v>lower_is_better</x:v>
      </x:c>
      <x:c r="H143" s="14" t="str">
        <x:v>R06</x:v>
      </x:c>
      <x:c r="I143" s="14" t="str">
        <x:v>BENCHMARK</x:v>
      </x:c>
      <x:c r="J143" s="51"/>
      <x:c r="K143" s="51"/>
      <x:c r="L143" s="51"/>
      <x:c r="M143" s="54"/>
      <x:c r="N143" s="58" t="str">
        <x:f>""</x:f>
      </x:c>
      <x:c r="O143" s="58" t="str">
        <x:f>IF($J143="","",IF(OR('02_Benchmarks'!$P143&lt;&gt;"Aktiv",COUNT('02_Benchmarks'!$J143:$M143)&lt;4),"",IF($G143="lower_is_better",IF($J143&lt;='02_Benchmarks'!$J143,3,IF($J143&lt;'02_Benchmarks'!$K143,2,IF($J143&lt;='02_Benchmarks'!$L143,0,IF($J143&lt;='02_Benchmarks'!$M143,-2,-3)))),IF($J143&gt;='02_Benchmarks'!$J143,3,IF($J143&gt;'02_Benchmarks'!$K143,2,IF($J143&gt;='02_Benchmarks'!$L143,0,IF($J143&gt;='02_Benchmarks'!$M143,-2,-3)))))))</x:f>
      </x:c>
      <x:c r="P143" s="58" t="str">
        <x:f>IF(COUNT($N143:$O143)+IF(ISNUMBER($K143),1,0)=0,"",MIN($N143:$O143,$K143))</x:f>
      </x:c>
      <x:c r="Q143" s="58" t="str">
        <x:f>IF($P143="","",INDEX('04_Tarifmodell'!$B$6:$B$12,$P143+4))</x:f>
      </x:c>
      <x:c r="R143" s="64" t="str">
        <x:f>IF($P143="","",INDEX('04_Tarifmodell'!$C$6:$C$12,$P143+4))</x:f>
      </x:c>
      <x:c r="S143" s="14" t="str">
        <x:f>IF(OR($I143="QUALITATIVE",$I143="MANUAL_HYBRID"),IF($K143="","Assurance-Score fehlt","Assurance-bewertet"),IF($I143="BENCHMARK",IF($W143&lt;&gt;"Aktiv",IF($K143="","Benchmark fehlt","Assurance-bewertet"),IF($J143="","Messwert fehlt",IF($P143="","Nicht bewertbar","Berechnet"))),IF(AND($J143="",$K143&lt;&gt;""),"Nur Assurance-Score",IF($J143="","Messwert fehlt",IF($P143="","Nicht bewertbar",IF($P143&lt;=-2,"Kritische Wirkung / Prüfung","Berechnet"))))))</x:f>
        <x:v>Benchmark fehlt</x:v>
      </x:c>
      <x:c r="T143" s="14" t="str">
        <x:v>Top-10-Prozent, Mittelwert, 150 % und 250 % müssen aus einer dokumentierten Grundgesamtheit stammen.</x:v>
      </x:c>
      <x:c r="U143" s="14" t="str">
        <x:v>Top‑10%:+3; Mittel:0; &gt;150%:‑2; &gt;250%:‑3</x:v>
      </x:c>
      <x:c r="V143" s="14" t="str">
        <x:v>ESRS E3, WRI Aqueduct, ISO 14046 (Water Footprint)</x:v>
      </x:c>
      <x:c r="W143" s="14" t="str">
        <x:f>'02_Benchmarks'!$P143</x:f>
        <x:v>Offen – validierter Benchmark fehlt</x:v>
      </x:c>
      <x:c r="X143" s="14" t="str">
        <x:v>Teilbelegt – Benchmarkquelle fehlt</x:v>
      </x:c>
      <x:c r="Y143" s="14" t="str">
        <x:v>Hoch</x:v>
      </x:c>
      <x:c r="Z143" s="14" t="str">
        <x:v>Validierter Benchmark fehlt</x:v>
      </x:c>
      <x:c r="AA143" s="14" t="str">
        <x:v>Standort/Prozess/Aktivität; Bezugsgröße und relevante Umweltmedien</x:v>
      </x:c>
      <x:c r="AB143" s="14" t="str">
        <x:v>Primärdaten plus repräsentativer, versionierter Benchmarkdatensatz; Stichprobe und Population offenlegen</x:v>
      </x:c>
      <x:c r="AC143" s="14" t="str">
        <x:v>Messwert-Assurance und unabhängige Benchmark-Governance</x:v>
      </x:c>
    </x:row>
    <x:row r="144" ht="42" customHeight="1">
      <x:c r="A144" s="14" t="str">
        <x:v>WOK-E-126</x:v>
      </x:c>
      <x:c r="B144" s="14" t="str">
        <x:v>SDG 6 – Wasser</x:v>
      </x:c>
      <x:c r="C144" s="14" t="str">
        <x:v>6.3</x:v>
      </x:c>
      <x:c r="D144" s="14" t="str">
        <x:v>Abwasserqualität</x:v>
      </x:c>
      <x:c r="E144" s="14" t="str">
        <x:v>Abwasserqualität – Reuse</x:v>
      </x:c>
      <x:c r="F144" s="14" t="str">
        <x:v>%</x:v>
      </x:c>
      <x:c r="G144" s="14" t="str">
        <x:v>higher_is_better</x:v>
      </x:c>
      <x:c r="H144" s="14" t="str">
        <x:v>R25</x:v>
      </x:c>
      <x:c r="I144" s="14" t="str">
        <x:v>NUM_HIGH</x:v>
      </x:c>
      <x:c r="J144" s="51"/>
      <x:c r="K144" s="51"/>
      <x:c r="L144" s="51"/>
      <x:c r="M144" s="54"/>
      <x:c r="N144" s="58" t="str">
        <x:f>IF($J144="","",IF($J144&lt;30,-3,IF($J144&lt;50,-2,IF($J144&lt;70,0,IF($J144&lt;90,2,3)))))</x:f>
      </x:c>
      <x:c r="O144" s="58" t="str">
        <x:f>IF($J144="","",IF(OR('02_Benchmarks'!$P144&lt;&gt;"Aktiv",COUNT('02_Benchmarks'!$J144:$M144)&lt;4),"",IF($G144="lower_is_better",IF($J144&lt;='02_Benchmarks'!$J144,3,IF($J144&lt;'02_Benchmarks'!$K144,2,IF($J144&lt;='02_Benchmarks'!$L144,0,IF($J144&lt;='02_Benchmarks'!$M144,-2,-3)))),IF($J144&gt;='02_Benchmarks'!$J144,3,IF($J144&gt;'02_Benchmarks'!$K144,2,IF($J144&gt;='02_Benchmarks'!$L144,0,IF($J144&gt;='02_Benchmarks'!$M144,-2,-3)))))))</x:f>
      </x:c>
      <x:c r="P144" s="58" t="str">
        <x:f>IF(COUNT($N144:$O144)+IF(ISNUMBER($K144),1,0)=0,"",MIN($N144:$O144,$K144))</x:f>
      </x:c>
      <x:c r="Q144" s="58" t="str">
        <x:f>IF($P144="","",INDEX('04_Tarifmodell'!$B$6:$B$12,$P144+4))</x:f>
      </x:c>
      <x:c r="R144" s="64" t="str">
        <x:f>IF($P144="","",INDEX('04_Tarifmodell'!$C$6:$C$12,$P144+4))</x:f>
      </x:c>
      <x:c r="S144" s="14" t="str">
        <x:f>IF(OR($I144="QUALITATIVE",$I144="MANUAL_HYBRID"),IF($K144="","Assurance-Score fehlt","Assurance-bewertet"),IF($I144="BENCHMARK",IF($W144&lt;&gt;"Aktiv",IF($K144="","Benchmark fehlt","Assurance-bewertet"),IF($J144="","Messwert fehlt",IF($P144="","Nicht bewertbar","Berechnet"))),IF(AND($J144="",$K144&lt;&gt;""),"Nur Assurance-Score",IF($J144="","Messwert fehlt",IF($P144="","Nicht bewertbar",IF($P144&lt;=-2,"Kritische Wirkung / Prüfung","Berechnet"))))))</x:f>
        <x:v>Messwert fehlt</x:v>
      </x:c>
      <x:c r="T144" s="14" t="str">
        <x:v>Vollständige fünfstufige Prozentregel.</x:v>
      </x:c>
      <x:c r="U144" s="14" t="str">
        <x:v>≥90%:+3; 70–89%:+2; 50–69%:0; 30–49%:‑2; &lt;30%:‑3</x:v>
      </x:c>
      <x:c r="V144" s="14" t="str">
        <x:v>ESRS E3, WRI Aqueduct, ISO 14046 (Water Footprint)</x:v>
      </x:c>
      <x:c r="W144" s="14" t="str">
        <x:f>'02_Benchmarks'!$P144</x:f>
        <x:v>Optional – kein aktiver Benchmark</x:v>
      </x:c>
      <x:c r="X144" s="14" t="str">
        <x:v>Messgrundlage belegt; Schwellenkalibrierung offen</x:v>
      </x:c>
      <x:c r="Y144" s="14" t="str">
        <x:v>Mittel</x:v>
      </x:c>
      <x:c r="Z144" s="14" t="str">
        <x:v>Arbeitskalibrierung – fachlich zu validieren</x:v>
      </x:c>
      <x:c r="AA144" s="14" t="str">
        <x:v>Standort/Prozess/Aktivität; Bezugsgröße und relevante Umweltmedien</x:v>
      </x:c>
      <x:c r="AB144" s="14" t="str">
        <x:v>Primärdaten bevorzugt; Sekundärdaten nur transparent und versioniert; Methode und Systemgrenze dokumentieren</x:v>
      </x:c>
      <x:c r="AC144" s="14" t="str">
        <x:v>Limited Assurance; risikobasiert höhere Prüftiefe</x:v>
      </x:c>
    </x:row>
    <x:row r="145" ht="42" customHeight="1">
      <x:c r="A145" s="14" t="str">
        <x:v>WOK-E-127</x:v>
      </x:c>
      <x:c r="B145" s="14" t="str">
        <x:v>SDG 6 – Wasser</x:v>
      </x:c>
      <x:c r="C145" s="14" t="str">
        <x:v>6.3</x:v>
      </x:c>
      <x:c r="D145" s="14" t="str">
        <x:v>Abwasserqualität</x:v>
      </x:c>
      <x:c r="E145" s="14" t="str">
        <x:v>Abwasserqualität – Abwasserqualität</x:v>
      </x:c>
      <x:c r="F145" s="14" t="str">
        <x:v>% des Grenzwerts</x:v>
      </x:c>
      <x:c r="G145" s="14" t="str">
        <x:v>lower_is_better</x:v>
      </x:c>
      <x:c r="H145" s="14" t="str">
        <x:v>R12</x:v>
      </x:c>
      <x:c r="I145" s="14" t="str">
        <x:v>LEGAL_RATIO</x:v>
      </x:c>
      <x:c r="J145" s="51"/>
      <x:c r="K145" s="51"/>
      <x:c r="L145" s="51"/>
      <x:c r="M145" s="54"/>
      <x:c r="N145" s="58" t="str">
        <x:f>IF($J145="","",IF($J145&lt;=50,3,IF($J145&lt;=75,2,IF($J145&lt;=100,0,IF($J145&lt;=120,-2,-3)))))</x:f>
      </x:c>
      <x:c r="O145" s="58" t="str">
        <x:f>IF($J145="","",IF(OR('02_Benchmarks'!$P145&lt;&gt;"Aktiv",COUNT('02_Benchmarks'!$J145:$M145)&lt;4),"",IF($G145="lower_is_better",IF($J145&lt;='02_Benchmarks'!$J145,3,IF($J145&lt;'02_Benchmarks'!$K145,2,IF($J145&lt;='02_Benchmarks'!$L145,0,IF($J145&lt;='02_Benchmarks'!$M145,-2,-3)))),IF($J145&gt;='02_Benchmarks'!$J145,3,IF($J145&gt;'02_Benchmarks'!$K145,2,IF($J145&gt;='02_Benchmarks'!$L145,0,IF($J145&gt;='02_Benchmarks'!$M145,-2,-3)))))))</x:f>
      </x:c>
      <x:c r="P145" s="58" t="str">
        <x:f>IF(COUNT($N145:$O145)+IF(ISNUMBER($K145),1,0)=0,"",MIN($N145:$O145,$K145))</x:f>
      </x:c>
      <x:c r="Q145" s="58" t="str">
        <x:f>IF($P145="","",INDEX('04_Tarifmodell'!$B$6:$B$12,$P145+4))</x:f>
      </x:c>
      <x:c r="R145" s="64" t="str">
        <x:f>IF($P145="","",INDEX('04_Tarifmodell'!$C$6:$C$12,$P145+4))</x:f>
      </x:c>
      <x:c r="S145" s="14" t="str">
        <x:f>IF(OR($I145="QUALITATIVE",$I145="MANUAL_HYBRID"),IF($K145="","Assurance-Score fehlt","Assurance-bewertet"),IF($I145="BENCHMARK",IF($W145&lt;&gt;"Aktiv",IF($K145="","Benchmark fehlt","Assurance-bewertet"),IF($J145="","Messwert fehlt",IF($P145="","Nicht bewertbar","Berechnet"))),IF(AND($J145="",$K145&lt;&gt;""),"Nur Assurance-Score",IF($J145="","Messwert fehlt",IF($P145="","Nicht bewertbar",IF($P145&lt;=-2,"Kritische Wirkung / Prüfung","Berechnet"))))))</x:f>
        <x:v>Messwert fehlt</x:v>
      </x:c>
      <x:c r="T145" s="14" t="str">
        <x:v>Nicht der absolute Messwert, sondern Messwert ÷ Grenzwert × 100 wird bewertet.</x:v>
      </x:c>
      <x:c r="U145" s="14" t="str">
        <x:v>≤50% Grenzwert:+3; ≤75%:+2; ≤100%:0; 101–120%:‑2; &gt;120%:‑3</x:v>
      </x:c>
      <x:c r="V145" s="14" t="str">
        <x:v>ESRS E3, WRI Aqueduct, ISO 14046 (Water Footprint)</x:v>
      </x:c>
      <x:c r="W145" s="14" t="str">
        <x:f>'02_Benchmarks'!$P145</x:f>
        <x:v>Optional – kein aktiver Benchmark</x:v>
      </x:c>
      <x:c r="X145" s="14" t="str">
        <x:v>Teilbelegt – Rechtsfundstelle je Messung fehlt</x:v>
      </x:c>
      <x:c r="Y145" s="14" t="str">
        <x:v>Hoch</x:v>
      </x:c>
      <x:c r="Z145" s="14" t="str">
        <x:v>Rechtsfundstelle je Fall erforderlich</x:v>
      </x:c>
      <x:c r="AA145" s="14" t="str">
        <x:v>Standort/Prozess/Aktivität; Bezugsgröße und relevante Umweltmedien</x:v>
      </x:c>
      <x:c r="AB145" s="14" t="str">
        <x:v>Kalibrierter Messwert; Rechtsfundstelle, Grenzwert, Einheit, Messpunkt und Zeitraum</x:v>
      </x:c>
      <x:c r="AC145" s="14" t="str">
        <x:v>Behördlicher/akkreditierter Nachweis oder unabhängige Prüfung</x:v>
      </x:c>
    </x:row>
    <x:row r="146" ht="42" customHeight="1">
      <x:c r="A146" s="14" t="str">
        <x:v>WOK-E-128</x:v>
      </x:c>
      <x:c r="B146" s="14" t="str">
        <x:v>SDG 6 – Wasser</x:v>
      </x:c>
      <x:c r="C146" s="14" t="str">
        <x:v>6.5</x:v>
      </x:c>
      <x:c r="D146" s="14" t="str">
        <x:v>Wasser‑Reuse/Closed Loop</x:v>
      </x:c>
      <x:c r="E146" s="14" t="str">
        <x:v>Wasser‑Reuse/Closed Loop – Entnahme (WSI)</x:v>
      </x:c>
      <x:c r="F146" s="14" t="str">
        <x:v>m³*WSI</x:v>
      </x:c>
      <x:c r="G146" s="14" t="str">
        <x:v>lower_is_better</x:v>
      </x:c>
      <x:c r="H146" s="14" t="str">
        <x:v>R06</x:v>
      </x:c>
      <x:c r="I146" s="14" t="str">
        <x:v>BENCHMARK</x:v>
      </x:c>
      <x:c r="J146" s="51"/>
      <x:c r="K146" s="51"/>
      <x:c r="L146" s="51"/>
      <x:c r="M146" s="54"/>
      <x:c r="N146" s="58" t="str">
        <x:f>""</x:f>
      </x:c>
      <x:c r="O146" s="58" t="str">
        <x:f>IF($J146="","",IF(OR('02_Benchmarks'!$P146&lt;&gt;"Aktiv",COUNT('02_Benchmarks'!$J146:$M146)&lt;4),"",IF($G146="lower_is_better",IF($J146&lt;='02_Benchmarks'!$J146,3,IF($J146&lt;'02_Benchmarks'!$K146,2,IF($J146&lt;='02_Benchmarks'!$L146,0,IF($J146&lt;='02_Benchmarks'!$M146,-2,-3)))),IF($J146&gt;='02_Benchmarks'!$J146,3,IF($J146&gt;'02_Benchmarks'!$K146,2,IF($J146&gt;='02_Benchmarks'!$L146,0,IF($J146&gt;='02_Benchmarks'!$M146,-2,-3)))))))</x:f>
      </x:c>
      <x:c r="P146" s="58" t="str">
        <x:f>IF(COUNT($N146:$O146)+IF(ISNUMBER($K146),1,0)=0,"",MIN($N146:$O146,$K146))</x:f>
      </x:c>
      <x:c r="Q146" s="58" t="str">
        <x:f>IF($P146="","",INDEX('04_Tarifmodell'!$B$6:$B$12,$P146+4))</x:f>
      </x:c>
      <x:c r="R146" s="64" t="str">
        <x:f>IF($P146="","",INDEX('04_Tarifmodell'!$C$6:$C$12,$P146+4))</x:f>
      </x:c>
      <x:c r="S146" s="14" t="str">
        <x:f>IF(OR($I146="QUALITATIVE",$I146="MANUAL_HYBRID"),IF($K146="","Assurance-Score fehlt","Assurance-bewertet"),IF($I146="BENCHMARK",IF($W146&lt;&gt;"Aktiv",IF($K146="","Benchmark fehlt","Assurance-bewertet"),IF($J146="","Messwert fehlt",IF($P146="","Nicht bewertbar","Berechnet"))),IF(AND($J146="",$K146&lt;&gt;""),"Nur Assurance-Score",IF($J146="","Messwert fehlt",IF($P146="","Nicht bewertbar",IF($P146&lt;=-2,"Kritische Wirkung / Prüfung","Berechnet"))))))</x:f>
        <x:v>Benchmark fehlt</x:v>
      </x:c>
      <x:c r="T146" s="14" t="str">
        <x:v>Top-10-Prozent, Mittelwert, 150 % und 250 % müssen aus einer dokumentierten Grundgesamtheit stammen.</x:v>
      </x:c>
      <x:c r="U146" s="14" t="str">
        <x:v>Top‑10%:+3; Mittel:0; &gt;150%:‑2; &gt;250%:‑3</x:v>
      </x:c>
      <x:c r="V146" s="14" t="str">
        <x:v>ESRS E3, WRI Aqueduct, ISO 14046 (Water Footprint)</x:v>
      </x:c>
      <x:c r="W146" s="14" t="str">
        <x:f>'02_Benchmarks'!$P146</x:f>
        <x:v>Offen – validierter Benchmark fehlt</x:v>
      </x:c>
      <x:c r="X146" s="14" t="str">
        <x:v>Teilbelegt – Benchmarkquelle fehlt</x:v>
      </x:c>
      <x:c r="Y146" s="14" t="str">
        <x:v>Hoch</x:v>
      </x:c>
      <x:c r="Z146" s="14" t="str">
        <x:v>Validierter Benchmark fehlt</x:v>
      </x:c>
      <x:c r="AA146" s="14" t="str">
        <x:v>Standort/Prozess/Aktivität; Bezugsgröße und relevante Umweltmedien</x:v>
      </x:c>
      <x:c r="AB146" s="14" t="str">
        <x:v>Primärdaten plus repräsentativer, versionierter Benchmarkdatensatz; Stichprobe und Population offenlegen</x:v>
      </x:c>
      <x:c r="AC146" s="14" t="str">
        <x:v>Messwert-Assurance und unabhängige Benchmark-Governance</x:v>
      </x:c>
    </x:row>
    <x:row r="147" ht="42" customHeight="1">
      <x:c r="A147" s="14" t="str">
        <x:v>WOK-E-129</x:v>
      </x:c>
      <x:c r="B147" s="14" t="str">
        <x:v>SDG 6 – Wasser</x:v>
      </x:c>
      <x:c r="C147" s="14" t="str">
        <x:v>6.5</x:v>
      </x:c>
      <x:c r="D147" s="14" t="str">
        <x:v>Wasser‑Reuse/Closed Loop</x:v>
      </x:c>
      <x:c r="E147" s="14" t="str">
        <x:v>Wasser‑Reuse/Closed Loop – Reuse</x:v>
      </x:c>
      <x:c r="F147" s="14" t="str">
        <x:v>%</x:v>
      </x:c>
      <x:c r="G147" s="14" t="str">
        <x:v>higher_is_better</x:v>
      </x:c>
      <x:c r="H147" s="14" t="str">
        <x:v>R25</x:v>
      </x:c>
      <x:c r="I147" s="14" t="str">
        <x:v>NUM_HIGH</x:v>
      </x:c>
      <x:c r="J147" s="51"/>
      <x:c r="K147" s="51"/>
      <x:c r="L147" s="51"/>
      <x:c r="M147" s="54"/>
      <x:c r="N147" s="58" t="str">
        <x:f>IF($J147="","",IF($J147&lt;30,-3,IF($J147&lt;50,-2,IF($J147&lt;70,0,IF($J147&lt;90,2,3)))))</x:f>
      </x:c>
      <x:c r="O147" s="58" t="str">
        <x:f>IF($J147="","",IF(OR('02_Benchmarks'!$P147&lt;&gt;"Aktiv",COUNT('02_Benchmarks'!$J147:$M147)&lt;4),"",IF($G147="lower_is_better",IF($J147&lt;='02_Benchmarks'!$J147,3,IF($J147&lt;'02_Benchmarks'!$K147,2,IF($J147&lt;='02_Benchmarks'!$L147,0,IF($J147&lt;='02_Benchmarks'!$M147,-2,-3)))),IF($J147&gt;='02_Benchmarks'!$J147,3,IF($J147&gt;'02_Benchmarks'!$K147,2,IF($J147&gt;='02_Benchmarks'!$L147,0,IF($J147&gt;='02_Benchmarks'!$M147,-2,-3)))))))</x:f>
      </x:c>
      <x:c r="P147" s="58" t="str">
        <x:f>IF(COUNT($N147:$O147)+IF(ISNUMBER($K147),1,0)=0,"",MIN($N147:$O147,$K147))</x:f>
      </x:c>
      <x:c r="Q147" s="58" t="str">
        <x:f>IF($P147="","",INDEX('04_Tarifmodell'!$B$6:$B$12,$P147+4))</x:f>
      </x:c>
      <x:c r="R147" s="64" t="str">
        <x:f>IF($P147="","",INDEX('04_Tarifmodell'!$C$6:$C$12,$P147+4))</x:f>
      </x:c>
      <x:c r="S147" s="14" t="str">
        <x:f>IF(OR($I147="QUALITATIVE",$I147="MANUAL_HYBRID"),IF($K147="","Assurance-Score fehlt","Assurance-bewertet"),IF($I147="BENCHMARK",IF($W147&lt;&gt;"Aktiv",IF($K147="","Benchmark fehlt","Assurance-bewertet"),IF($J147="","Messwert fehlt",IF($P147="","Nicht bewertbar","Berechnet"))),IF(AND($J147="",$K147&lt;&gt;""),"Nur Assurance-Score",IF($J147="","Messwert fehlt",IF($P147="","Nicht bewertbar",IF($P147&lt;=-2,"Kritische Wirkung / Prüfung","Berechnet"))))))</x:f>
        <x:v>Messwert fehlt</x:v>
      </x:c>
      <x:c r="T147" s="14" t="str">
        <x:v>Vollständige fünfstufige Prozentregel.</x:v>
      </x:c>
      <x:c r="U147" s="14" t="str">
        <x:v>≥90%:+3; 70–89%:+2; 50–69%:0; 30–49%:‑2; &lt;30%:‑3</x:v>
      </x:c>
      <x:c r="V147" s="14" t="str">
        <x:v>ESRS E3, WRI Aqueduct, ISO 14046 (Water Footprint)</x:v>
      </x:c>
      <x:c r="W147" s="14" t="str">
        <x:f>'02_Benchmarks'!$P147</x:f>
        <x:v>Optional – kein aktiver Benchmark</x:v>
      </x:c>
      <x:c r="X147" s="14" t="str">
        <x:v>Messgrundlage belegt; Schwellenkalibrierung offen</x:v>
      </x:c>
      <x:c r="Y147" s="14" t="str">
        <x:v>Mittel</x:v>
      </x:c>
      <x:c r="Z147" s="14" t="str">
        <x:v>Arbeitskalibrierung – fachlich zu validieren</x:v>
      </x:c>
      <x:c r="AA147" s="14" t="str">
        <x:v>Standort/Prozess/Aktivität; Bezugsgröße und relevante Umweltmedien</x:v>
      </x:c>
      <x:c r="AB147" s="14" t="str">
        <x:v>Primärdaten bevorzugt; Sekundärdaten nur transparent und versioniert; Methode und Systemgrenze dokumentieren</x:v>
      </x:c>
      <x:c r="AC147" s="14" t="str">
        <x:v>Limited Assurance; risikobasiert höhere Prüftiefe</x:v>
      </x:c>
    </x:row>
    <x:row r="148" ht="42" customHeight="1">
      <x:c r="A148" s="14" t="str">
        <x:v>WOK-E-130</x:v>
      </x:c>
      <x:c r="B148" s="14" t="str">
        <x:v>SDG 6 – Wasser</x:v>
      </x:c>
      <x:c r="C148" s="14" t="str">
        <x:v>6.5</x:v>
      </x:c>
      <x:c r="D148" s="14" t="str">
        <x:v>Wasser‑Reuse/Closed Loop</x:v>
      </x:c>
      <x:c r="E148" s="14" t="str">
        <x:v>Wasser‑Reuse/Closed Loop – Abwasserqualität</x:v>
      </x:c>
      <x:c r="F148" s="14" t="str">
        <x:v>% des Grenzwerts</x:v>
      </x:c>
      <x:c r="G148" s="14" t="str">
        <x:v>lower_is_better</x:v>
      </x:c>
      <x:c r="H148" s="14" t="str">
        <x:v>R12</x:v>
      </x:c>
      <x:c r="I148" s="14" t="str">
        <x:v>LEGAL_RATIO</x:v>
      </x:c>
      <x:c r="J148" s="51"/>
      <x:c r="K148" s="51"/>
      <x:c r="L148" s="51"/>
      <x:c r="M148" s="54"/>
      <x:c r="N148" s="58" t="str">
        <x:f>IF($J148="","",IF($J148&lt;=50,3,IF($J148&lt;=75,2,IF($J148&lt;=100,0,IF($J148&lt;=120,-2,-3)))))</x:f>
      </x:c>
      <x:c r="O148" s="58" t="str">
        <x:f>IF($J148="","",IF(OR('02_Benchmarks'!$P148&lt;&gt;"Aktiv",COUNT('02_Benchmarks'!$J148:$M148)&lt;4),"",IF($G148="lower_is_better",IF($J148&lt;='02_Benchmarks'!$J148,3,IF($J148&lt;'02_Benchmarks'!$K148,2,IF($J148&lt;='02_Benchmarks'!$L148,0,IF($J148&lt;='02_Benchmarks'!$M148,-2,-3)))),IF($J148&gt;='02_Benchmarks'!$J148,3,IF($J148&gt;'02_Benchmarks'!$K148,2,IF($J148&gt;='02_Benchmarks'!$L148,0,IF($J148&gt;='02_Benchmarks'!$M148,-2,-3)))))))</x:f>
      </x:c>
      <x:c r="P148" s="58" t="str">
        <x:f>IF(COUNT($N148:$O148)+IF(ISNUMBER($K148),1,0)=0,"",MIN($N148:$O148,$K148))</x:f>
      </x:c>
      <x:c r="Q148" s="58" t="str">
        <x:f>IF($P148="","",INDEX('04_Tarifmodell'!$B$6:$B$12,$P148+4))</x:f>
      </x:c>
      <x:c r="R148" s="64" t="str">
        <x:f>IF($P148="","",INDEX('04_Tarifmodell'!$C$6:$C$12,$P148+4))</x:f>
      </x:c>
      <x:c r="S148" s="14" t="str">
        <x:f>IF(OR($I148="QUALITATIVE",$I148="MANUAL_HYBRID"),IF($K148="","Assurance-Score fehlt","Assurance-bewertet"),IF($I148="BENCHMARK",IF($W148&lt;&gt;"Aktiv",IF($K148="","Benchmark fehlt","Assurance-bewertet"),IF($J148="","Messwert fehlt",IF($P148="","Nicht bewertbar","Berechnet"))),IF(AND($J148="",$K148&lt;&gt;""),"Nur Assurance-Score",IF($J148="","Messwert fehlt",IF($P148="","Nicht bewertbar",IF($P148&lt;=-2,"Kritische Wirkung / Prüfung","Berechnet"))))))</x:f>
        <x:v>Messwert fehlt</x:v>
      </x:c>
      <x:c r="T148" s="14" t="str">
        <x:v>Nicht der absolute Messwert, sondern Messwert ÷ Grenzwert × 100 wird bewertet.</x:v>
      </x:c>
      <x:c r="U148" s="14" t="str">
        <x:v>≤50% Grenzwert:+3; ≤75%:+2; ≤100%:0; 101–120%:‑2; &gt;120%:‑3</x:v>
      </x:c>
      <x:c r="V148" s="14" t="str">
        <x:v>ESRS E3, WRI Aqueduct, ISO 14046 (Water Footprint)</x:v>
      </x:c>
      <x:c r="W148" s="14" t="str">
        <x:f>'02_Benchmarks'!$P148</x:f>
        <x:v>Optional – kein aktiver Benchmark</x:v>
      </x:c>
      <x:c r="X148" s="14" t="str">
        <x:v>Teilbelegt – Rechtsfundstelle je Messung fehlt</x:v>
      </x:c>
      <x:c r="Y148" s="14" t="str">
        <x:v>Hoch</x:v>
      </x:c>
      <x:c r="Z148" s="14" t="str">
        <x:v>Rechtsfundstelle je Fall erforderlich</x:v>
      </x:c>
      <x:c r="AA148" s="14" t="str">
        <x:v>Standort/Prozess/Aktivität; Bezugsgröße und relevante Umweltmedien</x:v>
      </x:c>
      <x:c r="AB148" s="14" t="str">
        <x:v>Kalibrierter Messwert; Rechtsfundstelle, Grenzwert, Einheit, Messpunkt und Zeitraum</x:v>
      </x:c>
      <x:c r="AC148" s="14" t="str">
        <x:v>Behördlicher/akkreditierter Nachweis oder unabhängige Prüfung</x:v>
      </x:c>
    </x:row>
    <x:row r="149" ht="42" customHeight="1">
      <x:c r="A149" s="14" t="str">
        <x:v>WOK-SC-110</x:v>
      </x:c>
      <x:c r="B149" s="14" t="str">
        <x:v>SDG 6 – Wasser</x:v>
      </x:c>
      <x:c r="C149" s="14" t="str">
        <x:v>6.4</x:v>
      </x:c>
      <x:c r="D149" s="14" t="str">
        <x:v>Wasser in Lieferkette</x:v>
      </x:c>
      <x:c r="E149" s="14" t="str">
        <x:v>Wasser in Lieferkette – ESG‑Spend‑Coverage</x:v>
      </x:c>
      <x:c r="F149" s="14" t="str">
        <x:v>%</x:v>
      </x:c>
      <x:c r="G149" s="14" t="str">
        <x:v>higher_is_better</x:v>
      </x:c>
      <x:c r="H149" s="14" t="str">
        <x:v>R26</x:v>
      </x:c>
      <x:c r="I149" s="14" t="str">
        <x:v>NUM_HIGH</x:v>
      </x:c>
      <x:c r="J149" s="51"/>
      <x:c r="K149" s="51"/>
      <x:c r="L149" s="51"/>
      <x:c r="M149" s="54"/>
      <x:c r="N149" s="58" t="str">
        <x:f>IF($J149="","",IF($J149&lt;30,-3,IF($J149&lt;50,-2,IF($J149&lt;70,0,IF($J149&lt;90,2,3)))))</x:f>
      </x:c>
      <x:c r="O149" s="58" t="str">
        <x:f>IF($J149="","",IF(OR('02_Benchmarks'!$P149&lt;&gt;"Aktiv",COUNT('02_Benchmarks'!$J149:$M149)&lt;4),"",IF($G149="lower_is_better",IF($J149&lt;='02_Benchmarks'!$J149,3,IF($J149&lt;'02_Benchmarks'!$K149,2,IF($J149&lt;='02_Benchmarks'!$L149,0,IF($J149&lt;='02_Benchmarks'!$M149,-2,-3)))),IF($J149&gt;='02_Benchmarks'!$J149,3,IF($J149&gt;'02_Benchmarks'!$K149,2,IF($J149&gt;='02_Benchmarks'!$L149,0,IF($J149&gt;='02_Benchmarks'!$M149,-2,-3)))))))</x:f>
      </x:c>
      <x:c r="P149" s="58" t="str">
        <x:f>IF(COUNT($N149:$O149)+IF(ISNUMBER($K149),1,0)=0,"",MIN($N149:$O149,$K149))</x:f>
      </x:c>
      <x:c r="Q149" s="58" t="str">
        <x:f>IF($P149="","",INDEX('04_Tarifmodell'!$B$6:$B$12,$P149+4))</x:f>
      </x:c>
      <x:c r="R149" s="64" t="str">
        <x:f>IF($P149="","",INDEX('04_Tarifmodell'!$C$6:$C$12,$P149+4))</x:f>
      </x:c>
      <x:c r="S149" s="14" t="str">
        <x:f>IF(OR($I149="QUALITATIVE",$I149="MANUAL_HYBRID"),IF($K149="","Assurance-Score fehlt","Assurance-bewertet"),IF($I149="BENCHMARK",IF($W149&lt;&gt;"Aktiv",IF($K149="","Benchmark fehlt","Assurance-bewertet"),IF($J149="","Messwert fehlt",IF($P149="","Nicht bewertbar","Berechnet"))),IF(AND($J149="",$K149&lt;&gt;""),"Nur Assurance-Score",IF($J149="","Messwert fehlt",IF($P149="","Nicht bewertbar",IF($P149&lt;=-2,"Kritische Wirkung / Prüfung","Berechnet"))))))</x:f>
        <x:v>Messwert fehlt</x:v>
      </x:c>
      <x:c r="T149" s="14" t="str">
        <x:v>Vollständige fünfstufige numerische Regel.</x:v>
      </x:c>
      <x:c r="U149" s="14" t="str">
        <x:v>≥90:+3; 70–89:+2; 50–69:0; 30–49:‑2; &lt;30:‑3</x:v>
      </x:c>
      <x:c r="V149" s="14" t="str">
        <x:v>ESRS E3, WRI Aqueduct, ISO 14046 (Water Footprint)</x:v>
      </x:c>
      <x:c r="W149" s="14" t="str">
        <x:f>'02_Benchmarks'!$P149</x:f>
        <x:v>Optional – kein aktiver Benchmark</x:v>
      </x:c>
      <x:c r="X149" s="14" t="str">
        <x:v>Messgrundlage belegt; Schwellenkalibrierung offen</x:v>
      </x:c>
      <x:c r="Y149" s="14" t="str">
        <x:v>Mittel</x:v>
      </x:c>
      <x:c r="Z149" s="14" t="str">
        <x:v>Arbeitskalibrierung – fachlich zu validieren</x:v>
      </x:c>
      <x:c r="AA149" s="14" t="str">
        <x:v>Vorgelagerte Lieferkette; relevante Tier-Stufen und Beschaffungsvolumen</x:v>
      </x:c>
      <x:c r="AB149" s="14" t="str">
        <x:v>Primärdaten bevorzugt; Sekundärdaten nur transparent und versioniert; Methode und Systemgrenze dokumentieren</x:v>
      </x:c>
      <x:c r="AC149" s="14" t="str">
        <x:v>Limited Assurance; risikobasiert höhere Prüftiefe</x:v>
      </x:c>
    </x:row>
    <x:row r="150" ht="42" customHeight="1">
      <x:c r="A150" s="14" t="str">
        <x:v>WOK-SC-111</x:v>
      </x:c>
      <x:c r="B150" s="14" t="str">
        <x:v>SDG 6 – Wasser</x:v>
      </x:c>
      <x:c r="C150" s="14" t="str">
        <x:v>6.4</x:v>
      </x:c>
      <x:c r="D150" s="14" t="str">
        <x:v>Wasser in Lieferkette</x:v>
      </x:c>
      <x:c r="E150" s="14" t="str">
        <x:v>Wasser in Lieferkette – Kinder/Zwangsarbeit</x:v>
      </x:c>
      <x:c r="F150" s="14" t="str">
        <x:v>% Lieferanten</x:v>
      </x:c>
      <x:c r="G150" s="14" t="str">
        <x:v>higher_is_better</x:v>
      </x:c>
      <x:c r="H150" s="14" t="str">
        <x:v>R28</x:v>
      </x:c>
      <x:c r="I150" s="14" t="str">
        <x:v>NUM_HIGH</x:v>
      </x:c>
      <x:c r="J150" s="51"/>
      <x:c r="K150" s="51"/>
      <x:c r="L150" s="51"/>
      <x:c r="M150" s="54"/>
      <x:c r="N150" s="58" t="str">
        <x:f>IF($J150="","",IF($J150&lt;50,-3,IF($J150&lt;75,-2,IF($J150&lt;90,0,IF($J150&lt;98,2,3)))))</x:f>
      </x:c>
      <x:c r="O150" s="58" t="str">
        <x:f>IF($J150="","",IF(OR('02_Benchmarks'!$P150&lt;&gt;"Aktiv",COUNT('02_Benchmarks'!$J150:$M150)&lt;4),"",IF($G150="lower_is_better",IF($J150&lt;='02_Benchmarks'!$J150,3,IF($J150&lt;'02_Benchmarks'!$K150,2,IF($J150&lt;='02_Benchmarks'!$L150,0,IF($J150&lt;='02_Benchmarks'!$M150,-2,-3)))),IF($J150&gt;='02_Benchmarks'!$J150,3,IF($J150&gt;'02_Benchmarks'!$K150,2,IF($J150&gt;='02_Benchmarks'!$L150,0,IF($J150&gt;='02_Benchmarks'!$M150,-2,-3)))))))</x:f>
      </x:c>
      <x:c r="P150" s="58" t="str">
        <x:f>IF(COUNT($N150:$O150)+IF(ISNUMBER($K150),1,0)=0,"",MIN($N150:$O150,$K150))</x:f>
      </x:c>
      <x:c r="Q150" s="58" t="str">
        <x:f>IF($P150="","",INDEX('04_Tarifmodell'!$B$6:$B$12,$P150+4))</x:f>
      </x:c>
      <x:c r="R150" s="64" t="str">
        <x:f>IF($P150="","",INDEX('04_Tarifmodell'!$C$6:$C$12,$P150+4))</x:f>
      </x:c>
      <x:c r="S150" s="14" t="str">
        <x:f>IF(OR($I150="QUALITATIVE",$I150="MANUAL_HYBRID"),IF($K150="","Assurance-Score fehlt","Assurance-bewertet"),IF($I150="BENCHMARK",IF($W150&lt;&gt;"Aktiv",IF($K150="","Benchmark fehlt","Assurance-bewertet"),IF($J150="","Messwert fehlt",IF($P150="","Nicht bewertbar","Berechnet"))),IF(AND($J150="",$K150&lt;&gt;""),"Nur Assurance-Score",IF($J150="","Messwert fehlt",IF($P150="","Nicht bewertbar",IF($P150&lt;=-2,"Kritische Wirkung / Prüfung","Berechnet"))))))</x:f>
        <x:v>Messwert fehlt</x:v>
      </x:c>
      <x:c r="T150" s="14" t="str">
        <x:v>Vollständige fünfstufige numerische Regel.</x:v>
      </x:c>
      <x:c r="U150" s="14" t="str">
        <x:v>≥98:+3; 90–97:+2; 75–89:0; 50–74:‑2; &lt;50:‑3</x:v>
      </x:c>
      <x:c r="V150" s="14" t="str">
        <x:v>ESRS E3, WRI Aqueduct, ISO 14046 (Water Footprint)</x:v>
      </x:c>
      <x:c r="W150" s="14" t="str">
        <x:f>'02_Benchmarks'!$P150</x:f>
        <x:v>Optional – kein aktiver Benchmark</x:v>
      </x:c>
      <x:c r="X150" s="14" t="str">
        <x:v>Messgrundlage belegt; Schwellenkalibrierung offen</x:v>
      </x:c>
      <x:c r="Y150" s="14" t="str">
        <x:v>Mittel</x:v>
      </x:c>
      <x:c r="Z150" s="14" t="str">
        <x:v>Arbeitskalibrierung – fachlich zu validieren</x:v>
      </x:c>
      <x:c r="AA150" s="14" t="str">
        <x:v>Vorgelagerte Lieferkette; relevante Tier-Stufen und Beschaffungsvolumen</x:v>
      </x:c>
      <x:c r="AB150" s="14" t="str">
        <x:v>Primärdaten bevorzugt; Sekundärdaten nur transparent und versioniert; Methode und Systemgrenze dokumentieren</x:v>
      </x:c>
      <x:c r="AC150" s="14" t="str">
        <x:v>Limited Assurance; risikobasiert höhere Prüftiefe</x:v>
      </x:c>
    </x:row>
    <x:row r="151" ht="42" customHeight="1">
      <x:c r="A151" s="14" t="str">
        <x:v>WOK-SC-112</x:v>
      </x:c>
      <x:c r="B151" s="14" t="str">
        <x:v>SDG 6 – Wasser</x:v>
      </x:c>
      <x:c r="C151" s="14" t="str">
        <x:v>6.4</x:v>
      </x:c>
      <x:c r="D151" s="14" t="str">
        <x:v>Wasser in Lieferkette</x:v>
      </x:c>
      <x:c r="E151" s="14" t="str">
        <x:v>Wasser in Lieferkette – Scope‑3 Daten</x:v>
      </x:c>
      <x:c r="F151" s="14" t="str">
        <x:v>% Kategorien</x:v>
      </x:c>
      <x:c r="G151" s="14" t="str">
        <x:v>higher_is_better</x:v>
      </x:c>
      <x:c r="H151" s="14" t="str">
        <x:v>R23</x:v>
      </x:c>
      <x:c r="I151" s="14" t="str">
        <x:v>NUM_HIGH</x:v>
      </x:c>
      <x:c r="J151" s="51"/>
      <x:c r="K151" s="51"/>
      <x:c r="L151" s="51"/>
      <x:c r="M151" s="54"/>
      <x:c r="N151" s="58" t="str">
        <x:f>IF($J151="","",IF($J151&lt;20,-3,IF($J151&lt;40,-2,IF($J151&lt;60,0,IF($J151&lt;80,2,3)))))</x:f>
      </x:c>
      <x:c r="O151" s="58" t="str">
        <x:f>IF($J151="","",IF(OR('02_Benchmarks'!$P151&lt;&gt;"Aktiv",COUNT('02_Benchmarks'!$J151:$M151)&lt;4),"",IF($G151="lower_is_better",IF($J151&lt;='02_Benchmarks'!$J151,3,IF($J151&lt;'02_Benchmarks'!$K151,2,IF($J151&lt;='02_Benchmarks'!$L151,0,IF($J151&lt;='02_Benchmarks'!$M151,-2,-3)))),IF($J151&gt;='02_Benchmarks'!$J151,3,IF($J151&gt;'02_Benchmarks'!$K151,2,IF($J151&gt;='02_Benchmarks'!$L151,0,IF($J151&gt;='02_Benchmarks'!$M151,-2,-3)))))))</x:f>
      </x:c>
      <x:c r="P151" s="58" t="str">
        <x:f>IF(COUNT($N151:$O151)+IF(ISNUMBER($K151),1,0)=0,"",MIN($N151:$O151,$K151))</x:f>
      </x:c>
      <x:c r="Q151" s="58" t="str">
        <x:f>IF($P151="","",INDEX('04_Tarifmodell'!$B$6:$B$12,$P151+4))</x:f>
      </x:c>
      <x:c r="R151" s="64" t="str">
        <x:f>IF($P151="","",INDEX('04_Tarifmodell'!$C$6:$C$12,$P151+4))</x:f>
      </x:c>
      <x:c r="S151" s="14" t="str">
        <x:f>IF(OR($I151="QUALITATIVE",$I151="MANUAL_HYBRID"),IF($K151="","Assurance-Score fehlt","Assurance-bewertet"),IF($I151="BENCHMARK",IF($W151&lt;&gt;"Aktiv",IF($K151="","Benchmark fehlt","Assurance-bewertet"),IF($J151="","Messwert fehlt",IF($P151="","Nicht bewertbar","Berechnet"))),IF(AND($J151="",$K151&lt;&gt;""),"Nur Assurance-Score",IF($J151="","Messwert fehlt",IF($P151="","Nicht bewertbar",IF($P151&lt;=-2,"Kritische Wirkung / Prüfung","Berechnet"))))))</x:f>
        <x:v>Messwert fehlt</x:v>
      </x:c>
      <x:c r="T151" s="14" t="str">
        <x:v>Vollständige fünfstufige numerische Regel.</x:v>
      </x:c>
      <x:c r="U151" s="14" t="str">
        <x:v>≥80:+3; 60–79:+2; 40–59:0; 20–39:‑2; &lt;20:‑3</x:v>
      </x:c>
      <x:c r="V151" s="14" t="str">
        <x:v>ESRS E1, GHG Protocol (Corporate/Scope 1–3), ISO 14064/14067</x:v>
      </x:c>
      <x:c r="W151" s="14" t="str">
        <x:f>'02_Benchmarks'!$P151</x:f>
        <x:v>Optional – kein aktiver Benchmark</x:v>
      </x:c>
      <x:c r="X151" s="14" t="str">
        <x:v>Messgrundlage belegt; Schwellenkalibrierung offen</x:v>
      </x:c>
      <x:c r="Y151" s="14" t="str">
        <x:v>Mittel</x:v>
      </x:c>
      <x:c r="Z151" s="14" t="str">
        <x:v>Arbeitskalibrierung – fachlich zu validieren</x:v>
      </x:c>
      <x:c r="AA151" s="14" t="str">
        <x:v>Vorgelagerte Lieferkette; relevante Tier-Stufen und Beschaffungsvolumen</x:v>
      </x:c>
      <x:c r="AB151" s="14" t="str">
        <x:v>Primärdaten bevorzugt; Sekundärdaten nur transparent und versioniert; Methode und Systemgrenze dokumentieren</x:v>
      </x:c>
      <x:c r="AC151" s="14" t="str">
        <x:v>Limited Assurance; risikobasiert höhere Prüftiefe</x:v>
      </x:c>
    </x:row>
    <x:row r="152" ht="42" customHeight="1">
      <x:c r="A152" s="14" t="str">
        <x:v>WOK-RE-107</x:v>
      </x:c>
      <x:c r="B152" s="14" t="str">
        <x:v>SDG 6 – Wasser</x:v>
      </x:c>
      <x:c r="C152" s="14" t="str">
        <x:v>6.4</x:v>
      </x:c>
      <x:c r="D152" s="14" t="str">
        <x:v>Wasser‑Effizienz Gebäude</x:v>
      </x:c>
      <x:c r="E152" s="14" t="str">
        <x:v>Wasser‑Effizienz Gebäude – Betriebsenergie</x:v>
      </x:c>
      <x:c r="F152" s="14" t="str">
        <x:v>kWh/m²a</x:v>
      </x:c>
      <x:c r="G152" s="14" t="str">
        <x:v>lower_is_better</x:v>
      </x:c>
      <x:c r="H152" s="14" t="str">
        <x:v>R05</x:v>
      </x:c>
      <x:c r="I152" s="14" t="str">
        <x:v>BENCHMARK</x:v>
      </x:c>
      <x:c r="J152" s="51"/>
      <x:c r="K152" s="51"/>
      <x:c r="L152" s="51"/>
      <x:c r="M152" s="54"/>
      <x:c r="N152" s="58" t="str">
        <x:f>""</x:f>
      </x:c>
      <x:c r="O152" s="58" t="str">
        <x:f>IF($J152="","",IF(OR('02_Benchmarks'!$P152&lt;&gt;"Aktiv",COUNT('02_Benchmarks'!$J152:$M152)&lt;4),"",IF($G152="lower_is_better",IF($J152&lt;='02_Benchmarks'!$J152,3,IF($J152&lt;'02_Benchmarks'!$K152,2,IF($J152&lt;='02_Benchmarks'!$L152,0,IF($J152&lt;='02_Benchmarks'!$M152,-2,-3)))),IF($J152&gt;='02_Benchmarks'!$J152,3,IF($J152&gt;'02_Benchmarks'!$K152,2,IF($J152&gt;='02_Benchmarks'!$L152,0,IF($J152&gt;='02_Benchmarks'!$M152,-2,-3)))))))</x:f>
      </x:c>
      <x:c r="P152" s="58" t="str">
        <x:f>IF(COUNT($N152:$O152)+IF(ISNUMBER($K152),1,0)=0,"",MIN($N152:$O152,$K152))</x:f>
      </x:c>
      <x:c r="Q152" s="58" t="str">
        <x:f>IF($P152="","",INDEX('04_Tarifmodell'!$B$6:$B$12,$P152+4))</x:f>
      </x:c>
      <x:c r="R152" s="64" t="str">
        <x:f>IF($P152="","",INDEX('04_Tarifmodell'!$C$6:$C$12,$P152+4))</x:f>
      </x:c>
      <x:c r="S152" s="14" t="str">
        <x:f>IF(OR($I152="QUALITATIVE",$I152="MANUAL_HYBRID"),IF($K152="","Assurance-Score fehlt","Assurance-bewertet"),IF($I152="BENCHMARK",IF($W152&lt;&gt;"Aktiv",IF($K152="","Benchmark fehlt","Assurance-bewertet"),IF($J152="","Messwert fehlt",IF($P152="","Nicht bewertbar","Berechnet"))),IF(AND($J152="",$K152&lt;&gt;""),"Nur Assurance-Score",IF($J152="","Messwert fehlt",IF($P152="","Nicht bewertbar",IF($P152&lt;=-2,"Kritische Wirkung / Prüfung","Berechnet"))))))</x:f>
        <x:v>Benchmark fehlt</x:v>
      </x:c>
      <x:c r="T152" s="14" t="str">
        <x:v>Die Grenze &gt;+60 % ist derzeit nicht eindeutig in −2/−3 aufgelöst.</x:v>
      </x:c>
      <x:c r="U152" s="14" t="str">
        <x:v>Top 15%:+3; +15–30%:+2; +31–60%:0; &gt;+60%:‑2/‑3</x:v>
      </x:c>
      <x:c r="V152" s="14" t="str">
        <x:v>ESRS E1, ISO 50001 (EnMS), ISO/IEC 30134‑2 (PUE), EU EPBD</x:v>
      </x:c>
      <x:c r="W152" s="14" t="str">
        <x:f>'02_Benchmarks'!$P152</x:f>
        <x:v>Offen – validierter Benchmark fehlt</x:v>
      </x:c>
      <x:c r="X152" s="14" t="str">
        <x:v>Teilbelegt – Benchmarkquelle fehlt</x:v>
      </x:c>
      <x:c r="Y152" s="14" t="str">
        <x:v>Hoch</x:v>
      </x:c>
      <x:c r="Z152" s="14" t="str">
        <x:v>Validierter Benchmark fehlt</x:v>
      </x:c>
      <x:c r="AA152" s="14" t="str">
        <x:v>Gebäude/Standort; Betrieb plus relevante Lebenszyklusmodule</x:v>
      </x:c>
      <x:c r="AB152" s="14" t="str">
        <x:v>Primärdaten plus repräsentativer, versionierter Benchmarkdatensatz; Stichprobe und Population offenlegen</x:v>
      </x:c>
      <x:c r="AC152" s="14" t="str">
        <x:v>Messwert-Assurance und unabhängige Benchmark-Governance</x:v>
      </x:c>
    </x:row>
    <x:row r="153" ht="42" customHeight="1">
      <x:c r="A153" s="14" t="str">
        <x:v>WOK-RE-108</x:v>
      </x:c>
      <x:c r="B153" s="14" t="str">
        <x:v>SDG 6 – Wasser</x:v>
      </x:c>
      <x:c r="C153" s="14" t="str">
        <x:v>6.4</x:v>
      </x:c>
      <x:c r="D153" s="14" t="str">
        <x:v>Wasser‑Effizienz Gebäude</x:v>
      </x:c>
      <x:c r="E153" s="14" t="str">
        <x:v>Wasser‑Effizienz Gebäude – Graue Emissionen</x:v>
      </x:c>
      <x:c r="F153" s="14" t="str">
        <x:v>kg CO₂e/m²</x:v>
      </x:c>
      <x:c r="G153" s="14" t="str">
        <x:v>lower_is_better</x:v>
      </x:c>
      <x:c r="H153" s="14" t="str">
        <x:v>R06</x:v>
      </x:c>
      <x:c r="I153" s="14" t="str">
        <x:v>BENCHMARK</x:v>
      </x:c>
      <x:c r="J153" s="51"/>
      <x:c r="K153" s="51"/>
      <x:c r="L153" s="51"/>
      <x:c r="M153" s="54"/>
      <x:c r="N153" s="58" t="str">
        <x:f>""</x:f>
      </x:c>
      <x:c r="O153" s="58" t="str">
        <x:f>IF($J153="","",IF(OR('02_Benchmarks'!$P153&lt;&gt;"Aktiv",COUNT('02_Benchmarks'!$J153:$M153)&lt;4),"",IF($G153="lower_is_better",IF($J153&lt;='02_Benchmarks'!$J153,3,IF($J153&lt;'02_Benchmarks'!$K153,2,IF($J153&lt;='02_Benchmarks'!$L153,0,IF($J153&lt;='02_Benchmarks'!$M153,-2,-3)))),IF($J153&gt;='02_Benchmarks'!$J153,3,IF($J153&gt;'02_Benchmarks'!$K153,2,IF($J153&gt;='02_Benchmarks'!$L153,0,IF($J153&gt;='02_Benchmarks'!$M153,-2,-3)))))))</x:f>
      </x:c>
      <x:c r="P153" s="58" t="str">
        <x:f>IF(COUNT($N153:$O153)+IF(ISNUMBER($K153),1,0)=0,"",MIN($N153:$O153,$K153))</x:f>
      </x:c>
      <x:c r="Q153" s="58" t="str">
        <x:f>IF($P153="","",INDEX('04_Tarifmodell'!$B$6:$B$12,$P153+4))</x:f>
      </x:c>
      <x:c r="R153" s="64" t="str">
        <x:f>IF($P153="","",INDEX('04_Tarifmodell'!$C$6:$C$12,$P153+4))</x:f>
      </x:c>
      <x:c r="S153" s="14" t="str">
        <x:f>IF(OR($I153="QUALITATIVE",$I153="MANUAL_HYBRID"),IF($K153="","Assurance-Score fehlt","Assurance-bewertet"),IF($I153="BENCHMARK",IF($W153&lt;&gt;"Aktiv",IF($K153="","Benchmark fehlt","Assurance-bewertet"),IF($J153="","Messwert fehlt",IF($P153="","Nicht bewertbar","Berechnet"))),IF(AND($J153="",$K153&lt;&gt;""),"Nur Assurance-Score",IF($J153="","Messwert fehlt",IF($P153="","Nicht bewertbar",IF($P153&lt;=-2,"Kritische Wirkung / Prüfung","Berechnet"))))))</x:f>
        <x:v>Benchmark fehlt</x:v>
      </x:c>
      <x:c r="T153" s="14" t="str">
        <x:v>Top-10-Prozent, Mittelwert, 150 % und 250 % müssen aus einer dokumentierten Grundgesamtheit stammen.</x:v>
      </x:c>
      <x:c r="U153" s="14" t="str">
        <x:v>Top‑10%:+3; Mittel:0; &gt;150%:‑2; &gt;250%:‑3</x:v>
      </x:c>
      <x:c r="V153" s="14" t="str">
        <x:v>ESRS E1, GHG Protocol (Corporate/Scope 1–3), ISO 14064/14067</x:v>
      </x:c>
      <x:c r="W153" s="14" t="str">
        <x:f>'02_Benchmarks'!$P153</x:f>
        <x:v>Offen – validierter Benchmark fehlt</x:v>
      </x:c>
      <x:c r="X153" s="14" t="str">
        <x:v>Teilbelegt – Benchmarkquelle fehlt</x:v>
      </x:c>
      <x:c r="Y153" s="14" t="str">
        <x:v>Hoch</x:v>
      </x:c>
      <x:c r="Z153" s="14" t="str">
        <x:v>Validierter Benchmark fehlt</x:v>
      </x:c>
      <x:c r="AA153" s="14" t="str">
        <x:v>Gebäude/Standort; Betrieb plus relevante Lebenszyklusmodule</x:v>
      </x:c>
      <x:c r="AB153" s="14" t="str">
        <x:v>Primärdaten plus repräsentativer, versionierter Benchmarkdatensatz; Stichprobe und Population offenlegen</x:v>
      </x:c>
      <x:c r="AC153" s="14" t="str">
        <x:v>Messwert-Assurance und unabhängige Benchmark-Governance</x:v>
      </x:c>
    </x:row>
    <x:row r="154" ht="42" customHeight="1">
      <x:c r="A154" s="14" t="str">
        <x:v>WOK-RE-109</x:v>
      </x:c>
      <x:c r="B154" s="14" t="str">
        <x:v>SDG 6 – Wasser</x:v>
      </x:c>
      <x:c r="C154" s="14" t="str">
        <x:v>6.4</x:v>
      </x:c>
      <x:c r="D154" s="14" t="str">
        <x:v>Wasser‑Effizienz Gebäude</x:v>
      </x:c>
      <x:c r="E154" s="14" t="str">
        <x:v>Wasser‑Effizienz Gebäude – ÖPNV‑Erreichbarkeit</x:v>
      </x:c>
      <x:c r="F154" s="14" t="str">
        <x:v>0–1</x:v>
      </x:c>
      <x:c r="G154" s="14" t="str">
        <x:v>higher_is_better</x:v>
      </x:c>
      <x:c r="H154" s="14" t="str">
        <x:v>R14</x:v>
      </x:c>
      <x:c r="I154" s="14" t="str">
        <x:v>NUM_HIGH</x:v>
      </x:c>
      <x:c r="J154" s="51"/>
      <x:c r="K154" s="51"/>
      <x:c r="L154" s="51"/>
      <x:c r="M154" s="54"/>
      <x:c r="N154" s="58" t="str">
        <x:f>IF($J154="","",IF($J154&lt;0.2,-3,IF($J154&lt;0.4,-2,IF($J154&lt;0.6,0,IF($J154&lt;0.8,2,3)))))</x:f>
      </x:c>
      <x:c r="O154" s="58" t="str">
        <x:f>IF($J154="","",IF(OR('02_Benchmarks'!$P154&lt;&gt;"Aktiv",COUNT('02_Benchmarks'!$J154:$M154)&lt;4),"",IF($G154="lower_is_better",IF($J154&lt;='02_Benchmarks'!$J154,3,IF($J154&lt;'02_Benchmarks'!$K154,2,IF($J154&lt;='02_Benchmarks'!$L154,0,IF($J154&lt;='02_Benchmarks'!$M154,-2,-3)))),IF($J154&gt;='02_Benchmarks'!$J154,3,IF($J154&gt;'02_Benchmarks'!$K154,2,IF($J154&gt;='02_Benchmarks'!$L154,0,IF($J154&gt;='02_Benchmarks'!$M154,-2,-3)))))))</x:f>
      </x:c>
      <x:c r="P154" s="58" t="str">
        <x:f>IF(COUNT($N154:$O154)+IF(ISNUMBER($K154),1,0)=0,"",MIN($N154:$O154,$K154))</x:f>
      </x:c>
      <x:c r="Q154" s="58" t="str">
        <x:f>IF($P154="","",INDEX('04_Tarifmodell'!$B$6:$B$12,$P154+4))</x:f>
      </x:c>
      <x:c r="R154" s="64" t="str">
        <x:f>IF($P154="","",INDEX('04_Tarifmodell'!$C$6:$C$12,$P154+4))</x:f>
      </x:c>
      <x:c r="S154" s="14" t="str">
        <x:f>IF(OR($I154="QUALITATIVE",$I154="MANUAL_HYBRID"),IF($K154="","Assurance-Score fehlt","Assurance-bewertet"),IF($I154="BENCHMARK",IF($W154&lt;&gt;"Aktiv",IF($K154="","Benchmark fehlt","Assurance-bewertet"),IF($J154="","Messwert fehlt",IF($P154="","Nicht bewertbar","Berechnet"))),IF(AND($J154="",$K154&lt;&gt;""),"Nur Assurance-Score",IF($J154="","Messwert fehlt",IF($P154="","Nicht bewertbar",IF($P154&lt;=-2,"Kritische Wirkung / Prüfung","Berechnet"))))))</x:f>
        <x:v>Messwert fehlt</x:v>
      </x:c>
      <x:c r="T154" s="14" t="str">
        <x:v>Konkreten Datenhalter, GIS-Layer, Stichtag und Methodik ergänzen. Vollständige fünfstufige numerische Regel.</x:v>
      </x:c>
      <x:c r="U154" s="14" t="str">
        <x:v>≥0,8:+3; 0,6–0,79:+2; 0,4–0,59:0; 0,2–0,39:‑2; &lt;0,2:‑3</x:v>
      </x:c>
      <x:c r="V154" s="14" t="str">
        <x:v>ESRS E1, ISO 50001 (EnMS), ISO/IEC 30134‑2 (PUE), EU EPBD</x:v>
      </x:c>
      <x:c r="W154" s="14" t="str">
        <x:f>'02_Benchmarks'!$P154</x:f>
        <x:v>Optional – kein aktiver Benchmark</x:v>
      </x:c>
      <x:c r="X154" s="14" t="str">
        <x:v>Platzhalter – konkrete Datenquelle fehlt</x:v>
      </x:c>
      <x:c r="Y154" s="14" t="str">
        <x:v>Hoch</x:v>
      </x:c>
      <x:c r="Z154" s="14" t="str">
        <x:v>Arbeitskalibrierung – fachlich zu validieren</x:v>
      </x:c>
      <x:c r="AA154" s="14" t="str">
        <x:v>Gebäude/Standort; Betrieb plus relevante Lebenszyklusmodule</x:v>
      </x:c>
      <x:c r="AB154" s="14" t="str">
        <x:v>Primärdaten oder qualitätsgesicherte Sekundärdaten; Methode, Zeitraum und Systemgrenze dokumentieren</x:v>
      </x:c>
      <x:c r="AC154" s="14" t="str">
        <x:v>Limited Assurance; bei materieller Steuerwirkung risikobasiert vertiefen</x:v>
      </x:c>
    </x:row>
    <x:row r="155" ht="42" customHeight="1">
      <x:c r="A155" s="14" t="str">
        <x:v>WOK-P-110</x:v>
      </x:c>
      <x:c r="B155" s="14" t="str">
        <x:v>SDG 6 – Wasser</x:v>
      </x:c>
      <x:c r="C155" s="14" t="str">
        <x:v>6.4</x:v>
      </x:c>
      <x:c r="D155" s="14" t="str">
        <x:v>Wasser‑Intensität Produkte</x:v>
      </x:c>
      <x:c r="E155" s="14" t="str">
        <x:v>Wasser‑Intensität Produkte – PCF</x:v>
      </x:c>
      <x:c r="F155" s="14" t="str">
        <x:v>kg CO₂e/Einheit</x:v>
      </x:c>
      <x:c r="G155" s="14" t="str">
        <x:v>lower_is_better</x:v>
      </x:c>
      <x:c r="H155" s="14" t="str">
        <x:v>R07</x:v>
      </x:c>
      <x:c r="I155" s="14" t="str">
        <x:v>BENCHMARK</x:v>
      </x:c>
      <x:c r="J155" s="51"/>
      <x:c r="K155" s="51"/>
      <x:c r="L155" s="51"/>
      <x:c r="M155" s="54"/>
      <x:c r="N155" s="58" t="str">
        <x:f>""</x:f>
      </x:c>
      <x:c r="O155" s="58" t="str">
        <x:f>IF($J155="","",IF(OR('02_Benchmarks'!$P155&lt;&gt;"Aktiv",COUNT('02_Benchmarks'!$J155:$M155)&lt;4),"",IF($G155="lower_is_better",IF($J155&lt;='02_Benchmarks'!$J155,3,IF($J155&lt;'02_Benchmarks'!$K155,2,IF($J155&lt;='02_Benchmarks'!$L155,0,IF($J155&lt;='02_Benchmarks'!$M155,-2,-3)))),IF($J155&gt;='02_Benchmarks'!$J155,3,IF($J155&gt;'02_Benchmarks'!$K155,2,IF($J155&gt;='02_Benchmarks'!$L155,0,IF($J155&gt;='02_Benchmarks'!$M155,-2,-3)))))))</x:f>
      </x:c>
      <x:c r="P155" s="58" t="str">
        <x:f>IF(COUNT($N155:$O155)+IF(ISNUMBER($K155),1,0)=0,"",MIN($N155:$O155,$K155))</x:f>
      </x:c>
      <x:c r="Q155" s="58" t="str">
        <x:f>IF($P155="","",INDEX('04_Tarifmodell'!$B$6:$B$12,$P155+4))</x:f>
      </x:c>
      <x:c r="R155" s="64" t="str">
        <x:f>IF($P155="","",INDEX('04_Tarifmodell'!$C$6:$C$12,$P155+4))</x:f>
      </x:c>
      <x:c r="S155" s="14" t="str">
        <x:f>IF(OR($I155="QUALITATIVE",$I155="MANUAL_HYBRID"),IF($K155="","Assurance-Score fehlt","Assurance-bewertet"),IF($I155="BENCHMARK",IF($W155&lt;&gt;"Aktiv",IF($K155="","Benchmark fehlt","Assurance-bewertet"),IF($J155="","Messwert fehlt",IF($P155="","Nicht bewertbar","Berechnet"))),IF(AND($J155="",$K155&lt;&gt;""),"Nur Assurance-Score",IF($J155="","Messwert fehlt",IF($P155="","Nicht bewertbar",IF($P155&lt;=-2,"Kritische Wirkung / Prüfung","Berechnet"))))))</x:f>
        <x:v>Benchmark fehlt</x:v>
      </x:c>
      <x:c r="T155" s="14" t="str">
        <x:v>Produktspezifische Referenzpopulation erforderlich.</x:v>
      </x:c>
      <x:c r="U155" s="14" t="str">
        <x:v>Top‑10%:+3; ±Benchmark:0; &gt;150%:‑2; &gt;250%:‑3</x:v>
      </x:c>
      <x:c r="V155" s="14" t="str">
        <x:v>ESRS E3, WRI Aqueduct, ISO 14046 (Water Footprint)</x:v>
      </x:c>
      <x:c r="W155" s="14" t="str">
        <x:f>'02_Benchmarks'!$P155</x:f>
        <x:v>Offen – validierter Benchmark fehlt</x:v>
      </x:c>
      <x:c r="X155" s="14" t="str">
        <x:v>Teilbelegt – Benchmarkquelle fehlt</x:v>
      </x:c>
      <x:c r="Y155" s="14" t="str">
        <x:v>Hoch</x:v>
      </x:c>
      <x:c r="Z155" s="14" t="str">
        <x:v>Validierter Benchmark fehlt</x:v>
      </x:c>
      <x:c r="AA155" s="14" t="str">
        <x:v>Produkt/Funktionseinheit; Lebenszyklusgrenze mindestens cradle-to-gate, bei Nutzungs-/End-of-Life-Relevanz cradle-to-grave</x:v>
      </x:c>
      <x:c r="AB155" s="14" t="str">
        <x:v>Primärdaten plus repräsentativer, versionierter Benchmarkdatensatz; Stichprobe und Population offenlegen</x:v>
      </x:c>
      <x:c r="AC155" s="14" t="str">
        <x:v>Messwert-Assurance und unabhängige Benchmark-Governance</x:v>
      </x:c>
    </x:row>
    <x:row r="156" ht="42" customHeight="1">
      <x:c r="A156" s="14" t="str">
        <x:v>WOK-P-111</x:v>
      </x:c>
      <x:c r="B156" s="14" t="str">
        <x:v>SDG 6 – Wasser</x:v>
      </x:c>
      <x:c r="C156" s="14" t="str">
        <x:v>6.4</x:v>
      </x:c>
      <x:c r="D156" s="14" t="str">
        <x:v>Wasser‑Intensität Produkte</x:v>
      </x:c>
      <x:c r="E156" s="14" t="str">
        <x:v>Wasser‑Intensität Produkte – Reparierbarkeit</x:v>
      </x:c>
      <x:c r="F156" s="14" t="str">
        <x:v>Score 0–10</x:v>
      </x:c>
      <x:c r="G156" s="14" t="str">
        <x:v>higher_is_better</x:v>
      </x:c>
      <x:c r="H156" s="14" t="str">
        <x:v>R24</x:v>
      </x:c>
      <x:c r="I156" s="14" t="str">
        <x:v>NUM_HIGH</x:v>
      </x:c>
      <x:c r="J156" s="51"/>
      <x:c r="K156" s="51"/>
      <x:c r="L156" s="51"/>
      <x:c r="M156" s="54"/>
      <x:c r="N156" s="58" t="str">
        <x:f>IF($J156="","",IF($J156&lt;2,-3,IF($J156&lt;4,-2,IF($J156&lt;6,0,IF($J156&lt;8,2,3)))))</x:f>
      </x:c>
      <x:c r="O156" s="58" t="str">
        <x:f>IF($J156="","",IF(OR('02_Benchmarks'!$P156&lt;&gt;"Aktiv",COUNT('02_Benchmarks'!$J156:$M156)&lt;4),"",IF($G156="lower_is_better",IF($J156&lt;='02_Benchmarks'!$J156,3,IF($J156&lt;'02_Benchmarks'!$K156,2,IF($J156&lt;='02_Benchmarks'!$L156,0,IF($J156&lt;='02_Benchmarks'!$M156,-2,-3)))),IF($J156&gt;='02_Benchmarks'!$J156,3,IF($J156&gt;'02_Benchmarks'!$K156,2,IF($J156&gt;='02_Benchmarks'!$L156,0,IF($J156&gt;='02_Benchmarks'!$M156,-2,-3)))))))</x:f>
      </x:c>
      <x:c r="P156" s="58" t="str">
        <x:f>IF(COUNT($N156:$O156)+IF(ISNUMBER($K156),1,0)=0,"",MIN($N156:$O156,$K156))</x:f>
      </x:c>
      <x:c r="Q156" s="58" t="str">
        <x:f>IF($P156="","",INDEX('04_Tarifmodell'!$B$6:$B$12,$P156+4))</x:f>
      </x:c>
      <x:c r="R156" s="64" t="str">
        <x:f>IF($P156="","",INDEX('04_Tarifmodell'!$C$6:$C$12,$P156+4))</x:f>
      </x:c>
      <x:c r="S156" s="14" t="str">
        <x:f>IF(OR($I156="QUALITATIVE",$I156="MANUAL_HYBRID"),IF($K156="","Assurance-Score fehlt","Assurance-bewertet"),IF($I156="BENCHMARK",IF($W156&lt;&gt;"Aktiv",IF($K156="","Benchmark fehlt","Assurance-bewertet"),IF($J156="","Messwert fehlt",IF($P156="","Nicht bewertbar","Berechnet"))),IF(AND($J156="",$K156&lt;&gt;""),"Nur Assurance-Score",IF($J156="","Messwert fehlt",IF($P156="","Nicht bewertbar",IF($P156&lt;=-2,"Kritische Wirkung / Prüfung","Berechnet"))))))</x:f>
        <x:v>Messwert fehlt</x:v>
      </x:c>
      <x:c r="T156" s="14" t="str">
        <x:v>Indexsystem, Produktgruppe und Rechtsstand festlegen. Französischer Index und EU-Score sind nicht pauschal austauschbar.</x:v>
      </x:c>
      <x:c r="U156" s="14" t="str">
        <x:v>≥8:+3; 6–7,9:+2; 4–5,9:0; 2–3,9:‑2; &lt;2:‑3</x:v>
      </x:c>
      <x:c r="V156" s="14" t="str">
        <x:v>ESRS E3, WRI Aqueduct, ISO 14046 (Water Footprint)</x:v>
      </x:c>
      <x:c r="W156" s="14" t="str">
        <x:f>'02_Benchmarks'!$P156</x:f>
        <x:v>Optional – kein aktiver Benchmark</x:v>
      </x:c>
      <x:c r="X156" s="14" t="str">
        <x:v>Teilbelegt – produktspezifisch zu validieren</x:v>
      </x:c>
      <x:c r="Y156" s="14" t="str">
        <x:v>Hoch</x:v>
      </x:c>
      <x:c r="Z156" s="14" t="str">
        <x:v>Indexsystem und Produktgruppe müssen ausgewiesen werden</x:v>
      </x:c>
      <x:c r="AA156" s="14" t="str">
        <x:v>Produkt/Funktionseinheit; Lebenszyklusgrenze mindestens cradle-to-gate, bei Nutzungs-/End-of-Life-Relevanz cradle-to-grave</x:v>
      </x:c>
      <x:c r="AB156" s="14" t="str">
        <x:v>Primärdaten oder qualitätsgesicherte Sekundärdaten; Methode, Zeitraum und Systemgrenze dokumentieren</x:v>
      </x:c>
      <x:c r="AC156" s="14" t="str">
        <x:v>Limited Assurance; bei materieller Steuerwirkung risikobasiert vertiefen</x:v>
      </x:c>
    </x:row>
    <x:row r="157" ht="42" customHeight="1">
      <x:c r="A157" s="14" t="str">
        <x:v>WOK-P-112</x:v>
      </x:c>
      <x:c r="B157" s="14" t="str">
        <x:v>SDG 6 – Wasser</x:v>
      </x:c>
      <x:c r="C157" s="14" t="str">
        <x:v>6.4</x:v>
      </x:c>
      <x:c r="D157" s="14" t="str">
        <x:v>Wasser‑Intensität Produkte</x:v>
      </x:c>
      <x:c r="E157" s="14" t="str">
        <x:v>Wasser‑Intensität Produkte – Rücknahme/Recycling</x:v>
      </x:c>
      <x:c r="F157" s="14" t="str">
        <x:v>%</x:v>
      </x:c>
      <x:c r="G157" s="14" t="str">
        <x:v>higher_is_better</x:v>
      </x:c>
      <x:c r="H157" s="14" t="str">
        <x:v>R22</x:v>
      </x:c>
      <x:c r="I157" s="14" t="str">
        <x:v>NUM_HIGH</x:v>
      </x:c>
      <x:c r="J157" s="51"/>
      <x:c r="K157" s="51"/>
      <x:c r="L157" s="51"/>
      <x:c r="M157" s="54"/>
      <x:c r="N157" s="58" t="str">
        <x:f>IF($J157="","",IF($J157&lt;15,-3,IF($J157&lt;30,-2,IF($J157&lt;50,0,IF($J157&lt;70,2,3)))))</x:f>
      </x:c>
      <x:c r="O157" s="58" t="str">
        <x:f>IF($J157="","",IF(OR('02_Benchmarks'!$P157&lt;&gt;"Aktiv",COUNT('02_Benchmarks'!$J157:$M157)&lt;4),"",IF($G157="lower_is_better",IF($J157&lt;='02_Benchmarks'!$J157,3,IF($J157&lt;'02_Benchmarks'!$K157,2,IF($J157&lt;='02_Benchmarks'!$L157,0,IF($J157&lt;='02_Benchmarks'!$M157,-2,-3)))),IF($J157&gt;='02_Benchmarks'!$J157,3,IF($J157&gt;'02_Benchmarks'!$K157,2,IF($J157&gt;='02_Benchmarks'!$L157,0,IF($J157&gt;='02_Benchmarks'!$M157,-2,-3)))))))</x:f>
      </x:c>
      <x:c r="P157" s="58" t="str">
        <x:f>IF(COUNT($N157:$O157)+IF(ISNUMBER($K157),1,0)=0,"",MIN($N157:$O157,$K157))</x:f>
      </x:c>
      <x:c r="Q157" s="58" t="str">
        <x:f>IF($P157="","",INDEX('04_Tarifmodell'!$B$6:$B$12,$P157+4))</x:f>
      </x:c>
      <x:c r="R157" s="64" t="str">
        <x:f>IF($P157="","",INDEX('04_Tarifmodell'!$C$6:$C$12,$P157+4))</x:f>
      </x:c>
      <x:c r="S157" s="14" t="str">
        <x:f>IF(OR($I157="QUALITATIVE",$I157="MANUAL_HYBRID"),IF($K157="","Assurance-Score fehlt","Assurance-bewertet"),IF($I157="BENCHMARK",IF($W157&lt;&gt;"Aktiv",IF($K157="","Benchmark fehlt","Assurance-bewertet"),IF($J157="","Messwert fehlt",IF($P157="","Nicht bewertbar","Berechnet"))),IF(AND($J157="",$K157&lt;&gt;""),"Nur Assurance-Score",IF($J157="","Messwert fehlt",IF($P157="","Nicht bewertbar",IF($P157&lt;=-2,"Kritische Wirkung / Prüfung","Berechnet"))))))</x:f>
        <x:v>Messwert fehlt</x:v>
      </x:c>
      <x:c r="T157" s="14" t="str">
        <x:v>Vollständige fünfstufige numerische Regel.</x:v>
      </x:c>
      <x:c r="U157" s="14" t="str">
        <x:v>≥70:+3; 50–69:+2; 30–49:0; 15–29:‑2; &lt;15:‑3</x:v>
      </x:c>
      <x:c r="V157" s="14" t="str">
        <x:v>ESRS E3, WRI Aqueduct, ISO 14046 (Water Footprint)</x:v>
      </x:c>
      <x:c r="W157" s="14" t="str">
        <x:f>'02_Benchmarks'!$P157</x:f>
        <x:v>Optional – kein aktiver Benchmark</x:v>
      </x:c>
      <x:c r="X157" s="14" t="str">
        <x:v>Messgrundlage belegt; Schwellenkalibrierung offen</x:v>
      </x:c>
      <x:c r="Y157" s="14" t="str">
        <x:v>Mittel</x:v>
      </x:c>
      <x:c r="Z157" s="14" t="str">
        <x:v>Arbeitskalibrierung – fachlich zu validieren</x:v>
      </x:c>
      <x:c r="AA157" s="14" t="str">
        <x:v>Produkt/Funktionseinheit; Lebenszyklusgrenze mindestens cradle-to-gate, bei Nutzungs-/End-of-Life-Relevanz cradle-to-grave</x:v>
      </x:c>
      <x:c r="AB157" s="14" t="str">
        <x:v>Primärdaten bevorzugt; Sekundärdaten nur transparent und versioniert; Methode und Systemgrenze dokumentieren</x:v>
      </x:c>
      <x:c r="AC157" s="14" t="str">
        <x:v>Limited Assurance; risikobasiert höhere Prüftiefe</x:v>
      </x:c>
    </x:row>
    <x:row r="158" ht="42" customHeight="1">
      <x:c r="A158" s="14" t="str">
        <x:v>WOK-E-131</x:v>
      </x:c>
      <x:c r="B158" s="14" t="str">
        <x:v>SDG 6 – Wasser</x:v>
      </x:c>
      <x:c r="C158" s="14" t="str">
        <x:v>6.3</x:v>
      </x:c>
      <x:c r="D158" s="14" t="str">
        <x:v>Chemikalien in Wasser</x:v>
      </x:c>
      <x:c r="E158" s="14" t="str">
        <x:v>Chemikalien in Wasser – Entnahme (WSI)</x:v>
      </x:c>
      <x:c r="F158" s="14" t="str">
        <x:v>m³*WSI</x:v>
      </x:c>
      <x:c r="G158" s="14" t="str">
        <x:v>lower_is_better</x:v>
      </x:c>
      <x:c r="H158" s="14" t="str">
        <x:v>R06</x:v>
      </x:c>
      <x:c r="I158" s="14" t="str">
        <x:v>BENCHMARK</x:v>
      </x:c>
      <x:c r="J158" s="51"/>
      <x:c r="K158" s="51"/>
      <x:c r="L158" s="51"/>
      <x:c r="M158" s="54"/>
      <x:c r="N158" s="58" t="str">
        <x:f>""</x:f>
      </x:c>
      <x:c r="O158" s="58" t="str">
        <x:f>IF($J158="","",IF(OR('02_Benchmarks'!$P158&lt;&gt;"Aktiv",COUNT('02_Benchmarks'!$J158:$M158)&lt;4),"",IF($G158="lower_is_better",IF($J158&lt;='02_Benchmarks'!$J158,3,IF($J158&lt;'02_Benchmarks'!$K158,2,IF($J158&lt;='02_Benchmarks'!$L158,0,IF($J158&lt;='02_Benchmarks'!$M158,-2,-3)))),IF($J158&gt;='02_Benchmarks'!$J158,3,IF($J158&gt;'02_Benchmarks'!$K158,2,IF($J158&gt;='02_Benchmarks'!$L158,0,IF($J158&gt;='02_Benchmarks'!$M158,-2,-3)))))))</x:f>
      </x:c>
      <x:c r="P158" s="58" t="str">
        <x:f>IF(COUNT($N158:$O158)+IF(ISNUMBER($K158),1,0)=0,"",MIN($N158:$O158,$K158))</x:f>
      </x:c>
      <x:c r="Q158" s="58" t="str">
        <x:f>IF($P158="","",INDEX('04_Tarifmodell'!$B$6:$B$12,$P158+4))</x:f>
      </x:c>
      <x:c r="R158" s="64" t="str">
        <x:f>IF($P158="","",INDEX('04_Tarifmodell'!$C$6:$C$12,$P158+4))</x:f>
      </x:c>
      <x:c r="S158" s="14" t="str">
        <x:f>IF(OR($I158="QUALITATIVE",$I158="MANUAL_HYBRID"),IF($K158="","Assurance-Score fehlt","Assurance-bewertet"),IF($I158="BENCHMARK",IF($W158&lt;&gt;"Aktiv",IF($K158="","Benchmark fehlt","Assurance-bewertet"),IF($J158="","Messwert fehlt",IF($P158="","Nicht bewertbar","Berechnet"))),IF(AND($J158="",$K158&lt;&gt;""),"Nur Assurance-Score",IF($J158="","Messwert fehlt",IF($P158="","Nicht bewertbar",IF($P158&lt;=-2,"Kritische Wirkung / Prüfung","Berechnet"))))))</x:f>
        <x:v>Benchmark fehlt</x:v>
      </x:c>
      <x:c r="T158" s="14" t="str">
        <x:v>Top-10-Prozent, Mittelwert, 150 % und 250 % müssen aus einer dokumentierten Grundgesamtheit stammen.</x:v>
      </x:c>
      <x:c r="U158" s="14" t="str">
        <x:v>Top‑10%:+3; Mittel:0; &gt;150%:‑2; &gt;250%:‑3</x:v>
      </x:c>
      <x:c r="V158" s="14" t="str">
        <x:v>ESRS E3, WRI Aqueduct, ISO 14046 (Water Footprint)</x:v>
      </x:c>
      <x:c r="W158" s="14" t="str">
        <x:f>'02_Benchmarks'!$P158</x:f>
        <x:v>Offen – validierter Benchmark fehlt</x:v>
      </x:c>
      <x:c r="X158" s="14" t="str">
        <x:v>Teilbelegt – Benchmarkquelle fehlt</x:v>
      </x:c>
      <x:c r="Y158" s="14" t="str">
        <x:v>Hoch</x:v>
      </x:c>
      <x:c r="Z158" s="14" t="str">
        <x:v>Validierter Benchmark fehlt</x:v>
      </x:c>
      <x:c r="AA158" s="14" t="str">
        <x:v>Standort/Prozess/Aktivität; Bezugsgröße und relevante Umweltmedien</x:v>
      </x:c>
      <x:c r="AB158" s="14" t="str">
        <x:v>Primärdaten plus repräsentativer, versionierter Benchmarkdatensatz; Stichprobe und Population offenlegen</x:v>
      </x:c>
      <x:c r="AC158" s="14" t="str">
        <x:v>Messwert-Assurance und unabhängige Benchmark-Governance</x:v>
      </x:c>
    </x:row>
    <x:row r="159" ht="42" customHeight="1">
      <x:c r="A159" s="14" t="str">
        <x:v>WOK-E-132</x:v>
      </x:c>
      <x:c r="B159" s="14" t="str">
        <x:v>SDG 6 – Wasser</x:v>
      </x:c>
      <x:c r="C159" s="14" t="str">
        <x:v>6.3</x:v>
      </x:c>
      <x:c r="D159" s="14" t="str">
        <x:v>Chemikalien in Wasser</x:v>
      </x:c>
      <x:c r="E159" s="14" t="str">
        <x:v>Chemikalien in Wasser – Reuse</x:v>
      </x:c>
      <x:c r="F159" s="14" t="str">
        <x:v>%</x:v>
      </x:c>
      <x:c r="G159" s="14" t="str">
        <x:v>higher_is_better</x:v>
      </x:c>
      <x:c r="H159" s="14" t="str">
        <x:v>R25</x:v>
      </x:c>
      <x:c r="I159" s="14" t="str">
        <x:v>NUM_HIGH</x:v>
      </x:c>
      <x:c r="J159" s="51"/>
      <x:c r="K159" s="51"/>
      <x:c r="L159" s="51"/>
      <x:c r="M159" s="54"/>
      <x:c r="N159" s="58" t="str">
        <x:f>IF($J159="","",IF($J159&lt;30,-3,IF($J159&lt;50,-2,IF($J159&lt;70,0,IF($J159&lt;90,2,3)))))</x:f>
      </x:c>
      <x:c r="O159" s="58" t="str">
        <x:f>IF($J159="","",IF(OR('02_Benchmarks'!$P159&lt;&gt;"Aktiv",COUNT('02_Benchmarks'!$J159:$M159)&lt;4),"",IF($G159="lower_is_better",IF($J159&lt;='02_Benchmarks'!$J159,3,IF($J159&lt;'02_Benchmarks'!$K159,2,IF($J159&lt;='02_Benchmarks'!$L159,0,IF($J159&lt;='02_Benchmarks'!$M159,-2,-3)))),IF($J159&gt;='02_Benchmarks'!$J159,3,IF($J159&gt;'02_Benchmarks'!$K159,2,IF($J159&gt;='02_Benchmarks'!$L159,0,IF($J159&gt;='02_Benchmarks'!$M159,-2,-3)))))))</x:f>
      </x:c>
      <x:c r="P159" s="58" t="str">
        <x:f>IF(COUNT($N159:$O159)+IF(ISNUMBER($K159),1,0)=0,"",MIN($N159:$O159,$K159))</x:f>
      </x:c>
      <x:c r="Q159" s="58" t="str">
        <x:f>IF($P159="","",INDEX('04_Tarifmodell'!$B$6:$B$12,$P159+4))</x:f>
      </x:c>
      <x:c r="R159" s="64" t="str">
        <x:f>IF($P159="","",INDEX('04_Tarifmodell'!$C$6:$C$12,$P159+4))</x:f>
      </x:c>
      <x:c r="S159" s="14" t="str">
        <x:f>IF(OR($I159="QUALITATIVE",$I159="MANUAL_HYBRID"),IF($K159="","Assurance-Score fehlt","Assurance-bewertet"),IF($I159="BENCHMARK",IF($W159&lt;&gt;"Aktiv",IF($K159="","Benchmark fehlt","Assurance-bewertet"),IF($J159="","Messwert fehlt",IF($P159="","Nicht bewertbar","Berechnet"))),IF(AND($J159="",$K159&lt;&gt;""),"Nur Assurance-Score",IF($J159="","Messwert fehlt",IF($P159="","Nicht bewertbar",IF($P159&lt;=-2,"Kritische Wirkung / Prüfung","Berechnet"))))))</x:f>
        <x:v>Messwert fehlt</x:v>
      </x:c>
      <x:c r="T159" s="14" t="str">
        <x:v>Vollständige fünfstufige Prozentregel.</x:v>
      </x:c>
      <x:c r="U159" s="14" t="str">
        <x:v>≥90%:+3; 70–89%:+2; 50–69%:0; 30–49%:‑2; &lt;30%:‑3</x:v>
      </x:c>
      <x:c r="V159" s="14" t="str">
        <x:v>ESRS E3, WRI Aqueduct, ISO 14046 (Water Footprint)</x:v>
      </x:c>
      <x:c r="W159" s="14" t="str">
        <x:f>'02_Benchmarks'!$P159</x:f>
        <x:v>Optional – kein aktiver Benchmark</x:v>
      </x:c>
      <x:c r="X159" s="14" t="str">
        <x:v>Messgrundlage belegt; Schwellenkalibrierung offen</x:v>
      </x:c>
      <x:c r="Y159" s="14" t="str">
        <x:v>Mittel</x:v>
      </x:c>
      <x:c r="Z159" s="14" t="str">
        <x:v>Arbeitskalibrierung – fachlich zu validieren</x:v>
      </x:c>
      <x:c r="AA159" s="14" t="str">
        <x:v>Standort/Prozess/Aktivität; Bezugsgröße und relevante Umweltmedien</x:v>
      </x:c>
      <x:c r="AB159" s="14" t="str">
        <x:v>Primärdaten bevorzugt; Sekundärdaten nur transparent und versioniert; Methode und Systemgrenze dokumentieren</x:v>
      </x:c>
      <x:c r="AC159" s="14" t="str">
        <x:v>Limited Assurance; risikobasiert höhere Prüftiefe</x:v>
      </x:c>
    </x:row>
    <x:row r="160" ht="42" customHeight="1">
      <x:c r="A160" s="14" t="str">
        <x:v>WOK-E-133</x:v>
      </x:c>
      <x:c r="B160" s="14" t="str">
        <x:v>SDG 6 – Wasser</x:v>
      </x:c>
      <x:c r="C160" s="14" t="str">
        <x:v>6.3</x:v>
      </x:c>
      <x:c r="D160" s="14" t="str">
        <x:v>Chemikalien in Wasser</x:v>
      </x:c>
      <x:c r="E160" s="14" t="str">
        <x:v>Chemikalien in Wasser – Abwasserqualität</x:v>
      </x:c>
      <x:c r="F160" s="14" t="str">
        <x:v>% des Grenzwerts</x:v>
      </x:c>
      <x:c r="G160" s="14" t="str">
        <x:v>lower_is_better</x:v>
      </x:c>
      <x:c r="H160" s="14" t="str">
        <x:v>R12</x:v>
      </x:c>
      <x:c r="I160" s="14" t="str">
        <x:v>LEGAL_RATIO</x:v>
      </x:c>
      <x:c r="J160" s="51"/>
      <x:c r="K160" s="51"/>
      <x:c r="L160" s="51"/>
      <x:c r="M160" s="54"/>
      <x:c r="N160" s="58" t="str">
        <x:f>IF($J160="","",IF($J160&lt;=50,3,IF($J160&lt;=75,2,IF($J160&lt;=100,0,IF($J160&lt;=120,-2,-3)))))</x:f>
      </x:c>
      <x:c r="O160" s="58" t="str">
        <x:f>IF($J160="","",IF(OR('02_Benchmarks'!$P160&lt;&gt;"Aktiv",COUNT('02_Benchmarks'!$J160:$M160)&lt;4),"",IF($G160="lower_is_better",IF($J160&lt;='02_Benchmarks'!$J160,3,IF($J160&lt;'02_Benchmarks'!$K160,2,IF($J160&lt;='02_Benchmarks'!$L160,0,IF($J160&lt;='02_Benchmarks'!$M160,-2,-3)))),IF($J160&gt;='02_Benchmarks'!$J160,3,IF($J160&gt;'02_Benchmarks'!$K160,2,IF($J160&gt;='02_Benchmarks'!$L160,0,IF($J160&gt;='02_Benchmarks'!$M160,-2,-3)))))))</x:f>
      </x:c>
      <x:c r="P160" s="58" t="str">
        <x:f>IF(COUNT($N160:$O160)+IF(ISNUMBER($K160),1,0)=0,"",MIN($N160:$O160,$K160))</x:f>
      </x:c>
      <x:c r="Q160" s="58" t="str">
        <x:f>IF($P160="","",INDEX('04_Tarifmodell'!$B$6:$B$12,$P160+4))</x:f>
      </x:c>
      <x:c r="R160" s="64" t="str">
        <x:f>IF($P160="","",INDEX('04_Tarifmodell'!$C$6:$C$12,$P160+4))</x:f>
      </x:c>
      <x:c r="S160" s="14" t="str">
        <x:f>IF(OR($I160="QUALITATIVE",$I160="MANUAL_HYBRID"),IF($K160="","Assurance-Score fehlt","Assurance-bewertet"),IF($I160="BENCHMARK",IF($W160&lt;&gt;"Aktiv",IF($K160="","Benchmark fehlt","Assurance-bewertet"),IF($J160="","Messwert fehlt",IF($P160="","Nicht bewertbar","Berechnet"))),IF(AND($J160="",$K160&lt;&gt;""),"Nur Assurance-Score",IF($J160="","Messwert fehlt",IF($P160="","Nicht bewertbar",IF($P160&lt;=-2,"Kritische Wirkung / Prüfung","Berechnet"))))))</x:f>
        <x:v>Messwert fehlt</x:v>
      </x:c>
      <x:c r="T160" s="14" t="str">
        <x:v>Nicht der absolute Messwert, sondern Messwert ÷ Grenzwert × 100 wird bewertet.</x:v>
      </x:c>
      <x:c r="U160" s="14" t="str">
        <x:v>≤50% Grenzwert:+3; ≤75%:+2; ≤100%:0; 101–120%:‑2; &gt;120%:‑3</x:v>
      </x:c>
      <x:c r="V160" s="14" t="str">
        <x:v>ESRS E3, WRI Aqueduct, ISO 14046 (Water Footprint)</x:v>
      </x:c>
      <x:c r="W160" s="14" t="str">
        <x:f>'02_Benchmarks'!$P160</x:f>
        <x:v>Optional – kein aktiver Benchmark</x:v>
      </x:c>
      <x:c r="X160" s="14" t="str">
        <x:v>Teilbelegt – Rechtsfundstelle je Messung fehlt</x:v>
      </x:c>
      <x:c r="Y160" s="14" t="str">
        <x:v>Hoch</x:v>
      </x:c>
      <x:c r="Z160" s="14" t="str">
        <x:v>Rechtsfundstelle je Fall erforderlich</x:v>
      </x:c>
      <x:c r="AA160" s="14" t="str">
        <x:v>Standort/Prozess/Aktivität; Bezugsgröße und relevante Umweltmedien</x:v>
      </x:c>
      <x:c r="AB160" s="14" t="str">
        <x:v>Kalibrierter Messwert; Rechtsfundstelle, Grenzwert, Einheit, Messpunkt und Zeitraum</x:v>
      </x:c>
      <x:c r="AC160" s="14" t="str">
        <x:v>Behördlicher/akkreditierter Nachweis oder unabhängige Prüfung</x:v>
      </x:c>
    </x:row>
    <x:row r="161" ht="42" customHeight="1">
      <x:c r="A161" s="14" t="str">
        <x:v>WOK-E-134</x:v>
      </x:c>
      <x:c r="B161" s="14" t="str">
        <x:v>SDG 6 – Wasser</x:v>
      </x:c>
      <x:c r="C161" s="14" t="str">
        <x:v>6.b</x:v>
      </x:c>
      <x:c r="D161" s="14" t="str">
        <x:v>Grundwasser/Entnahme‑Reporting</x:v>
      </x:c>
      <x:c r="E161" s="14" t="str">
        <x:v>Grundwasser/Entnahme‑Reporting – Entnahme (WSI)</x:v>
      </x:c>
      <x:c r="F161" s="14" t="str">
        <x:v>m³*WSI</x:v>
      </x:c>
      <x:c r="G161" s="14" t="str">
        <x:v>lower_is_better</x:v>
      </x:c>
      <x:c r="H161" s="14" t="str">
        <x:v>R06</x:v>
      </x:c>
      <x:c r="I161" s="14" t="str">
        <x:v>BENCHMARK</x:v>
      </x:c>
      <x:c r="J161" s="51"/>
      <x:c r="K161" s="51"/>
      <x:c r="L161" s="51"/>
      <x:c r="M161" s="54"/>
      <x:c r="N161" s="58" t="str">
        <x:f>""</x:f>
      </x:c>
      <x:c r="O161" s="58" t="str">
        <x:f>IF($J161="","",IF(OR('02_Benchmarks'!$P161&lt;&gt;"Aktiv",COUNT('02_Benchmarks'!$J161:$M161)&lt;4),"",IF($G161="lower_is_better",IF($J161&lt;='02_Benchmarks'!$J161,3,IF($J161&lt;'02_Benchmarks'!$K161,2,IF($J161&lt;='02_Benchmarks'!$L161,0,IF($J161&lt;='02_Benchmarks'!$M161,-2,-3)))),IF($J161&gt;='02_Benchmarks'!$J161,3,IF($J161&gt;'02_Benchmarks'!$K161,2,IF($J161&gt;='02_Benchmarks'!$L161,0,IF($J161&gt;='02_Benchmarks'!$M161,-2,-3)))))))</x:f>
      </x:c>
      <x:c r="P161" s="58" t="str">
        <x:f>IF(COUNT($N161:$O161)+IF(ISNUMBER($K161),1,0)=0,"",MIN($N161:$O161,$K161))</x:f>
      </x:c>
      <x:c r="Q161" s="58" t="str">
        <x:f>IF($P161="","",INDEX('04_Tarifmodell'!$B$6:$B$12,$P161+4))</x:f>
      </x:c>
      <x:c r="R161" s="64" t="str">
        <x:f>IF($P161="","",INDEX('04_Tarifmodell'!$C$6:$C$12,$P161+4))</x:f>
      </x:c>
      <x:c r="S161" s="14" t="str">
        <x:f>IF(OR($I161="QUALITATIVE",$I161="MANUAL_HYBRID"),IF($K161="","Assurance-Score fehlt","Assurance-bewertet"),IF($I161="BENCHMARK",IF($W161&lt;&gt;"Aktiv",IF($K161="","Benchmark fehlt","Assurance-bewertet"),IF($J161="","Messwert fehlt",IF($P161="","Nicht bewertbar","Berechnet"))),IF(AND($J161="",$K161&lt;&gt;""),"Nur Assurance-Score",IF($J161="","Messwert fehlt",IF($P161="","Nicht bewertbar",IF($P161&lt;=-2,"Kritische Wirkung / Prüfung","Berechnet"))))))</x:f>
        <x:v>Benchmark fehlt</x:v>
      </x:c>
      <x:c r="T161" s="14" t="str">
        <x:v>Top-10-Prozent, Mittelwert, 150 % und 250 % müssen aus einer dokumentierten Grundgesamtheit stammen.</x:v>
      </x:c>
      <x:c r="U161" s="14" t="str">
        <x:v>Top‑10%:+3; Mittel:0; &gt;150%:‑2; &gt;250%:‑3</x:v>
      </x:c>
      <x:c r="V161" s="14" t="str">
        <x:v>ESRS E3, WRI Aqueduct, ISO 14046 (Water Footprint)</x:v>
      </x:c>
      <x:c r="W161" s="14" t="str">
        <x:f>'02_Benchmarks'!$P161</x:f>
        <x:v>Offen – validierter Benchmark fehlt</x:v>
      </x:c>
      <x:c r="X161" s="14" t="str">
        <x:v>Teilbelegt – Benchmarkquelle fehlt</x:v>
      </x:c>
      <x:c r="Y161" s="14" t="str">
        <x:v>Hoch</x:v>
      </x:c>
      <x:c r="Z161" s="14" t="str">
        <x:v>Validierter Benchmark fehlt</x:v>
      </x:c>
      <x:c r="AA161" s="14" t="str">
        <x:v>Standort/Prozess/Aktivität; Bezugsgröße und relevante Umweltmedien</x:v>
      </x:c>
      <x:c r="AB161" s="14" t="str">
        <x:v>Primärdaten plus repräsentativer, versionierter Benchmarkdatensatz; Stichprobe und Population offenlegen</x:v>
      </x:c>
      <x:c r="AC161" s="14" t="str">
        <x:v>Messwert-Assurance und unabhängige Benchmark-Governance</x:v>
      </x:c>
    </x:row>
    <x:row r="162" ht="42" customHeight="1">
      <x:c r="A162" s="14" t="str">
        <x:v>WOK-E-135</x:v>
      </x:c>
      <x:c r="B162" s="14" t="str">
        <x:v>SDG 6 – Wasser</x:v>
      </x:c>
      <x:c r="C162" s="14" t="str">
        <x:v>6.b</x:v>
      </x:c>
      <x:c r="D162" s="14" t="str">
        <x:v>Grundwasser/Entnahme‑Reporting</x:v>
      </x:c>
      <x:c r="E162" s="14" t="str">
        <x:v>Grundwasser/Entnahme‑Reporting – Reuse</x:v>
      </x:c>
      <x:c r="F162" s="14" t="str">
        <x:v>%</x:v>
      </x:c>
      <x:c r="G162" s="14" t="str">
        <x:v>higher_is_better</x:v>
      </x:c>
      <x:c r="H162" s="14" t="str">
        <x:v>R25</x:v>
      </x:c>
      <x:c r="I162" s="14" t="str">
        <x:v>NUM_HIGH</x:v>
      </x:c>
      <x:c r="J162" s="51"/>
      <x:c r="K162" s="51"/>
      <x:c r="L162" s="51"/>
      <x:c r="M162" s="54"/>
      <x:c r="N162" s="58" t="str">
        <x:f>IF($J162="","",IF($J162&lt;30,-3,IF($J162&lt;50,-2,IF($J162&lt;70,0,IF($J162&lt;90,2,3)))))</x:f>
      </x:c>
      <x:c r="O162" s="58" t="str">
        <x:f>IF($J162="","",IF(OR('02_Benchmarks'!$P162&lt;&gt;"Aktiv",COUNT('02_Benchmarks'!$J162:$M162)&lt;4),"",IF($G162="lower_is_better",IF($J162&lt;='02_Benchmarks'!$J162,3,IF($J162&lt;'02_Benchmarks'!$K162,2,IF($J162&lt;='02_Benchmarks'!$L162,0,IF($J162&lt;='02_Benchmarks'!$M162,-2,-3)))),IF($J162&gt;='02_Benchmarks'!$J162,3,IF($J162&gt;'02_Benchmarks'!$K162,2,IF($J162&gt;='02_Benchmarks'!$L162,0,IF($J162&gt;='02_Benchmarks'!$M162,-2,-3)))))))</x:f>
      </x:c>
      <x:c r="P162" s="58" t="str">
        <x:f>IF(COUNT($N162:$O162)+IF(ISNUMBER($K162),1,0)=0,"",MIN($N162:$O162,$K162))</x:f>
      </x:c>
      <x:c r="Q162" s="58" t="str">
        <x:f>IF($P162="","",INDEX('04_Tarifmodell'!$B$6:$B$12,$P162+4))</x:f>
      </x:c>
      <x:c r="R162" s="64" t="str">
        <x:f>IF($P162="","",INDEX('04_Tarifmodell'!$C$6:$C$12,$P162+4))</x:f>
      </x:c>
      <x:c r="S162" s="14" t="str">
        <x:f>IF(OR($I162="QUALITATIVE",$I162="MANUAL_HYBRID"),IF($K162="","Assurance-Score fehlt","Assurance-bewertet"),IF($I162="BENCHMARK",IF($W162&lt;&gt;"Aktiv",IF($K162="","Benchmark fehlt","Assurance-bewertet"),IF($J162="","Messwert fehlt",IF($P162="","Nicht bewertbar","Berechnet"))),IF(AND($J162="",$K162&lt;&gt;""),"Nur Assurance-Score",IF($J162="","Messwert fehlt",IF($P162="","Nicht bewertbar",IF($P162&lt;=-2,"Kritische Wirkung / Prüfung","Berechnet"))))))</x:f>
        <x:v>Messwert fehlt</x:v>
      </x:c>
      <x:c r="T162" s="14" t="str">
        <x:v>Vollständige fünfstufige Prozentregel.</x:v>
      </x:c>
      <x:c r="U162" s="14" t="str">
        <x:v>≥90%:+3; 70–89%:+2; 50–69%:0; 30–49%:‑2; &lt;30%:‑3</x:v>
      </x:c>
      <x:c r="V162" s="14" t="str">
        <x:v>ESRS E3, WRI Aqueduct, ISO 14046 (Water Footprint)</x:v>
      </x:c>
      <x:c r="W162" s="14" t="str">
        <x:f>'02_Benchmarks'!$P162</x:f>
        <x:v>Optional – kein aktiver Benchmark</x:v>
      </x:c>
      <x:c r="X162" s="14" t="str">
        <x:v>Messgrundlage belegt; Schwellenkalibrierung offen</x:v>
      </x:c>
      <x:c r="Y162" s="14" t="str">
        <x:v>Mittel</x:v>
      </x:c>
      <x:c r="Z162" s="14" t="str">
        <x:v>Arbeitskalibrierung – fachlich zu validieren</x:v>
      </x:c>
      <x:c r="AA162" s="14" t="str">
        <x:v>Standort/Prozess/Aktivität; Bezugsgröße und relevante Umweltmedien</x:v>
      </x:c>
      <x:c r="AB162" s="14" t="str">
        <x:v>Primärdaten bevorzugt; Sekundärdaten nur transparent und versioniert; Methode und Systemgrenze dokumentieren</x:v>
      </x:c>
      <x:c r="AC162" s="14" t="str">
        <x:v>Limited Assurance; risikobasiert höhere Prüftiefe</x:v>
      </x:c>
    </x:row>
    <x:row r="163" ht="42" customHeight="1">
      <x:c r="A163" s="14" t="str">
        <x:v>WOK-E-136</x:v>
      </x:c>
      <x:c r="B163" s="14" t="str">
        <x:v>SDG 6 – Wasser</x:v>
      </x:c>
      <x:c r="C163" s="14" t="str">
        <x:v>6.b</x:v>
      </x:c>
      <x:c r="D163" s="14" t="str">
        <x:v>Grundwasser/Entnahme‑Reporting</x:v>
      </x:c>
      <x:c r="E163" s="14" t="str">
        <x:v>Grundwasser/Entnahme‑Reporting – Abwasserqualität</x:v>
      </x:c>
      <x:c r="F163" s="14" t="str">
        <x:v>% des Grenzwerts</x:v>
      </x:c>
      <x:c r="G163" s="14" t="str">
        <x:v>lower_is_better</x:v>
      </x:c>
      <x:c r="H163" s="14" t="str">
        <x:v>R12</x:v>
      </x:c>
      <x:c r="I163" s="14" t="str">
        <x:v>LEGAL_RATIO</x:v>
      </x:c>
      <x:c r="J163" s="51"/>
      <x:c r="K163" s="51"/>
      <x:c r="L163" s="51"/>
      <x:c r="M163" s="54"/>
      <x:c r="N163" s="58" t="str">
        <x:f>IF($J163="","",IF($J163&lt;=50,3,IF($J163&lt;=75,2,IF($J163&lt;=100,0,IF($J163&lt;=120,-2,-3)))))</x:f>
      </x:c>
      <x:c r="O163" s="58" t="str">
        <x:f>IF($J163="","",IF(OR('02_Benchmarks'!$P163&lt;&gt;"Aktiv",COUNT('02_Benchmarks'!$J163:$M163)&lt;4),"",IF($G163="lower_is_better",IF($J163&lt;='02_Benchmarks'!$J163,3,IF($J163&lt;'02_Benchmarks'!$K163,2,IF($J163&lt;='02_Benchmarks'!$L163,0,IF($J163&lt;='02_Benchmarks'!$M163,-2,-3)))),IF($J163&gt;='02_Benchmarks'!$J163,3,IF($J163&gt;'02_Benchmarks'!$K163,2,IF($J163&gt;='02_Benchmarks'!$L163,0,IF($J163&gt;='02_Benchmarks'!$M163,-2,-3)))))))</x:f>
      </x:c>
      <x:c r="P163" s="58" t="str">
        <x:f>IF(COUNT($N163:$O163)+IF(ISNUMBER($K163),1,0)=0,"",MIN($N163:$O163,$K163))</x:f>
      </x:c>
      <x:c r="Q163" s="58" t="str">
        <x:f>IF($P163="","",INDEX('04_Tarifmodell'!$B$6:$B$12,$P163+4))</x:f>
      </x:c>
      <x:c r="R163" s="64" t="str">
        <x:f>IF($P163="","",INDEX('04_Tarifmodell'!$C$6:$C$12,$P163+4))</x:f>
      </x:c>
      <x:c r="S163" s="14" t="str">
        <x:f>IF(OR($I163="QUALITATIVE",$I163="MANUAL_HYBRID"),IF($K163="","Assurance-Score fehlt","Assurance-bewertet"),IF($I163="BENCHMARK",IF($W163&lt;&gt;"Aktiv",IF($K163="","Benchmark fehlt","Assurance-bewertet"),IF($J163="","Messwert fehlt",IF($P163="","Nicht bewertbar","Berechnet"))),IF(AND($J163="",$K163&lt;&gt;""),"Nur Assurance-Score",IF($J163="","Messwert fehlt",IF($P163="","Nicht bewertbar",IF($P163&lt;=-2,"Kritische Wirkung / Prüfung","Berechnet"))))))</x:f>
        <x:v>Messwert fehlt</x:v>
      </x:c>
      <x:c r="T163" s="14" t="str">
        <x:v>Nicht der absolute Messwert, sondern Messwert ÷ Grenzwert × 100 wird bewertet.</x:v>
      </x:c>
      <x:c r="U163" s="14" t="str">
        <x:v>≤50% Grenzwert:+3; ≤75%:+2; ≤100%:0; 101–120%:‑2; &gt;120%:‑3</x:v>
      </x:c>
      <x:c r="V163" s="14" t="str">
        <x:v>ESRS E3, WRI Aqueduct, ISO 14046 (Water Footprint)</x:v>
      </x:c>
      <x:c r="W163" s="14" t="str">
        <x:f>'02_Benchmarks'!$P163</x:f>
        <x:v>Optional – kein aktiver Benchmark</x:v>
      </x:c>
      <x:c r="X163" s="14" t="str">
        <x:v>Teilbelegt – Rechtsfundstelle je Messung fehlt</x:v>
      </x:c>
      <x:c r="Y163" s="14" t="str">
        <x:v>Hoch</x:v>
      </x:c>
      <x:c r="Z163" s="14" t="str">
        <x:v>Rechtsfundstelle je Fall erforderlich</x:v>
      </x:c>
      <x:c r="AA163" s="14" t="str">
        <x:v>Standort/Prozess/Aktivität; Bezugsgröße und relevante Umweltmedien</x:v>
      </x:c>
      <x:c r="AB163" s="14" t="str">
        <x:v>Kalibrierter Messwert; Rechtsfundstelle, Grenzwert, Einheit, Messpunkt und Zeitraum</x:v>
      </x:c>
      <x:c r="AC163" s="14" t="str">
        <x:v>Behördlicher/akkreditierter Nachweis oder unabhängige Prüfung</x:v>
      </x:c>
    </x:row>
    <x:row r="164" ht="42" customHeight="1">
      <x:c r="A164" s="14" t="str">
        <x:v>WOK-G-131</x:v>
      </x:c>
      <x:c r="B164" s="14" t="str">
        <x:v>SDG 6 – Wasser</x:v>
      </x:c>
      <x:c r="C164" s="14" t="str">
        <x:v>6.b</x:v>
      </x:c>
      <x:c r="D164" s="14" t="str">
        <x:v>Wasser‑Governance &amp; Rechte</x:v>
      </x:c>
      <x:c r="E164" s="14" t="str">
        <x:v>Wasser‑Governance &amp; Rechte – Antikorruption</x:v>
      </x:c>
      <x:c r="F164" s="14" t="str">
        <x:v>Fälle/1.000 FTE</x:v>
      </x:c>
      <x:c r="G164" s="14" t="str">
        <x:v>lower_is_better</x:v>
      </x:c>
      <x:c r="H164" s="14" t="str">
        <x:v>R01</x:v>
      </x:c>
      <x:c r="I164" s="14" t="str">
        <x:v>NUM_LOW</x:v>
      </x:c>
      <x:c r="J164" s="51"/>
      <x:c r="K164" s="51"/>
      <x:c r="L164" s="51"/>
      <x:c r="M164" s="54"/>
      <x:c r="N164" s="58" t="str">
        <x:f>IF($J164="","",IF($J164&lt;=0,3,IF($J164&lt;=0.2,2,IF($J164&lt;=0.5,0,IF($J164&lt;=1,-2,-3)))))</x:f>
      </x:c>
      <x:c r="O164" s="58" t="str">
        <x:f>IF($J164="","",IF(OR('02_Benchmarks'!$P164&lt;&gt;"Aktiv",COUNT('02_Benchmarks'!$J164:$M164)&lt;4),"",IF($G164="lower_is_better",IF($J164&lt;='02_Benchmarks'!$J164,3,IF($J164&lt;'02_Benchmarks'!$K164,2,IF($J164&lt;='02_Benchmarks'!$L164,0,IF($J164&lt;='02_Benchmarks'!$M164,-2,-3)))),IF($J164&gt;='02_Benchmarks'!$J164,3,IF($J164&gt;'02_Benchmarks'!$K164,2,IF($J164&gt;='02_Benchmarks'!$L164,0,IF($J164&gt;='02_Benchmarks'!$M164,-2,-3)))))))</x:f>
      </x:c>
      <x:c r="P164" s="58" t="str">
        <x:f>IF(COUNT($N164:$O164)+IF(ISNUMBER($K164),1,0)=0,"",MIN($N164:$O164,$K164))</x:f>
      </x:c>
      <x:c r="Q164" s="58" t="str">
        <x:f>IF($P164="","",INDEX('04_Tarifmodell'!$B$6:$B$12,$P164+4))</x:f>
      </x:c>
      <x:c r="R164" s="64" t="str">
        <x:f>IF($P164="","",INDEX('04_Tarifmodell'!$C$6:$C$12,$P164+4))</x:f>
      </x:c>
      <x:c r="S164" s="14" t="str">
        <x:f>IF(OR($I164="QUALITATIVE",$I164="MANUAL_HYBRID"),IF($K164="","Assurance-Score fehlt","Assurance-bewertet"),IF($I164="BENCHMARK",IF($W164&lt;&gt;"Aktiv",IF($K164="","Benchmark fehlt","Assurance-bewertet"),IF($J164="","Messwert fehlt",IF($P164="","Nicht bewertbar","Berechnet"))),IF(AND($J164="",$K164&lt;&gt;""),"Nur Assurance-Score",IF($J164="","Messwert fehlt",IF($P164="","Nicht bewertbar",IF($P164&lt;=-2,"Kritische Wirkung / Prüfung","Berechnet"))))))</x:f>
        <x:v>Messwert fehlt</x:v>
      </x:c>
      <x:c r="T164" s="14" t="str">
        <x:v>Vollständige fünfstufige numerische Regel.</x:v>
      </x:c>
      <x:c r="U164" s="14" t="str">
        <x:v>0:+3; ≤0,2:+2; ≤0,5:0; ≤1:‑2; &gt;1:‑3</x:v>
      </x:c>
      <x:c r="V164" s="14" t="str">
        <x:v>ESRS E3, WRI Aqueduct, ISO 14046 (Water Footprint)</x:v>
      </x:c>
      <x:c r="W164" s="14" t="str">
        <x:f>'02_Benchmarks'!$P164</x:f>
        <x:v>Optional – kein aktiver Benchmark</x:v>
      </x:c>
      <x:c r="X164" s="14" t="str">
        <x:v>Messgrundlage belegt; Schwellenkalibrierung offen</x:v>
      </x:c>
      <x:c r="Y164" s="14" t="str">
        <x:v>Mittel</x:v>
      </x:c>
      <x:c r="Z164" s="14" t="str">
        <x:v>Arbeitskalibrierung – fachlich zu validieren</x:v>
      </x:c>
      <x:c r="AA164" s="14" t="str">
        <x:v>Organisation/Governance; konsolidierter Kreis und relevante Rechtseinheiten</x:v>
      </x:c>
      <x:c r="AB164" s="14" t="str">
        <x:v>Primärdaten bevorzugt; Sekundärdaten nur transparent und versioniert; Methode und Systemgrenze dokumentieren</x:v>
      </x:c>
      <x:c r="AC164" s="14" t="str">
        <x:v>Limited Assurance; risikobasiert höhere Prüftiefe</x:v>
      </x:c>
    </x:row>
    <x:row r="165" ht="42" customHeight="1">
      <x:c r="A165" s="14" t="str">
        <x:v>WOK-G-132</x:v>
      </x:c>
      <x:c r="B165" s="14" t="str">
        <x:v>SDG 6 – Wasser</x:v>
      </x:c>
      <x:c r="C165" s="14" t="str">
        <x:v>6.b</x:v>
      </x:c>
      <x:c r="D165" s="14" t="str">
        <x:v>Wasser‑Governance &amp; Rechte</x:v>
      </x:c>
      <x:c r="E165" s="14" t="str">
        <x:v>Wasser‑Governance &amp; Rechte – Whistleblowing</x:v>
      </x:c>
      <x:c r="F165" s="14" t="str">
        <x:v>0–1</x:v>
      </x:c>
      <x:c r="G165" s="14" t="str">
        <x:v>higher_is_better</x:v>
      </x:c>
      <x:c r="H165" s="14" t="str">
        <x:v>R16</x:v>
      </x:c>
      <x:c r="I165" s="14" t="str">
        <x:v>NUM_HIGH</x:v>
      </x:c>
      <x:c r="J165" s="51"/>
      <x:c r="K165" s="51"/>
      <x:c r="L165" s="51"/>
      <x:c r="M165" s="54"/>
      <x:c r="N165" s="58" t="str">
        <x:f>IF($J165="","",IF($J165&lt;0.4,-3,IF($J165&lt;0.6,-2,IF($J165&lt;0.75,0,IF($J165&lt;0.9,2,3)))))</x:f>
      </x:c>
      <x:c r="O165" s="58" t="str">
        <x:f>IF($J165="","",IF(OR('02_Benchmarks'!$P165&lt;&gt;"Aktiv",COUNT('02_Benchmarks'!$J165:$M165)&lt;4),"",IF($G165="lower_is_better",IF($J165&lt;='02_Benchmarks'!$J165,3,IF($J165&lt;'02_Benchmarks'!$K165,2,IF($J165&lt;='02_Benchmarks'!$L165,0,IF($J165&lt;='02_Benchmarks'!$M165,-2,-3)))),IF($J165&gt;='02_Benchmarks'!$J165,3,IF($J165&gt;'02_Benchmarks'!$K165,2,IF($J165&gt;='02_Benchmarks'!$L165,0,IF($J165&gt;='02_Benchmarks'!$M165,-2,-3)))))))</x:f>
      </x:c>
      <x:c r="P165" s="58" t="str">
        <x:f>IF(COUNT($N165:$O165)+IF(ISNUMBER($K165),1,0)=0,"",MIN($N165:$O165,$K165))</x:f>
      </x:c>
      <x:c r="Q165" s="58" t="str">
        <x:f>IF($P165="","",INDEX('04_Tarifmodell'!$B$6:$B$12,$P165+4))</x:f>
      </x:c>
      <x:c r="R165" s="64" t="str">
        <x:f>IF($P165="","",INDEX('04_Tarifmodell'!$C$6:$C$12,$P165+4))</x:f>
      </x:c>
      <x:c r="S165" s="14" t="str">
        <x:f>IF(OR($I165="QUALITATIVE",$I165="MANUAL_HYBRID"),IF($K165="","Assurance-Score fehlt","Assurance-bewertet"),IF($I165="BENCHMARK",IF($W165&lt;&gt;"Aktiv",IF($K165="","Benchmark fehlt","Assurance-bewertet"),IF($J165="","Messwert fehlt",IF($P165="","Nicht bewertbar","Berechnet"))),IF(AND($J165="",$K165&lt;&gt;""),"Nur Assurance-Score",IF($J165="","Messwert fehlt",IF($P165="","Nicht bewertbar",IF($P165&lt;=-2,"Kritische Wirkung / Prüfung","Berechnet"))))))</x:f>
        <x:v>Messwert fehlt</x:v>
      </x:c>
      <x:c r="T165" s="14" t="str">
        <x:v>Vollständige fünfstufige numerische Regel.</x:v>
      </x:c>
      <x:c r="U165" s="14" t="str">
        <x:v>≥0,9:+3; 0,75–0,89:+2; 0,6–0,74:0; 0,4–0,59:‑2; &lt;0,4:‑3</x:v>
      </x:c>
      <x:c r="V165" s="14" t="str">
        <x:v>ESRS E3, WRI Aqueduct, ISO 14046 (Water Footprint)</x:v>
      </x:c>
      <x:c r="W165" s="14" t="str">
        <x:f>'02_Benchmarks'!$P165</x:f>
        <x:v>Optional – kein aktiver Benchmark</x:v>
      </x:c>
      <x:c r="X165" s="14" t="str">
        <x:v>Messgrundlage belegt; Schwellenkalibrierung offen</x:v>
      </x:c>
      <x:c r="Y165" s="14" t="str">
        <x:v>Mittel</x:v>
      </x:c>
      <x:c r="Z165" s="14" t="str">
        <x:v>Arbeitskalibrierung – fachlich zu validieren</x:v>
      </x:c>
      <x:c r="AA165" s="14" t="str">
        <x:v>Organisation/Governance; konsolidierter Kreis und relevante Rechtseinheiten</x:v>
      </x:c>
      <x:c r="AB165" s="14" t="str">
        <x:v>Primärdaten bevorzugt; Sekundärdaten nur transparent und versioniert; Methode und Systemgrenze dokumentieren</x:v>
      </x:c>
      <x:c r="AC165" s="14" t="str">
        <x:v>Limited Assurance; risikobasiert höhere Prüftiefe</x:v>
      </x:c>
    </x:row>
    <x:row r="166" ht="42" customHeight="1">
      <x:c r="A166" s="14" t="str">
        <x:v>WOK-G-133</x:v>
      </x:c>
      <x:c r="B166" s="14" t="str">
        <x:v>SDG 6 – Wasser</x:v>
      </x:c>
      <x:c r="C166" s="14" t="str">
        <x:v>6.b</x:v>
      </x:c>
      <x:c r="D166" s="14" t="str">
        <x:v>Wasser‑Governance &amp; Rechte</x:v>
      </x:c>
      <x:c r="E166" s="14" t="str">
        <x:v>Wasser‑Governance &amp; Rechte – Steuertransparenz</x:v>
      </x:c>
      <x:c r="F166" s="14" t="str">
        <x:v>0–1</x:v>
      </x:c>
      <x:c r="G166" s="14" t="str">
        <x:v>higher_is_better</x:v>
      </x:c>
      <x:c r="H166" s="14" t="str">
        <x:v>R08</x:v>
      </x:c>
      <x:c r="I166" s="14" t="str">
        <x:v>QUALITATIVE</x:v>
      </x:c>
      <x:c r="J166" s="51"/>
      <x:c r="K166" s="51"/>
      <x:c r="L166" s="51"/>
      <x:c r="M166" s="54"/>
      <x:c r="N166" s="58" t="str">
        <x:f>""</x:f>
      </x:c>
      <x:c r="O166" s="58" t="str">
        <x:f>IF($J166="","",IF(OR('02_Benchmarks'!$P166&lt;&gt;"Aktiv",COUNT('02_Benchmarks'!$J166:$M166)&lt;4),"",IF($G166="lower_is_better",IF($J166&lt;='02_Benchmarks'!$J166,3,IF($J166&lt;'02_Benchmarks'!$K166,2,IF($J166&lt;='02_Benchmarks'!$L166,0,IF($J166&lt;='02_Benchmarks'!$M166,-2,-3)))),IF($J166&gt;='02_Benchmarks'!$J166,3,IF($J166&gt;'02_Benchmarks'!$K166,2,IF($J166&gt;='02_Benchmarks'!$L166,0,IF($J166&gt;='02_Benchmarks'!$M166,-2,-3)))))))</x:f>
      </x:c>
      <x:c r="P166" s="58" t="str">
        <x:f>IF(COUNT($N166:$O166)+IF(ISNUMBER($K166),1,0)=0,"",MIN($N166:$O166,$K166))</x:f>
      </x:c>
      <x:c r="Q166" s="58" t="str">
        <x:f>IF($P166="","",INDEX('04_Tarifmodell'!$B$6:$B$12,$P166+4))</x:f>
      </x:c>
      <x:c r="R166" s="64" t="str">
        <x:f>IF($P166="","",INDEX('04_Tarifmodell'!$C$6:$C$12,$P166+4))</x:f>
      </x:c>
      <x:c r="S166" s="14" t="str">
        <x:f>IF(OR($I166="QUALITATIVE",$I166="MANUAL_HYBRID"),IF($K166="","Assurance-Score fehlt","Assurance-bewertet"),IF($I166="BENCHMARK",IF($W166&lt;&gt;"Aktiv",IF($K166="","Benchmark fehlt","Assurance-bewertet"),IF($J166="","Messwert fehlt",IF($P166="","Nicht bewertbar","Berechnet"))),IF(AND($J166="",$K166&lt;&gt;""),"Nur Assurance-Score",IF($J166="","Messwert fehlt",IF($P166="","Nicht bewertbar",IF($P166&lt;=-2,"Kritische Wirkung / Prüfung","Berechnet"))))))</x:f>
        <x:v>Assurance-Score fehlt</x:v>
      </x:c>
      <x:c r="T166" s="14" t="str">
        <x:v>Die Kategorie −3 fehlt; Vollständigkeit und Wirksamkeit sind feldspezifisch zu definieren.</x:v>
      </x:c>
      <x:c r="U166" s="14" t="str">
        <x:v>vollständig:+3; teilweise:+2; minimal:0; schlecht:‑2</x:v>
      </x:c>
      <x:c r="V166" s="14" t="str">
        <x:v>ESRS E3, WRI Aqueduct, ISO 14046 (Water Footprint)</x:v>
      </x:c>
      <x:c r="W166" s="14" t="str">
        <x:f>'02_Benchmarks'!$P166</x:f>
        <x:v>Optional – kein aktiver Benchmark</x:v>
      </x:c>
      <x:c r="X166" s="14" t="str">
        <x:v>Messgrundlage belegt; Schwellenkalibrierung offen</x:v>
      </x:c>
      <x:c r="Y166" s="14" t="str">
        <x:v>Hoch</x:v>
      </x:c>
      <x:c r="Z166" s="14" t="str">
        <x:v>Assurance und Kriterienkatalog erforderlich</x:v>
      </x:c>
      <x:c r="AA166" s="14" t="str">
        <x:v>Organisation/Governance; konsolidierter Kreis und relevante Rechtseinheiten</x:v>
      </x:c>
      <x:c r="AB166" s="14" t="str">
        <x:v>Dokumentierter Kriterienkatalog; nachvollziehbare Evidenz; DQR A/B bevorzugt</x:v>
      </x:c>
      <x:c r="AC166" s="14" t="str">
        <x:v>Unabhängige Fachprüfung/Limited Assurance; bei roten Linien Reasonable Assurance</x:v>
      </x:c>
    </x:row>
    <x:row r="167" ht="42" customHeight="1">
      <x:c r="A167" s="14" t="str">
        <x:v>WOK-E-137</x:v>
      </x:c>
      <x:c r="B167" s="14" t="str">
        <x:v>SDG 7 – Energie</x:v>
      </x:c>
      <x:c r="C167" s="14" t="str">
        <x:v>7.2</x:v>
      </x:c>
      <x:c r="D167" s="14" t="str">
        <x:v>Erneuerbare Energien</x:v>
      </x:c>
      <x:c r="E167" s="14" t="str">
        <x:v>Erneuerbare Energien – EE‑Anteil</x:v>
      </x:c>
      <x:c r="F167" s="14" t="str">
        <x:v>%</x:v>
      </x:c>
      <x:c r="G167" s="14" t="str">
        <x:v>higher_is_better</x:v>
      </x:c>
      <x:c r="H167" s="14" t="str">
        <x:v>R25</x:v>
      </x:c>
      <x:c r="I167" s="14" t="str">
        <x:v>NUM_HIGH</x:v>
      </x:c>
      <x:c r="J167" s="51"/>
      <x:c r="K167" s="51"/>
      <x:c r="L167" s="51"/>
      <x:c r="M167" s="54"/>
      <x:c r="N167" s="58" t="str">
        <x:f>IF($J167="","",IF($J167&lt;30,-3,IF($J167&lt;50,-2,IF($J167&lt;70,0,IF($J167&lt;90,2,3)))))</x:f>
      </x:c>
      <x:c r="O167" s="58" t="str">
        <x:f>IF($J167="","",IF(OR('02_Benchmarks'!$P167&lt;&gt;"Aktiv",COUNT('02_Benchmarks'!$J167:$M167)&lt;4),"",IF($G167="lower_is_better",IF($J167&lt;='02_Benchmarks'!$J167,3,IF($J167&lt;'02_Benchmarks'!$K167,2,IF($J167&lt;='02_Benchmarks'!$L167,0,IF($J167&lt;='02_Benchmarks'!$M167,-2,-3)))),IF($J167&gt;='02_Benchmarks'!$J167,3,IF($J167&gt;'02_Benchmarks'!$K167,2,IF($J167&gt;='02_Benchmarks'!$L167,0,IF($J167&gt;='02_Benchmarks'!$M167,-2,-3)))))))</x:f>
      </x:c>
      <x:c r="P167" s="58" t="str">
        <x:f>IF(COUNT($N167:$O167)+IF(ISNUMBER($K167),1,0)=0,"",MIN($N167:$O167,$K167))</x:f>
      </x:c>
      <x:c r="Q167" s="58" t="str">
        <x:f>IF($P167="","",INDEX('04_Tarifmodell'!$B$6:$B$12,$P167+4))</x:f>
      </x:c>
      <x:c r="R167" s="64" t="str">
        <x:f>IF($P167="","",INDEX('04_Tarifmodell'!$C$6:$C$12,$P167+4))</x:f>
      </x:c>
      <x:c r="S167" s="14" t="str">
        <x:f>IF(OR($I167="QUALITATIVE",$I167="MANUAL_HYBRID"),IF($K167="","Assurance-Score fehlt","Assurance-bewertet"),IF($I167="BENCHMARK",IF($W167&lt;&gt;"Aktiv",IF($K167="","Benchmark fehlt","Assurance-bewertet"),IF($J167="","Messwert fehlt",IF($P167="","Nicht bewertbar","Berechnet"))),IF(AND($J167="",$K167&lt;&gt;""),"Nur Assurance-Score",IF($J167="","Messwert fehlt",IF($P167="","Nicht bewertbar",IF($P167&lt;=-2,"Kritische Wirkung / Prüfung","Berechnet"))))))</x:f>
        <x:v>Messwert fehlt</x:v>
      </x:c>
      <x:c r="T167" s="14" t="str">
        <x:v>Vollständige fünfstufige Prozentregel.</x:v>
      </x:c>
      <x:c r="U167" s="14" t="str">
        <x:v>≥90%:+3; 70–89%:+2; 50–69%:0; 30–49%:‑2; &lt;30%:‑3</x:v>
      </x:c>
      <x:c r="V167" s="14" t="str">
        <x:v>ESRS E1, ISO 50001 (EnMS), ISO/IEC 30134‑2 (PUE), EU EPBD</x:v>
      </x:c>
      <x:c r="W167" s="14" t="str">
        <x:f>'02_Benchmarks'!$P167</x:f>
        <x:v>Optional – kein aktiver Benchmark</x:v>
      </x:c>
      <x:c r="X167" s="14" t="str">
        <x:v>Messgrundlage belegt; Schwellenkalibrierung offen</x:v>
      </x:c>
      <x:c r="Y167" s="14" t="str">
        <x:v>Mittel</x:v>
      </x:c>
      <x:c r="Z167" s="14" t="str">
        <x:v>Arbeitskalibrierung – fachlich zu validieren</x:v>
      </x:c>
      <x:c r="AA167" s="14" t="str">
        <x:v>Standort/Prozess/Aktivität; Bezugsgröße und relevante Umweltmedien</x:v>
      </x:c>
      <x:c r="AB167" s="14" t="str">
        <x:v>Primärdaten bevorzugt; Sekundärdaten nur transparent und versioniert; Methode und Systemgrenze dokumentieren</x:v>
      </x:c>
      <x:c r="AC167" s="14" t="str">
        <x:v>Limited Assurance; risikobasiert höhere Prüftiefe</x:v>
      </x:c>
    </x:row>
    <x:row r="168" ht="42" customHeight="1">
      <x:c r="A168" s="14" t="str">
        <x:v>WOK-E-138</x:v>
      </x:c>
      <x:c r="B168" s="14" t="str">
        <x:v>SDG 7 – Energie</x:v>
      </x:c>
      <x:c r="C168" s="14" t="str">
        <x:v>7.2</x:v>
      </x:c>
      <x:c r="D168" s="14" t="str">
        <x:v>Erneuerbare Energien</x:v>
      </x:c>
      <x:c r="E168" s="14" t="str">
        <x:v>Erneuerbare Energien – Intensität</x:v>
      </x:c>
      <x:c r="F168" s="14" t="str">
        <x:v>kWh/€ Mio bzw. kWh/t</x:v>
      </x:c>
      <x:c r="G168" s="14" t="str">
        <x:v>lower_is_better</x:v>
      </x:c>
      <x:c r="H168" s="14" t="str">
        <x:v>R06</x:v>
      </x:c>
      <x:c r="I168" s="14" t="str">
        <x:v>BENCHMARK</x:v>
      </x:c>
      <x:c r="J168" s="51"/>
      <x:c r="K168" s="51"/>
      <x:c r="L168" s="51"/>
      <x:c r="M168" s="54"/>
      <x:c r="N168" s="58" t="str">
        <x:f>""</x:f>
      </x:c>
      <x:c r="O168" s="58" t="str">
        <x:f>IF($J168="","",IF(OR('02_Benchmarks'!$P168&lt;&gt;"Aktiv",COUNT('02_Benchmarks'!$J168:$M168)&lt;4),"",IF($G168="lower_is_better",IF($J168&lt;='02_Benchmarks'!$J168,3,IF($J168&lt;'02_Benchmarks'!$K168,2,IF($J168&lt;='02_Benchmarks'!$L168,0,IF($J168&lt;='02_Benchmarks'!$M168,-2,-3)))),IF($J168&gt;='02_Benchmarks'!$J168,3,IF($J168&gt;'02_Benchmarks'!$K168,2,IF($J168&gt;='02_Benchmarks'!$L168,0,IF($J168&gt;='02_Benchmarks'!$M168,-2,-3)))))))</x:f>
      </x:c>
      <x:c r="P168" s="58" t="str">
        <x:f>IF(COUNT($N168:$O168)+IF(ISNUMBER($K168),1,0)=0,"",MIN($N168:$O168,$K168))</x:f>
      </x:c>
      <x:c r="Q168" s="58" t="str">
        <x:f>IF($P168="","",INDEX('04_Tarifmodell'!$B$6:$B$12,$P168+4))</x:f>
      </x:c>
      <x:c r="R168" s="64" t="str">
        <x:f>IF($P168="","",INDEX('04_Tarifmodell'!$C$6:$C$12,$P168+4))</x:f>
      </x:c>
      <x:c r="S168" s="14" t="str">
        <x:f>IF(OR($I168="QUALITATIVE",$I168="MANUAL_HYBRID"),IF($K168="","Assurance-Score fehlt","Assurance-bewertet"),IF($I168="BENCHMARK",IF($W168&lt;&gt;"Aktiv",IF($K168="","Benchmark fehlt","Assurance-bewertet"),IF($J168="","Messwert fehlt",IF($P168="","Nicht bewertbar","Berechnet"))),IF(AND($J168="",$K168&lt;&gt;""),"Nur Assurance-Score",IF($J168="","Messwert fehlt",IF($P168="","Nicht bewertbar",IF($P168&lt;=-2,"Kritische Wirkung / Prüfung","Berechnet"))))))</x:f>
        <x:v>Benchmark fehlt</x:v>
      </x:c>
      <x:c r="T168" s="14" t="str">
        <x:v>Top-10-Prozent, Mittelwert, 150 % und 250 % müssen aus einer dokumentierten Grundgesamtheit stammen.</x:v>
      </x:c>
      <x:c r="U168" s="14" t="str">
        <x:v>Top‑10%:+3; Mittel:0; &gt;150%:‑2; &gt;250%:‑3</x:v>
      </x:c>
      <x:c r="V168" s="14" t="str">
        <x:v>ESRS E1, ISO 50001 (EnMS), ISO/IEC 30134‑2 (PUE), EU EPBD</x:v>
      </x:c>
      <x:c r="W168" s="14" t="str">
        <x:f>'02_Benchmarks'!$P168</x:f>
        <x:v>Offen – validierter Benchmark fehlt</x:v>
      </x:c>
      <x:c r="X168" s="14" t="str">
        <x:v>Teilbelegt – Benchmarkquelle fehlt</x:v>
      </x:c>
      <x:c r="Y168" s="14" t="str">
        <x:v>Hoch</x:v>
      </x:c>
      <x:c r="Z168" s="14" t="str">
        <x:v>Validierter Benchmark fehlt</x:v>
      </x:c>
      <x:c r="AA168" s="14" t="str">
        <x:v>Standort/Prozess/Aktivität; Bezugsgröße und relevante Umweltmedien</x:v>
      </x:c>
      <x:c r="AB168" s="14" t="str">
        <x:v>Primärdaten plus repräsentativer, versionierter Benchmarkdatensatz; Stichprobe und Population offenlegen</x:v>
      </x:c>
      <x:c r="AC168" s="14" t="str">
        <x:v>Messwert-Assurance und unabhängige Benchmark-Governance</x:v>
      </x:c>
    </x:row>
    <x:row r="169" ht="42" customHeight="1">
      <x:c r="A169" s="14" t="str">
        <x:v>WOK-E-139</x:v>
      </x:c>
      <x:c r="B169" s="14" t="str">
        <x:v>SDG 7 – Energie</x:v>
      </x:c>
      <x:c r="C169" s="14" t="str">
        <x:v>7.2</x:v>
      </x:c>
      <x:c r="D169" s="14" t="str">
        <x:v>Erneuerbare Energien</x:v>
      </x:c>
      <x:c r="E169" s="14" t="str">
        <x:v>Erneuerbare Energien – Effizienz (PUE)*</x:v>
      </x:c>
      <x:c r="F169" s="14" t="str">
        <x:v>PUE</x:v>
      </x:c>
      <x:c r="G169" s="14" t="str">
        <x:v>lower_is_better</x:v>
      </x:c>
      <x:c r="H169" s="14" t="str">
        <x:v>R09</x:v>
      </x:c>
      <x:c r="I169" s="14" t="str">
        <x:v>NUM_LOW</x:v>
      </x:c>
      <x:c r="J169" s="51"/>
      <x:c r="K169" s="51"/>
      <x:c r="L169" s="51"/>
      <x:c r="M169" s="54"/>
      <x:c r="N169" s="58" t="str">
        <x:f>IF($J169="","",IF($J169&lt;=1.2,3,IF($J169&lt;=1.4,2,IF($J169&lt;=1.6,0,IF($J169&lt;=1.8,-2,-3)))))</x:f>
      </x:c>
      <x:c r="O169" s="58" t="str">
        <x:f>IF($J169="","",IF(OR('02_Benchmarks'!$P169&lt;&gt;"Aktiv",COUNT('02_Benchmarks'!$J169:$M169)&lt;4),"",IF($G169="lower_is_better",IF($J169&lt;='02_Benchmarks'!$J169,3,IF($J169&lt;'02_Benchmarks'!$K169,2,IF($J169&lt;='02_Benchmarks'!$L169,0,IF($J169&lt;='02_Benchmarks'!$M169,-2,-3)))),IF($J169&gt;='02_Benchmarks'!$J169,3,IF($J169&gt;'02_Benchmarks'!$K169,2,IF($J169&gt;='02_Benchmarks'!$L169,0,IF($J169&gt;='02_Benchmarks'!$M169,-2,-3)))))))</x:f>
      </x:c>
      <x:c r="P169" s="58" t="str">
        <x:f>IF(COUNT($N169:$O169)+IF(ISNUMBER($K169),1,0)=0,"",MIN($N169:$O169,$K169))</x:f>
      </x:c>
      <x:c r="Q169" s="58" t="str">
        <x:f>IF($P169="","",INDEX('04_Tarifmodell'!$B$6:$B$12,$P169+4))</x:f>
      </x:c>
      <x:c r="R169" s="64" t="str">
        <x:f>IF($P169="","",INDEX('04_Tarifmodell'!$C$6:$C$12,$P169+4))</x:f>
      </x:c>
      <x:c r="S169" s="14" t="str">
        <x:f>IF(OR($I169="QUALITATIVE",$I169="MANUAL_HYBRID"),IF($K169="","Assurance-Score fehlt","Assurance-bewertet"),IF($I169="BENCHMARK",IF($W169&lt;&gt;"Aktiv",IF($K169="","Benchmark fehlt","Assurance-bewertet"),IF($J169="","Messwert fehlt",IF($P169="","Nicht bewertbar","Berechnet"))),IF(AND($J169="",$K169&lt;&gt;""),"Nur Assurance-Score",IF($J169="","Messwert fehlt",IF($P169="","Nicht bewertbar",IF($P169&lt;=-2,"Kritische Wirkung / Prüfung","Berechnet"))))))</x:f>
        <x:v>Messwert fehlt</x:v>
      </x:c>
      <x:c r="T169" s="14" t="str">
        <x:v>Klimazone und Rechenzentrumstyp sind bei der Validierung zu berücksichtigen.</x:v>
      </x:c>
      <x:c r="U169" s="14" t="str">
        <x:v>≤1,2:+3; 1,21–1,4:+2; 1,41–1,6:0; 1,61–1,8:‑2; &gt;1,8:‑3</x:v>
      </x:c>
      <x:c r="V169" s="14" t="str">
        <x:v>ESRS E1, ISO 50001 (EnMS), ISO/IEC 30134‑2 (PUE), EU EPBD</x:v>
      </x:c>
      <x:c r="W169" s="14" t="str">
        <x:f>'02_Benchmarks'!$P169</x:f>
        <x:v>Optional – kein aktiver Benchmark</x:v>
      </x:c>
      <x:c r="X169" s="14" t="str">
        <x:v>Messgrundlage belegt; Schwellenkalibrierung offen</x:v>
      </x:c>
      <x:c r="Y169" s="14" t="str">
        <x:v>Mittel</x:v>
      </x:c>
      <x:c r="Z169" s="14" t="str">
        <x:v>Messstandard belegt; Klassen sind WÖk-Kalibrierung</x:v>
      </x:c>
      <x:c r="AA169" s="14" t="str">
        <x:v>Standort/Prozess/Aktivität; Bezugsgröße und relevante Umweltmedien</x:v>
      </x:c>
      <x:c r="AB169" s="14" t="str">
        <x:v>Primärdaten bevorzugt; Sekundärdaten nur transparent und versioniert; Methode und Systemgrenze dokumentieren</x:v>
      </x:c>
      <x:c r="AC169" s="14" t="str">
        <x:v>Limited Assurance; risikobasiert höhere Prüftiefe</x:v>
      </x:c>
    </x:row>
    <x:row r="170" ht="42" customHeight="1">
      <x:c r="A170" s="14" t="str">
        <x:v>WOK-E-140</x:v>
      </x:c>
      <x:c r="B170" s="14" t="str">
        <x:v>SDG 7 – Energie</x:v>
      </x:c>
      <x:c r="C170" s="14" t="str">
        <x:v>7.3</x:v>
      </x:c>
      <x:c r="D170" s="14" t="str">
        <x:v>Energieeffizienz</x:v>
      </x:c>
      <x:c r="E170" s="14" t="str">
        <x:v>Energieeffizienz – EE‑Anteil</x:v>
      </x:c>
      <x:c r="F170" s="14" t="str">
        <x:v>%</x:v>
      </x:c>
      <x:c r="G170" s="14" t="str">
        <x:v>higher_is_better</x:v>
      </x:c>
      <x:c r="H170" s="14" t="str">
        <x:v>R25</x:v>
      </x:c>
      <x:c r="I170" s="14" t="str">
        <x:v>NUM_HIGH</x:v>
      </x:c>
      <x:c r="J170" s="51"/>
      <x:c r="K170" s="51"/>
      <x:c r="L170" s="51"/>
      <x:c r="M170" s="54"/>
      <x:c r="N170" s="58" t="str">
        <x:f>IF($J170="","",IF($J170&lt;30,-3,IF($J170&lt;50,-2,IF($J170&lt;70,0,IF($J170&lt;90,2,3)))))</x:f>
      </x:c>
      <x:c r="O170" s="58" t="str">
        <x:f>IF($J170="","",IF(OR('02_Benchmarks'!$P170&lt;&gt;"Aktiv",COUNT('02_Benchmarks'!$J170:$M170)&lt;4),"",IF($G170="lower_is_better",IF($J170&lt;='02_Benchmarks'!$J170,3,IF($J170&lt;'02_Benchmarks'!$K170,2,IF($J170&lt;='02_Benchmarks'!$L170,0,IF($J170&lt;='02_Benchmarks'!$M170,-2,-3)))),IF($J170&gt;='02_Benchmarks'!$J170,3,IF($J170&gt;'02_Benchmarks'!$K170,2,IF($J170&gt;='02_Benchmarks'!$L170,0,IF($J170&gt;='02_Benchmarks'!$M170,-2,-3)))))))</x:f>
      </x:c>
      <x:c r="P170" s="58" t="str">
        <x:f>IF(COUNT($N170:$O170)+IF(ISNUMBER($K170),1,0)=0,"",MIN($N170:$O170,$K170))</x:f>
      </x:c>
      <x:c r="Q170" s="58" t="str">
        <x:f>IF($P170="","",INDEX('04_Tarifmodell'!$B$6:$B$12,$P170+4))</x:f>
      </x:c>
      <x:c r="R170" s="64" t="str">
        <x:f>IF($P170="","",INDEX('04_Tarifmodell'!$C$6:$C$12,$P170+4))</x:f>
      </x:c>
      <x:c r="S170" s="14" t="str">
        <x:f>IF(OR($I170="QUALITATIVE",$I170="MANUAL_HYBRID"),IF($K170="","Assurance-Score fehlt","Assurance-bewertet"),IF($I170="BENCHMARK",IF($W170&lt;&gt;"Aktiv",IF($K170="","Benchmark fehlt","Assurance-bewertet"),IF($J170="","Messwert fehlt",IF($P170="","Nicht bewertbar","Berechnet"))),IF(AND($J170="",$K170&lt;&gt;""),"Nur Assurance-Score",IF($J170="","Messwert fehlt",IF($P170="","Nicht bewertbar",IF($P170&lt;=-2,"Kritische Wirkung / Prüfung","Berechnet"))))))</x:f>
        <x:v>Messwert fehlt</x:v>
      </x:c>
      <x:c r="T170" s="14" t="str">
        <x:v>Vollständige fünfstufige Prozentregel.</x:v>
      </x:c>
      <x:c r="U170" s="14" t="str">
        <x:v>≥90%:+3; 70–89%:+2; 50–69%:0; 30–49%:‑2; &lt;30%:‑3</x:v>
      </x:c>
      <x:c r="V170" s="14" t="str">
        <x:v>ESRS E1, ISO 50001 (EnMS), ISO/IEC 30134‑2 (PUE), EU EPBD</x:v>
      </x:c>
      <x:c r="W170" s="14" t="str">
        <x:f>'02_Benchmarks'!$P170</x:f>
        <x:v>Optional – kein aktiver Benchmark</x:v>
      </x:c>
      <x:c r="X170" s="14" t="str">
        <x:v>Messgrundlage belegt; Schwellenkalibrierung offen</x:v>
      </x:c>
      <x:c r="Y170" s="14" t="str">
        <x:v>Mittel</x:v>
      </x:c>
      <x:c r="Z170" s="14" t="str">
        <x:v>Arbeitskalibrierung – fachlich zu validieren</x:v>
      </x:c>
      <x:c r="AA170" s="14" t="str">
        <x:v>Standort/Prozess/Aktivität; Bezugsgröße und relevante Umweltmedien</x:v>
      </x:c>
      <x:c r="AB170" s="14" t="str">
        <x:v>Primärdaten bevorzugt; Sekundärdaten nur transparent und versioniert; Methode und Systemgrenze dokumentieren</x:v>
      </x:c>
      <x:c r="AC170" s="14" t="str">
        <x:v>Limited Assurance; risikobasiert höhere Prüftiefe</x:v>
      </x:c>
    </x:row>
    <x:row r="171" ht="42" customHeight="1">
      <x:c r="A171" s="14" t="str">
        <x:v>WOK-E-141</x:v>
      </x:c>
      <x:c r="B171" s="14" t="str">
        <x:v>SDG 7 – Energie</x:v>
      </x:c>
      <x:c r="C171" s="14" t="str">
        <x:v>7.3</x:v>
      </x:c>
      <x:c r="D171" s="14" t="str">
        <x:v>Energieeffizienz</x:v>
      </x:c>
      <x:c r="E171" s="14" t="str">
        <x:v>Energieeffizienz – Intensität</x:v>
      </x:c>
      <x:c r="F171" s="14" t="str">
        <x:v>kWh/€ Mio bzw. kWh/t</x:v>
      </x:c>
      <x:c r="G171" s="14" t="str">
        <x:v>lower_is_better</x:v>
      </x:c>
      <x:c r="H171" s="14" t="str">
        <x:v>R06</x:v>
      </x:c>
      <x:c r="I171" s="14" t="str">
        <x:v>BENCHMARK</x:v>
      </x:c>
      <x:c r="J171" s="51"/>
      <x:c r="K171" s="51"/>
      <x:c r="L171" s="51"/>
      <x:c r="M171" s="54"/>
      <x:c r="N171" s="58" t="str">
        <x:f>""</x:f>
      </x:c>
      <x:c r="O171" s="58" t="str">
        <x:f>IF($J171="","",IF(OR('02_Benchmarks'!$P171&lt;&gt;"Aktiv",COUNT('02_Benchmarks'!$J171:$M171)&lt;4),"",IF($G171="lower_is_better",IF($J171&lt;='02_Benchmarks'!$J171,3,IF($J171&lt;'02_Benchmarks'!$K171,2,IF($J171&lt;='02_Benchmarks'!$L171,0,IF($J171&lt;='02_Benchmarks'!$M171,-2,-3)))),IF($J171&gt;='02_Benchmarks'!$J171,3,IF($J171&gt;'02_Benchmarks'!$K171,2,IF($J171&gt;='02_Benchmarks'!$L171,0,IF($J171&gt;='02_Benchmarks'!$M171,-2,-3)))))))</x:f>
      </x:c>
      <x:c r="P171" s="58" t="str">
        <x:f>IF(COUNT($N171:$O171)+IF(ISNUMBER($K171),1,0)=0,"",MIN($N171:$O171,$K171))</x:f>
      </x:c>
      <x:c r="Q171" s="58" t="str">
        <x:f>IF($P171="","",INDEX('04_Tarifmodell'!$B$6:$B$12,$P171+4))</x:f>
      </x:c>
      <x:c r="R171" s="64" t="str">
        <x:f>IF($P171="","",INDEX('04_Tarifmodell'!$C$6:$C$12,$P171+4))</x:f>
      </x:c>
      <x:c r="S171" s="14" t="str">
        <x:f>IF(OR($I171="QUALITATIVE",$I171="MANUAL_HYBRID"),IF($K171="","Assurance-Score fehlt","Assurance-bewertet"),IF($I171="BENCHMARK",IF($W171&lt;&gt;"Aktiv",IF($K171="","Benchmark fehlt","Assurance-bewertet"),IF($J171="","Messwert fehlt",IF($P171="","Nicht bewertbar","Berechnet"))),IF(AND($J171="",$K171&lt;&gt;""),"Nur Assurance-Score",IF($J171="","Messwert fehlt",IF($P171="","Nicht bewertbar",IF($P171&lt;=-2,"Kritische Wirkung / Prüfung","Berechnet"))))))</x:f>
        <x:v>Benchmark fehlt</x:v>
      </x:c>
      <x:c r="T171" s="14" t="str">
        <x:v>Top-10-Prozent, Mittelwert, 150 % und 250 % müssen aus einer dokumentierten Grundgesamtheit stammen.</x:v>
      </x:c>
      <x:c r="U171" s="14" t="str">
        <x:v>Top‑10%:+3; Mittel:0; &gt;150%:‑2; &gt;250%:‑3</x:v>
      </x:c>
      <x:c r="V171" s="14" t="str">
        <x:v>ESRS E1, ISO 50001 (EnMS), ISO/IEC 30134‑2 (PUE), EU EPBD</x:v>
      </x:c>
      <x:c r="W171" s="14" t="str">
        <x:f>'02_Benchmarks'!$P171</x:f>
        <x:v>Offen – validierter Benchmark fehlt</x:v>
      </x:c>
      <x:c r="X171" s="14" t="str">
        <x:v>Teilbelegt – Benchmarkquelle fehlt</x:v>
      </x:c>
      <x:c r="Y171" s="14" t="str">
        <x:v>Hoch</x:v>
      </x:c>
      <x:c r="Z171" s="14" t="str">
        <x:v>Validierter Benchmark fehlt</x:v>
      </x:c>
      <x:c r="AA171" s="14" t="str">
        <x:v>Standort/Prozess/Aktivität; Bezugsgröße und relevante Umweltmedien</x:v>
      </x:c>
      <x:c r="AB171" s="14" t="str">
        <x:v>Primärdaten plus repräsentativer, versionierter Benchmarkdatensatz; Stichprobe und Population offenlegen</x:v>
      </x:c>
      <x:c r="AC171" s="14" t="str">
        <x:v>Messwert-Assurance und unabhängige Benchmark-Governance</x:v>
      </x:c>
    </x:row>
    <x:row r="172" ht="42" customHeight="1">
      <x:c r="A172" s="14" t="str">
        <x:v>WOK-E-142</x:v>
      </x:c>
      <x:c r="B172" s="14" t="str">
        <x:v>SDG 7 – Energie</x:v>
      </x:c>
      <x:c r="C172" s="14" t="str">
        <x:v>7.3</x:v>
      </x:c>
      <x:c r="D172" s="14" t="str">
        <x:v>Energieeffizienz</x:v>
      </x:c>
      <x:c r="E172" s="14" t="str">
        <x:v>Energieeffizienz – Effizienz (PUE)*</x:v>
      </x:c>
      <x:c r="F172" s="14" t="str">
        <x:v>PUE</x:v>
      </x:c>
      <x:c r="G172" s="14" t="str">
        <x:v>lower_is_better</x:v>
      </x:c>
      <x:c r="H172" s="14" t="str">
        <x:v>R09</x:v>
      </x:c>
      <x:c r="I172" s="14" t="str">
        <x:v>NUM_LOW</x:v>
      </x:c>
      <x:c r="J172" s="51"/>
      <x:c r="K172" s="51"/>
      <x:c r="L172" s="51"/>
      <x:c r="M172" s="54"/>
      <x:c r="N172" s="58" t="str">
        <x:f>IF($J172="","",IF($J172&lt;=1.2,3,IF($J172&lt;=1.4,2,IF($J172&lt;=1.6,0,IF($J172&lt;=1.8,-2,-3)))))</x:f>
      </x:c>
      <x:c r="O172" s="58" t="str">
        <x:f>IF($J172="","",IF(OR('02_Benchmarks'!$P172&lt;&gt;"Aktiv",COUNT('02_Benchmarks'!$J172:$M172)&lt;4),"",IF($G172="lower_is_better",IF($J172&lt;='02_Benchmarks'!$J172,3,IF($J172&lt;'02_Benchmarks'!$K172,2,IF($J172&lt;='02_Benchmarks'!$L172,0,IF($J172&lt;='02_Benchmarks'!$M172,-2,-3)))),IF($J172&gt;='02_Benchmarks'!$J172,3,IF($J172&gt;'02_Benchmarks'!$K172,2,IF($J172&gt;='02_Benchmarks'!$L172,0,IF($J172&gt;='02_Benchmarks'!$M172,-2,-3)))))))</x:f>
      </x:c>
      <x:c r="P172" s="58" t="str">
        <x:f>IF(COUNT($N172:$O172)+IF(ISNUMBER($K172),1,0)=0,"",MIN($N172:$O172,$K172))</x:f>
      </x:c>
      <x:c r="Q172" s="58" t="str">
        <x:f>IF($P172="","",INDEX('04_Tarifmodell'!$B$6:$B$12,$P172+4))</x:f>
      </x:c>
      <x:c r="R172" s="64" t="str">
        <x:f>IF($P172="","",INDEX('04_Tarifmodell'!$C$6:$C$12,$P172+4))</x:f>
      </x:c>
      <x:c r="S172" s="14" t="str">
        <x:f>IF(OR($I172="QUALITATIVE",$I172="MANUAL_HYBRID"),IF($K172="","Assurance-Score fehlt","Assurance-bewertet"),IF($I172="BENCHMARK",IF($W172&lt;&gt;"Aktiv",IF($K172="","Benchmark fehlt","Assurance-bewertet"),IF($J172="","Messwert fehlt",IF($P172="","Nicht bewertbar","Berechnet"))),IF(AND($J172="",$K172&lt;&gt;""),"Nur Assurance-Score",IF($J172="","Messwert fehlt",IF($P172="","Nicht bewertbar",IF($P172&lt;=-2,"Kritische Wirkung / Prüfung","Berechnet"))))))</x:f>
        <x:v>Messwert fehlt</x:v>
      </x:c>
      <x:c r="T172" s="14" t="str">
        <x:v>Klimazone und Rechenzentrumstyp sind bei der Validierung zu berücksichtigen.</x:v>
      </x:c>
      <x:c r="U172" s="14" t="str">
        <x:v>≤1,2:+3; 1,21–1,4:+2; 1,41–1,6:0; 1,61–1,8:‑2; &gt;1,8:‑3</x:v>
      </x:c>
      <x:c r="V172" s="14" t="str">
        <x:v>ESRS E1, ISO 50001 (EnMS), ISO/IEC 30134‑2 (PUE), EU EPBD</x:v>
      </x:c>
      <x:c r="W172" s="14" t="str">
        <x:f>'02_Benchmarks'!$P172</x:f>
        <x:v>Optional – kein aktiver Benchmark</x:v>
      </x:c>
      <x:c r="X172" s="14" t="str">
        <x:v>Messgrundlage belegt; Schwellenkalibrierung offen</x:v>
      </x:c>
      <x:c r="Y172" s="14" t="str">
        <x:v>Mittel</x:v>
      </x:c>
      <x:c r="Z172" s="14" t="str">
        <x:v>Messstandard belegt; Klassen sind WÖk-Kalibrierung</x:v>
      </x:c>
      <x:c r="AA172" s="14" t="str">
        <x:v>Standort/Prozess/Aktivität; Bezugsgröße und relevante Umweltmedien</x:v>
      </x:c>
      <x:c r="AB172" s="14" t="str">
        <x:v>Primärdaten bevorzugt; Sekundärdaten nur transparent und versioniert; Methode und Systemgrenze dokumentieren</x:v>
      </x:c>
      <x:c r="AC172" s="14" t="str">
        <x:v>Limited Assurance; risikobasiert höhere Prüftiefe</x:v>
      </x:c>
    </x:row>
    <x:row r="173" ht="42" customHeight="1">
      <x:c r="A173" s="14" t="str">
        <x:v>WOK-POL-101</x:v>
      </x:c>
      <x:c r="B173" s="14" t="str">
        <x:v>SDG 7 – Energie</x:v>
      </x:c>
      <x:c r="C173" s="14" t="str">
        <x:v>7.2</x:v>
      </x:c>
      <x:c r="D173" s="14" t="str">
        <x:v>Spezifische Emissionen Strom</x:v>
      </x:c>
      <x:c r="E173" s="14" t="str">
        <x:v>Spezifische Emissionen Strom – Spezifische Emissionen</x:v>
      </x:c>
      <x:c r="F173" s="14" t="str">
        <x:v>g CO₂e/kWh</x:v>
      </x:c>
      <x:c r="G173" s="14" t="str">
        <x:v>lower_is_better</x:v>
      </x:c>
      <x:c r="H173" s="14" t="str">
        <x:v>R10</x:v>
      </x:c>
      <x:c r="I173" s="14" t="str">
        <x:v>NUM_LOW</x:v>
      </x:c>
      <x:c r="J173" s="51"/>
      <x:c r="K173" s="51"/>
      <x:c r="L173" s="51"/>
      <x:c r="M173" s="54"/>
      <x:c r="N173" s="58" t="str">
        <x:f>IF($J173="","",IF($J173&lt;=100,3,IF($J173&lt;=250,0,IF($J173&lt;=1E+99,-2,IF($J173&lt;=1E+99,-2,-2)))))</x:f>
      </x:c>
      <x:c r="O173" s="58" t="str">
        <x:f>IF($J173="","",IF(OR('02_Benchmarks'!$P173&lt;&gt;"Aktiv",COUNT('02_Benchmarks'!$J173:$M173)&lt;4),"",IF($G173="lower_is_better",IF($J173&lt;='02_Benchmarks'!$J173,3,IF($J173&lt;'02_Benchmarks'!$K173,2,IF($J173&lt;='02_Benchmarks'!$L173,0,IF($J173&lt;='02_Benchmarks'!$M173,-2,-3)))),IF($J173&gt;='02_Benchmarks'!$J173,3,IF($J173&gt;'02_Benchmarks'!$K173,2,IF($J173&gt;='02_Benchmarks'!$L173,0,IF($J173&gt;='02_Benchmarks'!$M173,-2,-3)))))))</x:f>
      </x:c>
      <x:c r="P173" s="58" t="str">
        <x:f>IF(COUNT($N173:$O173)+IF(ISNUMBER($K173),1,0)=0,"",MIN($N173:$O173,$K173))</x:f>
      </x:c>
      <x:c r="Q173" s="58" t="str">
        <x:f>IF($P173="","",INDEX('04_Tarifmodell'!$B$6:$B$12,$P173+4))</x:f>
      </x:c>
      <x:c r="R173" s="64" t="str">
        <x:f>IF($P173="","",INDEX('04_Tarifmodell'!$C$6:$C$12,$P173+4))</x:f>
      </x:c>
      <x:c r="S173" s="14" t="str">
        <x:f>IF(OR($I173="QUALITATIVE",$I173="MANUAL_HYBRID"),IF($K173="","Assurance-Score fehlt","Assurance-bewertet"),IF($I173="BENCHMARK",IF($W173&lt;&gt;"Aktiv",IF($K173="","Benchmark fehlt","Assurance-bewertet"),IF($J173="","Messwert fehlt",IF($P173="","Nicht bewertbar","Berechnet"))),IF(AND($J173="",$K173&lt;&gt;""),"Nur Assurance-Score",IF($J173="","Messwert fehlt",IF($P173="","Nicht bewertbar",IF($P173&lt;=-2,"Kritische Wirkung / Prüfung","Berechnet"))))))</x:f>
        <x:v>Messwert fehlt</x:v>
      </x:c>
      <x:c r="T173" s="14" t="str">
        <x:v>Automatik bildet nur die explizit vorhandenen Klassen ab.</x:v>
      </x:c>
      <x:c r="U173" s="14" t="str">
        <x:v>≤100:+3; 101–250:0; &gt;250:‑2</x:v>
      </x:c>
      <x:c r="V173" s="14" t="str">
        <x:v>ESRS E1, GHG Protocol (Corporate/Scope 1–3), ISO 14064/14067</x:v>
      </x:c>
      <x:c r="W173" s="14" t="str">
        <x:f>'02_Benchmarks'!$P173</x:f>
        <x:v>Optional – kein aktiver Benchmark</x:v>
      </x:c>
      <x:c r="X173" s="14" t="str">
        <x:v>Messgrundlage belegt; Schwellenkalibrierung offen</x:v>
      </x:c>
      <x:c r="Y173" s="14" t="str">
        <x:v>Mittel</x:v>
      </x:c>
      <x:c r="Z173" s="14" t="str">
        <x:v>Klassen +2 und −3 fehlen</x:v>
      </x:c>
      <x:c r="AA173" s="14" t="str">
        <x:v>Technologie-/Aktivitätsklasse; Anlagen-, Netz- oder Flottengrenze ausweisen</x:v>
      </x:c>
      <x:c r="AB173" s="14" t="str">
        <x:v>Primärdaten bevorzugt; Sekundärdaten nur transparent und versioniert; Methode und Systemgrenze dokumentieren</x:v>
      </x:c>
      <x:c r="AC173" s="14" t="str">
        <x:v>Limited Assurance; risikobasiert höhere Prüftiefe</x:v>
      </x:c>
    </x:row>
    <x:row r="174" ht="42" customHeight="1">
      <x:c r="A174" s="14" t="str">
        <x:v>WOK-POL-102</x:v>
      </x:c>
      <x:c r="B174" s="14" t="str">
        <x:v>SDG 7 – Energie</x:v>
      </x:c>
      <x:c r="C174" s="14" t="str">
        <x:v>7.2</x:v>
      </x:c>
      <x:c r="D174" s="14" t="str">
        <x:v>Spezifische Emissionen Strom</x:v>
      </x:c>
      <x:c r="E174" s="14" t="str">
        <x:v>Spezifische Emissionen Strom – DNSH‑Konformität</x:v>
      </x:c>
      <x:c r="F174" s="14" t="str">
        <x:v>% Aktivitäten</x:v>
      </x:c>
      <x:c r="G174" s="14" t="str">
        <x:v>higher_is_better</x:v>
      </x:c>
      <x:c r="H174" s="14" t="str">
        <x:v>R25</x:v>
      </x:c>
      <x:c r="I174" s="14" t="str">
        <x:v>NUM_HIGH</x:v>
      </x:c>
      <x:c r="J174" s="51"/>
      <x:c r="K174" s="51"/>
      <x:c r="L174" s="51"/>
      <x:c r="M174" s="54"/>
      <x:c r="N174" s="58" t="str">
        <x:f>IF($J174="","",IF($J174&lt;30,-3,IF($J174&lt;50,-2,IF($J174&lt;70,0,IF($J174&lt;90,2,3)))))</x:f>
      </x:c>
      <x:c r="O174" s="58" t="str">
        <x:f>IF($J174="","",IF(OR('02_Benchmarks'!$P174&lt;&gt;"Aktiv",COUNT('02_Benchmarks'!$J174:$M174)&lt;4),"",IF($G174="lower_is_better",IF($J174&lt;='02_Benchmarks'!$J174,3,IF($J174&lt;'02_Benchmarks'!$K174,2,IF($J174&lt;='02_Benchmarks'!$L174,0,IF($J174&lt;='02_Benchmarks'!$M174,-2,-3)))),IF($J174&gt;='02_Benchmarks'!$J174,3,IF($J174&gt;'02_Benchmarks'!$K174,2,IF($J174&gt;='02_Benchmarks'!$L174,0,IF($J174&gt;='02_Benchmarks'!$M174,-2,-3)))))))</x:f>
      </x:c>
      <x:c r="P174" s="58" t="str">
        <x:f>IF(COUNT($N174:$O174)+IF(ISNUMBER($K174),1,0)=0,"",MIN($N174:$O174,$K174))</x:f>
      </x:c>
      <x:c r="Q174" s="58" t="str">
        <x:f>IF($P174="","",INDEX('04_Tarifmodell'!$B$6:$B$12,$P174+4))</x:f>
      </x:c>
      <x:c r="R174" s="64" t="str">
        <x:f>IF($P174="","",INDEX('04_Tarifmodell'!$C$6:$C$12,$P174+4))</x:f>
      </x:c>
      <x:c r="S174" s="14" t="str">
        <x:f>IF(OR($I174="QUALITATIVE",$I174="MANUAL_HYBRID"),IF($K174="","Assurance-Score fehlt","Assurance-bewertet"),IF($I174="BENCHMARK",IF($W174&lt;&gt;"Aktiv",IF($K174="","Benchmark fehlt","Assurance-bewertet"),IF($J174="","Messwert fehlt",IF($P174="","Nicht bewertbar","Berechnet"))),IF(AND($J174="",$K174&lt;&gt;""),"Nur Assurance-Score",IF($J174="","Messwert fehlt",IF($P174="","Nicht bewertbar",IF($P174&lt;=-2,"Kritische Wirkung / Prüfung","Berechnet"))))))</x:f>
        <x:v>Messwert fehlt</x:v>
      </x:c>
      <x:c r="T174" s="14" t="str">
        <x:v>Vollständige fünfstufige Prozentregel.</x:v>
      </x:c>
      <x:c r="U174" s="14" t="str">
        <x:v>≥90%:+3; 70–89%:+2; 50–69%:0; 30–49%:‑2; &lt;30%:‑3</x:v>
      </x:c>
      <x:c r="V174" s="14" t="str">
        <x:v>ESRS E1, GHG Protocol (Corporate/Scope 1–3), ISO 14064/14067</x:v>
      </x:c>
      <x:c r="W174" s="14" t="str">
        <x:f>'02_Benchmarks'!$P174</x:f>
        <x:v>Optional – kein aktiver Benchmark</x:v>
      </x:c>
      <x:c r="X174" s="14" t="str">
        <x:v>Messgrundlage belegt; Schwellenkalibrierung offen</x:v>
      </x:c>
      <x:c r="Y174" s="14" t="str">
        <x:v>Mittel</x:v>
      </x:c>
      <x:c r="Z174" s="14" t="str">
        <x:v>Arbeitskalibrierung – fachlich zu validieren</x:v>
      </x:c>
      <x:c r="AA174" s="14" t="str">
        <x:v>Technologie-/Aktivitätsklasse; Anlagen-, Netz- oder Flottengrenze ausweisen</x:v>
      </x:c>
      <x:c r="AB174" s="14" t="str">
        <x:v>Primärdaten bevorzugt; Sekundärdaten nur transparent und versioniert; Methode und Systemgrenze dokumentieren</x:v>
      </x:c>
      <x:c r="AC174" s="14" t="str">
        <x:v>Limited Assurance; risikobasiert höhere Prüftiefe</x:v>
      </x:c>
    </x:row>
    <x:row r="175" ht="42" customHeight="1">
      <x:c r="A175" s="14" t="str">
        <x:v>WOK-POL-103</x:v>
      </x:c>
      <x:c r="B175" s="14" t="str">
        <x:v>SDG 7 – Energie</x:v>
      </x:c>
      <x:c r="C175" s="14" t="str">
        <x:v>7.2</x:v>
      </x:c>
      <x:c r="D175" s="14" t="str">
        <x:v>Spezifische Emissionen Strom</x:v>
      </x:c>
      <x:c r="E175" s="14" t="str">
        <x:v>Spezifische Emissionen Strom – TSC‑Schwellen</x:v>
      </x:c>
      <x:c r="F175" s="14" t="str">
        <x:v>% Aktivitäten</x:v>
      </x:c>
      <x:c r="G175" s="14" t="str">
        <x:v>higher_is_better</x:v>
      </x:c>
      <x:c r="H175" s="14" t="str">
        <x:v>R25</x:v>
      </x:c>
      <x:c r="I175" s="14" t="str">
        <x:v>NUM_HIGH</x:v>
      </x:c>
      <x:c r="J175" s="51"/>
      <x:c r="K175" s="51"/>
      <x:c r="L175" s="51"/>
      <x:c r="M175" s="54"/>
      <x:c r="N175" s="58" t="str">
        <x:f>IF($J175="","",IF($J175&lt;30,-3,IF($J175&lt;50,-2,IF($J175&lt;70,0,IF($J175&lt;90,2,3)))))</x:f>
      </x:c>
      <x:c r="O175" s="58" t="str">
        <x:f>IF($J175="","",IF(OR('02_Benchmarks'!$P175&lt;&gt;"Aktiv",COUNT('02_Benchmarks'!$J175:$M175)&lt;4),"",IF($G175="lower_is_better",IF($J175&lt;='02_Benchmarks'!$J175,3,IF($J175&lt;'02_Benchmarks'!$K175,2,IF($J175&lt;='02_Benchmarks'!$L175,0,IF($J175&lt;='02_Benchmarks'!$M175,-2,-3)))),IF($J175&gt;='02_Benchmarks'!$J175,3,IF($J175&gt;'02_Benchmarks'!$K175,2,IF($J175&gt;='02_Benchmarks'!$L175,0,IF($J175&gt;='02_Benchmarks'!$M175,-2,-3)))))))</x:f>
      </x:c>
      <x:c r="P175" s="58" t="str">
        <x:f>IF(COUNT($N175:$O175)+IF(ISNUMBER($K175),1,0)=0,"",MIN($N175:$O175,$K175))</x:f>
      </x:c>
      <x:c r="Q175" s="58" t="str">
        <x:f>IF($P175="","",INDEX('04_Tarifmodell'!$B$6:$B$12,$P175+4))</x:f>
      </x:c>
      <x:c r="R175" s="64" t="str">
        <x:f>IF($P175="","",INDEX('04_Tarifmodell'!$C$6:$C$12,$P175+4))</x:f>
      </x:c>
      <x:c r="S175" s="14" t="str">
        <x:f>IF(OR($I175="QUALITATIVE",$I175="MANUAL_HYBRID"),IF($K175="","Assurance-Score fehlt","Assurance-bewertet"),IF($I175="BENCHMARK",IF($W175&lt;&gt;"Aktiv",IF($K175="","Benchmark fehlt","Assurance-bewertet"),IF($J175="","Messwert fehlt",IF($P175="","Nicht bewertbar","Berechnet"))),IF(AND($J175="",$K175&lt;&gt;""),"Nur Assurance-Score",IF($J175="","Messwert fehlt",IF($P175="","Nicht bewertbar",IF($P175&lt;=-2,"Kritische Wirkung / Prüfung","Berechnet"))))))</x:f>
        <x:v>Messwert fehlt</x:v>
      </x:c>
      <x:c r="T175" s="14" t="str">
        <x:v>Vollständige fünfstufige Prozentregel.</x:v>
      </x:c>
      <x:c r="U175" s="14" t="str">
        <x:v>≥90%:+3; 70–89%:+2; 50–69%:0; 30–49%:‑2; &lt;30%:‑3</x:v>
      </x:c>
      <x:c r="V175" s="14" t="str">
        <x:v>ESRS E1, GHG Protocol (Corporate/Scope 1–3), ISO 14064/14067</x:v>
      </x:c>
      <x:c r="W175" s="14" t="str">
        <x:f>'02_Benchmarks'!$P175</x:f>
        <x:v>Optional – kein aktiver Benchmark</x:v>
      </x:c>
      <x:c r="X175" s="14" t="str">
        <x:v>Messgrundlage belegt; Schwellenkalibrierung offen</x:v>
      </x:c>
      <x:c r="Y175" s="14" t="str">
        <x:v>Mittel</x:v>
      </x:c>
      <x:c r="Z175" s="14" t="str">
        <x:v>Arbeitskalibrierung – fachlich zu validieren</x:v>
      </x:c>
      <x:c r="AA175" s="14" t="str">
        <x:v>Technologie-/Aktivitätsklasse; Anlagen-, Netz- oder Flottengrenze ausweisen</x:v>
      </x:c>
      <x:c r="AB175" s="14" t="str">
        <x:v>Primärdaten bevorzugt; Sekundärdaten nur transparent und versioniert; Methode und Systemgrenze dokumentieren</x:v>
      </x:c>
      <x:c r="AC175" s="14" t="str">
        <x:v>Limited Assurance; risikobasiert höhere Prüftiefe</x:v>
      </x:c>
    </x:row>
    <x:row r="176" ht="42" customHeight="1">
      <x:c r="A176" s="14" t="str">
        <x:v>WOK-P-113</x:v>
      </x:c>
      <x:c r="B176" s="14" t="str">
        <x:v>SDG 7 – Energie</x:v>
      </x:c>
      <x:c r="C176" s="14" t="str">
        <x:v>7.3</x:v>
      </x:c>
      <x:c r="D176" s="14" t="str">
        <x:v>Energieeffizienz Produkte</x:v>
      </x:c>
      <x:c r="E176" s="14" t="str">
        <x:v>Energieeffizienz Produkte – PCF</x:v>
      </x:c>
      <x:c r="F176" s="14" t="str">
        <x:v>kg CO₂e/Einheit</x:v>
      </x:c>
      <x:c r="G176" s="14" t="str">
        <x:v>lower_is_better</x:v>
      </x:c>
      <x:c r="H176" s="14" t="str">
        <x:v>R07</x:v>
      </x:c>
      <x:c r="I176" s="14" t="str">
        <x:v>BENCHMARK</x:v>
      </x:c>
      <x:c r="J176" s="51"/>
      <x:c r="K176" s="51"/>
      <x:c r="L176" s="51"/>
      <x:c r="M176" s="54"/>
      <x:c r="N176" s="58" t="str">
        <x:f>""</x:f>
      </x:c>
      <x:c r="O176" s="58" t="str">
        <x:f>IF($J176="","",IF(OR('02_Benchmarks'!$P176&lt;&gt;"Aktiv",COUNT('02_Benchmarks'!$J176:$M176)&lt;4),"",IF($G176="lower_is_better",IF($J176&lt;='02_Benchmarks'!$J176,3,IF($J176&lt;'02_Benchmarks'!$K176,2,IF($J176&lt;='02_Benchmarks'!$L176,0,IF($J176&lt;='02_Benchmarks'!$M176,-2,-3)))),IF($J176&gt;='02_Benchmarks'!$J176,3,IF($J176&gt;'02_Benchmarks'!$K176,2,IF($J176&gt;='02_Benchmarks'!$L176,0,IF($J176&gt;='02_Benchmarks'!$M176,-2,-3)))))))</x:f>
      </x:c>
      <x:c r="P176" s="58" t="str">
        <x:f>IF(COUNT($N176:$O176)+IF(ISNUMBER($K176),1,0)=0,"",MIN($N176:$O176,$K176))</x:f>
      </x:c>
      <x:c r="Q176" s="58" t="str">
        <x:f>IF($P176="","",INDEX('04_Tarifmodell'!$B$6:$B$12,$P176+4))</x:f>
      </x:c>
      <x:c r="R176" s="64" t="str">
        <x:f>IF($P176="","",INDEX('04_Tarifmodell'!$C$6:$C$12,$P176+4))</x:f>
      </x:c>
      <x:c r="S176" s="14" t="str">
        <x:f>IF(OR($I176="QUALITATIVE",$I176="MANUAL_HYBRID"),IF($K176="","Assurance-Score fehlt","Assurance-bewertet"),IF($I176="BENCHMARK",IF($W176&lt;&gt;"Aktiv",IF($K176="","Benchmark fehlt","Assurance-bewertet"),IF($J176="","Messwert fehlt",IF($P176="","Nicht bewertbar","Berechnet"))),IF(AND($J176="",$K176&lt;&gt;""),"Nur Assurance-Score",IF($J176="","Messwert fehlt",IF($P176="","Nicht bewertbar",IF($P176&lt;=-2,"Kritische Wirkung / Prüfung","Berechnet"))))))</x:f>
        <x:v>Benchmark fehlt</x:v>
      </x:c>
      <x:c r="T176" s="14" t="str">
        <x:v>Produktspezifische Referenzpopulation erforderlich.</x:v>
      </x:c>
      <x:c r="U176" s="14" t="str">
        <x:v>Top‑10%:+3; ±Benchmark:0; &gt;150%:‑2; &gt;250%:‑3</x:v>
      </x:c>
      <x:c r="V176" s="14" t="str">
        <x:v>ESRS E1, ISO 50001 (EnMS), ISO/IEC 30134‑2 (PUE), EU EPBD</x:v>
      </x:c>
      <x:c r="W176" s="14" t="str">
        <x:f>'02_Benchmarks'!$P176</x:f>
        <x:v>Offen – validierter Benchmark fehlt</x:v>
      </x:c>
      <x:c r="X176" s="14" t="str">
        <x:v>Teilbelegt – Benchmarkquelle fehlt</x:v>
      </x:c>
      <x:c r="Y176" s="14" t="str">
        <x:v>Hoch</x:v>
      </x:c>
      <x:c r="Z176" s="14" t="str">
        <x:v>Validierter Benchmark fehlt</x:v>
      </x:c>
      <x:c r="AA176" s="14" t="str">
        <x:v>Produkt/Funktionseinheit; Lebenszyklusgrenze mindestens cradle-to-gate, bei Nutzungs-/End-of-Life-Relevanz cradle-to-grave</x:v>
      </x:c>
      <x:c r="AB176" s="14" t="str">
        <x:v>Primärdaten plus repräsentativer, versionierter Benchmarkdatensatz; Stichprobe und Population offenlegen</x:v>
      </x:c>
      <x:c r="AC176" s="14" t="str">
        <x:v>Messwert-Assurance und unabhängige Benchmark-Governance</x:v>
      </x:c>
    </x:row>
    <x:row r="177" ht="42" customHeight="1">
      <x:c r="A177" s="14" t="str">
        <x:v>WOK-P-114</x:v>
      </x:c>
      <x:c r="B177" s="14" t="str">
        <x:v>SDG 7 – Energie</x:v>
      </x:c>
      <x:c r="C177" s="14" t="str">
        <x:v>7.3</x:v>
      </x:c>
      <x:c r="D177" s="14" t="str">
        <x:v>Energieeffizienz Produkte</x:v>
      </x:c>
      <x:c r="E177" s="14" t="str">
        <x:v>Energieeffizienz Produkte – Reparierbarkeit</x:v>
      </x:c>
      <x:c r="F177" s="14" t="str">
        <x:v>Score 0–10</x:v>
      </x:c>
      <x:c r="G177" s="14" t="str">
        <x:v>higher_is_better</x:v>
      </x:c>
      <x:c r="H177" s="14" t="str">
        <x:v>R24</x:v>
      </x:c>
      <x:c r="I177" s="14" t="str">
        <x:v>NUM_HIGH</x:v>
      </x:c>
      <x:c r="J177" s="51"/>
      <x:c r="K177" s="51"/>
      <x:c r="L177" s="51"/>
      <x:c r="M177" s="54"/>
      <x:c r="N177" s="58" t="str">
        <x:f>IF($J177="","",IF($J177&lt;2,-3,IF($J177&lt;4,-2,IF($J177&lt;6,0,IF($J177&lt;8,2,3)))))</x:f>
      </x:c>
      <x:c r="O177" s="58" t="str">
        <x:f>IF($J177="","",IF(OR('02_Benchmarks'!$P177&lt;&gt;"Aktiv",COUNT('02_Benchmarks'!$J177:$M177)&lt;4),"",IF($G177="lower_is_better",IF($J177&lt;='02_Benchmarks'!$J177,3,IF($J177&lt;'02_Benchmarks'!$K177,2,IF($J177&lt;='02_Benchmarks'!$L177,0,IF($J177&lt;='02_Benchmarks'!$M177,-2,-3)))),IF($J177&gt;='02_Benchmarks'!$J177,3,IF($J177&gt;'02_Benchmarks'!$K177,2,IF($J177&gt;='02_Benchmarks'!$L177,0,IF($J177&gt;='02_Benchmarks'!$M177,-2,-3)))))))</x:f>
      </x:c>
      <x:c r="P177" s="58" t="str">
        <x:f>IF(COUNT($N177:$O177)+IF(ISNUMBER($K177),1,0)=0,"",MIN($N177:$O177,$K177))</x:f>
      </x:c>
      <x:c r="Q177" s="58" t="str">
        <x:f>IF($P177="","",INDEX('04_Tarifmodell'!$B$6:$B$12,$P177+4))</x:f>
      </x:c>
      <x:c r="R177" s="64" t="str">
        <x:f>IF($P177="","",INDEX('04_Tarifmodell'!$C$6:$C$12,$P177+4))</x:f>
      </x:c>
      <x:c r="S177" s="14" t="str">
        <x:f>IF(OR($I177="QUALITATIVE",$I177="MANUAL_HYBRID"),IF($K177="","Assurance-Score fehlt","Assurance-bewertet"),IF($I177="BENCHMARK",IF($W177&lt;&gt;"Aktiv",IF($K177="","Benchmark fehlt","Assurance-bewertet"),IF($J177="","Messwert fehlt",IF($P177="","Nicht bewertbar","Berechnet"))),IF(AND($J177="",$K177&lt;&gt;""),"Nur Assurance-Score",IF($J177="","Messwert fehlt",IF($P177="","Nicht bewertbar",IF($P177&lt;=-2,"Kritische Wirkung / Prüfung","Berechnet"))))))</x:f>
        <x:v>Messwert fehlt</x:v>
      </x:c>
      <x:c r="T177" s="14" t="str">
        <x:v>Indexsystem, Produktgruppe und Rechtsstand festlegen. Französischer Index und EU-Score sind nicht pauschal austauschbar.</x:v>
      </x:c>
      <x:c r="U177" s="14" t="str">
        <x:v>≥8:+3; 6–7,9:+2; 4–5,9:0; 2–3,9:‑2; &lt;2:‑3</x:v>
      </x:c>
      <x:c r="V177" s="14" t="str">
        <x:v>ESRS E1, ISO 50001 (EnMS), ISO/IEC 30134‑2 (PUE), EU EPBD</x:v>
      </x:c>
      <x:c r="W177" s="14" t="str">
        <x:f>'02_Benchmarks'!$P177</x:f>
        <x:v>Optional – kein aktiver Benchmark</x:v>
      </x:c>
      <x:c r="X177" s="14" t="str">
        <x:v>Teilbelegt – produktspezifisch zu validieren</x:v>
      </x:c>
      <x:c r="Y177" s="14" t="str">
        <x:v>Hoch</x:v>
      </x:c>
      <x:c r="Z177" s="14" t="str">
        <x:v>Indexsystem und Produktgruppe müssen ausgewiesen werden</x:v>
      </x:c>
      <x:c r="AA177" s="14" t="str">
        <x:v>Produkt/Funktionseinheit; Lebenszyklusgrenze mindestens cradle-to-gate, bei Nutzungs-/End-of-Life-Relevanz cradle-to-grave</x:v>
      </x:c>
      <x:c r="AB177" s="14" t="str">
        <x:v>Primärdaten oder qualitätsgesicherte Sekundärdaten; Methode, Zeitraum und Systemgrenze dokumentieren</x:v>
      </x:c>
      <x:c r="AC177" s="14" t="str">
        <x:v>Limited Assurance; bei materieller Steuerwirkung risikobasiert vertiefen</x:v>
      </x:c>
    </x:row>
    <x:row r="178" ht="42" customHeight="1">
      <x:c r="A178" s="14" t="str">
        <x:v>WOK-P-115</x:v>
      </x:c>
      <x:c r="B178" s="14" t="str">
        <x:v>SDG 7 – Energie</x:v>
      </x:c>
      <x:c r="C178" s="14" t="str">
        <x:v>7.3</x:v>
      </x:c>
      <x:c r="D178" s="14" t="str">
        <x:v>Energieeffizienz Produkte</x:v>
      </x:c>
      <x:c r="E178" s="14" t="str">
        <x:v>Energieeffizienz Produkte – Rücknahme/Recycling</x:v>
      </x:c>
      <x:c r="F178" s="14" t="str">
        <x:v>%</x:v>
      </x:c>
      <x:c r="G178" s="14" t="str">
        <x:v>higher_is_better</x:v>
      </x:c>
      <x:c r="H178" s="14" t="str">
        <x:v>R22</x:v>
      </x:c>
      <x:c r="I178" s="14" t="str">
        <x:v>NUM_HIGH</x:v>
      </x:c>
      <x:c r="J178" s="51"/>
      <x:c r="K178" s="51"/>
      <x:c r="L178" s="51"/>
      <x:c r="M178" s="54"/>
      <x:c r="N178" s="58" t="str">
        <x:f>IF($J178="","",IF($J178&lt;15,-3,IF($J178&lt;30,-2,IF($J178&lt;50,0,IF($J178&lt;70,2,3)))))</x:f>
      </x:c>
      <x:c r="O178" s="58" t="str">
        <x:f>IF($J178="","",IF(OR('02_Benchmarks'!$P178&lt;&gt;"Aktiv",COUNT('02_Benchmarks'!$J178:$M178)&lt;4),"",IF($G178="lower_is_better",IF($J178&lt;='02_Benchmarks'!$J178,3,IF($J178&lt;'02_Benchmarks'!$K178,2,IF($J178&lt;='02_Benchmarks'!$L178,0,IF($J178&lt;='02_Benchmarks'!$M178,-2,-3)))),IF($J178&gt;='02_Benchmarks'!$J178,3,IF($J178&gt;'02_Benchmarks'!$K178,2,IF($J178&gt;='02_Benchmarks'!$L178,0,IF($J178&gt;='02_Benchmarks'!$M178,-2,-3)))))))</x:f>
      </x:c>
      <x:c r="P178" s="58" t="str">
        <x:f>IF(COUNT($N178:$O178)+IF(ISNUMBER($K178),1,0)=0,"",MIN($N178:$O178,$K178))</x:f>
      </x:c>
      <x:c r="Q178" s="58" t="str">
        <x:f>IF($P178="","",INDEX('04_Tarifmodell'!$B$6:$B$12,$P178+4))</x:f>
      </x:c>
      <x:c r="R178" s="64" t="str">
        <x:f>IF($P178="","",INDEX('04_Tarifmodell'!$C$6:$C$12,$P178+4))</x:f>
      </x:c>
      <x:c r="S178" s="14" t="str">
        <x:f>IF(OR($I178="QUALITATIVE",$I178="MANUAL_HYBRID"),IF($K178="","Assurance-Score fehlt","Assurance-bewertet"),IF($I178="BENCHMARK",IF($W178&lt;&gt;"Aktiv",IF($K178="","Benchmark fehlt","Assurance-bewertet"),IF($J178="","Messwert fehlt",IF($P178="","Nicht bewertbar","Berechnet"))),IF(AND($J178="",$K178&lt;&gt;""),"Nur Assurance-Score",IF($J178="","Messwert fehlt",IF($P178="","Nicht bewertbar",IF($P178&lt;=-2,"Kritische Wirkung / Prüfung","Berechnet"))))))</x:f>
        <x:v>Messwert fehlt</x:v>
      </x:c>
      <x:c r="T178" s="14" t="str">
        <x:v>Vollständige fünfstufige numerische Regel.</x:v>
      </x:c>
      <x:c r="U178" s="14" t="str">
        <x:v>≥70:+3; 50–69:+2; 30–49:0; 15–29:‑2; &lt;15:‑3</x:v>
      </x:c>
      <x:c r="V178" s="14" t="str">
        <x:v>ESRS E1, ISO 50001 (EnMS), ISO/IEC 30134‑2 (PUE), EU EPBD</x:v>
      </x:c>
      <x:c r="W178" s="14" t="str">
        <x:f>'02_Benchmarks'!$P178</x:f>
        <x:v>Optional – kein aktiver Benchmark</x:v>
      </x:c>
      <x:c r="X178" s="14" t="str">
        <x:v>Messgrundlage belegt; Schwellenkalibrierung offen</x:v>
      </x:c>
      <x:c r="Y178" s="14" t="str">
        <x:v>Mittel</x:v>
      </x:c>
      <x:c r="Z178" s="14" t="str">
        <x:v>Arbeitskalibrierung – fachlich zu validieren</x:v>
      </x:c>
      <x:c r="AA178" s="14" t="str">
        <x:v>Produkt/Funktionseinheit; Lebenszyklusgrenze mindestens cradle-to-gate, bei Nutzungs-/End-of-Life-Relevanz cradle-to-grave</x:v>
      </x:c>
      <x:c r="AB178" s="14" t="str">
        <x:v>Primärdaten bevorzugt; Sekundärdaten nur transparent und versioniert; Methode und Systemgrenze dokumentieren</x:v>
      </x:c>
      <x:c r="AC178" s="14" t="str">
        <x:v>Limited Assurance; risikobasiert höhere Prüftiefe</x:v>
      </x:c>
    </x:row>
    <x:row r="179" ht="42" customHeight="1">
      <x:c r="A179" s="14" t="str">
        <x:v>WOK-RE-110</x:v>
      </x:c>
      <x:c r="B179" s="14" t="str">
        <x:v>SDG 7 – Energie</x:v>
      </x:c>
      <x:c r="C179" s="14" t="str">
        <x:v>7.3</x:v>
      </x:c>
      <x:c r="D179" s="14" t="str">
        <x:v>Gebäude‑Energieperformance</x:v>
      </x:c>
      <x:c r="E179" s="14" t="str">
        <x:v>Gebäude‑Energieperformance – Betriebsenergie</x:v>
      </x:c>
      <x:c r="F179" s="14" t="str">
        <x:v>kWh/m²a</x:v>
      </x:c>
      <x:c r="G179" s="14" t="str">
        <x:v>lower_is_better</x:v>
      </x:c>
      <x:c r="H179" s="14" t="str">
        <x:v>R05</x:v>
      </x:c>
      <x:c r="I179" s="14" t="str">
        <x:v>BENCHMARK</x:v>
      </x:c>
      <x:c r="J179" s="51"/>
      <x:c r="K179" s="51"/>
      <x:c r="L179" s="51"/>
      <x:c r="M179" s="54"/>
      <x:c r="N179" s="58" t="str">
        <x:f>""</x:f>
      </x:c>
      <x:c r="O179" s="58" t="str">
        <x:f>IF($J179="","",IF(OR('02_Benchmarks'!$P179&lt;&gt;"Aktiv",COUNT('02_Benchmarks'!$J179:$M179)&lt;4),"",IF($G179="lower_is_better",IF($J179&lt;='02_Benchmarks'!$J179,3,IF($J179&lt;'02_Benchmarks'!$K179,2,IF($J179&lt;='02_Benchmarks'!$L179,0,IF($J179&lt;='02_Benchmarks'!$M179,-2,-3)))),IF($J179&gt;='02_Benchmarks'!$J179,3,IF($J179&gt;'02_Benchmarks'!$K179,2,IF($J179&gt;='02_Benchmarks'!$L179,0,IF($J179&gt;='02_Benchmarks'!$M179,-2,-3)))))))</x:f>
      </x:c>
      <x:c r="P179" s="58" t="str">
        <x:f>IF(COUNT($N179:$O179)+IF(ISNUMBER($K179),1,0)=0,"",MIN($N179:$O179,$K179))</x:f>
      </x:c>
      <x:c r="Q179" s="58" t="str">
        <x:f>IF($P179="","",INDEX('04_Tarifmodell'!$B$6:$B$12,$P179+4))</x:f>
      </x:c>
      <x:c r="R179" s="64" t="str">
        <x:f>IF($P179="","",INDEX('04_Tarifmodell'!$C$6:$C$12,$P179+4))</x:f>
      </x:c>
      <x:c r="S179" s="14" t="str">
        <x:f>IF(OR($I179="QUALITATIVE",$I179="MANUAL_HYBRID"),IF($K179="","Assurance-Score fehlt","Assurance-bewertet"),IF($I179="BENCHMARK",IF($W179&lt;&gt;"Aktiv",IF($K179="","Benchmark fehlt","Assurance-bewertet"),IF($J179="","Messwert fehlt",IF($P179="","Nicht bewertbar","Berechnet"))),IF(AND($J179="",$K179&lt;&gt;""),"Nur Assurance-Score",IF($J179="","Messwert fehlt",IF($P179="","Nicht bewertbar",IF($P179&lt;=-2,"Kritische Wirkung / Prüfung","Berechnet"))))))</x:f>
        <x:v>Benchmark fehlt</x:v>
      </x:c>
      <x:c r="T179" s="14" t="str">
        <x:v>Die Grenze &gt;+60 % ist derzeit nicht eindeutig in −2/−3 aufgelöst.</x:v>
      </x:c>
      <x:c r="U179" s="14" t="str">
        <x:v>Top 15%:+3; +15–30%:+2; +31–60%:0; &gt;+60%:‑2/‑3</x:v>
      </x:c>
      <x:c r="V179" s="14" t="str">
        <x:v>ESRS E1, ISO 50001 (EnMS), ISO/IEC 30134‑2 (PUE), EU EPBD</x:v>
      </x:c>
      <x:c r="W179" s="14" t="str">
        <x:f>'02_Benchmarks'!$P179</x:f>
        <x:v>Offen – validierter Benchmark fehlt</x:v>
      </x:c>
      <x:c r="X179" s="14" t="str">
        <x:v>Teilbelegt – Benchmarkquelle fehlt</x:v>
      </x:c>
      <x:c r="Y179" s="14" t="str">
        <x:v>Hoch</x:v>
      </x:c>
      <x:c r="Z179" s="14" t="str">
        <x:v>Validierter Benchmark fehlt</x:v>
      </x:c>
      <x:c r="AA179" s="14" t="str">
        <x:v>Gebäude/Standort; Betrieb plus relevante Lebenszyklusmodule</x:v>
      </x:c>
      <x:c r="AB179" s="14" t="str">
        <x:v>Primärdaten plus repräsentativer, versionierter Benchmarkdatensatz; Stichprobe und Population offenlegen</x:v>
      </x:c>
      <x:c r="AC179" s="14" t="str">
        <x:v>Messwert-Assurance und unabhängige Benchmark-Governance</x:v>
      </x:c>
    </x:row>
    <x:row r="180" ht="42" customHeight="1">
      <x:c r="A180" s="14" t="str">
        <x:v>WOK-RE-111</x:v>
      </x:c>
      <x:c r="B180" s="14" t="str">
        <x:v>SDG 7 – Energie</x:v>
      </x:c>
      <x:c r="C180" s="14" t="str">
        <x:v>7.3</x:v>
      </x:c>
      <x:c r="D180" s="14" t="str">
        <x:v>Gebäude‑Energieperformance</x:v>
      </x:c>
      <x:c r="E180" s="14" t="str">
        <x:v>Gebäude‑Energieperformance – Graue Emissionen</x:v>
      </x:c>
      <x:c r="F180" s="14" t="str">
        <x:v>kg CO₂e/m²</x:v>
      </x:c>
      <x:c r="G180" s="14" t="str">
        <x:v>lower_is_better</x:v>
      </x:c>
      <x:c r="H180" s="14" t="str">
        <x:v>R06</x:v>
      </x:c>
      <x:c r="I180" s="14" t="str">
        <x:v>BENCHMARK</x:v>
      </x:c>
      <x:c r="J180" s="51"/>
      <x:c r="K180" s="51"/>
      <x:c r="L180" s="51"/>
      <x:c r="M180" s="54"/>
      <x:c r="N180" s="58" t="str">
        <x:f>""</x:f>
      </x:c>
      <x:c r="O180" s="58" t="str">
        <x:f>IF($J180="","",IF(OR('02_Benchmarks'!$P180&lt;&gt;"Aktiv",COUNT('02_Benchmarks'!$J180:$M180)&lt;4),"",IF($G180="lower_is_better",IF($J180&lt;='02_Benchmarks'!$J180,3,IF($J180&lt;'02_Benchmarks'!$K180,2,IF($J180&lt;='02_Benchmarks'!$L180,0,IF($J180&lt;='02_Benchmarks'!$M180,-2,-3)))),IF($J180&gt;='02_Benchmarks'!$J180,3,IF($J180&gt;'02_Benchmarks'!$K180,2,IF($J180&gt;='02_Benchmarks'!$L180,0,IF($J180&gt;='02_Benchmarks'!$M180,-2,-3)))))))</x:f>
      </x:c>
      <x:c r="P180" s="58" t="str">
        <x:f>IF(COUNT($N180:$O180)+IF(ISNUMBER($K180),1,0)=0,"",MIN($N180:$O180,$K180))</x:f>
      </x:c>
      <x:c r="Q180" s="58" t="str">
        <x:f>IF($P180="","",INDEX('04_Tarifmodell'!$B$6:$B$12,$P180+4))</x:f>
      </x:c>
      <x:c r="R180" s="64" t="str">
        <x:f>IF($P180="","",INDEX('04_Tarifmodell'!$C$6:$C$12,$P180+4))</x:f>
      </x:c>
      <x:c r="S180" s="14" t="str">
        <x:f>IF(OR($I180="QUALITATIVE",$I180="MANUAL_HYBRID"),IF($K180="","Assurance-Score fehlt","Assurance-bewertet"),IF($I180="BENCHMARK",IF($W180&lt;&gt;"Aktiv",IF($K180="","Benchmark fehlt","Assurance-bewertet"),IF($J180="","Messwert fehlt",IF($P180="","Nicht bewertbar","Berechnet"))),IF(AND($J180="",$K180&lt;&gt;""),"Nur Assurance-Score",IF($J180="","Messwert fehlt",IF($P180="","Nicht bewertbar",IF($P180&lt;=-2,"Kritische Wirkung / Prüfung","Berechnet"))))))</x:f>
        <x:v>Benchmark fehlt</x:v>
      </x:c>
      <x:c r="T180" s="14" t="str">
        <x:v>Top-10-Prozent, Mittelwert, 150 % und 250 % müssen aus einer dokumentierten Grundgesamtheit stammen.</x:v>
      </x:c>
      <x:c r="U180" s="14" t="str">
        <x:v>Top‑10%:+3; Mittel:0; &gt;150%:‑2; &gt;250%:‑3</x:v>
      </x:c>
      <x:c r="V180" s="14" t="str">
        <x:v>ESRS E1, GHG Protocol (Corporate/Scope 1–3), ISO 14064/14067</x:v>
      </x:c>
      <x:c r="W180" s="14" t="str">
        <x:f>'02_Benchmarks'!$P180</x:f>
        <x:v>Offen – validierter Benchmark fehlt</x:v>
      </x:c>
      <x:c r="X180" s="14" t="str">
        <x:v>Teilbelegt – Benchmarkquelle fehlt</x:v>
      </x:c>
      <x:c r="Y180" s="14" t="str">
        <x:v>Hoch</x:v>
      </x:c>
      <x:c r="Z180" s="14" t="str">
        <x:v>Validierter Benchmark fehlt</x:v>
      </x:c>
      <x:c r="AA180" s="14" t="str">
        <x:v>Gebäude/Standort; Betrieb plus relevante Lebenszyklusmodule</x:v>
      </x:c>
      <x:c r="AB180" s="14" t="str">
        <x:v>Primärdaten plus repräsentativer, versionierter Benchmarkdatensatz; Stichprobe und Population offenlegen</x:v>
      </x:c>
      <x:c r="AC180" s="14" t="str">
        <x:v>Messwert-Assurance und unabhängige Benchmark-Governance</x:v>
      </x:c>
    </x:row>
    <x:row r="181" ht="42" customHeight="1">
      <x:c r="A181" s="14" t="str">
        <x:v>WOK-RE-112</x:v>
      </x:c>
      <x:c r="B181" s="14" t="str">
        <x:v>SDG 7 – Energie</x:v>
      </x:c>
      <x:c r="C181" s="14" t="str">
        <x:v>7.3</x:v>
      </x:c>
      <x:c r="D181" s="14" t="str">
        <x:v>Gebäude‑Energieperformance</x:v>
      </x:c>
      <x:c r="E181" s="14" t="str">
        <x:v>Gebäude‑Energieperformance – ÖPNV‑Erreichbarkeit</x:v>
      </x:c>
      <x:c r="F181" s="14" t="str">
        <x:v>0–1</x:v>
      </x:c>
      <x:c r="G181" s="14" t="str">
        <x:v>higher_is_better</x:v>
      </x:c>
      <x:c r="H181" s="14" t="str">
        <x:v>R14</x:v>
      </x:c>
      <x:c r="I181" s="14" t="str">
        <x:v>NUM_HIGH</x:v>
      </x:c>
      <x:c r="J181" s="51"/>
      <x:c r="K181" s="51"/>
      <x:c r="L181" s="51"/>
      <x:c r="M181" s="54"/>
      <x:c r="N181" s="58" t="str">
        <x:f>IF($J181="","",IF($J181&lt;0.2,-3,IF($J181&lt;0.4,-2,IF($J181&lt;0.6,0,IF($J181&lt;0.8,2,3)))))</x:f>
      </x:c>
      <x:c r="O181" s="58" t="str">
        <x:f>IF($J181="","",IF(OR('02_Benchmarks'!$P181&lt;&gt;"Aktiv",COUNT('02_Benchmarks'!$J181:$M181)&lt;4),"",IF($G181="lower_is_better",IF($J181&lt;='02_Benchmarks'!$J181,3,IF($J181&lt;'02_Benchmarks'!$K181,2,IF($J181&lt;='02_Benchmarks'!$L181,0,IF($J181&lt;='02_Benchmarks'!$M181,-2,-3)))),IF($J181&gt;='02_Benchmarks'!$J181,3,IF($J181&gt;'02_Benchmarks'!$K181,2,IF($J181&gt;='02_Benchmarks'!$L181,0,IF($J181&gt;='02_Benchmarks'!$M181,-2,-3)))))))</x:f>
      </x:c>
      <x:c r="P181" s="58" t="str">
        <x:f>IF(COUNT($N181:$O181)+IF(ISNUMBER($K181),1,0)=0,"",MIN($N181:$O181,$K181))</x:f>
      </x:c>
      <x:c r="Q181" s="58" t="str">
        <x:f>IF($P181="","",INDEX('04_Tarifmodell'!$B$6:$B$12,$P181+4))</x:f>
      </x:c>
      <x:c r="R181" s="64" t="str">
        <x:f>IF($P181="","",INDEX('04_Tarifmodell'!$C$6:$C$12,$P181+4))</x:f>
      </x:c>
      <x:c r="S181" s="14" t="str">
        <x:f>IF(OR($I181="QUALITATIVE",$I181="MANUAL_HYBRID"),IF($K181="","Assurance-Score fehlt","Assurance-bewertet"),IF($I181="BENCHMARK",IF($W181&lt;&gt;"Aktiv",IF($K181="","Benchmark fehlt","Assurance-bewertet"),IF($J181="","Messwert fehlt",IF($P181="","Nicht bewertbar","Berechnet"))),IF(AND($J181="",$K181&lt;&gt;""),"Nur Assurance-Score",IF($J181="","Messwert fehlt",IF($P181="","Nicht bewertbar",IF($P181&lt;=-2,"Kritische Wirkung / Prüfung","Berechnet"))))))</x:f>
        <x:v>Messwert fehlt</x:v>
      </x:c>
      <x:c r="T181" s="14" t="str">
        <x:v>Konkreten Datenhalter, GIS-Layer, Stichtag und Methodik ergänzen. Vollständige fünfstufige numerische Regel.</x:v>
      </x:c>
      <x:c r="U181" s="14" t="str">
        <x:v>≥0,8:+3; 0,6–0,79:+2; 0,4–0,59:0; 0,2–0,39:‑2; &lt;0,2:‑3</x:v>
      </x:c>
      <x:c r="V181" s="14" t="str">
        <x:v>ESRS E1, ISO 50001 (EnMS), ISO/IEC 30134‑2 (PUE), EU EPBD</x:v>
      </x:c>
      <x:c r="W181" s="14" t="str">
        <x:f>'02_Benchmarks'!$P181</x:f>
        <x:v>Optional – kein aktiver Benchmark</x:v>
      </x:c>
      <x:c r="X181" s="14" t="str">
        <x:v>Platzhalter – konkrete Datenquelle fehlt</x:v>
      </x:c>
      <x:c r="Y181" s="14" t="str">
        <x:v>Hoch</x:v>
      </x:c>
      <x:c r="Z181" s="14" t="str">
        <x:v>Arbeitskalibrierung – fachlich zu validieren</x:v>
      </x:c>
      <x:c r="AA181" s="14" t="str">
        <x:v>Gebäude/Standort; Betrieb plus relevante Lebenszyklusmodule</x:v>
      </x:c>
      <x:c r="AB181" s="14" t="str">
        <x:v>Primärdaten oder qualitätsgesicherte Sekundärdaten; Methode, Zeitraum und Systemgrenze dokumentieren</x:v>
      </x:c>
      <x:c r="AC181" s="14" t="str">
        <x:v>Limited Assurance; bei materieller Steuerwirkung risikobasiert vertiefen</x:v>
      </x:c>
    </x:row>
    <x:row r="182" ht="42" customHeight="1">
      <x:c r="A182" s="14" t="str">
        <x:v>WOK-SYS-116</x:v>
      </x:c>
      <x:c r="B182" s="14" t="str">
        <x:v>SDG 7 – Energie</x:v>
      </x:c>
      <x:c r="C182" s="14" t="str">
        <x:v>7.1</x:v>
      </x:c>
      <x:c r="D182" s="14" t="str">
        <x:v>Energie‑Armut adressieren</x:v>
      </x:c>
      <x:c r="E182" s="14" t="str">
        <x:v>Energie‑Armut adressieren – Index</x:v>
      </x:c>
      <x:c r="F182" s="14" t="str">
        <x:v>0–1</x:v>
      </x:c>
      <x:c r="G182" s="14" t="str">
        <x:v>higher_is_better</x:v>
      </x:c>
      <x:c r="H182" s="14" t="str">
        <x:v>R15</x:v>
      </x:c>
      <x:c r="I182" s="14" t="str">
        <x:v>NUM_HIGH</x:v>
      </x:c>
      <x:c r="J182" s="51"/>
      <x:c r="K182" s="51"/>
      <x:c r="L182" s="51"/>
      <x:c r="M182" s="54"/>
      <x:c r="N182" s="58" t="str">
        <x:f>IF($J182="","",IF($J182&lt;0.5,-3,IF($J182&lt;0.6,-2,IF($J182&lt;0.7,0,IF($J182&lt;0.8,2,3)))))</x:f>
      </x:c>
      <x:c r="O182" s="58" t="str">
        <x:f>IF($J182="","",IF(OR('02_Benchmarks'!$P182&lt;&gt;"Aktiv",COUNT('02_Benchmarks'!$J182:$M182)&lt;4),"",IF($G182="lower_is_better",IF($J182&lt;='02_Benchmarks'!$J182,3,IF($J182&lt;'02_Benchmarks'!$K182,2,IF($J182&lt;='02_Benchmarks'!$L182,0,IF($J182&lt;='02_Benchmarks'!$M182,-2,-3)))),IF($J182&gt;='02_Benchmarks'!$J182,3,IF($J182&gt;'02_Benchmarks'!$K182,2,IF($J182&gt;='02_Benchmarks'!$L182,0,IF($J182&gt;='02_Benchmarks'!$M182,-2,-3)))))))</x:f>
      </x:c>
      <x:c r="P182" s="58" t="str">
        <x:f>IF(COUNT($N182:$O182)+IF(ISNUMBER($K182),1,0)=0,"",MIN($N182:$O182,$K182))</x:f>
      </x:c>
      <x:c r="Q182" s="58" t="str">
        <x:f>IF($P182="","",INDEX('04_Tarifmodell'!$B$6:$B$12,$P182+4))</x:f>
      </x:c>
      <x:c r="R182" s="64" t="str">
        <x:f>IF($P182="","",INDEX('04_Tarifmodell'!$C$6:$C$12,$P182+4))</x:f>
      </x:c>
      <x:c r="S182" s="14" t="str">
        <x:f>IF(OR($I182="QUALITATIVE",$I182="MANUAL_HYBRID"),IF($K182="","Assurance-Score fehlt","Assurance-bewertet"),IF($I182="BENCHMARK",IF($W182&lt;&gt;"Aktiv",IF($K182="","Benchmark fehlt","Assurance-bewertet"),IF($J182="","Messwert fehlt",IF($P182="","Nicht bewertbar","Berechnet"))),IF(AND($J182="",$K182&lt;&gt;""),"Nur Assurance-Score",IF($J182="","Messwert fehlt",IF($P182="","Nicht bewertbar",IF($P182&lt;=-2,"Kritische Wirkung / Prüfung","Berechnet"))))))</x:f>
        <x:v>Messwert fehlt</x:v>
      </x:c>
      <x:c r="T182" s="14" t="str">
        <x:v>Item-Bezeichnung und Messdefinition passen nicht ausreichend zusammen. SROI/SDG 17 ist keine hinreichend konkrete Mess- oder Schwellenquelle. Vollständige fünfstufige numerische Regel.</x:v>
      </x:c>
      <x:c r="U182" s="14" t="str">
        <x:v>≥0,8:+3; 0,7–0,79:+2; 0,6–0,69:0; 0,5–0,59:‑2; &lt;0,5:‑3</x:v>
      </x:c>
      <x:c r="V182" s="14" t="str">
        <x:v>ESRS E1, ISO 50001 (EnMS), ISO/IEC 30134‑2 (PUE), EU EPBD</x:v>
      </x:c>
      <x:c r="W182" s="14" t="str">
        <x:f>'02_Benchmarks'!$P182</x:f>
        <x:v>Optional – kein aktiver Benchmark</x:v>
      </x:c>
      <x:c r="X182" s="14" t="str">
        <x:v>Platzhalter – fachliche Operationalisierung offen</x:v>
      </x:c>
      <x:c r="Y182" s="14" t="str">
        <x:v>Kritisch</x:v>
      </x:c>
      <x:c r="Z182" s="14" t="str">
        <x:v>Arbeitskalibrierung – fachlich zu validieren</x:v>
      </x:c>
      <x:c r="AA182" s="14" t="str">
        <x:v>Programm/Portfolio/Systemraum; Empfängergruppe, Region und Zeitraum explizit definieren</x:v>
      </x:c>
      <x:c r="AB182" s="14" t="str">
        <x:v>Primärdaten bevorzugt; Sekundärdaten nur transparent und versioniert; Methode und Systemgrenze dokumentieren</x:v>
      </x:c>
      <x:c r="AC182" s="14" t="str">
        <x:v>Limited Assurance; risikobasiert höhere Prüftiefe</x:v>
      </x:c>
    </x:row>
    <x:row r="183" ht="42" customHeight="1">
      <x:c r="A183" s="14" t="str">
        <x:v>WOK-SYS-117</x:v>
      </x:c>
      <x:c r="B183" s="14" t="str">
        <x:v>SDG 7 – Energie</x:v>
      </x:c>
      <x:c r="C183" s="14" t="str">
        <x:v>7.1</x:v>
      </x:c>
      <x:c r="D183" s="14" t="str">
        <x:v>Energie‑Armut adressieren</x:v>
      </x:c>
      <x:c r="E183" s="14" t="str">
        <x:v>Energie‑Armut adressieren – Exposure</x:v>
      </x:c>
      <x:c r="F183" s="14" t="str">
        <x:v>%</x:v>
      </x:c>
      <x:c r="G183" s="14" t="str">
        <x:v>lower_is_better</x:v>
      </x:c>
      <x:c r="H183" s="14" t="str">
        <x:v>R13</x:v>
      </x:c>
      <x:c r="I183" s="14" t="str">
        <x:v>NUM_LOW</x:v>
      </x:c>
      <x:c r="J183" s="51"/>
      <x:c r="K183" s="51"/>
      <x:c r="L183" s="51"/>
      <x:c r="M183" s="54"/>
      <x:c r="N183" s="58" t="str">
        <x:f>IF($J183="","",IF($J183&lt;=5,3,IF($J183&lt;=10,2,IF($J183&lt;=20,0,IF($J183&lt;=30,-2,-3)))))</x:f>
      </x:c>
      <x:c r="O183" s="58" t="str">
        <x:f>IF($J183="","",IF(OR('02_Benchmarks'!$P183&lt;&gt;"Aktiv",COUNT('02_Benchmarks'!$J183:$M183)&lt;4),"",IF($G183="lower_is_better",IF($J183&lt;='02_Benchmarks'!$J183,3,IF($J183&lt;'02_Benchmarks'!$K183,2,IF($J183&lt;='02_Benchmarks'!$L183,0,IF($J183&lt;='02_Benchmarks'!$M183,-2,-3)))),IF($J183&gt;='02_Benchmarks'!$J183,3,IF($J183&gt;'02_Benchmarks'!$K183,2,IF($J183&gt;='02_Benchmarks'!$L183,0,IF($J183&gt;='02_Benchmarks'!$M183,-2,-3)))))))</x:f>
      </x:c>
      <x:c r="P183" s="58" t="str">
        <x:f>IF(COUNT($N183:$O183)+IF(ISNUMBER($K183),1,0)=0,"",MIN($N183:$O183,$K183))</x:f>
      </x:c>
      <x:c r="Q183" s="58" t="str">
        <x:f>IF($P183="","",INDEX('04_Tarifmodell'!$B$6:$B$12,$P183+4))</x:f>
      </x:c>
      <x:c r="R183" s="64" t="str">
        <x:f>IF($P183="","",INDEX('04_Tarifmodell'!$C$6:$C$12,$P183+4))</x:f>
      </x:c>
      <x:c r="S183" s="14" t="str">
        <x:f>IF(OR($I183="QUALITATIVE",$I183="MANUAL_HYBRID"),IF($K183="","Assurance-Score fehlt","Assurance-bewertet"),IF($I183="BENCHMARK",IF($W183&lt;&gt;"Aktiv",IF($K183="","Benchmark fehlt","Assurance-bewertet"),IF($J183="","Messwert fehlt",IF($P183="","Nicht bewertbar","Berechnet"))),IF(AND($J183="",$K183&lt;&gt;""),"Nur Assurance-Score",IF($J183="","Messwert fehlt",IF($P183="","Nicht bewertbar",IF($P183&lt;=-2,"Kritische Wirkung / Prüfung","Berechnet"))))))</x:f>
        <x:v>Messwert fehlt</x:v>
      </x:c>
      <x:c r="T183" s="14" t="str">
        <x:v>Item-Bezeichnung und Messdefinition passen nicht ausreichend zusammen. SROI/SDG 17 ist keine hinreichend konkrete Mess- oder Schwellenquelle. Vollständige fünfstufige numerische Regel.</x:v>
      </x:c>
      <x:c r="U183" s="14" t="str">
        <x:v>≤5:+3; 6–10:+2; 11–20:0; 21–30:‑2; &gt;30:‑3</x:v>
      </x:c>
      <x:c r="V183" s="14" t="str">
        <x:v>ESRS E1, ISO 50001 (EnMS), ISO/IEC 30134‑2 (PUE), EU EPBD</x:v>
      </x:c>
      <x:c r="W183" s="14" t="str">
        <x:f>'02_Benchmarks'!$P183</x:f>
        <x:v>Optional – kein aktiver Benchmark</x:v>
      </x:c>
      <x:c r="X183" s="14" t="str">
        <x:v>Platzhalter – fachliche Operationalisierung offen</x:v>
      </x:c>
      <x:c r="Y183" s="14" t="str">
        <x:v>Kritisch</x:v>
      </x:c>
      <x:c r="Z183" s="14" t="str">
        <x:v>Arbeitskalibrierung – fachlich zu validieren</x:v>
      </x:c>
      <x:c r="AA183" s="14" t="str">
        <x:v>Programm/Portfolio/Systemraum; Empfängergruppe, Region und Zeitraum explizit definieren</x:v>
      </x:c>
      <x:c r="AB183" s="14" t="str">
        <x:v>Primärdaten bevorzugt; Sekundärdaten nur transparent und versioniert; Methode und Systemgrenze dokumentieren</x:v>
      </x:c>
      <x:c r="AC183" s="14" t="str">
        <x:v>Limited Assurance; risikobasiert höhere Prüftiefe</x:v>
      </x:c>
    </x:row>
    <x:row r="184" ht="42" customHeight="1">
      <x:c r="A184" s="14" t="str">
        <x:v>WOK-SYS-118</x:v>
      </x:c>
      <x:c r="B184" s="14" t="str">
        <x:v>SDG 7 – Energie</x:v>
      </x:c>
      <x:c r="C184" s="14" t="str">
        <x:v>7.1</x:v>
      </x:c>
      <x:c r="D184" s="14" t="str">
        <x:v>Energie‑Armut adressieren</x:v>
      </x:c>
      <x:c r="E184" s="14" t="str">
        <x:v>Energie‑Armut adressieren – Kooperationen</x:v>
      </x:c>
      <x:c r="F184" s="14" t="str">
        <x:v>#/Jahr</x:v>
      </x:c>
      <x:c r="G184" s="14" t="str">
        <x:v>higher_is_better</x:v>
      </x:c>
      <x:c r="H184" s="14" t="str">
        <x:v>R20</x:v>
      </x:c>
      <x:c r="I184" s="14" t="str">
        <x:v>NUM_HIGH</x:v>
      </x:c>
      <x:c r="J184" s="51"/>
      <x:c r="K184" s="51"/>
      <x:c r="L184" s="51"/>
      <x:c r="M184" s="54"/>
      <x:c r="N184" s="58" t="str">
        <x:f>IF($J184="","",IF($J184&lt;0,-3,IF($J184&lt;1,-2,IF($J184&lt;3,0,IF($J184&lt;5,2,3)))))</x:f>
      </x:c>
      <x:c r="O184" s="58" t="str">
        <x:f>IF($J184="","",IF(OR('02_Benchmarks'!$P184&lt;&gt;"Aktiv",COUNT('02_Benchmarks'!$J184:$M184)&lt;4),"",IF($G184="lower_is_better",IF($J184&lt;='02_Benchmarks'!$J184,3,IF($J184&lt;'02_Benchmarks'!$K184,2,IF($J184&lt;='02_Benchmarks'!$L184,0,IF($J184&lt;='02_Benchmarks'!$M184,-2,-3)))),IF($J184&gt;='02_Benchmarks'!$J184,3,IF($J184&gt;'02_Benchmarks'!$K184,2,IF($J184&gt;='02_Benchmarks'!$L184,0,IF($J184&gt;='02_Benchmarks'!$M184,-2,-3)))))))</x:f>
      </x:c>
      <x:c r="P184" s="58" t="str">
        <x:f>IF(COUNT($N184:$O184)+IF(ISNUMBER($K184),1,0)=0,"",MIN($N184:$O184,$K184))</x:f>
      </x:c>
      <x:c r="Q184" s="58" t="str">
        <x:f>IF($P184="","",INDEX('04_Tarifmodell'!$B$6:$B$12,$P184+4))</x:f>
      </x:c>
      <x:c r="R184" s="64" t="str">
        <x:f>IF($P184="","",INDEX('04_Tarifmodell'!$C$6:$C$12,$P184+4))</x:f>
      </x:c>
      <x:c r="S184" s="14" t="str">
        <x:f>IF(OR($I184="QUALITATIVE",$I184="MANUAL_HYBRID"),IF($K184="","Assurance-Score fehlt","Assurance-bewertet"),IF($I184="BENCHMARK",IF($W184&lt;&gt;"Aktiv",IF($K184="","Benchmark fehlt","Assurance-bewertet"),IF($J184="","Messwert fehlt",IF($P184="","Nicht bewertbar","Berechnet"))),IF(AND($J184="",$K184&lt;&gt;""),"Nur Assurance-Score",IF($J184="","Messwert fehlt",IF($P184="","Nicht bewertbar",IF($P184&lt;=-2,"Kritische Wirkung / Prüfung","Berechnet"))))))</x:f>
        <x:v>Messwert fehlt</x:v>
      </x:c>
      <x:c r="T184" s="14" t="str">
        <x:v>Item-Bezeichnung und Messdefinition passen nicht ausreichend zusammen. SROI/SDG 17 ist keine hinreichend konkrete Mess- oder Schwellenquelle. Für sachlogisch nichtnegative Zählwerte ist 0 die schlechteste reguläre Klasse (−2).</x:v>
      </x:c>
      <x:c r="U184" s="14" t="str">
        <x:v>≥5:+3; 3–4:+2; 1–2:0; 0:‑2</x:v>
      </x:c>
      <x:c r="V184" s="14" t="str">
        <x:v>ESRS E1, ISO 50001 (EnMS), ISO/IEC 30134‑2 (PUE), EU EPBD</x:v>
      </x:c>
      <x:c r="W184" s="14" t="str">
        <x:f>'02_Benchmarks'!$P184</x:f>
        <x:v>Optional – kein aktiver Benchmark</x:v>
      </x:c>
      <x:c r="X184" s="14" t="str">
        <x:v>Platzhalter – fachliche Operationalisierung offen</x:v>
      </x:c>
      <x:c r="Y184" s="14" t="str">
        <x:v>Kritisch</x:v>
      </x:c>
      <x:c r="Z184" s="14" t="str">
        <x:v>Klasse −3 nur für negative/unzulässige Werte ergänzt</x:v>
      </x:c>
      <x:c r="AA184" s="14" t="str">
        <x:v>Programm/Portfolio/Systemraum; Empfängergruppe, Region und Zeitraum explizit definieren</x:v>
      </x:c>
      <x:c r="AB184" s="14" t="str">
        <x:v>Primärdaten bevorzugt; Sekundärdaten nur transparent und versioniert; Methode und Systemgrenze dokumentieren</x:v>
      </x:c>
      <x:c r="AC184" s="14" t="str">
        <x:v>Limited Assurance; risikobasiert höhere Prüftiefe</x:v>
      </x:c>
    </x:row>
    <x:row r="185" ht="42" customHeight="1">
      <x:c r="A185" s="14" t="str">
        <x:v>WOK-E-143</x:v>
      </x:c>
      <x:c r="B185" s="14" t="str">
        <x:v>SDG 7 – Energie</x:v>
      </x:c>
      <x:c r="C185" s="14" t="str">
        <x:v>7.3</x:v>
      </x:c>
      <x:c r="D185" s="14" t="str">
        <x:v>Netzverluste/IT‑Effizienz</x:v>
      </x:c>
      <x:c r="E185" s="14" t="str">
        <x:v>Netzverluste/IT‑Effizienz – EE‑Anteil</x:v>
      </x:c>
      <x:c r="F185" s="14" t="str">
        <x:v>%</x:v>
      </x:c>
      <x:c r="G185" s="14" t="str">
        <x:v>higher_is_better</x:v>
      </x:c>
      <x:c r="H185" s="14" t="str">
        <x:v>R25</x:v>
      </x:c>
      <x:c r="I185" s="14" t="str">
        <x:v>NUM_HIGH</x:v>
      </x:c>
      <x:c r="J185" s="51"/>
      <x:c r="K185" s="51"/>
      <x:c r="L185" s="51"/>
      <x:c r="M185" s="54"/>
      <x:c r="N185" s="58" t="str">
        <x:f>IF($J185="","",IF($J185&lt;30,-3,IF($J185&lt;50,-2,IF($J185&lt;70,0,IF($J185&lt;90,2,3)))))</x:f>
      </x:c>
      <x:c r="O185" s="58" t="str">
        <x:f>IF($J185="","",IF(OR('02_Benchmarks'!$P185&lt;&gt;"Aktiv",COUNT('02_Benchmarks'!$J185:$M185)&lt;4),"",IF($G185="lower_is_better",IF($J185&lt;='02_Benchmarks'!$J185,3,IF($J185&lt;'02_Benchmarks'!$K185,2,IF($J185&lt;='02_Benchmarks'!$L185,0,IF($J185&lt;='02_Benchmarks'!$M185,-2,-3)))),IF($J185&gt;='02_Benchmarks'!$J185,3,IF($J185&gt;'02_Benchmarks'!$K185,2,IF($J185&gt;='02_Benchmarks'!$L185,0,IF($J185&gt;='02_Benchmarks'!$M185,-2,-3)))))))</x:f>
      </x:c>
      <x:c r="P185" s="58" t="str">
        <x:f>IF(COUNT($N185:$O185)+IF(ISNUMBER($K185),1,0)=0,"",MIN($N185:$O185,$K185))</x:f>
      </x:c>
      <x:c r="Q185" s="58" t="str">
        <x:f>IF($P185="","",INDEX('04_Tarifmodell'!$B$6:$B$12,$P185+4))</x:f>
      </x:c>
      <x:c r="R185" s="64" t="str">
        <x:f>IF($P185="","",INDEX('04_Tarifmodell'!$C$6:$C$12,$P185+4))</x:f>
      </x:c>
      <x:c r="S185" s="14" t="str">
        <x:f>IF(OR($I185="QUALITATIVE",$I185="MANUAL_HYBRID"),IF($K185="","Assurance-Score fehlt","Assurance-bewertet"),IF($I185="BENCHMARK",IF($W185&lt;&gt;"Aktiv",IF($K185="","Benchmark fehlt","Assurance-bewertet"),IF($J185="","Messwert fehlt",IF($P185="","Nicht bewertbar","Berechnet"))),IF(AND($J185="",$K185&lt;&gt;""),"Nur Assurance-Score",IF($J185="","Messwert fehlt",IF($P185="","Nicht bewertbar",IF($P185&lt;=-2,"Kritische Wirkung / Prüfung","Berechnet"))))))</x:f>
        <x:v>Messwert fehlt</x:v>
      </x:c>
      <x:c r="T185" s="14" t="str">
        <x:v>Vollständige fünfstufige Prozentregel.</x:v>
      </x:c>
      <x:c r="U185" s="14" t="str">
        <x:v>≥90%:+3; 70–89%:+2; 50–69%:0; 30–49%:‑2; &lt;30%:‑3</x:v>
      </x:c>
      <x:c r="V185" s="14" t="str">
        <x:v>ESRS E1, ISO 50001 (EnMS), ISO/IEC 30134‑2 (PUE), EU EPBD</x:v>
      </x:c>
      <x:c r="W185" s="14" t="str">
        <x:f>'02_Benchmarks'!$P185</x:f>
        <x:v>Optional – kein aktiver Benchmark</x:v>
      </x:c>
      <x:c r="X185" s="14" t="str">
        <x:v>Messgrundlage belegt; Schwellenkalibrierung offen</x:v>
      </x:c>
      <x:c r="Y185" s="14" t="str">
        <x:v>Mittel</x:v>
      </x:c>
      <x:c r="Z185" s="14" t="str">
        <x:v>Arbeitskalibrierung – fachlich zu validieren</x:v>
      </x:c>
      <x:c r="AA185" s="14" t="str">
        <x:v>Standort/Prozess/Aktivität; Bezugsgröße und relevante Umweltmedien</x:v>
      </x:c>
      <x:c r="AB185" s="14" t="str">
        <x:v>Primärdaten bevorzugt; Sekundärdaten nur transparent und versioniert; Methode und Systemgrenze dokumentieren</x:v>
      </x:c>
      <x:c r="AC185" s="14" t="str">
        <x:v>Limited Assurance; risikobasiert höhere Prüftiefe</x:v>
      </x:c>
    </x:row>
    <x:row r="186" ht="42" customHeight="1">
      <x:c r="A186" s="14" t="str">
        <x:v>WOK-E-144</x:v>
      </x:c>
      <x:c r="B186" s="14" t="str">
        <x:v>SDG 7 – Energie</x:v>
      </x:c>
      <x:c r="C186" s="14" t="str">
        <x:v>7.3</x:v>
      </x:c>
      <x:c r="D186" s="14" t="str">
        <x:v>Netzverluste/IT‑Effizienz</x:v>
      </x:c>
      <x:c r="E186" s="14" t="str">
        <x:v>Netzverluste/IT‑Effizienz – Intensität</x:v>
      </x:c>
      <x:c r="F186" s="14" t="str">
        <x:v>kWh/€ Mio bzw. kWh/t</x:v>
      </x:c>
      <x:c r="G186" s="14" t="str">
        <x:v>lower_is_better</x:v>
      </x:c>
      <x:c r="H186" s="14" t="str">
        <x:v>R06</x:v>
      </x:c>
      <x:c r="I186" s="14" t="str">
        <x:v>BENCHMARK</x:v>
      </x:c>
      <x:c r="J186" s="51"/>
      <x:c r="K186" s="51"/>
      <x:c r="L186" s="51"/>
      <x:c r="M186" s="54"/>
      <x:c r="N186" s="58" t="str">
        <x:f>""</x:f>
      </x:c>
      <x:c r="O186" s="58" t="str">
        <x:f>IF($J186="","",IF(OR('02_Benchmarks'!$P186&lt;&gt;"Aktiv",COUNT('02_Benchmarks'!$J186:$M186)&lt;4),"",IF($G186="lower_is_better",IF($J186&lt;='02_Benchmarks'!$J186,3,IF($J186&lt;'02_Benchmarks'!$K186,2,IF($J186&lt;='02_Benchmarks'!$L186,0,IF($J186&lt;='02_Benchmarks'!$M186,-2,-3)))),IF($J186&gt;='02_Benchmarks'!$J186,3,IF($J186&gt;'02_Benchmarks'!$K186,2,IF($J186&gt;='02_Benchmarks'!$L186,0,IF($J186&gt;='02_Benchmarks'!$M186,-2,-3)))))))</x:f>
      </x:c>
      <x:c r="P186" s="58" t="str">
        <x:f>IF(COUNT($N186:$O186)+IF(ISNUMBER($K186),1,0)=0,"",MIN($N186:$O186,$K186))</x:f>
      </x:c>
      <x:c r="Q186" s="58" t="str">
        <x:f>IF($P186="","",INDEX('04_Tarifmodell'!$B$6:$B$12,$P186+4))</x:f>
      </x:c>
      <x:c r="R186" s="64" t="str">
        <x:f>IF($P186="","",INDEX('04_Tarifmodell'!$C$6:$C$12,$P186+4))</x:f>
      </x:c>
      <x:c r="S186" s="14" t="str">
        <x:f>IF(OR($I186="QUALITATIVE",$I186="MANUAL_HYBRID"),IF($K186="","Assurance-Score fehlt","Assurance-bewertet"),IF($I186="BENCHMARK",IF($W186&lt;&gt;"Aktiv",IF($K186="","Benchmark fehlt","Assurance-bewertet"),IF($J186="","Messwert fehlt",IF($P186="","Nicht bewertbar","Berechnet"))),IF(AND($J186="",$K186&lt;&gt;""),"Nur Assurance-Score",IF($J186="","Messwert fehlt",IF($P186="","Nicht bewertbar",IF($P186&lt;=-2,"Kritische Wirkung / Prüfung","Berechnet"))))))</x:f>
        <x:v>Benchmark fehlt</x:v>
      </x:c>
      <x:c r="T186" s="14" t="str">
        <x:v>Top-10-Prozent, Mittelwert, 150 % und 250 % müssen aus einer dokumentierten Grundgesamtheit stammen.</x:v>
      </x:c>
      <x:c r="U186" s="14" t="str">
        <x:v>Top‑10%:+3; Mittel:0; &gt;150%:‑2; &gt;250%:‑3</x:v>
      </x:c>
      <x:c r="V186" s="14" t="str">
        <x:v>ESRS E1, ISO 50001 (EnMS), ISO/IEC 30134‑2 (PUE), EU EPBD</x:v>
      </x:c>
      <x:c r="W186" s="14" t="str">
        <x:f>'02_Benchmarks'!$P186</x:f>
        <x:v>Offen – validierter Benchmark fehlt</x:v>
      </x:c>
      <x:c r="X186" s="14" t="str">
        <x:v>Teilbelegt – Benchmarkquelle fehlt</x:v>
      </x:c>
      <x:c r="Y186" s="14" t="str">
        <x:v>Hoch</x:v>
      </x:c>
      <x:c r="Z186" s="14" t="str">
        <x:v>Validierter Benchmark fehlt</x:v>
      </x:c>
      <x:c r="AA186" s="14" t="str">
        <x:v>Standort/Prozess/Aktivität; Bezugsgröße und relevante Umweltmedien</x:v>
      </x:c>
      <x:c r="AB186" s="14" t="str">
        <x:v>Primärdaten plus repräsentativer, versionierter Benchmarkdatensatz; Stichprobe und Population offenlegen</x:v>
      </x:c>
      <x:c r="AC186" s="14" t="str">
        <x:v>Messwert-Assurance und unabhängige Benchmark-Governance</x:v>
      </x:c>
    </x:row>
    <x:row r="187" ht="42" customHeight="1">
      <x:c r="A187" s="14" t="str">
        <x:v>WOK-E-145</x:v>
      </x:c>
      <x:c r="B187" s="14" t="str">
        <x:v>SDG 7 – Energie</x:v>
      </x:c>
      <x:c r="C187" s="14" t="str">
        <x:v>7.3</x:v>
      </x:c>
      <x:c r="D187" s="14" t="str">
        <x:v>Netzverluste/IT‑Effizienz</x:v>
      </x:c>
      <x:c r="E187" s="14" t="str">
        <x:v>Netzverluste/IT‑Effizienz – Effizienz (PUE)*</x:v>
      </x:c>
      <x:c r="F187" s="14" t="str">
        <x:v>PUE</x:v>
      </x:c>
      <x:c r="G187" s="14" t="str">
        <x:v>lower_is_better</x:v>
      </x:c>
      <x:c r="H187" s="14" t="str">
        <x:v>R09</x:v>
      </x:c>
      <x:c r="I187" s="14" t="str">
        <x:v>NUM_LOW</x:v>
      </x:c>
      <x:c r="J187" s="51"/>
      <x:c r="K187" s="51"/>
      <x:c r="L187" s="51"/>
      <x:c r="M187" s="54"/>
      <x:c r="N187" s="58" t="str">
        <x:f>IF($J187="","",IF($J187&lt;=1.2,3,IF($J187&lt;=1.4,2,IF($J187&lt;=1.6,0,IF($J187&lt;=1.8,-2,-3)))))</x:f>
      </x:c>
      <x:c r="O187" s="58" t="str">
        <x:f>IF($J187="","",IF(OR('02_Benchmarks'!$P187&lt;&gt;"Aktiv",COUNT('02_Benchmarks'!$J187:$M187)&lt;4),"",IF($G187="lower_is_better",IF($J187&lt;='02_Benchmarks'!$J187,3,IF($J187&lt;'02_Benchmarks'!$K187,2,IF($J187&lt;='02_Benchmarks'!$L187,0,IF($J187&lt;='02_Benchmarks'!$M187,-2,-3)))),IF($J187&gt;='02_Benchmarks'!$J187,3,IF($J187&gt;'02_Benchmarks'!$K187,2,IF($J187&gt;='02_Benchmarks'!$L187,0,IF($J187&gt;='02_Benchmarks'!$M187,-2,-3)))))))</x:f>
      </x:c>
      <x:c r="P187" s="58" t="str">
        <x:f>IF(COUNT($N187:$O187)+IF(ISNUMBER($K187),1,0)=0,"",MIN($N187:$O187,$K187))</x:f>
      </x:c>
      <x:c r="Q187" s="58" t="str">
        <x:f>IF($P187="","",INDEX('04_Tarifmodell'!$B$6:$B$12,$P187+4))</x:f>
      </x:c>
      <x:c r="R187" s="64" t="str">
        <x:f>IF($P187="","",INDEX('04_Tarifmodell'!$C$6:$C$12,$P187+4))</x:f>
      </x:c>
      <x:c r="S187" s="14" t="str">
        <x:f>IF(OR($I187="QUALITATIVE",$I187="MANUAL_HYBRID"),IF($K187="","Assurance-Score fehlt","Assurance-bewertet"),IF($I187="BENCHMARK",IF($W187&lt;&gt;"Aktiv",IF($K187="","Benchmark fehlt","Assurance-bewertet"),IF($J187="","Messwert fehlt",IF($P187="","Nicht bewertbar","Berechnet"))),IF(AND($J187="",$K187&lt;&gt;""),"Nur Assurance-Score",IF($J187="","Messwert fehlt",IF($P187="","Nicht bewertbar",IF($P187&lt;=-2,"Kritische Wirkung / Prüfung","Berechnet"))))))</x:f>
        <x:v>Messwert fehlt</x:v>
      </x:c>
      <x:c r="T187" s="14" t="str">
        <x:v>Klimazone und Rechenzentrumstyp sind bei der Validierung zu berücksichtigen.</x:v>
      </x:c>
      <x:c r="U187" s="14" t="str">
        <x:v>≤1,2:+3; 1,21–1,4:+2; 1,41–1,6:0; 1,61–1,8:‑2; &gt;1,8:‑3</x:v>
      </x:c>
      <x:c r="V187" s="14" t="str">
        <x:v>ESRS E1, ISO 50001 (EnMS), ISO/IEC 30134‑2 (PUE), EU EPBD</x:v>
      </x:c>
      <x:c r="W187" s="14" t="str">
        <x:f>'02_Benchmarks'!$P187</x:f>
        <x:v>Optional – kein aktiver Benchmark</x:v>
      </x:c>
      <x:c r="X187" s="14" t="str">
        <x:v>Messgrundlage belegt; Schwellenkalibrierung offen</x:v>
      </x:c>
      <x:c r="Y187" s="14" t="str">
        <x:v>Mittel</x:v>
      </x:c>
      <x:c r="Z187" s="14" t="str">
        <x:v>Messstandard belegt; Klassen sind WÖk-Kalibrierung</x:v>
      </x:c>
      <x:c r="AA187" s="14" t="str">
        <x:v>Standort/Prozess/Aktivität; Bezugsgröße und relevante Umweltmedien</x:v>
      </x:c>
      <x:c r="AB187" s="14" t="str">
        <x:v>Primärdaten bevorzugt; Sekundärdaten nur transparent und versioniert; Methode und Systemgrenze dokumentieren</x:v>
      </x:c>
      <x:c r="AC187" s="14" t="str">
        <x:v>Limited Assurance; risikobasiert höhere Prüftiefe</x:v>
      </x:c>
    </x:row>
    <x:row r="188" ht="42" customHeight="1">
      <x:c r="A188" s="14" t="str">
        <x:v>WOK-SC-113</x:v>
      </x:c>
      <x:c r="B188" s="14" t="str">
        <x:v>SDG 7 – Energie</x:v>
      </x:c>
      <x:c r="C188" s="14" t="str">
        <x:v>7.3</x:v>
      </x:c>
      <x:c r="D188" s="14" t="str">
        <x:v>Energie‑Daten in Lieferkette</x:v>
      </x:c>
      <x:c r="E188" s="14" t="str">
        <x:v>Energie‑Daten in Lieferkette – ESG‑Spend‑Coverage</x:v>
      </x:c>
      <x:c r="F188" s="14" t="str">
        <x:v>%</x:v>
      </x:c>
      <x:c r="G188" s="14" t="str">
        <x:v>higher_is_better</x:v>
      </x:c>
      <x:c r="H188" s="14" t="str">
        <x:v>R26</x:v>
      </x:c>
      <x:c r="I188" s="14" t="str">
        <x:v>NUM_HIGH</x:v>
      </x:c>
      <x:c r="J188" s="51"/>
      <x:c r="K188" s="51"/>
      <x:c r="L188" s="51"/>
      <x:c r="M188" s="54"/>
      <x:c r="N188" s="58" t="str">
        <x:f>IF($J188="","",IF($J188&lt;30,-3,IF($J188&lt;50,-2,IF($J188&lt;70,0,IF($J188&lt;90,2,3)))))</x:f>
      </x:c>
      <x:c r="O188" s="58" t="str">
        <x:f>IF($J188="","",IF(OR('02_Benchmarks'!$P188&lt;&gt;"Aktiv",COUNT('02_Benchmarks'!$J188:$M188)&lt;4),"",IF($G188="lower_is_better",IF($J188&lt;='02_Benchmarks'!$J188,3,IF($J188&lt;'02_Benchmarks'!$K188,2,IF($J188&lt;='02_Benchmarks'!$L188,0,IF($J188&lt;='02_Benchmarks'!$M188,-2,-3)))),IF($J188&gt;='02_Benchmarks'!$J188,3,IF($J188&gt;'02_Benchmarks'!$K188,2,IF($J188&gt;='02_Benchmarks'!$L188,0,IF($J188&gt;='02_Benchmarks'!$M188,-2,-3)))))))</x:f>
      </x:c>
      <x:c r="P188" s="58" t="str">
        <x:f>IF(COUNT($N188:$O188)+IF(ISNUMBER($K188),1,0)=0,"",MIN($N188:$O188,$K188))</x:f>
      </x:c>
      <x:c r="Q188" s="58" t="str">
        <x:f>IF($P188="","",INDEX('04_Tarifmodell'!$B$6:$B$12,$P188+4))</x:f>
      </x:c>
      <x:c r="R188" s="64" t="str">
        <x:f>IF($P188="","",INDEX('04_Tarifmodell'!$C$6:$C$12,$P188+4))</x:f>
      </x:c>
      <x:c r="S188" s="14" t="str">
        <x:f>IF(OR($I188="QUALITATIVE",$I188="MANUAL_HYBRID"),IF($K188="","Assurance-Score fehlt","Assurance-bewertet"),IF($I188="BENCHMARK",IF($W188&lt;&gt;"Aktiv",IF($K188="","Benchmark fehlt","Assurance-bewertet"),IF($J188="","Messwert fehlt",IF($P188="","Nicht bewertbar","Berechnet"))),IF(AND($J188="",$K188&lt;&gt;""),"Nur Assurance-Score",IF($J188="","Messwert fehlt",IF($P188="","Nicht bewertbar",IF($P188&lt;=-2,"Kritische Wirkung / Prüfung","Berechnet"))))))</x:f>
        <x:v>Messwert fehlt</x:v>
      </x:c>
      <x:c r="T188" s="14" t="str">
        <x:v>Vollständige fünfstufige numerische Regel.</x:v>
      </x:c>
      <x:c r="U188" s="14" t="str">
        <x:v>≥90:+3; 70–89:+2; 50–69:0; 30–49:‑2; &lt;30:‑3</x:v>
      </x:c>
      <x:c r="V188" s="14" t="str">
        <x:v>ESRS E1, ISO 50001 (EnMS), ISO/IEC 30134‑2 (PUE), EU EPBD</x:v>
      </x:c>
      <x:c r="W188" s="14" t="str">
        <x:f>'02_Benchmarks'!$P188</x:f>
        <x:v>Optional – kein aktiver Benchmark</x:v>
      </x:c>
      <x:c r="X188" s="14" t="str">
        <x:v>Messgrundlage belegt; Schwellenkalibrierung offen</x:v>
      </x:c>
      <x:c r="Y188" s="14" t="str">
        <x:v>Mittel</x:v>
      </x:c>
      <x:c r="Z188" s="14" t="str">
        <x:v>Arbeitskalibrierung – fachlich zu validieren</x:v>
      </x:c>
      <x:c r="AA188" s="14" t="str">
        <x:v>Vorgelagerte Lieferkette; relevante Tier-Stufen und Beschaffungsvolumen</x:v>
      </x:c>
      <x:c r="AB188" s="14" t="str">
        <x:v>Primärdaten bevorzugt; Sekundärdaten nur transparent und versioniert; Methode und Systemgrenze dokumentieren</x:v>
      </x:c>
      <x:c r="AC188" s="14" t="str">
        <x:v>Limited Assurance; risikobasiert höhere Prüftiefe</x:v>
      </x:c>
    </x:row>
    <x:row r="189" ht="42" customHeight="1">
      <x:c r="A189" s="14" t="str">
        <x:v>WOK-SC-114</x:v>
      </x:c>
      <x:c r="B189" s="14" t="str">
        <x:v>SDG 7 – Energie</x:v>
      </x:c>
      <x:c r="C189" s="14" t="str">
        <x:v>7.3</x:v>
      </x:c>
      <x:c r="D189" s="14" t="str">
        <x:v>Energie‑Daten in Lieferkette</x:v>
      </x:c>
      <x:c r="E189" s="14" t="str">
        <x:v>Energie‑Daten in Lieferkette – Kinder/Zwangsarbeit</x:v>
      </x:c>
      <x:c r="F189" s="14" t="str">
        <x:v>% Lieferanten</x:v>
      </x:c>
      <x:c r="G189" s="14" t="str">
        <x:v>higher_is_better</x:v>
      </x:c>
      <x:c r="H189" s="14" t="str">
        <x:v>R28</x:v>
      </x:c>
      <x:c r="I189" s="14" t="str">
        <x:v>NUM_HIGH</x:v>
      </x:c>
      <x:c r="J189" s="51"/>
      <x:c r="K189" s="51"/>
      <x:c r="L189" s="51"/>
      <x:c r="M189" s="54"/>
      <x:c r="N189" s="58" t="str">
        <x:f>IF($J189="","",IF($J189&lt;50,-3,IF($J189&lt;75,-2,IF($J189&lt;90,0,IF($J189&lt;98,2,3)))))</x:f>
      </x:c>
      <x:c r="O189" s="58" t="str">
        <x:f>IF($J189="","",IF(OR('02_Benchmarks'!$P189&lt;&gt;"Aktiv",COUNT('02_Benchmarks'!$J189:$M189)&lt;4),"",IF($G189="lower_is_better",IF($J189&lt;='02_Benchmarks'!$J189,3,IF($J189&lt;'02_Benchmarks'!$K189,2,IF($J189&lt;='02_Benchmarks'!$L189,0,IF($J189&lt;='02_Benchmarks'!$M189,-2,-3)))),IF($J189&gt;='02_Benchmarks'!$J189,3,IF($J189&gt;'02_Benchmarks'!$K189,2,IF($J189&gt;='02_Benchmarks'!$L189,0,IF($J189&gt;='02_Benchmarks'!$M189,-2,-3)))))))</x:f>
      </x:c>
      <x:c r="P189" s="58" t="str">
        <x:f>IF(COUNT($N189:$O189)+IF(ISNUMBER($K189),1,0)=0,"",MIN($N189:$O189,$K189))</x:f>
      </x:c>
      <x:c r="Q189" s="58" t="str">
        <x:f>IF($P189="","",INDEX('04_Tarifmodell'!$B$6:$B$12,$P189+4))</x:f>
      </x:c>
      <x:c r="R189" s="64" t="str">
        <x:f>IF($P189="","",INDEX('04_Tarifmodell'!$C$6:$C$12,$P189+4))</x:f>
      </x:c>
      <x:c r="S189" s="14" t="str">
        <x:f>IF(OR($I189="QUALITATIVE",$I189="MANUAL_HYBRID"),IF($K189="","Assurance-Score fehlt","Assurance-bewertet"),IF($I189="BENCHMARK",IF($W189&lt;&gt;"Aktiv",IF($K189="","Benchmark fehlt","Assurance-bewertet"),IF($J189="","Messwert fehlt",IF($P189="","Nicht bewertbar","Berechnet"))),IF(AND($J189="",$K189&lt;&gt;""),"Nur Assurance-Score",IF($J189="","Messwert fehlt",IF($P189="","Nicht bewertbar",IF($P189&lt;=-2,"Kritische Wirkung / Prüfung","Berechnet"))))))</x:f>
        <x:v>Messwert fehlt</x:v>
      </x:c>
      <x:c r="T189" s="14" t="str">
        <x:v>Vollständige fünfstufige numerische Regel.</x:v>
      </x:c>
      <x:c r="U189" s="14" t="str">
        <x:v>≥98:+3; 90–97:+2; 75–89:0; 50–74:‑2; &lt;50:‑3</x:v>
      </x:c>
      <x:c r="V189" s="14" t="str">
        <x:v>ESRS E1, ISO 50001 (EnMS), ISO/IEC 30134‑2 (PUE), EU EPBD</x:v>
      </x:c>
      <x:c r="W189" s="14" t="str">
        <x:f>'02_Benchmarks'!$P189</x:f>
        <x:v>Optional – kein aktiver Benchmark</x:v>
      </x:c>
      <x:c r="X189" s="14" t="str">
        <x:v>Messgrundlage belegt; Schwellenkalibrierung offen</x:v>
      </x:c>
      <x:c r="Y189" s="14" t="str">
        <x:v>Mittel</x:v>
      </x:c>
      <x:c r="Z189" s="14" t="str">
        <x:v>Arbeitskalibrierung – fachlich zu validieren</x:v>
      </x:c>
      <x:c r="AA189" s="14" t="str">
        <x:v>Vorgelagerte Lieferkette; relevante Tier-Stufen und Beschaffungsvolumen</x:v>
      </x:c>
      <x:c r="AB189" s="14" t="str">
        <x:v>Primärdaten bevorzugt; Sekundärdaten nur transparent und versioniert; Methode und Systemgrenze dokumentieren</x:v>
      </x:c>
      <x:c r="AC189" s="14" t="str">
        <x:v>Limited Assurance; risikobasiert höhere Prüftiefe</x:v>
      </x:c>
    </x:row>
    <x:row r="190" ht="42" customHeight="1">
      <x:c r="A190" s="14" t="str">
        <x:v>WOK-SC-115</x:v>
      </x:c>
      <x:c r="B190" s="14" t="str">
        <x:v>SDG 7 – Energie</x:v>
      </x:c>
      <x:c r="C190" s="14" t="str">
        <x:v>7.3</x:v>
      </x:c>
      <x:c r="D190" s="14" t="str">
        <x:v>Energie‑Daten in Lieferkette</x:v>
      </x:c>
      <x:c r="E190" s="14" t="str">
        <x:v>Energie‑Daten in Lieferkette – Scope‑3 Daten</x:v>
      </x:c>
      <x:c r="F190" s="14" t="str">
        <x:v>% Kategorien</x:v>
      </x:c>
      <x:c r="G190" s="14" t="str">
        <x:v>higher_is_better</x:v>
      </x:c>
      <x:c r="H190" s="14" t="str">
        <x:v>R23</x:v>
      </x:c>
      <x:c r="I190" s="14" t="str">
        <x:v>NUM_HIGH</x:v>
      </x:c>
      <x:c r="J190" s="51"/>
      <x:c r="K190" s="51"/>
      <x:c r="L190" s="51"/>
      <x:c r="M190" s="54"/>
      <x:c r="N190" s="58" t="str">
        <x:f>IF($J190="","",IF($J190&lt;20,-3,IF($J190&lt;40,-2,IF($J190&lt;60,0,IF($J190&lt;80,2,3)))))</x:f>
      </x:c>
      <x:c r="O190" s="58" t="str">
        <x:f>IF($J190="","",IF(OR('02_Benchmarks'!$P190&lt;&gt;"Aktiv",COUNT('02_Benchmarks'!$J190:$M190)&lt;4),"",IF($G190="lower_is_better",IF($J190&lt;='02_Benchmarks'!$J190,3,IF($J190&lt;'02_Benchmarks'!$K190,2,IF($J190&lt;='02_Benchmarks'!$L190,0,IF($J190&lt;='02_Benchmarks'!$M190,-2,-3)))),IF($J190&gt;='02_Benchmarks'!$J190,3,IF($J190&gt;'02_Benchmarks'!$K190,2,IF($J190&gt;='02_Benchmarks'!$L190,0,IF($J190&gt;='02_Benchmarks'!$M190,-2,-3)))))))</x:f>
      </x:c>
      <x:c r="P190" s="58" t="str">
        <x:f>IF(COUNT($N190:$O190)+IF(ISNUMBER($K190),1,0)=0,"",MIN($N190:$O190,$K190))</x:f>
      </x:c>
      <x:c r="Q190" s="58" t="str">
        <x:f>IF($P190="","",INDEX('04_Tarifmodell'!$B$6:$B$12,$P190+4))</x:f>
      </x:c>
      <x:c r="R190" s="64" t="str">
        <x:f>IF($P190="","",INDEX('04_Tarifmodell'!$C$6:$C$12,$P190+4))</x:f>
      </x:c>
      <x:c r="S190" s="14" t="str">
        <x:f>IF(OR($I190="QUALITATIVE",$I190="MANUAL_HYBRID"),IF($K190="","Assurance-Score fehlt","Assurance-bewertet"),IF($I190="BENCHMARK",IF($W190&lt;&gt;"Aktiv",IF($K190="","Benchmark fehlt","Assurance-bewertet"),IF($J190="","Messwert fehlt",IF($P190="","Nicht bewertbar","Berechnet"))),IF(AND($J190="",$K190&lt;&gt;""),"Nur Assurance-Score",IF($J190="","Messwert fehlt",IF($P190="","Nicht bewertbar",IF($P190&lt;=-2,"Kritische Wirkung / Prüfung","Berechnet"))))))</x:f>
        <x:v>Messwert fehlt</x:v>
      </x:c>
      <x:c r="T190" s="14" t="str">
        <x:v>Vollständige fünfstufige numerische Regel.</x:v>
      </x:c>
      <x:c r="U190" s="14" t="str">
        <x:v>≥80:+3; 60–79:+2; 40–59:0; 20–39:‑2; &lt;20:‑3</x:v>
      </x:c>
      <x:c r="V190" s="14" t="str">
        <x:v>ESRS E1, GHG Protocol (Corporate/Scope 1–3), ISO 14064/14067</x:v>
      </x:c>
      <x:c r="W190" s="14" t="str">
        <x:f>'02_Benchmarks'!$P190</x:f>
        <x:v>Optional – kein aktiver Benchmark</x:v>
      </x:c>
      <x:c r="X190" s="14" t="str">
        <x:v>Messgrundlage belegt; Schwellenkalibrierung offen</x:v>
      </x:c>
      <x:c r="Y190" s="14" t="str">
        <x:v>Mittel</x:v>
      </x:c>
      <x:c r="Z190" s="14" t="str">
        <x:v>Arbeitskalibrierung – fachlich zu validieren</x:v>
      </x:c>
      <x:c r="AA190" s="14" t="str">
        <x:v>Vorgelagerte Lieferkette; relevante Tier-Stufen und Beschaffungsvolumen</x:v>
      </x:c>
      <x:c r="AB190" s="14" t="str">
        <x:v>Primärdaten bevorzugt; Sekundärdaten nur transparent und versioniert; Methode und Systemgrenze dokumentieren</x:v>
      </x:c>
      <x:c r="AC190" s="14" t="str">
        <x:v>Limited Assurance; risikobasiert höhere Prüftiefe</x:v>
      </x:c>
    </x:row>
    <x:row r="191" ht="42" customHeight="1">
      <x:c r="A191" s="14" t="str">
        <x:v>WOK-G-134</x:v>
      </x:c>
      <x:c r="B191" s="14" t="str">
        <x:v>SDG 7 – Energie</x:v>
      </x:c>
      <x:c r="C191" s="14" t="str">
        <x:v>7.2</x:v>
      </x:c>
      <x:c r="D191" s="14" t="str">
        <x:v>Transparenz/Herkunftsnachweise</x:v>
      </x:c>
      <x:c r="E191" s="14" t="str">
        <x:v>Transparenz/Herkunftsnachweise – Antikorruption</x:v>
      </x:c>
      <x:c r="F191" s="14" t="str">
        <x:v>Fälle/1.000 FTE</x:v>
      </x:c>
      <x:c r="G191" s="14" t="str">
        <x:v>lower_is_better</x:v>
      </x:c>
      <x:c r="H191" s="14" t="str">
        <x:v>R01</x:v>
      </x:c>
      <x:c r="I191" s="14" t="str">
        <x:v>NUM_LOW</x:v>
      </x:c>
      <x:c r="J191" s="51"/>
      <x:c r="K191" s="51"/>
      <x:c r="L191" s="51"/>
      <x:c r="M191" s="54"/>
      <x:c r="N191" s="58" t="str">
        <x:f>IF($J191="","",IF($J191&lt;=0,3,IF($J191&lt;=0.2,2,IF($J191&lt;=0.5,0,IF($J191&lt;=1,-2,-3)))))</x:f>
      </x:c>
      <x:c r="O191" s="58" t="str">
        <x:f>IF($J191="","",IF(OR('02_Benchmarks'!$P191&lt;&gt;"Aktiv",COUNT('02_Benchmarks'!$J191:$M191)&lt;4),"",IF($G191="lower_is_better",IF($J191&lt;='02_Benchmarks'!$J191,3,IF($J191&lt;'02_Benchmarks'!$K191,2,IF($J191&lt;='02_Benchmarks'!$L191,0,IF($J191&lt;='02_Benchmarks'!$M191,-2,-3)))),IF($J191&gt;='02_Benchmarks'!$J191,3,IF($J191&gt;'02_Benchmarks'!$K191,2,IF($J191&gt;='02_Benchmarks'!$L191,0,IF($J191&gt;='02_Benchmarks'!$M191,-2,-3)))))))</x:f>
      </x:c>
      <x:c r="P191" s="58" t="str">
        <x:f>IF(COUNT($N191:$O191)+IF(ISNUMBER($K191),1,0)=0,"",MIN($N191:$O191,$K191))</x:f>
      </x:c>
      <x:c r="Q191" s="58" t="str">
        <x:f>IF($P191="","",INDEX('04_Tarifmodell'!$B$6:$B$12,$P191+4))</x:f>
      </x:c>
      <x:c r="R191" s="64" t="str">
        <x:f>IF($P191="","",INDEX('04_Tarifmodell'!$C$6:$C$12,$P191+4))</x:f>
      </x:c>
      <x:c r="S191" s="14" t="str">
        <x:f>IF(OR($I191="QUALITATIVE",$I191="MANUAL_HYBRID"),IF($K191="","Assurance-Score fehlt","Assurance-bewertet"),IF($I191="BENCHMARK",IF($W191&lt;&gt;"Aktiv",IF($K191="","Benchmark fehlt","Assurance-bewertet"),IF($J191="","Messwert fehlt",IF($P191="","Nicht bewertbar","Berechnet"))),IF(AND($J191="",$K191&lt;&gt;""),"Nur Assurance-Score",IF($J191="","Messwert fehlt",IF($P191="","Nicht bewertbar",IF($P191&lt;=-2,"Kritische Wirkung / Prüfung","Berechnet"))))))</x:f>
        <x:v>Messwert fehlt</x:v>
      </x:c>
      <x:c r="T191" s="14" t="str">
        <x:v>Vollständige fünfstufige numerische Regel.</x:v>
      </x:c>
      <x:c r="U191" s="14" t="str">
        <x:v>0:+3; ≤0,2:+2; ≤0,5:0; ≤1:‑2; &gt;1:‑3</x:v>
      </x:c>
      <x:c r="V191" s="14" t="str">
        <x:v>ESRS G1, GRI 205/207, OECD Anti‑Bribery</x:v>
      </x:c>
      <x:c r="W191" s="14" t="str">
        <x:f>'02_Benchmarks'!$P191</x:f>
        <x:v>Optional – kein aktiver Benchmark</x:v>
      </x:c>
      <x:c r="X191" s="14" t="str">
        <x:v>Messgrundlage belegt; Schwellenkalibrierung offen</x:v>
      </x:c>
      <x:c r="Y191" s="14" t="str">
        <x:v>Mittel</x:v>
      </x:c>
      <x:c r="Z191" s="14" t="str">
        <x:v>Arbeitskalibrierung – fachlich zu validieren</x:v>
      </x:c>
      <x:c r="AA191" s="14" t="str">
        <x:v>Organisation/Governance; konsolidierter Kreis und relevante Rechtseinheiten</x:v>
      </x:c>
      <x:c r="AB191" s="14" t="str">
        <x:v>Primärdaten bevorzugt; Sekundärdaten nur transparent und versioniert; Methode und Systemgrenze dokumentieren</x:v>
      </x:c>
      <x:c r="AC191" s="14" t="str">
        <x:v>Limited Assurance; risikobasiert höhere Prüftiefe</x:v>
      </x:c>
    </x:row>
    <x:row r="192" ht="42" customHeight="1">
      <x:c r="A192" s="14" t="str">
        <x:v>WOK-G-135</x:v>
      </x:c>
      <x:c r="B192" s="14" t="str">
        <x:v>SDG 7 – Energie</x:v>
      </x:c>
      <x:c r="C192" s="14" t="str">
        <x:v>7.2</x:v>
      </x:c>
      <x:c r="D192" s="14" t="str">
        <x:v>Transparenz/Herkunftsnachweise</x:v>
      </x:c>
      <x:c r="E192" s="14" t="str">
        <x:v>Transparenz/Herkunftsnachweise – Whistleblowing</x:v>
      </x:c>
      <x:c r="F192" s="14" t="str">
        <x:v>0–1</x:v>
      </x:c>
      <x:c r="G192" s="14" t="str">
        <x:v>higher_is_better</x:v>
      </x:c>
      <x:c r="H192" s="14" t="str">
        <x:v>R16</x:v>
      </x:c>
      <x:c r="I192" s="14" t="str">
        <x:v>NUM_HIGH</x:v>
      </x:c>
      <x:c r="J192" s="51"/>
      <x:c r="K192" s="51"/>
      <x:c r="L192" s="51"/>
      <x:c r="M192" s="54"/>
      <x:c r="N192" s="58" t="str">
        <x:f>IF($J192="","",IF($J192&lt;0.4,-3,IF($J192&lt;0.6,-2,IF($J192&lt;0.75,0,IF($J192&lt;0.9,2,3)))))</x:f>
      </x:c>
      <x:c r="O192" s="58" t="str">
        <x:f>IF($J192="","",IF(OR('02_Benchmarks'!$P192&lt;&gt;"Aktiv",COUNT('02_Benchmarks'!$J192:$M192)&lt;4),"",IF($G192="lower_is_better",IF($J192&lt;='02_Benchmarks'!$J192,3,IF($J192&lt;'02_Benchmarks'!$K192,2,IF($J192&lt;='02_Benchmarks'!$L192,0,IF($J192&lt;='02_Benchmarks'!$M192,-2,-3)))),IF($J192&gt;='02_Benchmarks'!$J192,3,IF($J192&gt;'02_Benchmarks'!$K192,2,IF($J192&gt;='02_Benchmarks'!$L192,0,IF($J192&gt;='02_Benchmarks'!$M192,-2,-3)))))))</x:f>
      </x:c>
      <x:c r="P192" s="58" t="str">
        <x:f>IF(COUNT($N192:$O192)+IF(ISNUMBER($K192),1,0)=0,"",MIN($N192:$O192,$K192))</x:f>
      </x:c>
      <x:c r="Q192" s="58" t="str">
        <x:f>IF($P192="","",INDEX('04_Tarifmodell'!$B$6:$B$12,$P192+4))</x:f>
      </x:c>
      <x:c r="R192" s="64" t="str">
        <x:f>IF($P192="","",INDEX('04_Tarifmodell'!$C$6:$C$12,$P192+4))</x:f>
      </x:c>
      <x:c r="S192" s="14" t="str">
        <x:f>IF(OR($I192="QUALITATIVE",$I192="MANUAL_HYBRID"),IF($K192="","Assurance-Score fehlt","Assurance-bewertet"),IF($I192="BENCHMARK",IF($W192&lt;&gt;"Aktiv",IF($K192="","Benchmark fehlt","Assurance-bewertet"),IF($J192="","Messwert fehlt",IF($P192="","Nicht bewertbar","Berechnet"))),IF(AND($J192="",$K192&lt;&gt;""),"Nur Assurance-Score",IF($J192="","Messwert fehlt",IF($P192="","Nicht bewertbar",IF($P192&lt;=-2,"Kritische Wirkung / Prüfung","Berechnet"))))))</x:f>
        <x:v>Messwert fehlt</x:v>
      </x:c>
      <x:c r="T192" s="14" t="str">
        <x:v>Vollständige fünfstufige numerische Regel.</x:v>
      </x:c>
      <x:c r="U192" s="14" t="str">
        <x:v>≥0,9:+3; 0,75–0,89:+2; 0,6–0,74:0; 0,4–0,59:‑2; &lt;0,4:‑3</x:v>
      </x:c>
      <x:c r="V192" s="14" t="str">
        <x:v>ESRS G1, GRI 205/207, OECD Anti‑Bribery</x:v>
      </x:c>
      <x:c r="W192" s="14" t="str">
        <x:f>'02_Benchmarks'!$P192</x:f>
        <x:v>Optional – kein aktiver Benchmark</x:v>
      </x:c>
      <x:c r="X192" s="14" t="str">
        <x:v>Messgrundlage belegt; Schwellenkalibrierung offen</x:v>
      </x:c>
      <x:c r="Y192" s="14" t="str">
        <x:v>Mittel</x:v>
      </x:c>
      <x:c r="Z192" s="14" t="str">
        <x:v>Arbeitskalibrierung – fachlich zu validieren</x:v>
      </x:c>
      <x:c r="AA192" s="14" t="str">
        <x:v>Organisation/Governance; konsolidierter Kreis und relevante Rechtseinheiten</x:v>
      </x:c>
      <x:c r="AB192" s="14" t="str">
        <x:v>Primärdaten bevorzugt; Sekundärdaten nur transparent und versioniert; Methode und Systemgrenze dokumentieren</x:v>
      </x:c>
      <x:c r="AC192" s="14" t="str">
        <x:v>Limited Assurance; risikobasiert höhere Prüftiefe</x:v>
      </x:c>
    </x:row>
    <x:row r="193" ht="42" customHeight="1">
      <x:c r="A193" s="14" t="str">
        <x:v>WOK-G-136</x:v>
      </x:c>
      <x:c r="B193" s="14" t="str">
        <x:v>SDG 7 – Energie</x:v>
      </x:c>
      <x:c r="C193" s="14" t="str">
        <x:v>7.2</x:v>
      </x:c>
      <x:c r="D193" s="14" t="str">
        <x:v>Transparenz/Herkunftsnachweise</x:v>
      </x:c>
      <x:c r="E193" s="14" t="str">
        <x:v>Transparenz/Herkunftsnachweise – Steuertransparenz</x:v>
      </x:c>
      <x:c r="F193" s="14" t="str">
        <x:v>0–1</x:v>
      </x:c>
      <x:c r="G193" s="14" t="str">
        <x:v>higher_is_better</x:v>
      </x:c>
      <x:c r="H193" s="14" t="str">
        <x:v>R08</x:v>
      </x:c>
      <x:c r="I193" s="14" t="str">
        <x:v>QUALITATIVE</x:v>
      </x:c>
      <x:c r="J193" s="51"/>
      <x:c r="K193" s="51"/>
      <x:c r="L193" s="51"/>
      <x:c r="M193" s="54"/>
      <x:c r="N193" s="58" t="str">
        <x:f>""</x:f>
      </x:c>
      <x:c r="O193" s="58" t="str">
        <x:f>IF($J193="","",IF(OR('02_Benchmarks'!$P193&lt;&gt;"Aktiv",COUNT('02_Benchmarks'!$J193:$M193)&lt;4),"",IF($G193="lower_is_better",IF($J193&lt;='02_Benchmarks'!$J193,3,IF($J193&lt;'02_Benchmarks'!$K193,2,IF($J193&lt;='02_Benchmarks'!$L193,0,IF($J193&lt;='02_Benchmarks'!$M193,-2,-3)))),IF($J193&gt;='02_Benchmarks'!$J193,3,IF($J193&gt;'02_Benchmarks'!$K193,2,IF($J193&gt;='02_Benchmarks'!$L193,0,IF($J193&gt;='02_Benchmarks'!$M193,-2,-3)))))))</x:f>
      </x:c>
      <x:c r="P193" s="58" t="str">
        <x:f>IF(COUNT($N193:$O193)+IF(ISNUMBER($K193),1,0)=0,"",MIN($N193:$O193,$K193))</x:f>
      </x:c>
      <x:c r="Q193" s="58" t="str">
        <x:f>IF($P193="","",INDEX('04_Tarifmodell'!$B$6:$B$12,$P193+4))</x:f>
      </x:c>
      <x:c r="R193" s="64" t="str">
        <x:f>IF($P193="","",INDEX('04_Tarifmodell'!$C$6:$C$12,$P193+4))</x:f>
      </x:c>
      <x:c r="S193" s="14" t="str">
        <x:f>IF(OR($I193="QUALITATIVE",$I193="MANUAL_HYBRID"),IF($K193="","Assurance-Score fehlt","Assurance-bewertet"),IF($I193="BENCHMARK",IF($W193&lt;&gt;"Aktiv",IF($K193="","Benchmark fehlt","Assurance-bewertet"),IF($J193="","Messwert fehlt",IF($P193="","Nicht bewertbar","Berechnet"))),IF(AND($J193="",$K193&lt;&gt;""),"Nur Assurance-Score",IF($J193="","Messwert fehlt",IF($P193="","Nicht bewertbar",IF($P193&lt;=-2,"Kritische Wirkung / Prüfung","Berechnet"))))))</x:f>
        <x:v>Assurance-Score fehlt</x:v>
      </x:c>
      <x:c r="T193" s="14" t="str">
        <x:v>Die Kategorie −3 fehlt; Vollständigkeit und Wirksamkeit sind feldspezifisch zu definieren.</x:v>
      </x:c>
      <x:c r="U193" s="14" t="str">
        <x:v>vollständig:+3; teilweise:+2; minimal:0; schlecht:‑2</x:v>
      </x:c>
      <x:c r="V193" s="14" t="str">
        <x:v>ESRS G1, GRI 205/207, OECD Anti‑Bribery</x:v>
      </x:c>
      <x:c r="W193" s="14" t="str">
        <x:f>'02_Benchmarks'!$P193</x:f>
        <x:v>Optional – kein aktiver Benchmark</x:v>
      </x:c>
      <x:c r="X193" s="14" t="str">
        <x:v>Messgrundlage belegt; Schwellenkalibrierung offen</x:v>
      </x:c>
      <x:c r="Y193" s="14" t="str">
        <x:v>Hoch</x:v>
      </x:c>
      <x:c r="Z193" s="14" t="str">
        <x:v>Assurance und Kriterienkatalog erforderlich</x:v>
      </x:c>
      <x:c r="AA193" s="14" t="str">
        <x:v>Organisation/Governance; konsolidierter Kreis und relevante Rechtseinheiten</x:v>
      </x:c>
      <x:c r="AB193" s="14" t="str">
        <x:v>Dokumentierter Kriterienkatalog; nachvollziehbare Evidenz; DQR A/B bevorzugt</x:v>
      </x:c>
      <x:c r="AC193" s="14" t="str">
        <x:v>Unabhängige Fachprüfung/Limited Assurance; bei roten Linien Reasonable Assurance</x:v>
      </x:c>
    </x:row>
    <x:row r="194" ht="42" customHeight="1">
      <x:c r="A194" s="14" t="str">
        <x:v>WOK-S-146</x:v>
      </x:c>
      <x:c r="B194" s="14" t="str">
        <x:v>SDG 8 – Arbeit &amp; Wachstum</x:v>
      </x:c>
      <x:c r="C194" s="14" t="str">
        <x:v>8.8</x:v>
      </x:c>
      <x:c r="D194" s="14" t="str">
        <x:v>LTIFR/Unfälle</x:v>
      </x:c>
      <x:c r="E194" s="14" t="str">
        <x:v>LTIFR/Unfälle – Living Wage</x:v>
      </x:c>
      <x:c r="F194" s="14" t="str">
        <x:v>% Beschäftigte</x:v>
      </x:c>
      <x:c r="G194" s="14" t="str">
        <x:v>higher_is_better</x:v>
      </x:c>
      <x:c r="H194" s="14" t="str">
        <x:v>R27</x:v>
      </x:c>
      <x:c r="I194" s="14" t="str">
        <x:v>NUM_HIGH</x:v>
      </x:c>
      <x:c r="J194" s="51"/>
      <x:c r="K194" s="51"/>
      <x:c r="L194" s="51"/>
      <x:c r="M194" s="54"/>
      <x:c r="N194" s="58" t="str">
        <x:f>IF($J194="","",IF($J194&lt;40,-3,IF($J194&lt;60,-2,IF($J194&lt;80,0,IF($J194&lt;95,2,3)))))</x:f>
      </x:c>
      <x:c r="O194" s="58" t="str">
        <x:f>IF($J194="","",IF(OR('02_Benchmarks'!$P194&lt;&gt;"Aktiv",COUNT('02_Benchmarks'!$J194:$M194)&lt;4),"",IF($G194="lower_is_better",IF($J194&lt;='02_Benchmarks'!$J194,3,IF($J194&lt;'02_Benchmarks'!$K194,2,IF($J194&lt;='02_Benchmarks'!$L194,0,IF($J194&lt;='02_Benchmarks'!$M194,-2,-3)))),IF($J194&gt;='02_Benchmarks'!$J194,3,IF($J194&gt;'02_Benchmarks'!$K194,2,IF($J194&gt;='02_Benchmarks'!$L194,0,IF($J194&gt;='02_Benchmarks'!$M194,-2,-3)))))))</x:f>
      </x:c>
      <x:c r="P194" s="58" t="str">
        <x:f>IF(COUNT($N194:$O194)+IF(ISNUMBER($K194),1,0)=0,"",MIN($N194:$O194,$K194))</x:f>
      </x:c>
      <x:c r="Q194" s="58" t="str">
        <x:f>IF($P194="","",INDEX('04_Tarifmodell'!$B$6:$B$12,$P194+4))</x:f>
      </x:c>
      <x:c r="R194" s="64" t="str">
        <x:f>IF($P194="","",INDEX('04_Tarifmodell'!$C$6:$C$12,$P194+4))</x:f>
      </x:c>
      <x:c r="S194" s="14" t="str">
        <x:f>IF(OR($I194="QUALITATIVE",$I194="MANUAL_HYBRID"),IF($K194="","Assurance-Score fehlt","Assurance-bewertet"),IF($I194="BENCHMARK",IF($W194&lt;&gt;"Aktiv",IF($K194="","Benchmark fehlt","Assurance-bewertet"),IF($J194="","Messwert fehlt",IF($P194="","Nicht bewertbar","Berechnet"))),IF(AND($J194="",$K194&lt;&gt;""),"Nur Assurance-Score",IF($J194="","Messwert fehlt",IF($P194="","Nicht bewertbar",IF($P194&lt;=-2,"Kritische Wirkung / Prüfung","Berechnet"))))))</x:f>
        <x:v>Messwert fehlt</x:v>
      </x:c>
      <x:c r="T194" s="14" t="str">
        <x:v>Vollständige fünfstufige numerische Regel.</x:v>
      </x:c>
      <x:c r="U194" s="14" t="str">
        <x:v>≥95:+3; 80–94:+2; 60–79:0; 40–59:‑2; &lt;40:‑3</x:v>
      </x:c>
      <x:c r="V194" s="14" t="str">
        <x:v>ESRS S1, GRI 401/403/405/406, ILO</x:v>
      </x:c>
      <x:c r="W194" s="14" t="str">
        <x:f>'02_Benchmarks'!$P194</x:f>
        <x:v>Optional – kein aktiver Benchmark</x:v>
      </x:c>
      <x:c r="X194" s="14" t="str">
        <x:v>Messgrundlage belegt; Schwellenkalibrierung offen</x:v>
      </x:c>
      <x:c r="Y194" s="14" t="str">
        <x:v>Mittel</x:v>
      </x:c>
      <x:c r="Z194" s="14" t="str">
        <x:v>Arbeitskalibrierung – fachlich zu validieren</x:v>
      </x:c>
      <x:c r="AA194" s="14" t="str">
        <x:v>Eigene Belegschaft/Organisation; FTE, Beschäftigtengruppe und Zeitraum</x:v>
      </x:c>
      <x:c r="AB194" s="14" t="str">
        <x:v>Primärdaten bevorzugt; Sekundärdaten nur transparent und versioniert; Methode und Systemgrenze dokumentieren</x:v>
      </x:c>
      <x:c r="AC194" s="14" t="str">
        <x:v>Limited Assurance; risikobasiert höhere Prüftiefe</x:v>
      </x:c>
    </x:row>
    <x:row r="195" ht="42" customHeight="1">
      <x:c r="A195" s="14" t="str">
        <x:v>WOK-S-147</x:v>
      </x:c>
      <x:c r="B195" s="14" t="str">
        <x:v>SDG 8 – Arbeit &amp; Wachstum</x:v>
      </x:c>
      <x:c r="C195" s="14" t="str">
        <x:v>8.8</x:v>
      </x:c>
      <x:c r="D195" s="14" t="str">
        <x:v>LTIFR/Unfälle</x:v>
      </x:c>
      <x:c r="E195" s="14" t="str">
        <x:v>LTIFR/Unfälle – Tarifbindung</x:v>
      </x:c>
      <x:c r="F195" s="14" t="str">
        <x:v>%</x:v>
      </x:c>
      <x:c r="G195" s="14" t="str">
        <x:v>higher_is_better</x:v>
      </x:c>
      <x:c r="H195" s="14" t="str">
        <x:v>R26</x:v>
      </x:c>
      <x:c r="I195" s="14" t="str">
        <x:v>NUM_HIGH</x:v>
      </x:c>
      <x:c r="J195" s="51"/>
      <x:c r="K195" s="51"/>
      <x:c r="L195" s="51"/>
      <x:c r="M195" s="54"/>
      <x:c r="N195" s="58" t="str">
        <x:f>IF($J195="","",IF($J195&lt;30,-3,IF($J195&lt;50,-2,IF($J195&lt;70,0,IF($J195&lt;90,2,3)))))</x:f>
      </x:c>
      <x:c r="O195" s="58" t="str">
        <x:f>IF($J195="","",IF(OR('02_Benchmarks'!$P195&lt;&gt;"Aktiv",COUNT('02_Benchmarks'!$J195:$M195)&lt;4),"",IF($G195="lower_is_better",IF($J195&lt;='02_Benchmarks'!$J195,3,IF($J195&lt;'02_Benchmarks'!$K195,2,IF($J195&lt;='02_Benchmarks'!$L195,0,IF($J195&lt;='02_Benchmarks'!$M195,-2,-3)))),IF($J195&gt;='02_Benchmarks'!$J195,3,IF($J195&gt;'02_Benchmarks'!$K195,2,IF($J195&gt;='02_Benchmarks'!$L195,0,IF($J195&gt;='02_Benchmarks'!$M195,-2,-3)))))))</x:f>
      </x:c>
      <x:c r="P195" s="58" t="str">
        <x:f>IF(COUNT($N195:$O195)+IF(ISNUMBER($K195),1,0)=0,"",MIN($N195:$O195,$K195))</x:f>
      </x:c>
      <x:c r="Q195" s="58" t="str">
        <x:f>IF($P195="","",INDEX('04_Tarifmodell'!$B$6:$B$12,$P195+4))</x:f>
      </x:c>
      <x:c r="R195" s="64" t="str">
        <x:f>IF($P195="","",INDEX('04_Tarifmodell'!$C$6:$C$12,$P195+4))</x:f>
      </x:c>
      <x:c r="S195" s="14" t="str">
        <x:f>IF(OR($I195="QUALITATIVE",$I195="MANUAL_HYBRID"),IF($K195="","Assurance-Score fehlt","Assurance-bewertet"),IF($I195="BENCHMARK",IF($W195&lt;&gt;"Aktiv",IF($K195="","Benchmark fehlt","Assurance-bewertet"),IF($J195="","Messwert fehlt",IF($P195="","Nicht bewertbar","Berechnet"))),IF(AND($J195="",$K195&lt;&gt;""),"Nur Assurance-Score",IF($J195="","Messwert fehlt",IF($P195="","Nicht bewertbar",IF($P195&lt;=-2,"Kritische Wirkung / Prüfung","Berechnet"))))))</x:f>
        <x:v>Messwert fehlt</x:v>
      </x:c>
      <x:c r="T195" s="14" t="str">
        <x:v>Vollständige fünfstufige numerische Regel.</x:v>
      </x:c>
      <x:c r="U195" s="14" t="str">
        <x:v>≥90:+3; 70–89:+2; 50–69:0; 30–49:‑2; &lt;30:‑3</x:v>
      </x:c>
      <x:c r="V195" s="14" t="str">
        <x:v>ESRS S1, GRI 401/403/405/406, ILO</x:v>
      </x:c>
      <x:c r="W195" s="14" t="str">
        <x:f>'02_Benchmarks'!$P195</x:f>
        <x:v>Optional – kein aktiver Benchmark</x:v>
      </x:c>
      <x:c r="X195" s="14" t="str">
        <x:v>Messgrundlage belegt; Schwellenkalibrierung offen</x:v>
      </x:c>
      <x:c r="Y195" s="14" t="str">
        <x:v>Mittel</x:v>
      </x:c>
      <x:c r="Z195" s="14" t="str">
        <x:v>Arbeitskalibrierung – fachlich zu validieren</x:v>
      </x:c>
      <x:c r="AA195" s="14" t="str">
        <x:v>Eigene Belegschaft/Organisation; FTE, Beschäftigtengruppe und Zeitraum</x:v>
      </x:c>
      <x:c r="AB195" s="14" t="str">
        <x:v>Primärdaten bevorzugt; Sekundärdaten nur transparent und versioniert; Methode und Systemgrenze dokumentieren</x:v>
      </x:c>
      <x:c r="AC195" s="14" t="str">
        <x:v>Limited Assurance; risikobasiert höhere Prüftiefe</x:v>
      </x:c>
    </x:row>
    <x:row r="196" ht="42" customHeight="1">
      <x:c r="A196" s="14" t="str">
        <x:v>WOK-S-148</x:v>
      </x:c>
      <x:c r="B196" s="14" t="str">
        <x:v>SDG 8 – Arbeit &amp; Wachstum</x:v>
      </x:c>
      <x:c r="C196" s="14" t="str">
        <x:v>8.8</x:v>
      </x:c>
      <x:c r="D196" s="14" t="str">
        <x:v>LTIFR/Unfälle</x:v>
      </x:c>
      <x:c r="E196" s="14" t="str">
        <x:v>LTIFR/Unfälle – LTIFR</x:v>
      </x:c>
      <x:c r="F196" s="14" t="str">
        <x:v>Unfälle/Mio Std.</x:v>
      </x:c>
      <x:c r="G196" s="14" t="str">
        <x:v>lower_is_better</x:v>
      </x:c>
      <x:c r="H196" s="14" t="str">
        <x:v>R02</x:v>
      </x:c>
      <x:c r="I196" s="14" t="str">
        <x:v>NUM_LOW</x:v>
      </x:c>
      <x:c r="J196" s="51"/>
      <x:c r="K196" s="51"/>
      <x:c r="L196" s="51"/>
      <x:c r="M196" s="54"/>
      <x:c r="N196" s="58" t="str">
        <x:f>IF($J196="","",IF($J196&lt;=0,3,IF($J196&lt;=1,2,IF($J196&lt;=3,0,IF($J196&lt;=5,-2,-3)))))</x:f>
      </x:c>
      <x:c r="O196" s="58" t="str">
        <x:f>IF($J196="","",IF(OR('02_Benchmarks'!$P196&lt;&gt;"Aktiv",COUNT('02_Benchmarks'!$J196:$M196)&lt;4),"",IF($G196="lower_is_better",IF($J196&lt;='02_Benchmarks'!$J196,3,IF($J196&lt;'02_Benchmarks'!$K196,2,IF($J196&lt;='02_Benchmarks'!$L196,0,IF($J196&lt;='02_Benchmarks'!$M196,-2,-3)))),IF($J196&gt;='02_Benchmarks'!$J196,3,IF($J196&gt;'02_Benchmarks'!$K196,2,IF($J196&gt;='02_Benchmarks'!$L196,0,IF($J196&gt;='02_Benchmarks'!$M196,-2,-3)))))))</x:f>
      </x:c>
      <x:c r="P196" s="58" t="str">
        <x:f>IF(COUNT($N196:$O196)+IF(ISNUMBER($K196),1,0)=0,"",MIN($N196:$O196,$K196))</x:f>
      </x:c>
      <x:c r="Q196" s="58" t="str">
        <x:f>IF($P196="","",INDEX('04_Tarifmodell'!$B$6:$B$12,$P196+4))</x:f>
      </x:c>
      <x:c r="R196" s="64" t="str">
        <x:f>IF($P196="","",INDEX('04_Tarifmodell'!$C$6:$C$12,$P196+4))</x:f>
      </x:c>
      <x:c r="S196" s="14" t="str">
        <x:f>IF(OR($I196="QUALITATIVE",$I196="MANUAL_HYBRID"),IF($K196="","Assurance-Score fehlt","Assurance-bewertet"),IF($I196="BENCHMARK",IF($W196&lt;&gt;"Aktiv",IF($K196="","Benchmark fehlt","Assurance-bewertet"),IF($J196="","Messwert fehlt",IF($P196="","Nicht bewertbar","Berechnet"))),IF(AND($J196="",$K196&lt;&gt;""),"Nur Assurance-Score",IF($J196="","Messwert fehlt",IF($P196="","Nicht bewertbar",IF($P196&lt;=-2,"Kritische Wirkung / Prüfung","Berechnet"))))))</x:f>
        <x:v>Messwert fehlt</x:v>
      </x:c>
      <x:c r="T196" s="14" t="str">
        <x:v>Vollständige fünfstufige numerische Regel.</x:v>
      </x:c>
      <x:c r="U196" s="14" t="str">
        <x:v>0:+3; ≤1:+2; ≤3:0; ≤5:‑2; &gt;5:‑3</x:v>
      </x:c>
      <x:c r="V196" s="14" t="str">
        <x:v>ESRS S1, GRI 401/403/405/406, ILO</x:v>
      </x:c>
      <x:c r="W196" s="14" t="str">
        <x:f>'02_Benchmarks'!$P196</x:f>
        <x:v>Optional – kein aktiver Benchmark</x:v>
      </x:c>
      <x:c r="X196" s="14" t="str">
        <x:v>Messgrundlage belegt; Schwellenkalibrierung offen</x:v>
      </x:c>
      <x:c r="Y196" s="14" t="str">
        <x:v>Mittel</x:v>
      </x:c>
      <x:c r="Z196" s="14" t="str">
        <x:v>Arbeitskalibrierung – fachlich zu validieren</x:v>
      </x:c>
      <x:c r="AA196" s="14" t="str">
        <x:v>Eigene Belegschaft/Organisation; FTE, Beschäftigtengruppe und Zeitraum</x:v>
      </x:c>
      <x:c r="AB196" s="14" t="str">
        <x:v>Primärdaten bevorzugt; Sekundärdaten nur transparent und versioniert; Methode und Systemgrenze dokumentieren</x:v>
      </x:c>
      <x:c r="AC196" s="14" t="str">
        <x:v>Limited Assurance; risikobasiert höhere Prüftiefe</x:v>
      </x:c>
    </x:row>
    <x:row r="197" ht="42" customHeight="1">
      <x:c r="A197" s="14" t="str">
        <x:v>WOK-S-149</x:v>
      </x:c>
      <x:c r="B197" s="14" t="str">
        <x:v>SDG 8 – Arbeit &amp; Wachstum</x:v>
      </x:c>
      <x:c r="C197" s="14" t="str">
        <x:v>8.7</x:v>
      </x:c>
      <x:c r="D197" s="14" t="str">
        <x:v>Kinder-/Zwangsarbeit Ausschluss</x:v>
      </x:c>
      <x:c r="E197" s="14" t="str">
        <x:v>Kinder-/Zwangsarbeit Ausschluss – Living Wage</x:v>
      </x:c>
      <x:c r="F197" s="14" t="str">
        <x:v>% Beschäftigte</x:v>
      </x:c>
      <x:c r="G197" s="14" t="str">
        <x:v>higher_is_better</x:v>
      </x:c>
      <x:c r="H197" s="14" t="str">
        <x:v>R27</x:v>
      </x:c>
      <x:c r="I197" s="14" t="str">
        <x:v>NUM_HIGH</x:v>
      </x:c>
      <x:c r="J197" s="51"/>
      <x:c r="K197" s="51"/>
      <x:c r="L197" s="51"/>
      <x:c r="M197" s="54"/>
      <x:c r="N197" s="58" t="str">
        <x:f>IF($J197="","",IF($J197&lt;40,-3,IF($J197&lt;60,-2,IF($J197&lt;80,0,IF($J197&lt;95,2,3)))))</x:f>
      </x:c>
      <x:c r="O197" s="58" t="str">
        <x:f>IF($J197="","",IF(OR('02_Benchmarks'!$P197&lt;&gt;"Aktiv",COUNT('02_Benchmarks'!$J197:$M197)&lt;4),"",IF($G197="lower_is_better",IF($J197&lt;='02_Benchmarks'!$J197,3,IF($J197&lt;'02_Benchmarks'!$K197,2,IF($J197&lt;='02_Benchmarks'!$L197,0,IF($J197&lt;='02_Benchmarks'!$M197,-2,-3)))),IF($J197&gt;='02_Benchmarks'!$J197,3,IF($J197&gt;'02_Benchmarks'!$K197,2,IF($J197&gt;='02_Benchmarks'!$L197,0,IF($J197&gt;='02_Benchmarks'!$M197,-2,-3)))))))</x:f>
      </x:c>
      <x:c r="P197" s="58" t="str">
        <x:f>IF(COUNT($N197:$O197)+IF(ISNUMBER($K197),1,0)=0,"",MIN($N197:$O197,$K197))</x:f>
      </x:c>
      <x:c r="Q197" s="58" t="str">
        <x:f>IF($P197="","",INDEX('04_Tarifmodell'!$B$6:$B$12,$P197+4))</x:f>
      </x:c>
      <x:c r="R197" s="64" t="str">
        <x:f>IF($P197="","",INDEX('04_Tarifmodell'!$C$6:$C$12,$P197+4))</x:f>
      </x:c>
      <x:c r="S197" s="14" t="str">
        <x:f>IF(OR($I197="QUALITATIVE",$I197="MANUAL_HYBRID"),IF($K197="","Assurance-Score fehlt","Assurance-bewertet"),IF($I197="BENCHMARK",IF($W197&lt;&gt;"Aktiv",IF($K197="","Benchmark fehlt","Assurance-bewertet"),IF($J197="","Messwert fehlt",IF($P197="","Nicht bewertbar","Berechnet"))),IF(AND($J197="",$K197&lt;&gt;""),"Nur Assurance-Score",IF($J197="","Messwert fehlt",IF($P197="","Nicht bewertbar",IF($P197&lt;=-2,"Kritische Wirkung / Prüfung","Berechnet"))))))</x:f>
        <x:v>Messwert fehlt</x:v>
      </x:c>
      <x:c r="T197" s="14" t="str">
        <x:v>Vollständige fünfstufige numerische Regel.</x:v>
      </x:c>
      <x:c r="U197" s="14" t="str">
        <x:v>≥95:+3; 80–94:+2; 60–79:0; 40–59:‑2; &lt;40:‑3</x:v>
      </x:c>
      <x:c r="V197" s="14" t="str">
        <x:v>ESRS S1, GRI 401/403/405/406, ILO</x:v>
      </x:c>
      <x:c r="W197" s="14" t="str">
        <x:f>'02_Benchmarks'!$P197</x:f>
        <x:v>Optional – kein aktiver Benchmark</x:v>
      </x:c>
      <x:c r="X197" s="14" t="str">
        <x:v>Messgrundlage belegt; Schwellenkalibrierung offen</x:v>
      </x:c>
      <x:c r="Y197" s="14" t="str">
        <x:v>Mittel</x:v>
      </x:c>
      <x:c r="Z197" s="14" t="str">
        <x:v>Arbeitskalibrierung – fachlich zu validieren</x:v>
      </x:c>
      <x:c r="AA197" s="14" t="str">
        <x:v>Eigene Belegschaft/Organisation; FTE, Beschäftigtengruppe und Zeitraum</x:v>
      </x:c>
      <x:c r="AB197" s="14" t="str">
        <x:v>Primärdaten bevorzugt; Sekundärdaten nur transparent und versioniert; Methode und Systemgrenze dokumentieren</x:v>
      </x:c>
      <x:c r="AC197" s="14" t="str">
        <x:v>Limited Assurance; risikobasiert höhere Prüftiefe</x:v>
      </x:c>
    </x:row>
    <x:row r="198" ht="42" customHeight="1">
      <x:c r="A198" s="14" t="str">
        <x:v>WOK-S-150</x:v>
      </x:c>
      <x:c r="B198" s="14" t="str">
        <x:v>SDG 8 – Arbeit &amp; Wachstum</x:v>
      </x:c>
      <x:c r="C198" s="14" t="str">
        <x:v>8.7</x:v>
      </x:c>
      <x:c r="D198" s="14" t="str">
        <x:v>Kinder-/Zwangsarbeit Ausschluss</x:v>
      </x:c>
      <x:c r="E198" s="14" t="str">
        <x:v>Kinder-/Zwangsarbeit Ausschluss – Tarifbindung</x:v>
      </x:c>
      <x:c r="F198" s="14" t="str">
        <x:v>%</x:v>
      </x:c>
      <x:c r="G198" s="14" t="str">
        <x:v>higher_is_better</x:v>
      </x:c>
      <x:c r="H198" s="14" t="str">
        <x:v>R26</x:v>
      </x:c>
      <x:c r="I198" s="14" t="str">
        <x:v>NUM_HIGH</x:v>
      </x:c>
      <x:c r="J198" s="51"/>
      <x:c r="K198" s="51"/>
      <x:c r="L198" s="51"/>
      <x:c r="M198" s="54"/>
      <x:c r="N198" s="58" t="str">
        <x:f>IF($J198="","",IF($J198&lt;30,-3,IF($J198&lt;50,-2,IF($J198&lt;70,0,IF($J198&lt;90,2,3)))))</x:f>
      </x:c>
      <x:c r="O198" s="58" t="str">
        <x:f>IF($J198="","",IF(OR('02_Benchmarks'!$P198&lt;&gt;"Aktiv",COUNT('02_Benchmarks'!$J198:$M198)&lt;4),"",IF($G198="lower_is_better",IF($J198&lt;='02_Benchmarks'!$J198,3,IF($J198&lt;'02_Benchmarks'!$K198,2,IF($J198&lt;='02_Benchmarks'!$L198,0,IF($J198&lt;='02_Benchmarks'!$M198,-2,-3)))),IF($J198&gt;='02_Benchmarks'!$J198,3,IF($J198&gt;'02_Benchmarks'!$K198,2,IF($J198&gt;='02_Benchmarks'!$L198,0,IF($J198&gt;='02_Benchmarks'!$M198,-2,-3)))))))</x:f>
      </x:c>
      <x:c r="P198" s="58" t="str">
        <x:f>IF(COUNT($N198:$O198)+IF(ISNUMBER($K198),1,0)=0,"",MIN($N198:$O198,$K198))</x:f>
      </x:c>
      <x:c r="Q198" s="58" t="str">
        <x:f>IF($P198="","",INDEX('04_Tarifmodell'!$B$6:$B$12,$P198+4))</x:f>
      </x:c>
      <x:c r="R198" s="64" t="str">
        <x:f>IF($P198="","",INDEX('04_Tarifmodell'!$C$6:$C$12,$P198+4))</x:f>
      </x:c>
      <x:c r="S198" s="14" t="str">
        <x:f>IF(OR($I198="QUALITATIVE",$I198="MANUAL_HYBRID"),IF($K198="","Assurance-Score fehlt","Assurance-bewertet"),IF($I198="BENCHMARK",IF($W198&lt;&gt;"Aktiv",IF($K198="","Benchmark fehlt","Assurance-bewertet"),IF($J198="","Messwert fehlt",IF($P198="","Nicht bewertbar","Berechnet"))),IF(AND($J198="",$K198&lt;&gt;""),"Nur Assurance-Score",IF($J198="","Messwert fehlt",IF($P198="","Nicht bewertbar",IF($P198&lt;=-2,"Kritische Wirkung / Prüfung","Berechnet"))))))</x:f>
        <x:v>Messwert fehlt</x:v>
      </x:c>
      <x:c r="T198" s="14" t="str">
        <x:v>Vollständige fünfstufige numerische Regel.</x:v>
      </x:c>
      <x:c r="U198" s="14" t="str">
        <x:v>≥90:+3; 70–89:+2; 50–69:0; 30–49:‑2; &lt;30:‑3</x:v>
      </x:c>
      <x:c r="V198" s="14" t="str">
        <x:v>ESRS S1, GRI 401/403/405/406, ILO</x:v>
      </x:c>
      <x:c r="W198" s="14" t="str">
        <x:f>'02_Benchmarks'!$P198</x:f>
        <x:v>Optional – kein aktiver Benchmark</x:v>
      </x:c>
      <x:c r="X198" s="14" t="str">
        <x:v>Messgrundlage belegt; Schwellenkalibrierung offen</x:v>
      </x:c>
      <x:c r="Y198" s="14" t="str">
        <x:v>Mittel</x:v>
      </x:c>
      <x:c r="Z198" s="14" t="str">
        <x:v>Arbeitskalibrierung – fachlich zu validieren</x:v>
      </x:c>
      <x:c r="AA198" s="14" t="str">
        <x:v>Eigene Belegschaft/Organisation; FTE, Beschäftigtengruppe und Zeitraum</x:v>
      </x:c>
      <x:c r="AB198" s="14" t="str">
        <x:v>Primärdaten bevorzugt; Sekundärdaten nur transparent und versioniert; Methode und Systemgrenze dokumentieren</x:v>
      </x:c>
      <x:c r="AC198" s="14" t="str">
        <x:v>Limited Assurance; risikobasiert höhere Prüftiefe</x:v>
      </x:c>
    </x:row>
    <x:row r="199" ht="42" customHeight="1">
      <x:c r="A199" s="14" t="str">
        <x:v>WOK-S-151</x:v>
      </x:c>
      <x:c r="B199" s="14" t="str">
        <x:v>SDG 8 – Arbeit &amp; Wachstum</x:v>
      </x:c>
      <x:c r="C199" s="14" t="str">
        <x:v>8.7</x:v>
      </x:c>
      <x:c r="D199" s="14" t="str">
        <x:v>Kinder-/Zwangsarbeit Ausschluss</x:v>
      </x:c>
      <x:c r="E199" s="14" t="str">
        <x:v>Kinder-/Zwangsarbeit Ausschluss – LTIFR</x:v>
      </x:c>
      <x:c r="F199" s="14" t="str">
        <x:v>Unfälle/Mio Std.</x:v>
      </x:c>
      <x:c r="G199" s="14" t="str">
        <x:v>lower_is_better</x:v>
      </x:c>
      <x:c r="H199" s="14" t="str">
        <x:v>R02</x:v>
      </x:c>
      <x:c r="I199" s="14" t="str">
        <x:v>NUM_LOW</x:v>
      </x:c>
      <x:c r="J199" s="51"/>
      <x:c r="K199" s="51"/>
      <x:c r="L199" s="51"/>
      <x:c r="M199" s="54"/>
      <x:c r="N199" s="58" t="str">
        <x:f>IF($J199="","",IF($J199&lt;=0,3,IF($J199&lt;=1,2,IF($J199&lt;=3,0,IF($J199&lt;=5,-2,-3)))))</x:f>
      </x:c>
      <x:c r="O199" s="58" t="str">
        <x:f>IF($J199="","",IF(OR('02_Benchmarks'!$P199&lt;&gt;"Aktiv",COUNT('02_Benchmarks'!$J199:$M199)&lt;4),"",IF($G199="lower_is_better",IF($J199&lt;='02_Benchmarks'!$J199,3,IF($J199&lt;'02_Benchmarks'!$K199,2,IF($J199&lt;='02_Benchmarks'!$L199,0,IF($J199&lt;='02_Benchmarks'!$M199,-2,-3)))),IF($J199&gt;='02_Benchmarks'!$J199,3,IF($J199&gt;'02_Benchmarks'!$K199,2,IF($J199&gt;='02_Benchmarks'!$L199,0,IF($J199&gt;='02_Benchmarks'!$M199,-2,-3)))))))</x:f>
      </x:c>
      <x:c r="P199" s="58" t="str">
        <x:f>IF(COUNT($N199:$O199)+IF(ISNUMBER($K199),1,0)=0,"",MIN($N199:$O199,$K199))</x:f>
      </x:c>
      <x:c r="Q199" s="58" t="str">
        <x:f>IF($P199="","",INDEX('04_Tarifmodell'!$B$6:$B$12,$P199+4))</x:f>
      </x:c>
      <x:c r="R199" s="64" t="str">
        <x:f>IF($P199="","",INDEX('04_Tarifmodell'!$C$6:$C$12,$P199+4))</x:f>
      </x:c>
      <x:c r="S199" s="14" t="str">
        <x:f>IF(OR($I199="QUALITATIVE",$I199="MANUAL_HYBRID"),IF($K199="","Assurance-Score fehlt","Assurance-bewertet"),IF($I199="BENCHMARK",IF($W199&lt;&gt;"Aktiv",IF($K199="","Benchmark fehlt","Assurance-bewertet"),IF($J199="","Messwert fehlt",IF($P199="","Nicht bewertbar","Berechnet"))),IF(AND($J199="",$K199&lt;&gt;""),"Nur Assurance-Score",IF($J199="","Messwert fehlt",IF($P199="","Nicht bewertbar",IF($P199&lt;=-2,"Kritische Wirkung / Prüfung","Berechnet"))))))</x:f>
        <x:v>Messwert fehlt</x:v>
      </x:c>
      <x:c r="T199" s="14" t="str">
        <x:v>Vollständige fünfstufige numerische Regel.</x:v>
      </x:c>
      <x:c r="U199" s="14" t="str">
        <x:v>0:+3; ≤1:+2; ≤3:0; ≤5:‑2; &gt;5:‑3</x:v>
      </x:c>
      <x:c r="V199" s="14" t="str">
        <x:v>ESRS S1, GRI 401/403/405/406, ILO</x:v>
      </x:c>
      <x:c r="W199" s="14" t="str">
        <x:f>'02_Benchmarks'!$P199</x:f>
        <x:v>Optional – kein aktiver Benchmark</x:v>
      </x:c>
      <x:c r="X199" s="14" t="str">
        <x:v>Messgrundlage belegt; Schwellenkalibrierung offen</x:v>
      </x:c>
      <x:c r="Y199" s="14" t="str">
        <x:v>Mittel</x:v>
      </x:c>
      <x:c r="Z199" s="14" t="str">
        <x:v>Arbeitskalibrierung – fachlich zu validieren</x:v>
      </x:c>
      <x:c r="AA199" s="14" t="str">
        <x:v>Eigene Belegschaft/Organisation; FTE, Beschäftigtengruppe und Zeitraum</x:v>
      </x:c>
      <x:c r="AB199" s="14" t="str">
        <x:v>Primärdaten bevorzugt; Sekundärdaten nur transparent und versioniert; Methode und Systemgrenze dokumentieren</x:v>
      </x:c>
      <x:c r="AC199" s="14" t="str">
        <x:v>Limited Assurance; risikobasiert höhere Prüftiefe</x:v>
      </x:c>
    </x:row>
    <x:row r="200" ht="42" customHeight="1">
      <x:c r="A200" s="14" t="str">
        <x:v>WOK-S-152</x:v>
      </x:c>
      <x:c r="B200" s="14" t="str">
        <x:v>SDG 8 – Arbeit &amp; Wachstum</x:v>
      </x:c>
      <x:c r="C200" s="14" t="str">
        <x:v>8.5</x:v>
      </x:c>
      <x:c r="D200" s="14" t="str">
        <x:v>Tarifbindung</x:v>
      </x:c>
      <x:c r="E200" s="14" t="str">
        <x:v>Tarifbindung – Living Wage</x:v>
      </x:c>
      <x:c r="F200" s="14" t="str">
        <x:v>% Beschäftigte</x:v>
      </x:c>
      <x:c r="G200" s="14" t="str">
        <x:v>higher_is_better</x:v>
      </x:c>
      <x:c r="H200" s="14" t="str">
        <x:v>R27</x:v>
      </x:c>
      <x:c r="I200" s="14" t="str">
        <x:v>NUM_HIGH</x:v>
      </x:c>
      <x:c r="J200" s="51"/>
      <x:c r="K200" s="51"/>
      <x:c r="L200" s="51"/>
      <x:c r="M200" s="54"/>
      <x:c r="N200" s="58" t="str">
        <x:f>IF($J200="","",IF($J200&lt;40,-3,IF($J200&lt;60,-2,IF($J200&lt;80,0,IF($J200&lt;95,2,3)))))</x:f>
      </x:c>
      <x:c r="O200" s="58" t="str">
        <x:f>IF($J200="","",IF(OR('02_Benchmarks'!$P200&lt;&gt;"Aktiv",COUNT('02_Benchmarks'!$J200:$M200)&lt;4),"",IF($G200="lower_is_better",IF($J200&lt;='02_Benchmarks'!$J200,3,IF($J200&lt;'02_Benchmarks'!$K200,2,IF($J200&lt;='02_Benchmarks'!$L200,0,IF($J200&lt;='02_Benchmarks'!$M200,-2,-3)))),IF($J200&gt;='02_Benchmarks'!$J200,3,IF($J200&gt;'02_Benchmarks'!$K200,2,IF($J200&gt;='02_Benchmarks'!$L200,0,IF($J200&gt;='02_Benchmarks'!$M200,-2,-3)))))))</x:f>
      </x:c>
      <x:c r="P200" s="58" t="str">
        <x:f>IF(COUNT($N200:$O200)+IF(ISNUMBER($K200),1,0)=0,"",MIN($N200:$O200,$K200))</x:f>
      </x:c>
      <x:c r="Q200" s="58" t="str">
        <x:f>IF($P200="","",INDEX('04_Tarifmodell'!$B$6:$B$12,$P200+4))</x:f>
      </x:c>
      <x:c r="R200" s="64" t="str">
        <x:f>IF($P200="","",INDEX('04_Tarifmodell'!$C$6:$C$12,$P200+4))</x:f>
      </x:c>
      <x:c r="S200" s="14" t="str">
        <x:f>IF(OR($I200="QUALITATIVE",$I200="MANUAL_HYBRID"),IF($K200="","Assurance-Score fehlt","Assurance-bewertet"),IF($I200="BENCHMARK",IF($W200&lt;&gt;"Aktiv",IF($K200="","Benchmark fehlt","Assurance-bewertet"),IF($J200="","Messwert fehlt",IF($P200="","Nicht bewertbar","Berechnet"))),IF(AND($J200="",$K200&lt;&gt;""),"Nur Assurance-Score",IF($J200="","Messwert fehlt",IF($P200="","Nicht bewertbar",IF($P200&lt;=-2,"Kritische Wirkung / Prüfung","Berechnet"))))))</x:f>
        <x:v>Messwert fehlt</x:v>
      </x:c>
      <x:c r="T200" s="14" t="str">
        <x:v>Vollständige fünfstufige numerische Regel.</x:v>
      </x:c>
      <x:c r="U200" s="14" t="str">
        <x:v>≥95:+3; 80–94:+2; 60–79:0; 40–59:‑2; &lt;40:‑3</x:v>
      </x:c>
      <x:c r="V200" s="14" t="str">
        <x:v>ESRS S1, GRI 401/403/405/406, ILO</x:v>
      </x:c>
      <x:c r="W200" s="14" t="str">
        <x:f>'02_Benchmarks'!$P200</x:f>
        <x:v>Optional – kein aktiver Benchmark</x:v>
      </x:c>
      <x:c r="X200" s="14" t="str">
        <x:v>Messgrundlage belegt; Schwellenkalibrierung offen</x:v>
      </x:c>
      <x:c r="Y200" s="14" t="str">
        <x:v>Mittel</x:v>
      </x:c>
      <x:c r="Z200" s="14" t="str">
        <x:v>Arbeitskalibrierung – fachlich zu validieren</x:v>
      </x:c>
      <x:c r="AA200" s="14" t="str">
        <x:v>Eigene Belegschaft/Organisation; FTE, Beschäftigtengruppe und Zeitraum</x:v>
      </x:c>
      <x:c r="AB200" s="14" t="str">
        <x:v>Primärdaten bevorzugt; Sekundärdaten nur transparent und versioniert; Methode und Systemgrenze dokumentieren</x:v>
      </x:c>
      <x:c r="AC200" s="14" t="str">
        <x:v>Limited Assurance; risikobasiert höhere Prüftiefe</x:v>
      </x:c>
    </x:row>
    <x:row r="201" ht="42" customHeight="1">
      <x:c r="A201" s="14" t="str">
        <x:v>WOK-S-153</x:v>
      </x:c>
      <x:c r="B201" s="14" t="str">
        <x:v>SDG 8 – Arbeit &amp; Wachstum</x:v>
      </x:c>
      <x:c r="C201" s="14" t="str">
        <x:v>8.5</x:v>
      </x:c>
      <x:c r="D201" s="14" t="str">
        <x:v>Tarifbindung</x:v>
      </x:c>
      <x:c r="E201" s="14" t="str">
        <x:v>Tarifbindung – Tarifbindung</x:v>
      </x:c>
      <x:c r="F201" s="14" t="str">
        <x:v>%</x:v>
      </x:c>
      <x:c r="G201" s="14" t="str">
        <x:v>higher_is_better</x:v>
      </x:c>
      <x:c r="H201" s="14" t="str">
        <x:v>R26</x:v>
      </x:c>
      <x:c r="I201" s="14" t="str">
        <x:v>NUM_HIGH</x:v>
      </x:c>
      <x:c r="J201" s="51"/>
      <x:c r="K201" s="51"/>
      <x:c r="L201" s="51"/>
      <x:c r="M201" s="54"/>
      <x:c r="N201" s="58" t="str">
        <x:f>IF($J201="","",IF($J201&lt;30,-3,IF($J201&lt;50,-2,IF($J201&lt;70,0,IF($J201&lt;90,2,3)))))</x:f>
      </x:c>
      <x:c r="O201" s="58" t="str">
        <x:f>IF($J201="","",IF(OR('02_Benchmarks'!$P201&lt;&gt;"Aktiv",COUNT('02_Benchmarks'!$J201:$M201)&lt;4),"",IF($G201="lower_is_better",IF($J201&lt;='02_Benchmarks'!$J201,3,IF($J201&lt;'02_Benchmarks'!$K201,2,IF($J201&lt;='02_Benchmarks'!$L201,0,IF($J201&lt;='02_Benchmarks'!$M201,-2,-3)))),IF($J201&gt;='02_Benchmarks'!$J201,3,IF($J201&gt;'02_Benchmarks'!$K201,2,IF($J201&gt;='02_Benchmarks'!$L201,0,IF($J201&gt;='02_Benchmarks'!$M201,-2,-3)))))))</x:f>
      </x:c>
      <x:c r="P201" s="58" t="str">
        <x:f>IF(COUNT($N201:$O201)+IF(ISNUMBER($K201),1,0)=0,"",MIN($N201:$O201,$K201))</x:f>
      </x:c>
      <x:c r="Q201" s="58" t="str">
        <x:f>IF($P201="","",INDEX('04_Tarifmodell'!$B$6:$B$12,$P201+4))</x:f>
      </x:c>
      <x:c r="R201" s="64" t="str">
        <x:f>IF($P201="","",INDEX('04_Tarifmodell'!$C$6:$C$12,$P201+4))</x:f>
      </x:c>
      <x:c r="S201" s="14" t="str">
        <x:f>IF(OR($I201="QUALITATIVE",$I201="MANUAL_HYBRID"),IF($K201="","Assurance-Score fehlt","Assurance-bewertet"),IF($I201="BENCHMARK",IF($W201&lt;&gt;"Aktiv",IF($K201="","Benchmark fehlt","Assurance-bewertet"),IF($J201="","Messwert fehlt",IF($P201="","Nicht bewertbar","Berechnet"))),IF(AND($J201="",$K201&lt;&gt;""),"Nur Assurance-Score",IF($J201="","Messwert fehlt",IF($P201="","Nicht bewertbar",IF($P201&lt;=-2,"Kritische Wirkung / Prüfung","Berechnet"))))))</x:f>
        <x:v>Messwert fehlt</x:v>
      </x:c>
      <x:c r="T201" s="14" t="str">
        <x:v>Vollständige fünfstufige numerische Regel.</x:v>
      </x:c>
      <x:c r="U201" s="14" t="str">
        <x:v>≥90:+3; 70–89:+2; 50–69:0; 30–49:‑2; &lt;30:‑3</x:v>
      </x:c>
      <x:c r="V201" s="14" t="str">
        <x:v>ESRS S1, GRI 401/403/405/406, ILO</x:v>
      </x:c>
      <x:c r="W201" s="14" t="str">
        <x:f>'02_Benchmarks'!$P201</x:f>
        <x:v>Optional – kein aktiver Benchmark</x:v>
      </x:c>
      <x:c r="X201" s="14" t="str">
        <x:v>Messgrundlage belegt; Schwellenkalibrierung offen</x:v>
      </x:c>
      <x:c r="Y201" s="14" t="str">
        <x:v>Mittel</x:v>
      </x:c>
      <x:c r="Z201" s="14" t="str">
        <x:v>Arbeitskalibrierung – fachlich zu validieren</x:v>
      </x:c>
      <x:c r="AA201" s="14" t="str">
        <x:v>Eigene Belegschaft/Organisation; FTE, Beschäftigtengruppe und Zeitraum</x:v>
      </x:c>
      <x:c r="AB201" s="14" t="str">
        <x:v>Primärdaten bevorzugt; Sekundärdaten nur transparent und versioniert; Methode und Systemgrenze dokumentieren</x:v>
      </x:c>
      <x:c r="AC201" s="14" t="str">
        <x:v>Limited Assurance; risikobasiert höhere Prüftiefe</x:v>
      </x:c>
    </x:row>
    <x:row r="202" ht="42" customHeight="1">
      <x:c r="A202" s="14" t="str">
        <x:v>WOK-S-154</x:v>
      </x:c>
      <x:c r="B202" s="14" t="str">
        <x:v>SDG 8 – Arbeit &amp; Wachstum</x:v>
      </x:c>
      <x:c r="C202" s="14" t="str">
        <x:v>8.5</x:v>
      </x:c>
      <x:c r="D202" s="14" t="str">
        <x:v>Tarifbindung</x:v>
      </x:c>
      <x:c r="E202" s="14" t="str">
        <x:v>Tarifbindung – LTIFR</x:v>
      </x:c>
      <x:c r="F202" s="14" t="str">
        <x:v>Unfälle/Mio Std.</x:v>
      </x:c>
      <x:c r="G202" s="14" t="str">
        <x:v>lower_is_better</x:v>
      </x:c>
      <x:c r="H202" s="14" t="str">
        <x:v>R02</x:v>
      </x:c>
      <x:c r="I202" s="14" t="str">
        <x:v>NUM_LOW</x:v>
      </x:c>
      <x:c r="J202" s="51"/>
      <x:c r="K202" s="51"/>
      <x:c r="L202" s="51"/>
      <x:c r="M202" s="54"/>
      <x:c r="N202" s="58" t="str">
        <x:f>IF($J202="","",IF($J202&lt;=0,3,IF($J202&lt;=1,2,IF($J202&lt;=3,0,IF($J202&lt;=5,-2,-3)))))</x:f>
      </x:c>
      <x:c r="O202" s="58" t="str">
        <x:f>IF($J202="","",IF(OR('02_Benchmarks'!$P202&lt;&gt;"Aktiv",COUNT('02_Benchmarks'!$J202:$M202)&lt;4),"",IF($G202="lower_is_better",IF($J202&lt;='02_Benchmarks'!$J202,3,IF($J202&lt;'02_Benchmarks'!$K202,2,IF($J202&lt;='02_Benchmarks'!$L202,0,IF($J202&lt;='02_Benchmarks'!$M202,-2,-3)))),IF($J202&gt;='02_Benchmarks'!$J202,3,IF($J202&gt;'02_Benchmarks'!$K202,2,IF($J202&gt;='02_Benchmarks'!$L202,0,IF($J202&gt;='02_Benchmarks'!$M202,-2,-3)))))))</x:f>
      </x:c>
      <x:c r="P202" s="58" t="str">
        <x:f>IF(COUNT($N202:$O202)+IF(ISNUMBER($K202),1,0)=0,"",MIN($N202:$O202,$K202))</x:f>
      </x:c>
      <x:c r="Q202" s="58" t="str">
        <x:f>IF($P202="","",INDEX('04_Tarifmodell'!$B$6:$B$12,$P202+4))</x:f>
      </x:c>
      <x:c r="R202" s="64" t="str">
        <x:f>IF($P202="","",INDEX('04_Tarifmodell'!$C$6:$C$12,$P202+4))</x:f>
      </x:c>
      <x:c r="S202" s="14" t="str">
        <x:f>IF(OR($I202="QUALITATIVE",$I202="MANUAL_HYBRID"),IF($K202="","Assurance-Score fehlt","Assurance-bewertet"),IF($I202="BENCHMARK",IF($W202&lt;&gt;"Aktiv",IF($K202="","Benchmark fehlt","Assurance-bewertet"),IF($J202="","Messwert fehlt",IF($P202="","Nicht bewertbar","Berechnet"))),IF(AND($J202="",$K202&lt;&gt;""),"Nur Assurance-Score",IF($J202="","Messwert fehlt",IF($P202="","Nicht bewertbar",IF($P202&lt;=-2,"Kritische Wirkung / Prüfung","Berechnet"))))))</x:f>
        <x:v>Messwert fehlt</x:v>
      </x:c>
      <x:c r="T202" s="14" t="str">
        <x:v>Vollständige fünfstufige numerische Regel.</x:v>
      </x:c>
      <x:c r="U202" s="14" t="str">
        <x:v>0:+3; ≤1:+2; ≤3:0; ≤5:‑2; &gt;5:‑3</x:v>
      </x:c>
      <x:c r="V202" s="14" t="str">
        <x:v>ESRS S1, GRI 401/403/405/406, ILO</x:v>
      </x:c>
      <x:c r="W202" s="14" t="str">
        <x:f>'02_Benchmarks'!$P202</x:f>
        <x:v>Optional – kein aktiver Benchmark</x:v>
      </x:c>
      <x:c r="X202" s="14" t="str">
        <x:v>Messgrundlage belegt; Schwellenkalibrierung offen</x:v>
      </x:c>
      <x:c r="Y202" s="14" t="str">
        <x:v>Mittel</x:v>
      </x:c>
      <x:c r="Z202" s="14" t="str">
        <x:v>Arbeitskalibrierung – fachlich zu validieren</x:v>
      </x:c>
      <x:c r="AA202" s="14" t="str">
        <x:v>Eigene Belegschaft/Organisation; FTE, Beschäftigtengruppe und Zeitraum</x:v>
      </x:c>
      <x:c r="AB202" s="14" t="str">
        <x:v>Primärdaten bevorzugt; Sekundärdaten nur transparent und versioniert; Methode und Systemgrenze dokumentieren</x:v>
      </x:c>
      <x:c r="AC202" s="14" t="str">
        <x:v>Limited Assurance; risikobasiert höhere Prüftiefe</x:v>
      </x:c>
    </x:row>
    <x:row r="203" ht="42" customHeight="1">
      <x:c r="A203" s="14" t="str">
        <x:v>WOK-G-137</x:v>
      </x:c>
      <x:c r="B203" s="14" t="str">
        <x:v>SDG 8 – Arbeit &amp; Wachstum</x:v>
      </x:c>
      <x:c r="C203" s="14" t="str">
        <x:v>8.5</x:v>
      </x:c>
      <x:c r="D203" s="14" t="str">
        <x:v>Faire Löhne &amp; Pay Ratio</x:v>
      </x:c>
      <x:c r="E203" s="14" t="str">
        <x:v>Faire Löhne &amp; Pay Ratio – Antikorruption</x:v>
      </x:c>
      <x:c r="F203" s="14" t="str">
        <x:v>Fälle/1.000 FTE</x:v>
      </x:c>
      <x:c r="G203" s="14" t="str">
        <x:v>lower_is_better</x:v>
      </x:c>
      <x:c r="H203" s="14" t="str">
        <x:v>R01</x:v>
      </x:c>
      <x:c r="I203" s="14" t="str">
        <x:v>NUM_LOW</x:v>
      </x:c>
      <x:c r="J203" s="51"/>
      <x:c r="K203" s="51"/>
      <x:c r="L203" s="51"/>
      <x:c r="M203" s="54"/>
      <x:c r="N203" s="58" t="str">
        <x:f>IF($J203="","",IF($J203&lt;=0,3,IF($J203&lt;=0.2,2,IF($J203&lt;=0.5,0,IF($J203&lt;=1,-2,-3)))))</x:f>
      </x:c>
      <x:c r="O203" s="58" t="str">
        <x:f>IF($J203="","",IF(OR('02_Benchmarks'!$P203&lt;&gt;"Aktiv",COUNT('02_Benchmarks'!$J203:$M203)&lt;4),"",IF($G203="lower_is_better",IF($J203&lt;='02_Benchmarks'!$J203,3,IF($J203&lt;'02_Benchmarks'!$K203,2,IF($J203&lt;='02_Benchmarks'!$L203,0,IF($J203&lt;='02_Benchmarks'!$M203,-2,-3)))),IF($J203&gt;='02_Benchmarks'!$J203,3,IF($J203&gt;'02_Benchmarks'!$K203,2,IF($J203&gt;='02_Benchmarks'!$L203,0,IF($J203&gt;='02_Benchmarks'!$M203,-2,-3)))))))</x:f>
      </x:c>
      <x:c r="P203" s="58" t="str">
        <x:f>IF(COUNT($N203:$O203)+IF(ISNUMBER($K203),1,0)=0,"",MIN($N203:$O203,$K203))</x:f>
      </x:c>
      <x:c r="Q203" s="58" t="str">
        <x:f>IF($P203="","",INDEX('04_Tarifmodell'!$B$6:$B$12,$P203+4))</x:f>
      </x:c>
      <x:c r="R203" s="64" t="str">
        <x:f>IF($P203="","",INDEX('04_Tarifmodell'!$C$6:$C$12,$P203+4))</x:f>
      </x:c>
      <x:c r="S203" s="14" t="str">
        <x:f>IF(OR($I203="QUALITATIVE",$I203="MANUAL_HYBRID"),IF($K203="","Assurance-Score fehlt","Assurance-bewertet"),IF($I203="BENCHMARK",IF($W203&lt;&gt;"Aktiv",IF($K203="","Benchmark fehlt","Assurance-bewertet"),IF($J203="","Messwert fehlt",IF($P203="","Nicht bewertbar","Berechnet"))),IF(AND($J203="",$K203&lt;&gt;""),"Nur Assurance-Score",IF($J203="","Messwert fehlt",IF($P203="","Nicht bewertbar",IF($P203&lt;=-2,"Kritische Wirkung / Prüfung","Berechnet"))))))</x:f>
        <x:v>Messwert fehlt</x:v>
      </x:c>
      <x:c r="T203" s="14" t="str">
        <x:v>Vollständige fünfstufige numerische Regel.</x:v>
      </x:c>
      <x:c r="U203" s="14" t="str">
        <x:v>0:+3; ≤0,2:+2; ≤0,5:0; ≤1:‑2; &gt;1:‑3</x:v>
      </x:c>
      <x:c r="V203" s="14" t="str">
        <x:v>ESRS G1, GRI 205/207, OECD Anti‑Bribery</x:v>
      </x:c>
      <x:c r="W203" s="14" t="str">
        <x:f>'02_Benchmarks'!$P203</x:f>
        <x:v>Optional – kein aktiver Benchmark</x:v>
      </x:c>
      <x:c r="X203" s="14" t="str">
        <x:v>Messgrundlage belegt; Schwellenkalibrierung offen</x:v>
      </x:c>
      <x:c r="Y203" s="14" t="str">
        <x:v>Mittel</x:v>
      </x:c>
      <x:c r="Z203" s="14" t="str">
        <x:v>Arbeitskalibrierung – fachlich zu validieren</x:v>
      </x:c>
      <x:c r="AA203" s="14" t="str">
        <x:v>Organisation/Governance; konsolidierter Kreis und relevante Rechtseinheiten</x:v>
      </x:c>
      <x:c r="AB203" s="14" t="str">
        <x:v>Primärdaten bevorzugt; Sekundärdaten nur transparent und versioniert; Methode und Systemgrenze dokumentieren</x:v>
      </x:c>
      <x:c r="AC203" s="14" t="str">
        <x:v>Limited Assurance; risikobasiert höhere Prüftiefe</x:v>
      </x:c>
    </x:row>
    <x:row r="204" ht="42" customHeight="1">
      <x:c r="A204" s="14" t="str">
        <x:v>WOK-G-138</x:v>
      </x:c>
      <x:c r="B204" s="14" t="str">
        <x:v>SDG 8 – Arbeit &amp; Wachstum</x:v>
      </x:c>
      <x:c r="C204" s="14" t="str">
        <x:v>8.5</x:v>
      </x:c>
      <x:c r="D204" s="14" t="str">
        <x:v>Faire Löhne &amp; Pay Ratio</x:v>
      </x:c>
      <x:c r="E204" s="14" t="str">
        <x:v>Faire Löhne &amp; Pay Ratio – Whistleblowing</x:v>
      </x:c>
      <x:c r="F204" s="14" t="str">
        <x:v>0–1</x:v>
      </x:c>
      <x:c r="G204" s="14" t="str">
        <x:v>higher_is_better</x:v>
      </x:c>
      <x:c r="H204" s="14" t="str">
        <x:v>R16</x:v>
      </x:c>
      <x:c r="I204" s="14" t="str">
        <x:v>NUM_HIGH</x:v>
      </x:c>
      <x:c r="J204" s="51"/>
      <x:c r="K204" s="51"/>
      <x:c r="L204" s="51"/>
      <x:c r="M204" s="54"/>
      <x:c r="N204" s="58" t="str">
        <x:f>IF($J204="","",IF($J204&lt;0.4,-3,IF($J204&lt;0.6,-2,IF($J204&lt;0.75,0,IF($J204&lt;0.9,2,3)))))</x:f>
      </x:c>
      <x:c r="O204" s="58" t="str">
        <x:f>IF($J204="","",IF(OR('02_Benchmarks'!$P204&lt;&gt;"Aktiv",COUNT('02_Benchmarks'!$J204:$M204)&lt;4),"",IF($G204="lower_is_better",IF($J204&lt;='02_Benchmarks'!$J204,3,IF($J204&lt;'02_Benchmarks'!$K204,2,IF($J204&lt;='02_Benchmarks'!$L204,0,IF($J204&lt;='02_Benchmarks'!$M204,-2,-3)))),IF($J204&gt;='02_Benchmarks'!$J204,3,IF($J204&gt;'02_Benchmarks'!$K204,2,IF($J204&gt;='02_Benchmarks'!$L204,0,IF($J204&gt;='02_Benchmarks'!$M204,-2,-3)))))))</x:f>
      </x:c>
      <x:c r="P204" s="58" t="str">
        <x:f>IF(COUNT($N204:$O204)+IF(ISNUMBER($K204),1,0)=0,"",MIN($N204:$O204,$K204))</x:f>
      </x:c>
      <x:c r="Q204" s="58" t="str">
        <x:f>IF($P204="","",INDEX('04_Tarifmodell'!$B$6:$B$12,$P204+4))</x:f>
      </x:c>
      <x:c r="R204" s="64" t="str">
        <x:f>IF($P204="","",INDEX('04_Tarifmodell'!$C$6:$C$12,$P204+4))</x:f>
      </x:c>
      <x:c r="S204" s="14" t="str">
        <x:f>IF(OR($I204="QUALITATIVE",$I204="MANUAL_HYBRID"),IF($K204="","Assurance-Score fehlt","Assurance-bewertet"),IF($I204="BENCHMARK",IF($W204&lt;&gt;"Aktiv",IF($K204="","Benchmark fehlt","Assurance-bewertet"),IF($J204="","Messwert fehlt",IF($P204="","Nicht bewertbar","Berechnet"))),IF(AND($J204="",$K204&lt;&gt;""),"Nur Assurance-Score",IF($J204="","Messwert fehlt",IF($P204="","Nicht bewertbar",IF($P204&lt;=-2,"Kritische Wirkung / Prüfung","Berechnet"))))))</x:f>
        <x:v>Messwert fehlt</x:v>
      </x:c>
      <x:c r="T204" s="14" t="str">
        <x:v>Vollständige fünfstufige numerische Regel.</x:v>
      </x:c>
      <x:c r="U204" s="14" t="str">
        <x:v>≥0,9:+3; 0,75–0,89:+2; 0,6–0,74:0; 0,4–0,59:‑2; &lt;0,4:‑3</x:v>
      </x:c>
      <x:c r="V204" s="14" t="str">
        <x:v>ESRS G1, GRI 205/207, OECD Anti‑Bribery</x:v>
      </x:c>
      <x:c r="W204" s="14" t="str">
        <x:f>'02_Benchmarks'!$P204</x:f>
        <x:v>Optional – kein aktiver Benchmark</x:v>
      </x:c>
      <x:c r="X204" s="14" t="str">
        <x:v>Messgrundlage belegt; Schwellenkalibrierung offen</x:v>
      </x:c>
      <x:c r="Y204" s="14" t="str">
        <x:v>Mittel</x:v>
      </x:c>
      <x:c r="Z204" s="14" t="str">
        <x:v>Arbeitskalibrierung – fachlich zu validieren</x:v>
      </x:c>
      <x:c r="AA204" s="14" t="str">
        <x:v>Organisation/Governance; konsolidierter Kreis und relevante Rechtseinheiten</x:v>
      </x:c>
      <x:c r="AB204" s="14" t="str">
        <x:v>Primärdaten bevorzugt; Sekundärdaten nur transparent und versioniert; Methode und Systemgrenze dokumentieren</x:v>
      </x:c>
      <x:c r="AC204" s="14" t="str">
        <x:v>Limited Assurance; risikobasiert höhere Prüftiefe</x:v>
      </x:c>
    </x:row>
    <x:row r="205" ht="42" customHeight="1">
      <x:c r="A205" s="14" t="str">
        <x:v>WOK-G-139</x:v>
      </x:c>
      <x:c r="B205" s="14" t="str">
        <x:v>SDG 8 – Arbeit &amp; Wachstum</x:v>
      </x:c>
      <x:c r="C205" s="14" t="str">
        <x:v>8.5</x:v>
      </x:c>
      <x:c r="D205" s="14" t="str">
        <x:v>Faire Löhne &amp; Pay Ratio</x:v>
      </x:c>
      <x:c r="E205" s="14" t="str">
        <x:v>Faire Löhne &amp; Pay Ratio – Steuertransparenz</x:v>
      </x:c>
      <x:c r="F205" s="14" t="str">
        <x:v>0–1</x:v>
      </x:c>
      <x:c r="G205" s="14" t="str">
        <x:v>higher_is_better</x:v>
      </x:c>
      <x:c r="H205" s="14" t="str">
        <x:v>R08</x:v>
      </x:c>
      <x:c r="I205" s="14" t="str">
        <x:v>QUALITATIVE</x:v>
      </x:c>
      <x:c r="J205" s="51"/>
      <x:c r="K205" s="51"/>
      <x:c r="L205" s="51"/>
      <x:c r="M205" s="54"/>
      <x:c r="N205" s="58" t="str">
        <x:f>""</x:f>
      </x:c>
      <x:c r="O205" s="58" t="str">
        <x:f>IF($J205="","",IF(OR('02_Benchmarks'!$P205&lt;&gt;"Aktiv",COUNT('02_Benchmarks'!$J205:$M205)&lt;4),"",IF($G205="lower_is_better",IF($J205&lt;='02_Benchmarks'!$J205,3,IF($J205&lt;'02_Benchmarks'!$K205,2,IF($J205&lt;='02_Benchmarks'!$L205,0,IF($J205&lt;='02_Benchmarks'!$M205,-2,-3)))),IF($J205&gt;='02_Benchmarks'!$J205,3,IF($J205&gt;'02_Benchmarks'!$K205,2,IF($J205&gt;='02_Benchmarks'!$L205,0,IF($J205&gt;='02_Benchmarks'!$M205,-2,-3)))))))</x:f>
      </x:c>
      <x:c r="P205" s="58" t="str">
        <x:f>IF(COUNT($N205:$O205)+IF(ISNUMBER($K205),1,0)=0,"",MIN($N205:$O205,$K205))</x:f>
      </x:c>
      <x:c r="Q205" s="58" t="str">
        <x:f>IF($P205="","",INDEX('04_Tarifmodell'!$B$6:$B$12,$P205+4))</x:f>
      </x:c>
      <x:c r="R205" s="64" t="str">
        <x:f>IF($P205="","",INDEX('04_Tarifmodell'!$C$6:$C$12,$P205+4))</x:f>
      </x:c>
      <x:c r="S205" s="14" t="str">
        <x:f>IF(OR($I205="QUALITATIVE",$I205="MANUAL_HYBRID"),IF($K205="","Assurance-Score fehlt","Assurance-bewertet"),IF($I205="BENCHMARK",IF($W205&lt;&gt;"Aktiv",IF($K205="","Benchmark fehlt","Assurance-bewertet"),IF($J205="","Messwert fehlt",IF($P205="","Nicht bewertbar","Berechnet"))),IF(AND($J205="",$K205&lt;&gt;""),"Nur Assurance-Score",IF($J205="","Messwert fehlt",IF($P205="","Nicht bewertbar",IF($P205&lt;=-2,"Kritische Wirkung / Prüfung","Berechnet"))))))</x:f>
        <x:v>Assurance-Score fehlt</x:v>
      </x:c>
      <x:c r="T205" s="14" t="str">
        <x:v>Die Kategorie −3 fehlt; Vollständigkeit und Wirksamkeit sind feldspezifisch zu definieren.</x:v>
      </x:c>
      <x:c r="U205" s="14" t="str">
        <x:v>vollständig:+3; teilweise:+2; minimal:0; schlecht:‑2</x:v>
      </x:c>
      <x:c r="V205" s="14" t="str">
        <x:v>ESRS G1, GRI 205/207, OECD Anti‑Bribery</x:v>
      </x:c>
      <x:c r="W205" s="14" t="str">
        <x:f>'02_Benchmarks'!$P205</x:f>
        <x:v>Optional – kein aktiver Benchmark</x:v>
      </x:c>
      <x:c r="X205" s="14" t="str">
        <x:v>Messgrundlage belegt; Schwellenkalibrierung offen</x:v>
      </x:c>
      <x:c r="Y205" s="14" t="str">
        <x:v>Hoch</x:v>
      </x:c>
      <x:c r="Z205" s="14" t="str">
        <x:v>Assurance und Kriterienkatalog erforderlich</x:v>
      </x:c>
      <x:c r="AA205" s="14" t="str">
        <x:v>Organisation/Governance; konsolidierter Kreis und relevante Rechtseinheiten</x:v>
      </x:c>
      <x:c r="AB205" s="14" t="str">
        <x:v>Dokumentierter Kriterienkatalog; nachvollziehbare Evidenz; DQR A/B bevorzugt</x:v>
      </x:c>
      <x:c r="AC205" s="14" t="str">
        <x:v>Unabhängige Fachprüfung/Limited Assurance; bei roten Linien Reasonable Assurance</x:v>
      </x:c>
    </x:row>
    <x:row r="206" ht="42" customHeight="1">
      <x:c r="A206" s="14" t="str">
        <x:v>WOK-SC-116</x:v>
      </x:c>
      <x:c r="B206" s="14" t="str">
        <x:v>SDG 8 – Arbeit &amp; Wachstum</x:v>
      </x:c>
      <x:c r="C206" s="14" t="str">
        <x:v>8.7</x:v>
      </x:c>
      <x:c r="D206" s="14" t="str">
        <x:v>Lieferkette – Arbeitsrechte</x:v>
      </x:c>
      <x:c r="E206" s="14" t="str">
        <x:v>Lieferkette – Arbeitsrechte – ESG‑Spend‑Coverage</x:v>
      </x:c>
      <x:c r="F206" s="14" t="str">
        <x:v>%</x:v>
      </x:c>
      <x:c r="G206" s="14" t="str">
        <x:v>higher_is_better</x:v>
      </x:c>
      <x:c r="H206" s="14" t="str">
        <x:v>R26</x:v>
      </x:c>
      <x:c r="I206" s="14" t="str">
        <x:v>NUM_HIGH</x:v>
      </x:c>
      <x:c r="J206" s="51"/>
      <x:c r="K206" s="51"/>
      <x:c r="L206" s="51"/>
      <x:c r="M206" s="54"/>
      <x:c r="N206" s="58" t="str">
        <x:f>IF($J206="","",IF($J206&lt;30,-3,IF($J206&lt;50,-2,IF($J206&lt;70,0,IF($J206&lt;90,2,3)))))</x:f>
      </x:c>
      <x:c r="O206" s="58" t="str">
        <x:f>IF($J206="","",IF(OR('02_Benchmarks'!$P206&lt;&gt;"Aktiv",COUNT('02_Benchmarks'!$J206:$M206)&lt;4),"",IF($G206="lower_is_better",IF($J206&lt;='02_Benchmarks'!$J206,3,IF($J206&lt;'02_Benchmarks'!$K206,2,IF($J206&lt;='02_Benchmarks'!$L206,0,IF($J206&lt;='02_Benchmarks'!$M206,-2,-3)))),IF($J206&gt;='02_Benchmarks'!$J206,3,IF($J206&gt;'02_Benchmarks'!$K206,2,IF($J206&gt;='02_Benchmarks'!$L206,0,IF($J206&gt;='02_Benchmarks'!$M206,-2,-3)))))))</x:f>
      </x:c>
      <x:c r="P206" s="58" t="str">
        <x:f>IF(COUNT($N206:$O206)+IF(ISNUMBER($K206),1,0)=0,"",MIN($N206:$O206,$K206))</x:f>
      </x:c>
      <x:c r="Q206" s="58" t="str">
        <x:f>IF($P206="","",INDEX('04_Tarifmodell'!$B$6:$B$12,$P206+4))</x:f>
      </x:c>
      <x:c r="R206" s="64" t="str">
        <x:f>IF($P206="","",INDEX('04_Tarifmodell'!$C$6:$C$12,$P206+4))</x:f>
      </x:c>
      <x:c r="S206" s="14" t="str">
        <x:f>IF(OR($I206="QUALITATIVE",$I206="MANUAL_HYBRID"),IF($K206="","Assurance-Score fehlt","Assurance-bewertet"),IF($I206="BENCHMARK",IF($W206&lt;&gt;"Aktiv",IF($K206="","Benchmark fehlt","Assurance-bewertet"),IF($J206="","Messwert fehlt",IF($P206="","Nicht bewertbar","Berechnet"))),IF(AND($J206="",$K206&lt;&gt;""),"Nur Assurance-Score",IF($J206="","Messwert fehlt",IF($P206="","Nicht bewertbar",IF($P206&lt;=-2,"Kritische Wirkung / Prüfung","Berechnet"))))))</x:f>
        <x:v>Messwert fehlt</x:v>
      </x:c>
      <x:c r="T206" s="14" t="str">
        <x:v>Vollständige fünfstufige numerische Regel.</x:v>
      </x:c>
      <x:c r="U206" s="14" t="str">
        <x:v>≥90:+3; 70–89:+2; 50–69:0; 30–49:‑2; &lt;30:‑3</x:v>
      </x:c>
      <x:c r="V206" s="14" t="str">
        <x:v>ESRS S1, GRI 401/403/405/406, ILO</x:v>
      </x:c>
      <x:c r="W206" s="14" t="str">
        <x:f>'02_Benchmarks'!$P206</x:f>
        <x:v>Optional – kein aktiver Benchmark</x:v>
      </x:c>
      <x:c r="X206" s="14" t="str">
        <x:v>Messgrundlage belegt; Schwellenkalibrierung offen</x:v>
      </x:c>
      <x:c r="Y206" s="14" t="str">
        <x:v>Mittel</x:v>
      </x:c>
      <x:c r="Z206" s="14" t="str">
        <x:v>Arbeitskalibrierung – fachlich zu validieren</x:v>
      </x:c>
      <x:c r="AA206" s="14" t="str">
        <x:v>Vorgelagerte Lieferkette; relevante Tier-Stufen und Beschaffungsvolumen</x:v>
      </x:c>
      <x:c r="AB206" s="14" t="str">
        <x:v>Primärdaten bevorzugt; Sekundärdaten nur transparent und versioniert; Methode und Systemgrenze dokumentieren</x:v>
      </x:c>
      <x:c r="AC206" s="14" t="str">
        <x:v>Limited Assurance; risikobasiert höhere Prüftiefe</x:v>
      </x:c>
    </x:row>
    <x:row r="207" ht="42" customHeight="1">
      <x:c r="A207" s="14" t="str">
        <x:v>WOK-SC-117</x:v>
      </x:c>
      <x:c r="B207" s="14" t="str">
        <x:v>SDG 8 – Arbeit &amp; Wachstum</x:v>
      </x:c>
      <x:c r="C207" s="14" t="str">
        <x:v>8.7</x:v>
      </x:c>
      <x:c r="D207" s="14" t="str">
        <x:v>Lieferkette – Arbeitsrechte</x:v>
      </x:c>
      <x:c r="E207" s="14" t="str">
        <x:v>Lieferkette – Arbeitsrechte – Kinder/Zwangsarbeit</x:v>
      </x:c>
      <x:c r="F207" s="14" t="str">
        <x:v>% Lieferanten</x:v>
      </x:c>
      <x:c r="G207" s="14" t="str">
        <x:v>higher_is_better</x:v>
      </x:c>
      <x:c r="H207" s="14" t="str">
        <x:v>R28</x:v>
      </x:c>
      <x:c r="I207" s="14" t="str">
        <x:v>NUM_HIGH</x:v>
      </x:c>
      <x:c r="J207" s="51"/>
      <x:c r="K207" s="51"/>
      <x:c r="L207" s="51"/>
      <x:c r="M207" s="54"/>
      <x:c r="N207" s="58" t="str">
        <x:f>IF($J207="","",IF($J207&lt;50,-3,IF($J207&lt;75,-2,IF($J207&lt;90,0,IF($J207&lt;98,2,3)))))</x:f>
      </x:c>
      <x:c r="O207" s="58" t="str">
        <x:f>IF($J207="","",IF(OR('02_Benchmarks'!$P207&lt;&gt;"Aktiv",COUNT('02_Benchmarks'!$J207:$M207)&lt;4),"",IF($G207="lower_is_better",IF($J207&lt;='02_Benchmarks'!$J207,3,IF($J207&lt;'02_Benchmarks'!$K207,2,IF($J207&lt;='02_Benchmarks'!$L207,0,IF($J207&lt;='02_Benchmarks'!$M207,-2,-3)))),IF($J207&gt;='02_Benchmarks'!$J207,3,IF($J207&gt;'02_Benchmarks'!$K207,2,IF($J207&gt;='02_Benchmarks'!$L207,0,IF($J207&gt;='02_Benchmarks'!$M207,-2,-3)))))))</x:f>
      </x:c>
      <x:c r="P207" s="58" t="str">
        <x:f>IF(COUNT($N207:$O207)+IF(ISNUMBER($K207),1,0)=0,"",MIN($N207:$O207,$K207))</x:f>
      </x:c>
      <x:c r="Q207" s="58" t="str">
        <x:f>IF($P207="","",INDEX('04_Tarifmodell'!$B$6:$B$12,$P207+4))</x:f>
      </x:c>
      <x:c r="R207" s="64" t="str">
        <x:f>IF($P207="","",INDEX('04_Tarifmodell'!$C$6:$C$12,$P207+4))</x:f>
      </x:c>
      <x:c r="S207" s="14" t="str">
        <x:f>IF(OR($I207="QUALITATIVE",$I207="MANUAL_HYBRID"),IF($K207="","Assurance-Score fehlt","Assurance-bewertet"),IF($I207="BENCHMARK",IF($W207&lt;&gt;"Aktiv",IF($K207="","Benchmark fehlt","Assurance-bewertet"),IF($J207="","Messwert fehlt",IF($P207="","Nicht bewertbar","Berechnet"))),IF(AND($J207="",$K207&lt;&gt;""),"Nur Assurance-Score",IF($J207="","Messwert fehlt",IF($P207="","Nicht bewertbar",IF($P207&lt;=-2,"Kritische Wirkung / Prüfung","Berechnet"))))))</x:f>
        <x:v>Messwert fehlt</x:v>
      </x:c>
      <x:c r="T207" s="14" t="str">
        <x:v>Vollständige fünfstufige numerische Regel.</x:v>
      </x:c>
      <x:c r="U207" s="14" t="str">
        <x:v>≥98:+3; 90–97:+2; 75–89:0; 50–74:‑2; &lt;50:‑3</x:v>
      </x:c>
      <x:c r="V207" s="14" t="str">
        <x:v>ESRS S1, GRI 401/403/405/406, ILO</x:v>
      </x:c>
      <x:c r="W207" s="14" t="str">
        <x:f>'02_Benchmarks'!$P207</x:f>
        <x:v>Optional – kein aktiver Benchmark</x:v>
      </x:c>
      <x:c r="X207" s="14" t="str">
        <x:v>Messgrundlage belegt; Schwellenkalibrierung offen</x:v>
      </x:c>
      <x:c r="Y207" s="14" t="str">
        <x:v>Mittel</x:v>
      </x:c>
      <x:c r="Z207" s="14" t="str">
        <x:v>Arbeitskalibrierung – fachlich zu validieren</x:v>
      </x:c>
      <x:c r="AA207" s="14" t="str">
        <x:v>Vorgelagerte Lieferkette; relevante Tier-Stufen und Beschaffungsvolumen</x:v>
      </x:c>
      <x:c r="AB207" s="14" t="str">
        <x:v>Primärdaten bevorzugt; Sekundärdaten nur transparent und versioniert; Methode und Systemgrenze dokumentieren</x:v>
      </x:c>
      <x:c r="AC207" s="14" t="str">
        <x:v>Limited Assurance; risikobasiert höhere Prüftiefe</x:v>
      </x:c>
    </x:row>
    <x:row r="208" ht="42" customHeight="1">
      <x:c r="A208" s="14" t="str">
        <x:v>WOK-SC-118</x:v>
      </x:c>
      <x:c r="B208" s="14" t="str">
        <x:v>SDG 8 – Arbeit &amp; Wachstum</x:v>
      </x:c>
      <x:c r="C208" s="14" t="str">
        <x:v>8.7</x:v>
      </x:c>
      <x:c r="D208" s="14" t="str">
        <x:v>Lieferkette – Arbeitsrechte</x:v>
      </x:c>
      <x:c r="E208" s="14" t="str">
        <x:v>Lieferkette – Arbeitsrechte – Scope‑3 Daten</x:v>
      </x:c>
      <x:c r="F208" s="14" t="str">
        <x:v>% Kategorien</x:v>
      </x:c>
      <x:c r="G208" s="14" t="str">
        <x:v>higher_is_better</x:v>
      </x:c>
      <x:c r="H208" s="14" t="str">
        <x:v>R23</x:v>
      </x:c>
      <x:c r="I208" s="14" t="str">
        <x:v>NUM_HIGH</x:v>
      </x:c>
      <x:c r="J208" s="51"/>
      <x:c r="K208" s="51"/>
      <x:c r="L208" s="51"/>
      <x:c r="M208" s="54"/>
      <x:c r="N208" s="58" t="str">
        <x:f>IF($J208="","",IF($J208&lt;20,-3,IF($J208&lt;40,-2,IF($J208&lt;60,0,IF($J208&lt;80,2,3)))))</x:f>
      </x:c>
      <x:c r="O208" s="58" t="str">
        <x:f>IF($J208="","",IF(OR('02_Benchmarks'!$P208&lt;&gt;"Aktiv",COUNT('02_Benchmarks'!$J208:$M208)&lt;4),"",IF($G208="lower_is_better",IF($J208&lt;='02_Benchmarks'!$J208,3,IF($J208&lt;'02_Benchmarks'!$K208,2,IF($J208&lt;='02_Benchmarks'!$L208,0,IF($J208&lt;='02_Benchmarks'!$M208,-2,-3)))),IF($J208&gt;='02_Benchmarks'!$J208,3,IF($J208&gt;'02_Benchmarks'!$K208,2,IF($J208&gt;='02_Benchmarks'!$L208,0,IF($J208&gt;='02_Benchmarks'!$M208,-2,-3)))))))</x:f>
      </x:c>
      <x:c r="P208" s="58" t="str">
        <x:f>IF(COUNT($N208:$O208)+IF(ISNUMBER($K208),1,0)=0,"",MIN($N208:$O208,$K208))</x:f>
      </x:c>
      <x:c r="Q208" s="58" t="str">
        <x:f>IF($P208="","",INDEX('04_Tarifmodell'!$B$6:$B$12,$P208+4))</x:f>
      </x:c>
      <x:c r="R208" s="64" t="str">
        <x:f>IF($P208="","",INDEX('04_Tarifmodell'!$C$6:$C$12,$P208+4))</x:f>
      </x:c>
      <x:c r="S208" s="14" t="str">
        <x:f>IF(OR($I208="QUALITATIVE",$I208="MANUAL_HYBRID"),IF($K208="","Assurance-Score fehlt","Assurance-bewertet"),IF($I208="BENCHMARK",IF($W208&lt;&gt;"Aktiv",IF($K208="","Benchmark fehlt","Assurance-bewertet"),IF($J208="","Messwert fehlt",IF($P208="","Nicht bewertbar","Berechnet"))),IF(AND($J208="",$K208&lt;&gt;""),"Nur Assurance-Score",IF($J208="","Messwert fehlt",IF($P208="","Nicht bewertbar",IF($P208&lt;=-2,"Kritische Wirkung / Prüfung","Berechnet"))))))</x:f>
        <x:v>Messwert fehlt</x:v>
      </x:c>
      <x:c r="T208" s="14" t="str">
        <x:v>Vollständige fünfstufige numerische Regel.</x:v>
      </x:c>
      <x:c r="U208" s="14" t="str">
        <x:v>≥80:+3; 60–79:+2; 40–59:0; 20–39:‑2; &lt;20:‑3</x:v>
      </x:c>
      <x:c r="V208" s="14" t="str">
        <x:v>ESRS E1, GHG Protocol (Corporate/Scope 1–3), ISO 14064/14067</x:v>
      </x:c>
      <x:c r="W208" s="14" t="str">
        <x:f>'02_Benchmarks'!$P208</x:f>
        <x:v>Optional – kein aktiver Benchmark</x:v>
      </x:c>
      <x:c r="X208" s="14" t="str">
        <x:v>Messgrundlage belegt; Schwellenkalibrierung offen</x:v>
      </x:c>
      <x:c r="Y208" s="14" t="str">
        <x:v>Mittel</x:v>
      </x:c>
      <x:c r="Z208" s="14" t="str">
        <x:v>Arbeitskalibrierung – fachlich zu validieren</x:v>
      </x:c>
      <x:c r="AA208" s="14" t="str">
        <x:v>Vorgelagerte Lieferkette; relevante Tier-Stufen und Beschaffungsvolumen</x:v>
      </x:c>
      <x:c r="AB208" s="14" t="str">
        <x:v>Primärdaten bevorzugt; Sekundärdaten nur transparent und versioniert; Methode und Systemgrenze dokumentieren</x:v>
      </x:c>
      <x:c r="AC208" s="14" t="str">
        <x:v>Limited Assurance; risikobasiert höhere Prüftiefe</x:v>
      </x:c>
    </x:row>
    <x:row r="209" ht="42" customHeight="1">
      <x:c r="A209" s="14" t="str">
        <x:v>WOK-SYS-119</x:v>
      </x:c>
      <x:c r="B209" s="14" t="str">
        <x:v>SDG 8 – Arbeit &amp; Wachstum</x:v>
      </x:c>
      <x:c r="C209" s="14" t="str">
        <x:v>8.5</x:v>
      </x:c>
      <x:c r="D209" s="14" t="str">
        <x:v>Inklusionsjobs/Benachteiligte</x:v>
      </x:c>
      <x:c r="E209" s="14" t="str">
        <x:v>Inklusionsjobs/Benachteiligte – Index</x:v>
      </x:c>
      <x:c r="F209" s="14" t="str">
        <x:v>0–1</x:v>
      </x:c>
      <x:c r="G209" s="14" t="str">
        <x:v>higher_is_better</x:v>
      </x:c>
      <x:c r="H209" s="14" t="str">
        <x:v>R15</x:v>
      </x:c>
      <x:c r="I209" s="14" t="str">
        <x:v>NUM_HIGH</x:v>
      </x:c>
      <x:c r="J209" s="51"/>
      <x:c r="K209" s="51"/>
      <x:c r="L209" s="51"/>
      <x:c r="M209" s="54"/>
      <x:c r="N209" s="58" t="str">
        <x:f>IF($J209="","",IF($J209&lt;0.5,-3,IF($J209&lt;0.6,-2,IF($J209&lt;0.7,0,IF($J209&lt;0.8,2,3)))))</x:f>
      </x:c>
      <x:c r="O209" s="58" t="str">
        <x:f>IF($J209="","",IF(OR('02_Benchmarks'!$P209&lt;&gt;"Aktiv",COUNT('02_Benchmarks'!$J209:$M209)&lt;4),"",IF($G209="lower_is_better",IF($J209&lt;='02_Benchmarks'!$J209,3,IF($J209&lt;'02_Benchmarks'!$K209,2,IF($J209&lt;='02_Benchmarks'!$L209,0,IF($J209&lt;='02_Benchmarks'!$M209,-2,-3)))),IF($J209&gt;='02_Benchmarks'!$J209,3,IF($J209&gt;'02_Benchmarks'!$K209,2,IF($J209&gt;='02_Benchmarks'!$L209,0,IF($J209&gt;='02_Benchmarks'!$M209,-2,-3)))))))</x:f>
      </x:c>
      <x:c r="P209" s="58" t="str">
        <x:f>IF(COUNT($N209:$O209)+IF(ISNUMBER($K209),1,0)=0,"",MIN($N209:$O209,$K209))</x:f>
      </x:c>
      <x:c r="Q209" s="58" t="str">
        <x:f>IF($P209="","",INDEX('04_Tarifmodell'!$B$6:$B$12,$P209+4))</x:f>
      </x:c>
      <x:c r="R209" s="64" t="str">
        <x:f>IF($P209="","",INDEX('04_Tarifmodell'!$C$6:$C$12,$P209+4))</x:f>
      </x:c>
      <x:c r="S209" s="14" t="str">
        <x:f>IF(OR($I209="QUALITATIVE",$I209="MANUAL_HYBRID"),IF($K209="","Assurance-Score fehlt","Assurance-bewertet"),IF($I209="BENCHMARK",IF($W209&lt;&gt;"Aktiv",IF($K209="","Benchmark fehlt","Assurance-bewertet"),IF($J209="","Messwert fehlt",IF($P209="","Nicht bewertbar","Berechnet"))),IF(AND($J209="",$K209&lt;&gt;""),"Nur Assurance-Score",IF($J209="","Messwert fehlt",IF($P209="","Nicht bewertbar",IF($P209&lt;=-2,"Kritische Wirkung / Prüfung","Berechnet"))))))</x:f>
        <x:v>Messwert fehlt</x:v>
      </x:c>
      <x:c r="T209" s="14" t="str">
        <x:v>SROI/SDG 17 ist keine hinreichend konkrete Mess- oder Schwellenquelle. Vollständige fünfstufige numerische Regel.</x:v>
      </x:c>
      <x:c r="U209" s="14" t="str">
        <x:v>≥0,8:+3; 0,7–0,79:+2; 0,6–0,69:0; 0,5–0,59:‑2; &lt;0,5:‑3</x:v>
      </x:c>
      <x:c r="V209" s="14" t="str">
        <x:v>ESRS S1, GRI 401/403/405/406, ILO</x:v>
      </x:c>
      <x:c r="W209" s="14" t="str">
        <x:f>'02_Benchmarks'!$P209</x:f>
        <x:v>Optional – kein aktiver Benchmark</x:v>
      </x:c>
      <x:c r="X209" s="14" t="str">
        <x:v>Platzhalter – fachliche Operationalisierung offen</x:v>
      </x:c>
      <x:c r="Y209" s="14" t="str">
        <x:v>Kritisch</x:v>
      </x:c>
      <x:c r="Z209" s="14" t="str">
        <x:v>Arbeitskalibrierung – fachlich zu validieren</x:v>
      </x:c>
      <x:c r="AA209" s="14" t="str">
        <x:v>Programm/Portfolio/Systemraum; Empfängergruppe, Region und Zeitraum explizit definieren</x:v>
      </x:c>
      <x:c r="AB209" s="14" t="str">
        <x:v>Primärdaten bevorzugt; Sekundärdaten nur transparent und versioniert; Methode und Systemgrenze dokumentieren</x:v>
      </x:c>
      <x:c r="AC209" s="14" t="str">
        <x:v>Limited Assurance; risikobasiert höhere Prüftiefe</x:v>
      </x:c>
    </x:row>
    <x:row r="210" ht="42" customHeight="1">
      <x:c r="A210" s="14" t="str">
        <x:v>WOK-SYS-120</x:v>
      </x:c>
      <x:c r="B210" s="14" t="str">
        <x:v>SDG 8 – Arbeit &amp; Wachstum</x:v>
      </x:c>
      <x:c r="C210" s="14" t="str">
        <x:v>8.5</x:v>
      </x:c>
      <x:c r="D210" s="14" t="str">
        <x:v>Inklusionsjobs/Benachteiligte</x:v>
      </x:c>
      <x:c r="E210" s="14" t="str">
        <x:v>Inklusionsjobs/Benachteiligte – Exposure</x:v>
      </x:c>
      <x:c r="F210" s="14" t="str">
        <x:v>%</x:v>
      </x:c>
      <x:c r="G210" s="14" t="str">
        <x:v>lower_is_better</x:v>
      </x:c>
      <x:c r="H210" s="14" t="str">
        <x:v>R13</x:v>
      </x:c>
      <x:c r="I210" s="14" t="str">
        <x:v>NUM_LOW</x:v>
      </x:c>
      <x:c r="J210" s="51"/>
      <x:c r="K210" s="51"/>
      <x:c r="L210" s="51"/>
      <x:c r="M210" s="54"/>
      <x:c r="N210" s="58" t="str">
        <x:f>IF($J210="","",IF($J210&lt;=5,3,IF($J210&lt;=10,2,IF($J210&lt;=20,0,IF($J210&lt;=30,-2,-3)))))</x:f>
      </x:c>
      <x:c r="O210" s="58" t="str">
        <x:f>IF($J210="","",IF(OR('02_Benchmarks'!$P210&lt;&gt;"Aktiv",COUNT('02_Benchmarks'!$J210:$M210)&lt;4),"",IF($G210="lower_is_better",IF($J210&lt;='02_Benchmarks'!$J210,3,IF($J210&lt;'02_Benchmarks'!$K210,2,IF($J210&lt;='02_Benchmarks'!$L210,0,IF($J210&lt;='02_Benchmarks'!$M210,-2,-3)))),IF($J210&gt;='02_Benchmarks'!$J210,3,IF($J210&gt;'02_Benchmarks'!$K210,2,IF($J210&gt;='02_Benchmarks'!$L210,0,IF($J210&gt;='02_Benchmarks'!$M210,-2,-3)))))))</x:f>
      </x:c>
      <x:c r="P210" s="58" t="str">
        <x:f>IF(COUNT($N210:$O210)+IF(ISNUMBER($K210),1,0)=0,"",MIN($N210:$O210,$K210))</x:f>
      </x:c>
      <x:c r="Q210" s="58" t="str">
        <x:f>IF($P210="","",INDEX('04_Tarifmodell'!$B$6:$B$12,$P210+4))</x:f>
      </x:c>
      <x:c r="R210" s="64" t="str">
        <x:f>IF($P210="","",INDEX('04_Tarifmodell'!$C$6:$C$12,$P210+4))</x:f>
      </x:c>
      <x:c r="S210" s="14" t="str">
        <x:f>IF(OR($I210="QUALITATIVE",$I210="MANUAL_HYBRID"),IF($K210="","Assurance-Score fehlt","Assurance-bewertet"),IF($I210="BENCHMARK",IF($W210&lt;&gt;"Aktiv",IF($K210="","Benchmark fehlt","Assurance-bewertet"),IF($J210="","Messwert fehlt",IF($P210="","Nicht bewertbar","Berechnet"))),IF(AND($J210="",$K210&lt;&gt;""),"Nur Assurance-Score",IF($J210="","Messwert fehlt",IF($P210="","Nicht bewertbar",IF($P210&lt;=-2,"Kritische Wirkung / Prüfung","Berechnet"))))))</x:f>
        <x:v>Messwert fehlt</x:v>
      </x:c>
      <x:c r="T210" s="14" t="str">
        <x:v>SROI/SDG 17 ist keine hinreichend konkrete Mess- oder Schwellenquelle. Vollständige fünfstufige numerische Regel.</x:v>
      </x:c>
      <x:c r="U210" s="14" t="str">
        <x:v>≤5:+3; 6–10:+2; 11–20:0; 21–30:‑2; &gt;30:‑3</x:v>
      </x:c>
      <x:c r="V210" s="14" t="str">
        <x:v>ESRS S1, GRI 401/403/405/406, ILO</x:v>
      </x:c>
      <x:c r="W210" s="14" t="str">
        <x:f>'02_Benchmarks'!$P210</x:f>
        <x:v>Optional – kein aktiver Benchmark</x:v>
      </x:c>
      <x:c r="X210" s="14" t="str">
        <x:v>Platzhalter – fachliche Operationalisierung offen</x:v>
      </x:c>
      <x:c r="Y210" s="14" t="str">
        <x:v>Kritisch</x:v>
      </x:c>
      <x:c r="Z210" s="14" t="str">
        <x:v>Arbeitskalibrierung – fachlich zu validieren</x:v>
      </x:c>
      <x:c r="AA210" s="14" t="str">
        <x:v>Programm/Portfolio/Systemraum; Empfängergruppe, Region und Zeitraum explizit definieren</x:v>
      </x:c>
      <x:c r="AB210" s="14" t="str">
        <x:v>Primärdaten bevorzugt; Sekundärdaten nur transparent und versioniert; Methode und Systemgrenze dokumentieren</x:v>
      </x:c>
      <x:c r="AC210" s="14" t="str">
        <x:v>Limited Assurance; risikobasiert höhere Prüftiefe</x:v>
      </x:c>
    </x:row>
    <x:row r="211" ht="42" customHeight="1">
      <x:c r="A211" s="14" t="str">
        <x:v>WOK-SYS-121</x:v>
      </x:c>
      <x:c r="B211" s="14" t="str">
        <x:v>SDG 8 – Arbeit &amp; Wachstum</x:v>
      </x:c>
      <x:c r="C211" s="14" t="str">
        <x:v>8.5</x:v>
      </x:c>
      <x:c r="D211" s="14" t="str">
        <x:v>Inklusionsjobs/Benachteiligte</x:v>
      </x:c>
      <x:c r="E211" s="14" t="str">
        <x:v>Inklusionsjobs/Benachteiligte – Kooperationen</x:v>
      </x:c>
      <x:c r="F211" s="14" t="str">
        <x:v>#/Jahr</x:v>
      </x:c>
      <x:c r="G211" s="14" t="str">
        <x:v>higher_is_better</x:v>
      </x:c>
      <x:c r="H211" s="14" t="str">
        <x:v>R20</x:v>
      </x:c>
      <x:c r="I211" s="14" t="str">
        <x:v>NUM_HIGH</x:v>
      </x:c>
      <x:c r="J211" s="51"/>
      <x:c r="K211" s="51"/>
      <x:c r="L211" s="51"/>
      <x:c r="M211" s="54"/>
      <x:c r="N211" s="58" t="str">
        <x:f>IF($J211="","",IF($J211&lt;0,-3,IF($J211&lt;1,-2,IF($J211&lt;3,0,IF($J211&lt;5,2,3)))))</x:f>
      </x:c>
      <x:c r="O211" s="58" t="str">
        <x:f>IF($J211="","",IF(OR('02_Benchmarks'!$P211&lt;&gt;"Aktiv",COUNT('02_Benchmarks'!$J211:$M211)&lt;4),"",IF($G211="lower_is_better",IF($J211&lt;='02_Benchmarks'!$J211,3,IF($J211&lt;'02_Benchmarks'!$K211,2,IF($J211&lt;='02_Benchmarks'!$L211,0,IF($J211&lt;='02_Benchmarks'!$M211,-2,-3)))),IF($J211&gt;='02_Benchmarks'!$J211,3,IF($J211&gt;'02_Benchmarks'!$K211,2,IF($J211&gt;='02_Benchmarks'!$L211,0,IF($J211&gt;='02_Benchmarks'!$M211,-2,-3)))))))</x:f>
      </x:c>
      <x:c r="P211" s="58" t="str">
        <x:f>IF(COUNT($N211:$O211)+IF(ISNUMBER($K211),1,0)=0,"",MIN($N211:$O211,$K211))</x:f>
      </x:c>
      <x:c r="Q211" s="58" t="str">
        <x:f>IF($P211="","",INDEX('04_Tarifmodell'!$B$6:$B$12,$P211+4))</x:f>
      </x:c>
      <x:c r="R211" s="64" t="str">
        <x:f>IF($P211="","",INDEX('04_Tarifmodell'!$C$6:$C$12,$P211+4))</x:f>
      </x:c>
      <x:c r="S211" s="14" t="str">
        <x:f>IF(OR($I211="QUALITATIVE",$I211="MANUAL_HYBRID"),IF($K211="","Assurance-Score fehlt","Assurance-bewertet"),IF($I211="BENCHMARK",IF($W211&lt;&gt;"Aktiv",IF($K211="","Benchmark fehlt","Assurance-bewertet"),IF($J211="","Messwert fehlt",IF($P211="","Nicht bewertbar","Berechnet"))),IF(AND($J211="",$K211&lt;&gt;""),"Nur Assurance-Score",IF($J211="","Messwert fehlt",IF($P211="","Nicht bewertbar",IF($P211&lt;=-2,"Kritische Wirkung / Prüfung","Berechnet"))))))</x:f>
        <x:v>Messwert fehlt</x:v>
      </x:c>
      <x:c r="T211" s="14" t="str">
        <x:v>SROI/SDG 17 ist keine hinreichend konkrete Mess- oder Schwellenquelle. Für sachlogisch nichtnegative Zählwerte ist 0 die schlechteste reguläre Klasse (−2).</x:v>
      </x:c>
      <x:c r="U211" s="14" t="str">
        <x:v>≥5:+3; 3–4:+2; 1–2:0; 0:‑2</x:v>
      </x:c>
      <x:c r="V211" s="14" t="str">
        <x:v>ESRS S1, GRI 401/403/405/406, ILO</x:v>
      </x:c>
      <x:c r="W211" s="14" t="str">
        <x:f>'02_Benchmarks'!$P211</x:f>
        <x:v>Optional – kein aktiver Benchmark</x:v>
      </x:c>
      <x:c r="X211" s="14" t="str">
        <x:v>Platzhalter – fachliche Operationalisierung offen</x:v>
      </x:c>
      <x:c r="Y211" s="14" t="str">
        <x:v>Kritisch</x:v>
      </x:c>
      <x:c r="Z211" s="14" t="str">
        <x:v>Klasse −3 nur für negative/unzulässige Werte ergänzt</x:v>
      </x:c>
      <x:c r="AA211" s="14" t="str">
        <x:v>Programm/Portfolio/Systemraum; Empfängergruppe, Region und Zeitraum explizit definieren</x:v>
      </x:c>
      <x:c r="AB211" s="14" t="str">
        <x:v>Primärdaten bevorzugt; Sekundärdaten nur transparent und versioniert; Methode und Systemgrenze dokumentieren</x:v>
      </x:c>
      <x:c r="AC211" s="14" t="str">
        <x:v>Limited Assurance; risikobasiert höhere Prüftiefe</x:v>
      </x:c>
    </x:row>
    <x:row r="212" ht="42" customHeight="1">
      <x:c r="A212" s="14" t="str">
        <x:v>WOK-S-155</x:v>
      </x:c>
      <x:c r="B212" s="14" t="str">
        <x:v>SDG 8 – Arbeit &amp; Wachstum</x:v>
      </x:c>
      <x:c r="C212" s="14" t="str">
        <x:v>8.2</x:v>
      </x:c>
      <x:c r="D212" s="14" t="str">
        <x:v>Weiterbildung/Produktivität</x:v>
      </x:c>
      <x:c r="E212" s="14" t="str">
        <x:v>Weiterbildung/Produktivität – Living Wage</x:v>
      </x:c>
      <x:c r="F212" s="14" t="str">
        <x:v>% Beschäftigte</x:v>
      </x:c>
      <x:c r="G212" s="14" t="str">
        <x:v>higher_is_better</x:v>
      </x:c>
      <x:c r="H212" s="14" t="str">
        <x:v>R27</x:v>
      </x:c>
      <x:c r="I212" s="14" t="str">
        <x:v>NUM_HIGH</x:v>
      </x:c>
      <x:c r="J212" s="51"/>
      <x:c r="K212" s="51"/>
      <x:c r="L212" s="51"/>
      <x:c r="M212" s="54"/>
      <x:c r="N212" s="58" t="str">
        <x:f>IF($J212="","",IF($J212&lt;40,-3,IF($J212&lt;60,-2,IF($J212&lt;80,0,IF($J212&lt;95,2,3)))))</x:f>
      </x:c>
      <x:c r="O212" s="58" t="str">
        <x:f>IF($J212="","",IF(OR('02_Benchmarks'!$P212&lt;&gt;"Aktiv",COUNT('02_Benchmarks'!$J212:$M212)&lt;4),"",IF($G212="lower_is_better",IF($J212&lt;='02_Benchmarks'!$J212,3,IF($J212&lt;'02_Benchmarks'!$K212,2,IF($J212&lt;='02_Benchmarks'!$L212,0,IF($J212&lt;='02_Benchmarks'!$M212,-2,-3)))),IF($J212&gt;='02_Benchmarks'!$J212,3,IF($J212&gt;'02_Benchmarks'!$K212,2,IF($J212&gt;='02_Benchmarks'!$L212,0,IF($J212&gt;='02_Benchmarks'!$M212,-2,-3)))))))</x:f>
      </x:c>
      <x:c r="P212" s="58" t="str">
        <x:f>IF(COUNT($N212:$O212)+IF(ISNUMBER($K212),1,0)=0,"",MIN($N212:$O212,$K212))</x:f>
      </x:c>
      <x:c r="Q212" s="58" t="str">
        <x:f>IF($P212="","",INDEX('04_Tarifmodell'!$B$6:$B$12,$P212+4))</x:f>
      </x:c>
      <x:c r="R212" s="64" t="str">
        <x:f>IF($P212="","",INDEX('04_Tarifmodell'!$C$6:$C$12,$P212+4))</x:f>
      </x:c>
      <x:c r="S212" s="14" t="str">
        <x:f>IF(OR($I212="QUALITATIVE",$I212="MANUAL_HYBRID"),IF($K212="","Assurance-Score fehlt","Assurance-bewertet"),IF($I212="BENCHMARK",IF($W212&lt;&gt;"Aktiv",IF($K212="","Benchmark fehlt","Assurance-bewertet"),IF($J212="","Messwert fehlt",IF($P212="","Nicht bewertbar","Berechnet"))),IF(AND($J212="",$K212&lt;&gt;""),"Nur Assurance-Score",IF($J212="","Messwert fehlt",IF($P212="","Nicht bewertbar",IF($P212&lt;=-2,"Kritische Wirkung / Prüfung","Berechnet"))))))</x:f>
        <x:v>Messwert fehlt</x:v>
      </x:c>
      <x:c r="T212" s="14" t="str">
        <x:v>Vollständige fünfstufige numerische Regel.</x:v>
      </x:c>
      <x:c r="U212" s="14" t="str">
        <x:v>≥95:+3; 80–94:+2; 60–79:0; 40–59:‑2; &lt;40:‑3</x:v>
      </x:c>
      <x:c r="V212" s="14" t="str">
        <x:v>ESRS S1, GRI 401/403/405/406, ILO</x:v>
      </x:c>
      <x:c r="W212" s="14" t="str">
        <x:f>'02_Benchmarks'!$P212</x:f>
        <x:v>Optional – kein aktiver Benchmark</x:v>
      </x:c>
      <x:c r="X212" s="14" t="str">
        <x:v>Messgrundlage belegt; Schwellenkalibrierung offen</x:v>
      </x:c>
      <x:c r="Y212" s="14" t="str">
        <x:v>Mittel</x:v>
      </x:c>
      <x:c r="Z212" s="14" t="str">
        <x:v>Arbeitskalibrierung – fachlich zu validieren</x:v>
      </x:c>
      <x:c r="AA212" s="14" t="str">
        <x:v>Eigene Belegschaft/Organisation; FTE, Beschäftigtengruppe und Zeitraum</x:v>
      </x:c>
      <x:c r="AB212" s="14" t="str">
        <x:v>Primärdaten bevorzugt; Sekundärdaten nur transparent und versioniert; Methode und Systemgrenze dokumentieren</x:v>
      </x:c>
      <x:c r="AC212" s="14" t="str">
        <x:v>Limited Assurance; risikobasiert höhere Prüftiefe</x:v>
      </x:c>
    </x:row>
    <x:row r="213" ht="42" customHeight="1">
      <x:c r="A213" s="14" t="str">
        <x:v>WOK-S-156</x:v>
      </x:c>
      <x:c r="B213" s="14" t="str">
        <x:v>SDG 8 – Arbeit &amp; Wachstum</x:v>
      </x:c>
      <x:c r="C213" s="14" t="str">
        <x:v>8.2</x:v>
      </x:c>
      <x:c r="D213" s="14" t="str">
        <x:v>Weiterbildung/Produktivität</x:v>
      </x:c>
      <x:c r="E213" s="14" t="str">
        <x:v>Weiterbildung/Produktivität – Tarifbindung</x:v>
      </x:c>
      <x:c r="F213" s="14" t="str">
        <x:v>%</x:v>
      </x:c>
      <x:c r="G213" s="14" t="str">
        <x:v>higher_is_better</x:v>
      </x:c>
      <x:c r="H213" s="14" t="str">
        <x:v>R26</x:v>
      </x:c>
      <x:c r="I213" s="14" t="str">
        <x:v>NUM_HIGH</x:v>
      </x:c>
      <x:c r="J213" s="51"/>
      <x:c r="K213" s="51"/>
      <x:c r="L213" s="51"/>
      <x:c r="M213" s="54"/>
      <x:c r="N213" s="58" t="str">
        <x:f>IF($J213="","",IF($J213&lt;30,-3,IF($J213&lt;50,-2,IF($J213&lt;70,0,IF($J213&lt;90,2,3)))))</x:f>
      </x:c>
      <x:c r="O213" s="58" t="str">
        <x:f>IF($J213="","",IF(OR('02_Benchmarks'!$P213&lt;&gt;"Aktiv",COUNT('02_Benchmarks'!$J213:$M213)&lt;4),"",IF($G213="lower_is_better",IF($J213&lt;='02_Benchmarks'!$J213,3,IF($J213&lt;'02_Benchmarks'!$K213,2,IF($J213&lt;='02_Benchmarks'!$L213,0,IF($J213&lt;='02_Benchmarks'!$M213,-2,-3)))),IF($J213&gt;='02_Benchmarks'!$J213,3,IF($J213&gt;'02_Benchmarks'!$K213,2,IF($J213&gt;='02_Benchmarks'!$L213,0,IF($J213&gt;='02_Benchmarks'!$M213,-2,-3)))))))</x:f>
      </x:c>
      <x:c r="P213" s="58" t="str">
        <x:f>IF(COUNT($N213:$O213)+IF(ISNUMBER($K213),1,0)=0,"",MIN($N213:$O213,$K213))</x:f>
      </x:c>
      <x:c r="Q213" s="58" t="str">
        <x:f>IF($P213="","",INDEX('04_Tarifmodell'!$B$6:$B$12,$P213+4))</x:f>
      </x:c>
      <x:c r="R213" s="64" t="str">
        <x:f>IF($P213="","",INDEX('04_Tarifmodell'!$C$6:$C$12,$P213+4))</x:f>
      </x:c>
      <x:c r="S213" s="14" t="str">
        <x:f>IF(OR($I213="QUALITATIVE",$I213="MANUAL_HYBRID"),IF($K213="","Assurance-Score fehlt","Assurance-bewertet"),IF($I213="BENCHMARK",IF($W213&lt;&gt;"Aktiv",IF($K213="","Benchmark fehlt","Assurance-bewertet"),IF($J213="","Messwert fehlt",IF($P213="","Nicht bewertbar","Berechnet"))),IF(AND($J213="",$K213&lt;&gt;""),"Nur Assurance-Score",IF($J213="","Messwert fehlt",IF($P213="","Nicht bewertbar",IF($P213&lt;=-2,"Kritische Wirkung / Prüfung","Berechnet"))))))</x:f>
        <x:v>Messwert fehlt</x:v>
      </x:c>
      <x:c r="T213" s="14" t="str">
        <x:v>Vollständige fünfstufige numerische Regel.</x:v>
      </x:c>
      <x:c r="U213" s="14" t="str">
        <x:v>≥90:+3; 70–89:+2; 50–69:0; 30–49:‑2; &lt;30:‑3</x:v>
      </x:c>
      <x:c r="V213" s="14" t="str">
        <x:v>ESRS S1, GRI 401/403/405/406, ILO</x:v>
      </x:c>
      <x:c r="W213" s="14" t="str">
        <x:f>'02_Benchmarks'!$P213</x:f>
        <x:v>Optional – kein aktiver Benchmark</x:v>
      </x:c>
      <x:c r="X213" s="14" t="str">
        <x:v>Messgrundlage belegt; Schwellenkalibrierung offen</x:v>
      </x:c>
      <x:c r="Y213" s="14" t="str">
        <x:v>Mittel</x:v>
      </x:c>
      <x:c r="Z213" s="14" t="str">
        <x:v>Arbeitskalibrierung – fachlich zu validieren</x:v>
      </x:c>
      <x:c r="AA213" s="14" t="str">
        <x:v>Eigene Belegschaft/Organisation; FTE, Beschäftigtengruppe und Zeitraum</x:v>
      </x:c>
      <x:c r="AB213" s="14" t="str">
        <x:v>Primärdaten bevorzugt; Sekundärdaten nur transparent und versioniert; Methode und Systemgrenze dokumentieren</x:v>
      </x:c>
      <x:c r="AC213" s="14" t="str">
        <x:v>Limited Assurance; risikobasiert höhere Prüftiefe</x:v>
      </x:c>
    </x:row>
    <x:row r="214" ht="42" customHeight="1">
      <x:c r="A214" s="14" t="str">
        <x:v>WOK-S-157</x:v>
      </x:c>
      <x:c r="B214" s="14" t="str">
        <x:v>SDG 8 – Arbeit &amp; Wachstum</x:v>
      </x:c>
      <x:c r="C214" s="14" t="str">
        <x:v>8.2</x:v>
      </x:c>
      <x:c r="D214" s="14" t="str">
        <x:v>Weiterbildung/Produktivität</x:v>
      </x:c>
      <x:c r="E214" s="14" t="str">
        <x:v>Weiterbildung/Produktivität – LTIFR</x:v>
      </x:c>
      <x:c r="F214" s="14" t="str">
        <x:v>Unfälle/Mio Std.</x:v>
      </x:c>
      <x:c r="G214" s="14" t="str">
        <x:v>lower_is_better</x:v>
      </x:c>
      <x:c r="H214" s="14" t="str">
        <x:v>R02</x:v>
      </x:c>
      <x:c r="I214" s="14" t="str">
        <x:v>NUM_LOW</x:v>
      </x:c>
      <x:c r="J214" s="51"/>
      <x:c r="K214" s="51"/>
      <x:c r="L214" s="51"/>
      <x:c r="M214" s="54"/>
      <x:c r="N214" s="58" t="str">
        <x:f>IF($J214="","",IF($J214&lt;=0,3,IF($J214&lt;=1,2,IF($J214&lt;=3,0,IF($J214&lt;=5,-2,-3)))))</x:f>
      </x:c>
      <x:c r="O214" s="58" t="str">
        <x:f>IF($J214="","",IF(OR('02_Benchmarks'!$P214&lt;&gt;"Aktiv",COUNT('02_Benchmarks'!$J214:$M214)&lt;4),"",IF($G214="lower_is_better",IF($J214&lt;='02_Benchmarks'!$J214,3,IF($J214&lt;'02_Benchmarks'!$K214,2,IF($J214&lt;='02_Benchmarks'!$L214,0,IF($J214&lt;='02_Benchmarks'!$M214,-2,-3)))),IF($J214&gt;='02_Benchmarks'!$J214,3,IF($J214&gt;'02_Benchmarks'!$K214,2,IF($J214&gt;='02_Benchmarks'!$L214,0,IF($J214&gt;='02_Benchmarks'!$M214,-2,-3)))))))</x:f>
      </x:c>
      <x:c r="P214" s="58" t="str">
        <x:f>IF(COUNT($N214:$O214)+IF(ISNUMBER($K214),1,0)=0,"",MIN($N214:$O214,$K214))</x:f>
      </x:c>
      <x:c r="Q214" s="58" t="str">
        <x:f>IF($P214="","",INDEX('04_Tarifmodell'!$B$6:$B$12,$P214+4))</x:f>
      </x:c>
      <x:c r="R214" s="64" t="str">
        <x:f>IF($P214="","",INDEX('04_Tarifmodell'!$C$6:$C$12,$P214+4))</x:f>
      </x:c>
      <x:c r="S214" s="14" t="str">
        <x:f>IF(OR($I214="QUALITATIVE",$I214="MANUAL_HYBRID"),IF($K214="","Assurance-Score fehlt","Assurance-bewertet"),IF($I214="BENCHMARK",IF($W214&lt;&gt;"Aktiv",IF($K214="","Benchmark fehlt","Assurance-bewertet"),IF($J214="","Messwert fehlt",IF($P214="","Nicht bewertbar","Berechnet"))),IF(AND($J214="",$K214&lt;&gt;""),"Nur Assurance-Score",IF($J214="","Messwert fehlt",IF($P214="","Nicht bewertbar",IF($P214&lt;=-2,"Kritische Wirkung / Prüfung","Berechnet"))))))</x:f>
        <x:v>Messwert fehlt</x:v>
      </x:c>
      <x:c r="T214" s="14" t="str">
        <x:v>Vollständige fünfstufige numerische Regel.</x:v>
      </x:c>
      <x:c r="U214" s="14" t="str">
        <x:v>0:+3; ≤1:+2; ≤3:0; ≤5:‑2; &gt;5:‑3</x:v>
      </x:c>
      <x:c r="V214" s="14" t="str">
        <x:v>ESRS S1, GRI 401/403/405/406, ILO</x:v>
      </x:c>
      <x:c r="W214" s="14" t="str">
        <x:f>'02_Benchmarks'!$P214</x:f>
        <x:v>Optional – kein aktiver Benchmark</x:v>
      </x:c>
      <x:c r="X214" s="14" t="str">
        <x:v>Messgrundlage belegt; Schwellenkalibrierung offen</x:v>
      </x:c>
      <x:c r="Y214" s="14" t="str">
        <x:v>Mittel</x:v>
      </x:c>
      <x:c r="Z214" s="14" t="str">
        <x:v>Arbeitskalibrierung – fachlich zu validieren</x:v>
      </x:c>
      <x:c r="AA214" s="14" t="str">
        <x:v>Eigene Belegschaft/Organisation; FTE, Beschäftigtengruppe und Zeitraum</x:v>
      </x:c>
      <x:c r="AB214" s="14" t="str">
        <x:v>Primärdaten bevorzugt; Sekundärdaten nur transparent und versioniert; Methode und Systemgrenze dokumentieren</x:v>
      </x:c>
      <x:c r="AC214" s="14" t="str">
        <x:v>Limited Assurance; risikobasiert höhere Prüftiefe</x:v>
      </x:c>
    </x:row>
    <x:row r="215" ht="42" customHeight="1">
      <x:c r="A215" s="14" t="str">
        <x:v>WOK-G-140</x:v>
      </x:c>
      <x:c r="B215" s="14" t="str">
        <x:v>SDG 8 – Arbeit &amp; Wachstum</x:v>
      </x:c>
      <x:c r="C215" s="14" t="str">
        <x:v>8.8</x:v>
      </x:c>
      <x:c r="D215" s="14" t="str">
        <x:v>Beschwerdemechanismen</x:v>
      </x:c>
      <x:c r="E215" s="14" t="str">
        <x:v>Beschwerdemechanismen – Antikorruption</x:v>
      </x:c>
      <x:c r="F215" s="14" t="str">
        <x:v>Fälle/1.000 FTE</x:v>
      </x:c>
      <x:c r="G215" s="14" t="str">
        <x:v>lower_is_better</x:v>
      </x:c>
      <x:c r="H215" s="14" t="str">
        <x:v>R01</x:v>
      </x:c>
      <x:c r="I215" s="14" t="str">
        <x:v>NUM_LOW</x:v>
      </x:c>
      <x:c r="J215" s="51"/>
      <x:c r="K215" s="51"/>
      <x:c r="L215" s="51"/>
      <x:c r="M215" s="54"/>
      <x:c r="N215" s="58" t="str">
        <x:f>IF($J215="","",IF($J215&lt;=0,3,IF($J215&lt;=0.2,2,IF($J215&lt;=0.5,0,IF($J215&lt;=1,-2,-3)))))</x:f>
      </x:c>
      <x:c r="O215" s="58" t="str">
        <x:f>IF($J215="","",IF(OR('02_Benchmarks'!$P215&lt;&gt;"Aktiv",COUNT('02_Benchmarks'!$J215:$M215)&lt;4),"",IF($G215="lower_is_better",IF($J215&lt;='02_Benchmarks'!$J215,3,IF($J215&lt;'02_Benchmarks'!$K215,2,IF($J215&lt;='02_Benchmarks'!$L215,0,IF($J215&lt;='02_Benchmarks'!$M215,-2,-3)))),IF($J215&gt;='02_Benchmarks'!$J215,3,IF($J215&gt;'02_Benchmarks'!$K215,2,IF($J215&gt;='02_Benchmarks'!$L215,0,IF($J215&gt;='02_Benchmarks'!$M215,-2,-3)))))))</x:f>
      </x:c>
      <x:c r="P215" s="58" t="str">
        <x:f>IF(COUNT($N215:$O215)+IF(ISNUMBER($K215),1,0)=0,"",MIN($N215:$O215,$K215))</x:f>
      </x:c>
      <x:c r="Q215" s="58" t="str">
        <x:f>IF($P215="","",INDEX('04_Tarifmodell'!$B$6:$B$12,$P215+4))</x:f>
      </x:c>
      <x:c r="R215" s="64" t="str">
        <x:f>IF($P215="","",INDEX('04_Tarifmodell'!$C$6:$C$12,$P215+4))</x:f>
      </x:c>
      <x:c r="S215" s="14" t="str">
        <x:f>IF(OR($I215="QUALITATIVE",$I215="MANUAL_HYBRID"),IF($K215="","Assurance-Score fehlt","Assurance-bewertet"),IF($I215="BENCHMARK",IF($W215&lt;&gt;"Aktiv",IF($K215="","Benchmark fehlt","Assurance-bewertet"),IF($J215="","Messwert fehlt",IF($P215="","Nicht bewertbar","Berechnet"))),IF(AND($J215="",$K215&lt;&gt;""),"Nur Assurance-Score",IF($J215="","Messwert fehlt",IF($P215="","Nicht bewertbar",IF($P215&lt;=-2,"Kritische Wirkung / Prüfung","Berechnet"))))))</x:f>
        <x:v>Messwert fehlt</x:v>
      </x:c>
      <x:c r="T215" s="14" t="str">
        <x:v>Vollständige fünfstufige numerische Regel.</x:v>
      </x:c>
      <x:c r="U215" s="14" t="str">
        <x:v>0:+3; ≤0,2:+2; ≤0,5:0; ≤1:‑2; &gt;1:‑3</x:v>
      </x:c>
      <x:c r="V215" s="14" t="str">
        <x:v>ESRS G1, GRI 205/207, OECD Anti‑Bribery</x:v>
      </x:c>
      <x:c r="W215" s="14" t="str">
        <x:f>'02_Benchmarks'!$P215</x:f>
        <x:v>Optional – kein aktiver Benchmark</x:v>
      </x:c>
      <x:c r="X215" s="14" t="str">
        <x:v>Messgrundlage belegt; Schwellenkalibrierung offen</x:v>
      </x:c>
      <x:c r="Y215" s="14" t="str">
        <x:v>Mittel</x:v>
      </x:c>
      <x:c r="Z215" s="14" t="str">
        <x:v>Arbeitskalibrierung – fachlich zu validieren</x:v>
      </x:c>
      <x:c r="AA215" s="14" t="str">
        <x:v>Organisation/Governance; konsolidierter Kreis und relevante Rechtseinheiten</x:v>
      </x:c>
      <x:c r="AB215" s="14" t="str">
        <x:v>Primärdaten bevorzugt; Sekundärdaten nur transparent und versioniert; Methode und Systemgrenze dokumentieren</x:v>
      </x:c>
      <x:c r="AC215" s="14" t="str">
        <x:v>Limited Assurance; risikobasiert höhere Prüftiefe</x:v>
      </x:c>
    </x:row>
    <x:row r="216" ht="42" customHeight="1">
      <x:c r="A216" s="14" t="str">
        <x:v>WOK-G-141</x:v>
      </x:c>
      <x:c r="B216" s="14" t="str">
        <x:v>SDG 8 – Arbeit &amp; Wachstum</x:v>
      </x:c>
      <x:c r="C216" s="14" t="str">
        <x:v>8.8</x:v>
      </x:c>
      <x:c r="D216" s="14" t="str">
        <x:v>Beschwerdemechanismen</x:v>
      </x:c>
      <x:c r="E216" s="14" t="str">
        <x:v>Beschwerdemechanismen – Whistleblowing</x:v>
      </x:c>
      <x:c r="F216" s="14" t="str">
        <x:v>0–1</x:v>
      </x:c>
      <x:c r="G216" s="14" t="str">
        <x:v>higher_is_better</x:v>
      </x:c>
      <x:c r="H216" s="14" t="str">
        <x:v>R16</x:v>
      </x:c>
      <x:c r="I216" s="14" t="str">
        <x:v>NUM_HIGH</x:v>
      </x:c>
      <x:c r="J216" s="51"/>
      <x:c r="K216" s="51"/>
      <x:c r="L216" s="51"/>
      <x:c r="M216" s="54"/>
      <x:c r="N216" s="58" t="str">
        <x:f>IF($J216="","",IF($J216&lt;0.4,-3,IF($J216&lt;0.6,-2,IF($J216&lt;0.75,0,IF($J216&lt;0.9,2,3)))))</x:f>
      </x:c>
      <x:c r="O216" s="58" t="str">
        <x:f>IF($J216="","",IF(OR('02_Benchmarks'!$P216&lt;&gt;"Aktiv",COUNT('02_Benchmarks'!$J216:$M216)&lt;4),"",IF($G216="lower_is_better",IF($J216&lt;='02_Benchmarks'!$J216,3,IF($J216&lt;'02_Benchmarks'!$K216,2,IF($J216&lt;='02_Benchmarks'!$L216,0,IF($J216&lt;='02_Benchmarks'!$M216,-2,-3)))),IF($J216&gt;='02_Benchmarks'!$J216,3,IF($J216&gt;'02_Benchmarks'!$K216,2,IF($J216&gt;='02_Benchmarks'!$L216,0,IF($J216&gt;='02_Benchmarks'!$M216,-2,-3)))))))</x:f>
      </x:c>
      <x:c r="P216" s="58" t="str">
        <x:f>IF(COUNT($N216:$O216)+IF(ISNUMBER($K216),1,0)=0,"",MIN($N216:$O216,$K216))</x:f>
      </x:c>
      <x:c r="Q216" s="58" t="str">
        <x:f>IF($P216="","",INDEX('04_Tarifmodell'!$B$6:$B$12,$P216+4))</x:f>
      </x:c>
      <x:c r="R216" s="64" t="str">
        <x:f>IF($P216="","",INDEX('04_Tarifmodell'!$C$6:$C$12,$P216+4))</x:f>
      </x:c>
      <x:c r="S216" s="14" t="str">
        <x:f>IF(OR($I216="QUALITATIVE",$I216="MANUAL_HYBRID"),IF($K216="","Assurance-Score fehlt","Assurance-bewertet"),IF($I216="BENCHMARK",IF($W216&lt;&gt;"Aktiv",IF($K216="","Benchmark fehlt","Assurance-bewertet"),IF($J216="","Messwert fehlt",IF($P216="","Nicht bewertbar","Berechnet"))),IF(AND($J216="",$K216&lt;&gt;""),"Nur Assurance-Score",IF($J216="","Messwert fehlt",IF($P216="","Nicht bewertbar",IF($P216&lt;=-2,"Kritische Wirkung / Prüfung","Berechnet"))))))</x:f>
        <x:v>Messwert fehlt</x:v>
      </x:c>
      <x:c r="T216" s="14" t="str">
        <x:v>Vollständige fünfstufige numerische Regel.</x:v>
      </x:c>
      <x:c r="U216" s="14" t="str">
        <x:v>≥0,9:+3; 0,75–0,89:+2; 0,6–0,74:0; 0,4–0,59:‑2; &lt;0,4:‑3</x:v>
      </x:c>
      <x:c r="V216" s="14" t="str">
        <x:v>ESRS G1, GRI 205/207, OECD Anti‑Bribery</x:v>
      </x:c>
      <x:c r="W216" s="14" t="str">
        <x:f>'02_Benchmarks'!$P216</x:f>
        <x:v>Optional – kein aktiver Benchmark</x:v>
      </x:c>
      <x:c r="X216" s="14" t="str">
        <x:v>Messgrundlage belegt; Schwellenkalibrierung offen</x:v>
      </x:c>
      <x:c r="Y216" s="14" t="str">
        <x:v>Mittel</x:v>
      </x:c>
      <x:c r="Z216" s="14" t="str">
        <x:v>Arbeitskalibrierung – fachlich zu validieren</x:v>
      </x:c>
      <x:c r="AA216" s="14" t="str">
        <x:v>Organisation/Governance; konsolidierter Kreis und relevante Rechtseinheiten</x:v>
      </x:c>
      <x:c r="AB216" s="14" t="str">
        <x:v>Primärdaten bevorzugt; Sekundärdaten nur transparent und versioniert; Methode und Systemgrenze dokumentieren</x:v>
      </x:c>
      <x:c r="AC216" s="14" t="str">
        <x:v>Limited Assurance; risikobasiert höhere Prüftiefe</x:v>
      </x:c>
    </x:row>
    <x:row r="217" ht="42" customHeight="1">
      <x:c r="A217" s="14" t="str">
        <x:v>WOK-G-142</x:v>
      </x:c>
      <x:c r="B217" s="14" t="str">
        <x:v>SDG 8 – Arbeit &amp; Wachstum</x:v>
      </x:c>
      <x:c r="C217" s="14" t="str">
        <x:v>8.8</x:v>
      </x:c>
      <x:c r="D217" s="14" t="str">
        <x:v>Beschwerdemechanismen</x:v>
      </x:c>
      <x:c r="E217" s="14" t="str">
        <x:v>Beschwerdemechanismen – Steuertransparenz</x:v>
      </x:c>
      <x:c r="F217" s="14" t="str">
        <x:v>0–1</x:v>
      </x:c>
      <x:c r="G217" s="14" t="str">
        <x:v>higher_is_better</x:v>
      </x:c>
      <x:c r="H217" s="14" t="str">
        <x:v>R08</x:v>
      </x:c>
      <x:c r="I217" s="14" t="str">
        <x:v>QUALITATIVE</x:v>
      </x:c>
      <x:c r="J217" s="51"/>
      <x:c r="K217" s="51"/>
      <x:c r="L217" s="51"/>
      <x:c r="M217" s="54"/>
      <x:c r="N217" s="58" t="str">
        <x:f>""</x:f>
      </x:c>
      <x:c r="O217" s="58" t="str">
        <x:f>IF($J217="","",IF(OR('02_Benchmarks'!$P217&lt;&gt;"Aktiv",COUNT('02_Benchmarks'!$J217:$M217)&lt;4),"",IF($G217="lower_is_better",IF($J217&lt;='02_Benchmarks'!$J217,3,IF($J217&lt;'02_Benchmarks'!$K217,2,IF($J217&lt;='02_Benchmarks'!$L217,0,IF($J217&lt;='02_Benchmarks'!$M217,-2,-3)))),IF($J217&gt;='02_Benchmarks'!$J217,3,IF($J217&gt;'02_Benchmarks'!$K217,2,IF($J217&gt;='02_Benchmarks'!$L217,0,IF($J217&gt;='02_Benchmarks'!$M217,-2,-3)))))))</x:f>
      </x:c>
      <x:c r="P217" s="58" t="str">
        <x:f>IF(COUNT($N217:$O217)+IF(ISNUMBER($K217),1,0)=0,"",MIN($N217:$O217,$K217))</x:f>
      </x:c>
      <x:c r="Q217" s="58" t="str">
        <x:f>IF($P217="","",INDEX('04_Tarifmodell'!$B$6:$B$12,$P217+4))</x:f>
      </x:c>
      <x:c r="R217" s="64" t="str">
        <x:f>IF($P217="","",INDEX('04_Tarifmodell'!$C$6:$C$12,$P217+4))</x:f>
      </x:c>
      <x:c r="S217" s="14" t="str">
        <x:f>IF(OR($I217="QUALITATIVE",$I217="MANUAL_HYBRID"),IF($K217="","Assurance-Score fehlt","Assurance-bewertet"),IF($I217="BENCHMARK",IF($W217&lt;&gt;"Aktiv",IF($K217="","Benchmark fehlt","Assurance-bewertet"),IF($J217="","Messwert fehlt",IF($P217="","Nicht bewertbar","Berechnet"))),IF(AND($J217="",$K217&lt;&gt;""),"Nur Assurance-Score",IF($J217="","Messwert fehlt",IF($P217="","Nicht bewertbar",IF($P217&lt;=-2,"Kritische Wirkung / Prüfung","Berechnet"))))))</x:f>
        <x:v>Assurance-Score fehlt</x:v>
      </x:c>
      <x:c r="T217" s="14" t="str">
        <x:v>Die Kategorie −3 fehlt; Vollständigkeit und Wirksamkeit sind feldspezifisch zu definieren.</x:v>
      </x:c>
      <x:c r="U217" s="14" t="str">
        <x:v>vollständig:+3; teilweise:+2; minimal:0; schlecht:‑2</x:v>
      </x:c>
      <x:c r="V217" s="14" t="str">
        <x:v>ESRS G1, GRI 205/207, OECD Anti‑Bribery</x:v>
      </x:c>
      <x:c r="W217" s="14" t="str">
        <x:f>'02_Benchmarks'!$P217</x:f>
        <x:v>Optional – kein aktiver Benchmark</x:v>
      </x:c>
      <x:c r="X217" s="14" t="str">
        <x:v>Messgrundlage belegt; Schwellenkalibrierung offen</x:v>
      </x:c>
      <x:c r="Y217" s="14" t="str">
        <x:v>Hoch</x:v>
      </x:c>
      <x:c r="Z217" s="14" t="str">
        <x:v>Assurance und Kriterienkatalog erforderlich</x:v>
      </x:c>
      <x:c r="AA217" s="14" t="str">
        <x:v>Organisation/Governance; konsolidierter Kreis und relevante Rechtseinheiten</x:v>
      </x:c>
      <x:c r="AB217" s="14" t="str">
        <x:v>Dokumentierter Kriterienkatalog; nachvollziehbare Evidenz; DQR A/B bevorzugt</x:v>
      </x:c>
      <x:c r="AC217" s="14" t="str">
        <x:v>Unabhängige Fachprüfung/Limited Assurance; bei roten Linien Reasonable Assurance</x:v>
      </x:c>
    </x:row>
    <x:row r="218" ht="42" customHeight="1">
      <x:c r="A218" s="14" t="str">
        <x:v>WOK-S-158</x:v>
      </x:c>
      <x:c r="B218" s="14" t="str">
        <x:v>SDG 8 – Arbeit &amp; Wachstum</x:v>
      </x:c>
      <x:c r="C218" s="14" t="str">
        <x:v>8.8</x:v>
      </x:c>
      <x:c r="D218" s="14" t="str">
        <x:v>Arbeitszeit &amp; Überstunden</x:v>
      </x:c>
      <x:c r="E218" s="14" t="str">
        <x:v>Arbeitszeit &amp; Überstunden – Living Wage</x:v>
      </x:c>
      <x:c r="F218" s="14" t="str">
        <x:v>% Beschäftigte</x:v>
      </x:c>
      <x:c r="G218" s="14" t="str">
        <x:v>higher_is_better</x:v>
      </x:c>
      <x:c r="H218" s="14" t="str">
        <x:v>R27</x:v>
      </x:c>
      <x:c r="I218" s="14" t="str">
        <x:v>NUM_HIGH</x:v>
      </x:c>
      <x:c r="J218" s="51"/>
      <x:c r="K218" s="51"/>
      <x:c r="L218" s="51"/>
      <x:c r="M218" s="54"/>
      <x:c r="N218" s="58" t="str">
        <x:f>IF($J218="","",IF($J218&lt;40,-3,IF($J218&lt;60,-2,IF($J218&lt;80,0,IF($J218&lt;95,2,3)))))</x:f>
      </x:c>
      <x:c r="O218" s="58" t="str">
        <x:f>IF($J218="","",IF(OR('02_Benchmarks'!$P218&lt;&gt;"Aktiv",COUNT('02_Benchmarks'!$J218:$M218)&lt;4),"",IF($G218="lower_is_better",IF($J218&lt;='02_Benchmarks'!$J218,3,IF($J218&lt;'02_Benchmarks'!$K218,2,IF($J218&lt;='02_Benchmarks'!$L218,0,IF($J218&lt;='02_Benchmarks'!$M218,-2,-3)))),IF($J218&gt;='02_Benchmarks'!$J218,3,IF($J218&gt;'02_Benchmarks'!$K218,2,IF($J218&gt;='02_Benchmarks'!$L218,0,IF($J218&gt;='02_Benchmarks'!$M218,-2,-3)))))))</x:f>
      </x:c>
      <x:c r="P218" s="58" t="str">
        <x:f>IF(COUNT($N218:$O218)+IF(ISNUMBER($K218),1,0)=0,"",MIN($N218:$O218,$K218))</x:f>
      </x:c>
      <x:c r="Q218" s="58" t="str">
        <x:f>IF($P218="","",INDEX('04_Tarifmodell'!$B$6:$B$12,$P218+4))</x:f>
      </x:c>
      <x:c r="R218" s="64" t="str">
        <x:f>IF($P218="","",INDEX('04_Tarifmodell'!$C$6:$C$12,$P218+4))</x:f>
      </x:c>
      <x:c r="S218" s="14" t="str">
        <x:f>IF(OR($I218="QUALITATIVE",$I218="MANUAL_HYBRID"),IF($K218="","Assurance-Score fehlt","Assurance-bewertet"),IF($I218="BENCHMARK",IF($W218&lt;&gt;"Aktiv",IF($K218="","Benchmark fehlt","Assurance-bewertet"),IF($J218="","Messwert fehlt",IF($P218="","Nicht bewertbar","Berechnet"))),IF(AND($J218="",$K218&lt;&gt;""),"Nur Assurance-Score",IF($J218="","Messwert fehlt",IF($P218="","Nicht bewertbar",IF($P218&lt;=-2,"Kritische Wirkung / Prüfung","Berechnet"))))))</x:f>
        <x:v>Messwert fehlt</x:v>
      </x:c>
      <x:c r="T218" s="14" t="str">
        <x:v>Vollständige fünfstufige numerische Regel.</x:v>
      </x:c>
      <x:c r="U218" s="14" t="str">
        <x:v>≥95:+3; 80–94:+2; 60–79:0; 40–59:‑2; &lt;40:‑3</x:v>
      </x:c>
      <x:c r="V218" s="14" t="str">
        <x:v>ESRS S1, GRI 401/403/405/406, ILO</x:v>
      </x:c>
      <x:c r="W218" s="14" t="str">
        <x:f>'02_Benchmarks'!$P218</x:f>
        <x:v>Optional – kein aktiver Benchmark</x:v>
      </x:c>
      <x:c r="X218" s="14" t="str">
        <x:v>Messgrundlage belegt; Schwellenkalibrierung offen</x:v>
      </x:c>
      <x:c r="Y218" s="14" t="str">
        <x:v>Mittel</x:v>
      </x:c>
      <x:c r="Z218" s="14" t="str">
        <x:v>Arbeitskalibrierung – fachlich zu validieren</x:v>
      </x:c>
      <x:c r="AA218" s="14" t="str">
        <x:v>Eigene Belegschaft/Organisation; FTE, Beschäftigtengruppe und Zeitraum</x:v>
      </x:c>
      <x:c r="AB218" s="14" t="str">
        <x:v>Primärdaten bevorzugt; Sekundärdaten nur transparent und versioniert; Methode und Systemgrenze dokumentieren</x:v>
      </x:c>
      <x:c r="AC218" s="14" t="str">
        <x:v>Limited Assurance; risikobasiert höhere Prüftiefe</x:v>
      </x:c>
    </x:row>
    <x:row r="219" ht="42" customHeight="1">
      <x:c r="A219" s="14" t="str">
        <x:v>WOK-S-159</x:v>
      </x:c>
      <x:c r="B219" s="14" t="str">
        <x:v>SDG 8 – Arbeit &amp; Wachstum</x:v>
      </x:c>
      <x:c r="C219" s="14" t="str">
        <x:v>8.8</x:v>
      </x:c>
      <x:c r="D219" s="14" t="str">
        <x:v>Arbeitszeit &amp; Überstunden</x:v>
      </x:c>
      <x:c r="E219" s="14" t="str">
        <x:v>Arbeitszeit &amp; Überstunden – Tarifbindung</x:v>
      </x:c>
      <x:c r="F219" s="14" t="str">
        <x:v>%</x:v>
      </x:c>
      <x:c r="G219" s="14" t="str">
        <x:v>higher_is_better</x:v>
      </x:c>
      <x:c r="H219" s="14" t="str">
        <x:v>R26</x:v>
      </x:c>
      <x:c r="I219" s="14" t="str">
        <x:v>NUM_HIGH</x:v>
      </x:c>
      <x:c r="J219" s="51"/>
      <x:c r="K219" s="51"/>
      <x:c r="L219" s="51"/>
      <x:c r="M219" s="54"/>
      <x:c r="N219" s="58" t="str">
        <x:f>IF($J219="","",IF($J219&lt;30,-3,IF($J219&lt;50,-2,IF($J219&lt;70,0,IF($J219&lt;90,2,3)))))</x:f>
      </x:c>
      <x:c r="O219" s="58" t="str">
        <x:f>IF($J219="","",IF(OR('02_Benchmarks'!$P219&lt;&gt;"Aktiv",COUNT('02_Benchmarks'!$J219:$M219)&lt;4),"",IF($G219="lower_is_better",IF($J219&lt;='02_Benchmarks'!$J219,3,IF($J219&lt;'02_Benchmarks'!$K219,2,IF($J219&lt;='02_Benchmarks'!$L219,0,IF($J219&lt;='02_Benchmarks'!$M219,-2,-3)))),IF($J219&gt;='02_Benchmarks'!$J219,3,IF($J219&gt;'02_Benchmarks'!$K219,2,IF($J219&gt;='02_Benchmarks'!$L219,0,IF($J219&gt;='02_Benchmarks'!$M219,-2,-3)))))))</x:f>
      </x:c>
      <x:c r="P219" s="58" t="str">
        <x:f>IF(COUNT($N219:$O219)+IF(ISNUMBER($K219),1,0)=0,"",MIN($N219:$O219,$K219))</x:f>
      </x:c>
      <x:c r="Q219" s="58" t="str">
        <x:f>IF($P219="","",INDEX('04_Tarifmodell'!$B$6:$B$12,$P219+4))</x:f>
      </x:c>
      <x:c r="R219" s="64" t="str">
        <x:f>IF($P219="","",INDEX('04_Tarifmodell'!$C$6:$C$12,$P219+4))</x:f>
      </x:c>
      <x:c r="S219" s="14" t="str">
        <x:f>IF(OR($I219="QUALITATIVE",$I219="MANUAL_HYBRID"),IF($K219="","Assurance-Score fehlt","Assurance-bewertet"),IF($I219="BENCHMARK",IF($W219&lt;&gt;"Aktiv",IF($K219="","Benchmark fehlt","Assurance-bewertet"),IF($J219="","Messwert fehlt",IF($P219="","Nicht bewertbar","Berechnet"))),IF(AND($J219="",$K219&lt;&gt;""),"Nur Assurance-Score",IF($J219="","Messwert fehlt",IF($P219="","Nicht bewertbar",IF($P219&lt;=-2,"Kritische Wirkung / Prüfung","Berechnet"))))))</x:f>
        <x:v>Messwert fehlt</x:v>
      </x:c>
      <x:c r="T219" s="14" t="str">
        <x:v>Vollständige fünfstufige numerische Regel.</x:v>
      </x:c>
      <x:c r="U219" s="14" t="str">
        <x:v>≥90:+3; 70–89:+2; 50–69:0; 30–49:‑2; &lt;30:‑3</x:v>
      </x:c>
      <x:c r="V219" s="14" t="str">
        <x:v>ESRS S1, GRI 401/403/405/406, ILO</x:v>
      </x:c>
      <x:c r="W219" s="14" t="str">
        <x:f>'02_Benchmarks'!$P219</x:f>
        <x:v>Optional – kein aktiver Benchmark</x:v>
      </x:c>
      <x:c r="X219" s="14" t="str">
        <x:v>Messgrundlage belegt; Schwellenkalibrierung offen</x:v>
      </x:c>
      <x:c r="Y219" s="14" t="str">
        <x:v>Mittel</x:v>
      </x:c>
      <x:c r="Z219" s="14" t="str">
        <x:v>Arbeitskalibrierung – fachlich zu validieren</x:v>
      </x:c>
      <x:c r="AA219" s="14" t="str">
        <x:v>Eigene Belegschaft/Organisation; FTE, Beschäftigtengruppe und Zeitraum</x:v>
      </x:c>
      <x:c r="AB219" s="14" t="str">
        <x:v>Primärdaten bevorzugt; Sekundärdaten nur transparent und versioniert; Methode und Systemgrenze dokumentieren</x:v>
      </x:c>
      <x:c r="AC219" s="14" t="str">
        <x:v>Limited Assurance; risikobasiert höhere Prüftiefe</x:v>
      </x:c>
    </x:row>
    <x:row r="220" ht="42" customHeight="1">
      <x:c r="A220" s="14" t="str">
        <x:v>WOK-S-160</x:v>
      </x:c>
      <x:c r="B220" s="14" t="str">
        <x:v>SDG 8 – Arbeit &amp; Wachstum</x:v>
      </x:c>
      <x:c r="C220" s="14" t="str">
        <x:v>8.8</x:v>
      </x:c>
      <x:c r="D220" s="14" t="str">
        <x:v>Arbeitszeit &amp; Überstunden</x:v>
      </x:c>
      <x:c r="E220" s="14" t="str">
        <x:v>Arbeitszeit &amp; Überstunden – LTIFR</x:v>
      </x:c>
      <x:c r="F220" s="14" t="str">
        <x:v>Unfälle/Mio Std.</x:v>
      </x:c>
      <x:c r="G220" s="14" t="str">
        <x:v>lower_is_better</x:v>
      </x:c>
      <x:c r="H220" s="14" t="str">
        <x:v>R02</x:v>
      </x:c>
      <x:c r="I220" s="14" t="str">
        <x:v>NUM_LOW</x:v>
      </x:c>
      <x:c r="J220" s="51"/>
      <x:c r="K220" s="51"/>
      <x:c r="L220" s="51"/>
      <x:c r="M220" s="54"/>
      <x:c r="N220" s="58" t="str">
        <x:f>IF($J220="","",IF($J220&lt;=0,3,IF($J220&lt;=1,2,IF($J220&lt;=3,0,IF($J220&lt;=5,-2,-3)))))</x:f>
      </x:c>
      <x:c r="O220" s="58" t="str">
        <x:f>IF($J220="","",IF(OR('02_Benchmarks'!$P220&lt;&gt;"Aktiv",COUNT('02_Benchmarks'!$J220:$M220)&lt;4),"",IF($G220="lower_is_better",IF($J220&lt;='02_Benchmarks'!$J220,3,IF($J220&lt;'02_Benchmarks'!$K220,2,IF($J220&lt;='02_Benchmarks'!$L220,0,IF($J220&lt;='02_Benchmarks'!$M220,-2,-3)))),IF($J220&gt;='02_Benchmarks'!$J220,3,IF($J220&gt;'02_Benchmarks'!$K220,2,IF($J220&gt;='02_Benchmarks'!$L220,0,IF($J220&gt;='02_Benchmarks'!$M220,-2,-3)))))))</x:f>
      </x:c>
      <x:c r="P220" s="58" t="str">
        <x:f>IF(COUNT($N220:$O220)+IF(ISNUMBER($K220),1,0)=0,"",MIN($N220:$O220,$K220))</x:f>
      </x:c>
      <x:c r="Q220" s="58" t="str">
        <x:f>IF($P220="","",INDEX('04_Tarifmodell'!$B$6:$B$12,$P220+4))</x:f>
      </x:c>
      <x:c r="R220" s="64" t="str">
        <x:f>IF($P220="","",INDEX('04_Tarifmodell'!$C$6:$C$12,$P220+4))</x:f>
      </x:c>
      <x:c r="S220" s="14" t="str">
        <x:f>IF(OR($I220="QUALITATIVE",$I220="MANUAL_HYBRID"),IF($K220="","Assurance-Score fehlt","Assurance-bewertet"),IF($I220="BENCHMARK",IF($W220&lt;&gt;"Aktiv",IF($K220="","Benchmark fehlt","Assurance-bewertet"),IF($J220="","Messwert fehlt",IF($P220="","Nicht bewertbar","Berechnet"))),IF(AND($J220="",$K220&lt;&gt;""),"Nur Assurance-Score",IF($J220="","Messwert fehlt",IF($P220="","Nicht bewertbar",IF($P220&lt;=-2,"Kritische Wirkung / Prüfung","Berechnet"))))))</x:f>
        <x:v>Messwert fehlt</x:v>
      </x:c>
      <x:c r="T220" s="14" t="str">
        <x:v>Vollständige fünfstufige numerische Regel.</x:v>
      </x:c>
      <x:c r="U220" s="14" t="str">
        <x:v>0:+3; ≤1:+2; ≤3:0; ≤5:‑2; &gt;5:‑3</x:v>
      </x:c>
      <x:c r="V220" s="14" t="str">
        <x:v>ESRS S1, GRI 401/403/405/406, ILO</x:v>
      </x:c>
      <x:c r="W220" s="14" t="str">
        <x:f>'02_Benchmarks'!$P220</x:f>
        <x:v>Optional – kein aktiver Benchmark</x:v>
      </x:c>
      <x:c r="X220" s="14" t="str">
        <x:v>Messgrundlage belegt; Schwellenkalibrierung offen</x:v>
      </x:c>
      <x:c r="Y220" s="14" t="str">
        <x:v>Mittel</x:v>
      </x:c>
      <x:c r="Z220" s="14" t="str">
        <x:v>Arbeitskalibrierung – fachlich zu validieren</x:v>
      </x:c>
      <x:c r="AA220" s="14" t="str">
        <x:v>Eigene Belegschaft/Organisation; FTE, Beschäftigtengruppe und Zeitraum</x:v>
      </x:c>
      <x:c r="AB220" s="14" t="str">
        <x:v>Primärdaten bevorzugt; Sekundärdaten nur transparent und versioniert; Methode und Systemgrenze dokumentieren</x:v>
      </x:c>
      <x:c r="AC220" s="14" t="str">
        <x:v>Limited Assurance; risikobasiert höhere Prüftiefe</x:v>
      </x:c>
    </x:row>
    <x:row r="221" ht="42" customHeight="1">
      <x:c r="A221" s="14" t="str">
        <x:v>WOK-E-146</x:v>
      </x:c>
      <x:c r="B221" s="14" t="str">
        <x:v>SDG 9 – Industrie/Innovation</x:v>
      </x:c>
      <x:c r="C221" s="14" t="str">
        <x:v>9.4</x:v>
      </x:c>
      <x:c r="D221" s="14" t="str">
        <x:v>Prozess‑THG‑Intensität</x:v>
      </x:c>
      <x:c r="E221" s="14" t="str">
        <x:v>Prozess‑THG‑Intensität – Green R&amp;D</x:v>
      </x:c>
      <x:c r="F221" s="14" t="str">
        <x:v>% Umsatz</x:v>
      </x:c>
      <x:c r="G221" s="14" t="str">
        <x:v>higher_is_better</x:v>
      </x:c>
      <x:c r="H221" s="14" t="str">
        <x:v>R19</x:v>
      </x:c>
      <x:c r="I221" s="14" t="str">
        <x:v>NUM_HIGH</x:v>
      </x:c>
      <x:c r="J221" s="51"/>
      <x:c r="K221" s="51"/>
      <x:c r="L221" s="51"/>
      <x:c r="M221" s="54"/>
      <x:c r="N221" s="58" t="str">
        <x:f>IF($J221="","",IF($J221&lt;0.5,-3,IF($J221&lt;1,-2,IF($J221&lt;3,0,IF($J221&lt;5,2,3)))))</x:f>
      </x:c>
      <x:c r="O221" s="58" t="str">
        <x:f>IF($J221="","",IF(OR('02_Benchmarks'!$P221&lt;&gt;"Aktiv",COUNT('02_Benchmarks'!$J221:$M221)&lt;4),"",IF($G221="lower_is_better",IF($J221&lt;='02_Benchmarks'!$J221,3,IF($J221&lt;'02_Benchmarks'!$K221,2,IF($J221&lt;='02_Benchmarks'!$L221,0,IF($J221&lt;='02_Benchmarks'!$M221,-2,-3)))),IF($J221&gt;='02_Benchmarks'!$J221,3,IF($J221&gt;'02_Benchmarks'!$K221,2,IF($J221&gt;='02_Benchmarks'!$L221,0,IF($J221&gt;='02_Benchmarks'!$M221,-2,-3)))))))</x:f>
      </x:c>
      <x:c r="P221" s="58" t="str">
        <x:f>IF(COUNT($N221:$O221)+IF(ISNUMBER($K221),1,0)=0,"",MIN($N221:$O221,$K221))</x:f>
      </x:c>
      <x:c r="Q221" s="58" t="str">
        <x:f>IF($P221="","",INDEX('04_Tarifmodell'!$B$6:$B$12,$P221+4))</x:f>
      </x:c>
      <x:c r="R221" s="64" t="str">
        <x:f>IF($P221="","",INDEX('04_Tarifmodell'!$C$6:$C$12,$P221+4))</x:f>
      </x:c>
      <x:c r="S221" s="14" t="str">
        <x:f>IF(OR($I221="QUALITATIVE",$I221="MANUAL_HYBRID"),IF($K221="","Assurance-Score fehlt","Assurance-bewertet"),IF($I221="BENCHMARK",IF($W221&lt;&gt;"Aktiv",IF($K221="","Benchmark fehlt","Assurance-bewertet"),IF($J221="","Messwert fehlt",IF($P221="","Nicht bewertbar","Berechnet"))),IF(AND($J221="",$K221&lt;&gt;""),"Nur Assurance-Score",IF($J221="","Messwert fehlt",IF($P221="","Nicht bewertbar",IF($P221&lt;=-2,"Kritische Wirkung / Prüfung","Berechnet"))))))</x:f>
        <x:v>Messwert fehlt</x:v>
      </x:c>
      <x:c r="T221" s="14" t="str">
        <x:v>Vollständige fünfstufige numerische Regel.</x:v>
      </x:c>
      <x:c r="U221" s="14" t="str">
        <x:v>≥5:+3; 3–4,9:+2; 1–2,9:0; 0,5–0,9:‑2; &lt;0,5:‑3</x:v>
      </x:c>
      <x:c r="V221" s="14" t="str">
        <x:v>ESRS E1, GHG Protocol (Corporate/Scope 1–3), ISO 14064/14067</x:v>
      </x:c>
      <x:c r="W221" s="14" t="str">
        <x:f>'02_Benchmarks'!$P221</x:f>
        <x:v>Optional – kein aktiver Benchmark</x:v>
      </x:c>
      <x:c r="X221" s="14" t="str">
        <x:v>Messgrundlage belegt; Schwellenkalibrierung offen</x:v>
      </x:c>
      <x:c r="Y221" s="14" t="str">
        <x:v>Mittel</x:v>
      </x:c>
      <x:c r="Z221" s="14" t="str">
        <x:v>Arbeitskalibrierung – fachlich zu validieren</x:v>
      </x:c>
      <x:c r="AA221" s="14" t="str">
        <x:v>Standort/Prozess/Aktivität; Bezugsgröße und relevante Umweltmedien</x:v>
      </x:c>
      <x:c r="AB221" s="14" t="str">
        <x:v>Primärdaten bevorzugt; Sekundärdaten nur transparent und versioniert; Methode und Systemgrenze dokumentieren</x:v>
      </x:c>
      <x:c r="AC221" s="14" t="str">
        <x:v>Limited Assurance; risikobasiert höhere Prüftiefe</x:v>
      </x:c>
    </x:row>
    <x:row r="222" ht="42" customHeight="1">
      <x:c r="A222" s="14" t="str">
        <x:v>WOK-E-147</x:v>
      </x:c>
      <x:c r="B222" s="14" t="str">
        <x:v>SDG 9 – Industrie/Innovation</x:v>
      </x:c>
      <x:c r="C222" s="14" t="str">
        <x:v>9.4</x:v>
      </x:c>
      <x:c r="D222" s="14" t="str">
        <x:v>Prozess‑THG‑Intensität</x:v>
      </x:c>
      <x:c r="E222" s="14" t="str">
        <x:v>Prozess‑THG‑Intensität – SDG‑Patente</x:v>
      </x:c>
      <x:c r="F222" s="14" t="str">
        <x:v>%</x:v>
      </x:c>
      <x:c r="G222" s="14" t="str">
        <x:v>higher_is_better</x:v>
      </x:c>
      <x:c r="H222" s="14" t="str">
        <x:v>R17</x:v>
      </x:c>
      <x:c r="I222" s="14" t="str">
        <x:v>NUM_HIGH</x:v>
      </x:c>
      <x:c r="J222" s="51"/>
      <x:c r="K222" s="51"/>
      <x:c r="L222" s="51"/>
      <x:c r="M222" s="54"/>
      <x:c r="N222" s="58" t="str">
        <x:f>IF($J222="","",IF($J222&lt;5,-3,IF($J222&lt;10,-2,IF($J222&lt;25,0,IF($J222&lt;40,2,3)))))</x:f>
      </x:c>
      <x:c r="O222" s="58" t="str">
        <x:f>IF($J222="","",IF(OR('02_Benchmarks'!$P222&lt;&gt;"Aktiv",COUNT('02_Benchmarks'!$J222:$M222)&lt;4),"",IF($G222="lower_is_better",IF($J222&lt;='02_Benchmarks'!$J222,3,IF($J222&lt;'02_Benchmarks'!$K222,2,IF($J222&lt;='02_Benchmarks'!$L222,0,IF($J222&lt;='02_Benchmarks'!$M222,-2,-3)))),IF($J222&gt;='02_Benchmarks'!$J222,3,IF($J222&gt;'02_Benchmarks'!$K222,2,IF($J222&gt;='02_Benchmarks'!$L222,0,IF($J222&gt;='02_Benchmarks'!$M222,-2,-3)))))))</x:f>
      </x:c>
      <x:c r="P222" s="58" t="str">
        <x:f>IF(COUNT($N222:$O222)+IF(ISNUMBER($K222),1,0)=0,"",MIN($N222:$O222,$K222))</x:f>
      </x:c>
      <x:c r="Q222" s="58" t="str">
        <x:f>IF($P222="","",INDEX('04_Tarifmodell'!$B$6:$B$12,$P222+4))</x:f>
      </x:c>
      <x:c r="R222" s="64" t="str">
        <x:f>IF($P222="","",INDEX('04_Tarifmodell'!$C$6:$C$12,$P222+4))</x:f>
      </x:c>
      <x:c r="S222" s="14" t="str">
        <x:f>IF(OR($I222="QUALITATIVE",$I222="MANUAL_HYBRID"),IF($K222="","Assurance-Score fehlt","Assurance-bewertet"),IF($I222="BENCHMARK",IF($W222&lt;&gt;"Aktiv",IF($K222="","Benchmark fehlt","Assurance-bewertet"),IF($J222="","Messwert fehlt",IF($P222="","Nicht bewertbar","Berechnet"))),IF(AND($J222="",$K222&lt;&gt;""),"Nur Assurance-Score",IF($J222="","Messwert fehlt",IF($P222="","Nicht bewertbar",IF($P222&lt;=-2,"Kritische Wirkung / Prüfung","Berechnet"))))))</x:f>
        <x:v>Messwert fehlt</x:v>
      </x:c>
      <x:c r="T222" s="14" t="str">
        <x:v>Patentmenge nicht mit Wirkung gleichsetzen; Qualität und Nutzung ergänzen. Vollständige fünfstufige numerische Regel.</x:v>
      </x:c>
      <x:c r="U222" s="14" t="str">
        <x:v>≥40:+3; 25–39:+2; 10–24:0; 5–9:‑2; &lt;5:‑3</x:v>
      </x:c>
      <x:c r="V222" s="14" t="str">
        <x:v>ESRS E1, GHG Protocol (Corporate/Scope 1–3), ISO 14064/14067</x:v>
      </x:c>
      <x:c r="W222" s="14" t="str">
        <x:f>'02_Benchmarks'!$P222</x:f>
        <x:v>Optional – kein aktiver Benchmark</x:v>
      </x:c>
      <x:c r="X222" s="14" t="str">
        <x:v>Teilbelegt – Wirkungslogik ergänzen</x:v>
      </x:c>
      <x:c r="Y222" s="14" t="str">
        <x:v>Hoch</x:v>
      </x:c>
      <x:c r="Z222" s="14" t="str">
        <x:v>Arbeitskalibrierung – fachlich zu validieren</x:v>
      </x:c>
      <x:c r="AA222" s="14" t="str">
        <x:v>Standort/Prozess/Aktivität; Bezugsgröße und relevante Umweltmedien</x:v>
      </x:c>
      <x:c r="AB222" s="14" t="str">
        <x:v>Primärdaten oder qualitätsgesicherte Sekundärdaten; Methode, Zeitraum und Systemgrenze dokumentieren</x:v>
      </x:c>
      <x:c r="AC222" s="14" t="str">
        <x:v>Limited Assurance; bei materieller Steuerwirkung risikobasiert vertiefen</x:v>
      </x:c>
    </x:row>
    <x:row r="223" ht="42" customHeight="1">
      <x:c r="A223" s="14" t="str">
        <x:v>WOK-E-148</x:v>
      </x:c>
      <x:c r="B223" s="14" t="str">
        <x:v>SDG 9 – Industrie/Innovation</x:v>
      </x:c>
      <x:c r="C223" s="14" t="str">
        <x:v>9.4</x:v>
      </x:c>
      <x:c r="D223" s="14" t="str">
        <x:v>Prozess‑THG‑Intensität</x:v>
      </x:c>
      <x:c r="E223" s="14" t="str">
        <x:v>Prozess‑THG‑Intensität – Prozess‑Effizienz</x:v>
      </x:c>
      <x:c r="F223" s="14" t="str">
        <x:v>kWh/t bzw. t CO₂e/t</x:v>
      </x:c>
      <x:c r="G223" s="14" t="str">
        <x:v>lower_is_better</x:v>
      </x:c>
      <x:c r="H223" s="14" t="str">
        <x:v>R06</x:v>
      </x:c>
      <x:c r="I223" s="14" t="str">
        <x:v>BENCHMARK</x:v>
      </x:c>
      <x:c r="J223" s="51"/>
      <x:c r="K223" s="51"/>
      <x:c r="L223" s="51"/>
      <x:c r="M223" s="54"/>
      <x:c r="N223" s="58" t="str">
        <x:f>""</x:f>
      </x:c>
      <x:c r="O223" s="58" t="str">
        <x:f>IF($J223="","",IF(OR('02_Benchmarks'!$P223&lt;&gt;"Aktiv",COUNT('02_Benchmarks'!$J223:$M223)&lt;4),"",IF($G223="lower_is_better",IF($J223&lt;='02_Benchmarks'!$J223,3,IF($J223&lt;'02_Benchmarks'!$K223,2,IF($J223&lt;='02_Benchmarks'!$L223,0,IF($J223&lt;='02_Benchmarks'!$M223,-2,-3)))),IF($J223&gt;='02_Benchmarks'!$J223,3,IF($J223&gt;'02_Benchmarks'!$K223,2,IF($J223&gt;='02_Benchmarks'!$L223,0,IF($J223&gt;='02_Benchmarks'!$M223,-2,-3)))))))</x:f>
      </x:c>
      <x:c r="P223" s="58" t="str">
        <x:f>IF(COUNT($N223:$O223)+IF(ISNUMBER($K223),1,0)=0,"",MIN($N223:$O223,$K223))</x:f>
      </x:c>
      <x:c r="Q223" s="58" t="str">
        <x:f>IF($P223="","",INDEX('04_Tarifmodell'!$B$6:$B$12,$P223+4))</x:f>
      </x:c>
      <x:c r="R223" s="64" t="str">
        <x:f>IF($P223="","",INDEX('04_Tarifmodell'!$C$6:$C$12,$P223+4))</x:f>
      </x:c>
      <x:c r="S223" s="14" t="str">
        <x:f>IF(OR($I223="QUALITATIVE",$I223="MANUAL_HYBRID"),IF($K223="","Assurance-Score fehlt","Assurance-bewertet"),IF($I223="BENCHMARK",IF($W223&lt;&gt;"Aktiv",IF($K223="","Benchmark fehlt","Assurance-bewertet"),IF($J223="","Messwert fehlt",IF($P223="","Nicht bewertbar","Berechnet"))),IF(AND($J223="",$K223&lt;&gt;""),"Nur Assurance-Score",IF($J223="","Messwert fehlt",IF($P223="","Nicht bewertbar",IF($P223&lt;=-2,"Kritische Wirkung / Prüfung","Berechnet"))))))</x:f>
        <x:v>Benchmark fehlt</x:v>
      </x:c>
      <x:c r="T223" s="14" t="str">
        <x:v>Top-10-Prozent, Mittelwert, 150 % und 250 % müssen aus einer dokumentierten Grundgesamtheit stammen.</x:v>
      </x:c>
      <x:c r="U223" s="14" t="str">
        <x:v>Top‑10%:+3; Mittel:0; &gt;150%:‑2; &gt;250%:‑3</x:v>
      </x:c>
      <x:c r="V223" s="14" t="str">
        <x:v>ESRS E1, GHG Protocol (Corporate/Scope 1–3), ISO 14064/14067</x:v>
      </x:c>
      <x:c r="W223" s="14" t="str">
        <x:f>'02_Benchmarks'!$P223</x:f>
        <x:v>Offen – validierter Benchmark fehlt</x:v>
      </x:c>
      <x:c r="X223" s="14" t="str">
        <x:v>Teilbelegt – Benchmarkquelle fehlt</x:v>
      </x:c>
      <x:c r="Y223" s="14" t="str">
        <x:v>Hoch</x:v>
      </x:c>
      <x:c r="Z223" s="14" t="str">
        <x:v>Validierter Benchmark fehlt</x:v>
      </x:c>
      <x:c r="AA223" s="14" t="str">
        <x:v>Standort/Prozess/Aktivität; Bezugsgröße und relevante Umweltmedien</x:v>
      </x:c>
      <x:c r="AB223" s="14" t="str">
        <x:v>Primärdaten plus repräsentativer, versionierter Benchmarkdatensatz; Stichprobe und Population offenlegen</x:v>
      </x:c>
      <x:c r="AC223" s="14" t="str">
        <x:v>Messwert-Assurance und unabhängige Benchmark-Governance</x:v>
      </x:c>
    </x:row>
    <x:row r="224" ht="42" customHeight="1">
      <x:c r="A224" s="14" t="str">
        <x:v>WOK-G-143</x:v>
      </x:c>
      <x:c r="B224" s="14" t="str">
        <x:v>SDG 9 – Industrie/Innovation</x:v>
      </x:c>
      <x:c r="C224" s="14" t="str">
        <x:v>9.5</x:v>
      </x:c>
      <x:c r="D224" s="14" t="str">
        <x:v>Green R&amp;D</x:v>
      </x:c>
      <x:c r="E224" s="14" t="str">
        <x:v>Green R&amp;D – Green R&amp;D</x:v>
      </x:c>
      <x:c r="F224" s="14" t="str">
        <x:v>% Umsatz</x:v>
      </x:c>
      <x:c r="G224" s="14" t="str">
        <x:v>higher_is_better</x:v>
      </x:c>
      <x:c r="H224" s="14" t="str">
        <x:v>R19</x:v>
      </x:c>
      <x:c r="I224" s="14" t="str">
        <x:v>NUM_HIGH</x:v>
      </x:c>
      <x:c r="J224" s="51"/>
      <x:c r="K224" s="51"/>
      <x:c r="L224" s="51"/>
      <x:c r="M224" s="54"/>
      <x:c r="N224" s="58" t="str">
        <x:f>IF($J224="","",IF($J224&lt;0.5,-3,IF($J224&lt;1,-2,IF($J224&lt;3,0,IF($J224&lt;5,2,3)))))</x:f>
      </x:c>
      <x:c r="O224" s="58" t="str">
        <x:f>IF($J224="","",IF(OR('02_Benchmarks'!$P224&lt;&gt;"Aktiv",COUNT('02_Benchmarks'!$J224:$M224)&lt;4),"",IF($G224="lower_is_better",IF($J224&lt;='02_Benchmarks'!$J224,3,IF($J224&lt;'02_Benchmarks'!$K224,2,IF($J224&lt;='02_Benchmarks'!$L224,0,IF($J224&lt;='02_Benchmarks'!$M224,-2,-3)))),IF($J224&gt;='02_Benchmarks'!$J224,3,IF($J224&gt;'02_Benchmarks'!$K224,2,IF($J224&gt;='02_Benchmarks'!$L224,0,IF($J224&gt;='02_Benchmarks'!$M224,-2,-3)))))))</x:f>
      </x:c>
      <x:c r="P224" s="58" t="str">
        <x:f>IF(COUNT($N224:$O224)+IF(ISNUMBER($K224),1,0)=0,"",MIN($N224:$O224,$K224))</x:f>
      </x:c>
      <x:c r="Q224" s="58" t="str">
        <x:f>IF($P224="","",INDEX('04_Tarifmodell'!$B$6:$B$12,$P224+4))</x:f>
      </x:c>
      <x:c r="R224" s="64" t="str">
        <x:f>IF($P224="","",INDEX('04_Tarifmodell'!$C$6:$C$12,$P224+4))</x:f>
      </x:c>
      <x:c r="S224" s="14" t="str">
        <x:f>IF(OR($I224="QUALITATIVE",$I224="MANUAL_HYBRID"),IF($K224="","Assurance-Score fehlt","Assurance-bewertet"),IF($I224="BENCHMARK",IF($W224&lt;&gt;"Aktiv",IF($K224="","Benchmark fehlt","Assurance-bewertet"),IF($J224="","Messwert fehlt",IF($P224="","Nicht bewertbar","Berechnet"))),IF(AND($J224="",$K224&lt;&gt;""),"Nur Assurance-Score",IF($J224="","Messwert fehlt",IF($P224="","Nicht bewertbar",IF($P224&lt;=-2,"Kritische Wirkung / Prüfung","Berechnet"))))))</x:f>
        <x:v>Messwert fehlt</x:v>
      </x:c>
      <x:c r="T224" s="14" t="str">
        <x:v>Vollständige fünfstufige numerische Regel.</x:v>
      </x:c>
      <x:c r="U224" s="14" t="str">
        <x:v>≥5:+3; 3–4,9:+2; 1–2,9:0; 0,5–0,9:‑2; &lt;0,5:‑3</x:v>
      </x:c>
      <x:c r="V224" s="14" t="str">
        <x:v>OECD Frascati, PATSTAT</x:v>
      </x:c>
      <x:c r="W224" s="14" t="str">
        <x:f>'02_Benchmarks'!$P224</x:f>
        <x:v>Optional – kein aktiver Benchmark</x:v>
      </x:c>
      <x:c r="X224" s="14" t="str">
        <x:v>Messgrundlage belegt; Schwellenkalibrierung offen</x:v>
      </x:c>
      <x:c r="Y224" s="14" t="str">
        <x:v>Mittel</x:v>
      </x:c>
      <x:c r="Z224" s="14" t="str">
        <x:v>Arbeitskalibrierung – fachlich zu validieren</x:v>
      </x:c>
      <x:c r="AA224" s="14" t="str">
        <x:v>Organisation/Governance; konsolidierter Kreis und relevante Rechtseinheiten</x:v>
      </x:c>
      <x:c r="AB224" s="14" t="str">
        <x:v>Primärdaten bevorzugt; Sekundärdaten nur transparent und versioniert; Methode und Systemgrenze dokumentieren</x:v>
      </x:c>
      <x:c r="AC224" s="14" t="str">
        <x:v>Limited Assurance; risikobasiert höhere Prüftiefe</x:v>
      </x:c>
    </x:row>
    <x:row r="225" ht="42" customHeight="1">
      <x:c r="A225" s="14" t="str">
        <x:v>WOK-G-144</x:v>
      </x:c>
      <x:c r="B225" s="14" t="str">
        <x:v>SDG 9 – Industrie/Innovation</x:v>
      </x:c>
      <x:c r="C225" s="14" t="str">
        <x:v>9.5</x:v>
      </x:c>
      <x:c r="D225" s="14" t="str">
        <x:v>Green R&amp;D</x:v>
      </x:c>
      <x:c r="E225" s="14" t="str">
        <x:v>Green R&amp;D – SDG‑Patente</x:v>
      </x:c>
      <x:c r="F225" s="14" t="str">
        <x:v>%</x:v>
      </x:c>
      <x:c r="G225" s="14" t="str">
        <x:v>higher_is_better</x:v>
      </x:c>
      <x:c r="H225" s="14" t="str">
        <x:v>R17</x:v>
      </x:c>
      <x:c r="I225" s="14" t="str">
        <x:v>NUM_HIGH</x:v>
      </x:c>
      <x:c r="J225" s="51"/>
      <x:c r="K225" s="51"/>
      <x:c r="L225" s="51"/>
      <x:c r="M225" s="54"/>
      <x:c r="N225" s="58" t="str">
        <x:f>IF($J225="","",IF($J225&lt;5,-3,IF($J225&lt;10,-2,IF($J225&lt;25,0,IF($J225&lt;40,2,3)))))</x:f>
      </x:c>
      <x:c r="O225" s="58" t="str">
        <x:f>IF($J225="","",IF(OR('02_Benchmarks'!$P225&lt;&gt;"Aktiv",COUNT('02_Benchmarks'!$J225:$M225)&lt;4),"",IF($G225="lower_is_better",IF($J225&lt;='02_Benchmarks'!$J225,3,IF($J225&lt;'02_Benchmarks'!$K225,2,IF($J225&lt;='02_Benchmarks'!$L225,0,IF($J225&lt;='02_Benchmarks'!$M225,-2,-3)))),IF($J225&gt;='02_Benchmarks'!$J225,3,IF($J225&gt;'02_Benchmarks'!$K225,2,IF($J225&gt;='02_Benchmarks'!$L225,0,IF($J225&gt;='02_Benchmarks'!$M225,-2,-3)))))))</x:f>
      </x:c>
      <x:c r="P225" s="58" t="str">
        <x:f>IF(COUNT($N225:$O225)+IF(ISNUMBER($K225),1,0)=0,"",MIN($N225:$O225,$K225))</x:f>
      </x:c>
      <x:c r="Q225" s="58" t="str">
        <x:f>IF($P225="","",INDEX('04_Tarifmodell'!$B$6:$B$12,$P225+4))</x:f>
      </x:c>
      <x:c r="R225" s="64" t="str">
        <x:f>IF($P225="","",INDEX('04_Tarifmodell'!$C$6:$C$12,$P225+4))</x:f>
      </x:c>
      <x:c r="S225" s="14" t="str">
        <x:f>IF(OR($I225="QUALITATIVE",$I225="MANUAL_HYBRID"),IF($K225="","Assurance-Score fehlt","Assurance-bewertet"),IF($I225="BENCHMARK",IF($W225&lt;&gt;"Aktiv",IF($K225="","Benchmark fehlt","Assurance-bewertet"),IF($J225="","Messwert fehlt",IF($P225="","Nicht bewertbar","Berechnet"))),IF(AND($J225="",$K225&lt;&gt;""),"Nur Assurance-Score",IF($J225="","Messwert fehlt",IF($P225="","Nicht bewertbar",IF($P225&lt;=-2,"Kritische Wirkung / Prüfung","Berechnet"))))))</x:f>
        <x:v>Messwert fehlt</x:v>
      </x:c>
      <x:c r="T225" s="14" t="str">
        <x:v>Patentmenge nicht mit Wirkung gleichsetzen; Qualität und Nutzung ergänzen. Vollständige fünfstufige numerische Regel.</x:v>
      </x:c>
      <x:c r="U225" s="14" t="str">
        <x:v>≥40:+3; 25–39:+2; 10–24:0; 5–9:‑2; &lt;5:‑3</x:v>
      </x:c>
      <x:c r="V225" s="14" t="str">
        <x:v>OECD Frascati, PATSTAT</x:v>
      </x:c>
      <x:c r="W225" s="14" t="str">
        <x:f>'02_Benchmarks'!$P225</x:f>
        <x:v>Optional – kein aktiver Benchmark</x:v>
      </x:c>
      <x:c r="X225" s="14" t="str">
        <x:v>Teilbelegt – Wirkungslogik ergänzen</x:v>
      </x:c>
      <x:c r="Y225" s="14" t="str">
        <x:v>Hoch</x:v>
      </x:c>
      <x:c r="Z225" s="14" t="str">
        <x:v>Arbeitskalibrierung – fachlich zu validieren</x:v>
      </x:c>
      <x:c r="AA225" s="14" t="str">
        <x:v>Organisation/Governance; konsolidierter Kreis und relevante Rechtseinheiten</x:v>
      </x:c>
      <x:c r="AB225" s="14" t="str">
        <x:v>Primärdaten oder qualitätsgesicherte Sekundärdaten; Methode, Zeitraum und Systemgrenze dokumentieren</x:v>
      </x:c>
      <x:c r="AC225" s="14" t="str">
        <x:v>Limited Assurance; bei materieller Steuerwirkung risikobasiert vertiefen</x:v>
      </x:c>
    </x:row>
    <x:row r="226" ht="42" customHeight="1">
      <x:c r="A226" s="14" t="str">
        <x:v>WOK-G-145</x:v>
      </x:c>
      <x:c r="B226" s="14" t="str">
        <x:v>SDG 9 – Industrie/Innovation</x:v>
      </x:c>
      <x:c r="C226" s="14" t="str">
        <x:v>9.5</x:v>
      </x:c>
      <x:c r="D226" s="14" t="str">
        <x:v>Green R&amp;D</x:v>
      </x:c>
      <x:c r="E226" s="14" t="str">
        <x:v>Green R&amp;D – Prozess‑Effizienz</x:v>
      </x:c>
      <x:c r="F226" s="14" t="str">
        <x:v>kWh/t bzw. t CO₂e/t</x:v>
      </x:c>
      <x:c r="G226" s="14" t="str">
        <x:v>lower_is_better</x:v>
      </x:c>
      <x:c r="H226" s="14" t="str">
        <x:v>R06</x:v>
      </x:c>
      <x:c r="I226" s="14" t="str">
        <x:v>BENCHMARK</x:v>
      </x:c>
      <x:c r="J226" s="51"/>
      <x:c r="K226" s="51"/>
      <x:c r="L226" s="51"/>
      <x:c r="M226" s="54"/>
      <x:c r="N226" s="58" t="str">
        <x:f>""</x:f>
      </x:c>
      <x:c r="O226" s="58" t="str">
        <x:f>IF($J226="","",IF(OR('02_Benchmarks'!$P226&lt;&gt;"Aktiv",COUNT('02_Benchmarks'!$J226:$M226)&lt;4),"",IF($G226="lower_is_better",IF($J226&lt;='02_Benchmarks'!$J226,3,IF($J226&lt;'02_Benchmarks'!$K226,2,IF($J226&lt;='02_Benchmarks'!$L226,0,IF($J226&lt;='02_Benchmarks'!$M226,-2,-3)))),IF($J226&gt;='02_Benchmarks'!$J226,3,IF($J226&gt;'02_Benchmarks'!$K226,2,IF($J226&gt;='02_Benchmarks'!$L226,0,IF($J226&gt;='02_Benchmarks'!$M226,-2,-3)))))))</x:f>
      </x:c>
      <x:c r="P226" s="58" t="str">
        <x:f>IF(COUNT($N226:$O226)+IF(ISNUMBER($K226),1,0)=0,"",MIN($N226:$O226,$K226))</x:f>
      </x:c>
      <x:c r="Q226" s="58" t="str">
        <x:f>IF($P226="","",INDEX('04_Tarifmodell'!$B$6:$B$12,$P226+4))</x:f>
      </x:c>
      <x:c r="R226" s="64" t="str">
        <x:f>IF($P226="","",INDEX('04_Tarifmodell'!$C$6:$C$12,$P226+4))</x:f>
      </x:c>
      <x:c r="S226" s="14" t="str">
        <x:f>IF(OR($I226="QUALITATIVE",$I226="MANUAL_HYBRID"),IF($K226="","Assurance-Score fehlt","Assurance-bewertet"),IF($I226="BENCHMARK",IF($W226&lt;&gt;"Aktiv",IF($K226="","Benchmark fehlt","Assurance-bewertet"),IF($J226="","Messwert fehlt",IF($P226="","Nicht bewertbar","Berechnet"))),IF(AND($J226="",$K226&lt;&gt;""),"Nur Assurance-Score",IF($J226="","Messwert fehlt",IF($P226="","Nicht bewertbar",IF($P226&lt;=-2,"Kritische Wirkung / Prüfung","Berechnet"))))))</x:f>
        <x:v>Benchmark fehlt</x:v>
      </x:c>
      <x:c r="T226" s="14" t="str">
        <x:v>Top-10-Prozent, Mittelwert, 150 % und 250 % müssen aus einer dokumentierten Grundgesamtheit stammen.</x:v>
      </x:c>
      <x:c r="U226" s="14" t="str">
        <x:v>Top‑10%:+3; Mittel:0; &gt;150%:‑2; &gt;250%:‑3</x:v>
      </x:c>
      <x:c r="V226" s="14" t="str">
        <x:v>ESRS E1, GHG Protocol (Corporate/Scope 1–3), ISO 14064/14067</x:v>
      </x:c>
      <x:c r="W226" s="14" t="str">
        <x:f>'02_Benchmarks'!$P226</x:f>
        <x:v>Offen – validierter Benchmark fehlt</x:v>
      </x:c>
      <x:c r="X226" s="14" t="str">
        <x:v>Teilbelegt – Benchmarkquelle fehlt</x:v>
      </x:c>
      <x:c r="Y226" s="14" t="str">
        <x:v>Hoch</x:v>
      </x:c>
      <x:c r="Z226" s="14" t="str">
        <x:v>Validierter Benchmark fehlt</x:v>
      </x:c>
      <x:c r="AA226" s="14" t="str">
        <x:v>Organisation/Governance; konsolidierter Kreis und relevante Rechtseinheiten</x:v>
      </x:c>
      <x:c r="AB226" s="14" t="str">
        <x:v>Primärdaten plus repräsentativer, versionierter Benchmarkdatensatz; Stichprobe und Population offenlegen</x:v>
      </x:c>
      <x:c r="AC226" s="14" t="str">
        <x:v>Messwert-Assurance und unabhängige Benchmark-Governance</x:v>
      </x:c>
    </x:row>
    <x:row r="227" ht="42" customHeight="1">
      <x:c r="A227" s="14" t="str">
        <x:v>WOK-RE-113</x:v>
      </x:c>
      <x:c r="B227" s="14" t="str">
        <x:v>SDG 9 – Industrie/Innovation</x:v>
      </x:c>
      <x:c r="C227" s="14" t="str">
        <x:v>9.1</x:v>
      </x:c>
      <x:c r="D227" s="14" t="str">
        <x:v>Infrastruktur‑Zugänglichkeit</x:v>
      </x:c>
      <x:c r="E227" s="14" t="str">
        <x:v>Infrastruktur‑Zugänglichkeit – Betriebsenergie</x:v>
      </x:c>
      <x:c r="F227" s="14" t="str">
        <x:v>kWh/m²a</x:v>
      </x:c>
      <x:c r="G227" s="14" t="str">
        <x:v>lower_is_better</x:v>
      </x:c>
      <x:c r="H227" s="14" t="str">
        <x:v>R05</x:v>
      </x:c>
      <x:c r="I227" s="14" t="str">
        <x:v>BENCHMARK</x:v>
      </x:c>
      <x:c r="J227" s="51"/>
      <x:c r="K227" s="51"/>
      <x:c r="L227" s="51"/>
      <x:c r="M227" s="54"/>
      <x:c r="N227" s="58" t="str">
        <x:f>""</x:f>
      </x:c>
      <x:c r="O227" s="58" t="str">
        <x:f>IF($J227="","",IF(OR('02_Benchmarks'!$P227&lt;&gt;"Aktiv",COUNT('02_Benchmarks'!$J227:$M227)&lt;4),"",IF($G227="lower_is_better",IF($J227&lt;='02_Benchmarks'!$J227,3,IF($J227&lt;'02_Benchmarks'!$K227,2,IF($J227&lt;='02_Benchmarks'!$L227,0,IF($J227&lt;='02_Benchmarks'!$M227,-2,-3)))),IF($J227&gt;='02_Benchmarks'!$J227,3,IF($J227&gt;'02_Benchmarks'!$K227,2,IF($J227&gt;='02_Benchmarks'!$L227,0,IF($J227&gt;='02_Benchmarks'!$M227,-2,-3)))))))</x:f>
      </x:c>
      <x:c r="P227" s="58" t="str">
        <x:f>IF(COUNT($N227:$O227)+IF(ISNUMBER($K227),1,0)=0,"",MIN($N227:$O227,$K227))</x:f>
      </x:c>
      <x:c r="Q227" s="58" t="str">
        <x:f>IF($P227="","",INDEX('04_Tarifmodell'!$B$6:$B$12,$P227+4))</x:f>
      </x:c>
      <x:c r="R227" s="64" t="str">
        <x:f>IF($P227="","",INDEX('04_Tarifmodell'!$C$6:$C$12,$P227+4))</x:f>
      </x:c>
      <x:c r="S227" s="14" t="str">
        <x:f>IF(OR($I227="QUALITATIVE",$I227="MANUAL_HYBRID"),IF($K227="","Assurance-Score fehlt","Assurance-bewertet"),IF($I227="BENCHMARK",IF($W227&lt;&gt;"Aktiv",IF($K227="","Benchmark fehlt","Assurance-bewertet"),IF($J227="","Messwert fehlt",IF($P227="","Nicht bewertbar","Berechnet"))),IF(AND($J227="",$K227&lt;&gt;""),"Nur Assurance-Score",IF($J227="","Messwert fehlt",IF($P227="","Nicht bewertbar",IF($P227&lt;=-2,"Kritische Wirkung / Prüfung","Berechnet"))))))</x:f>
        <x:v>Benchmark fehlt</x:v>
      </x:c>
      <x:c r="T227" s="14" t="str">
        <x:v>Die Grenze &gt;+60 % ist derzeit nicht eindeutig in −2/−3 aufgelöst.</x:v>
      </x:c>
      <x:c r="U227" s="14" t="str">
        <x:v>Top 15%:+3; +15–30%:+2; +31–60%:0; &gt;+60%:‑2/‑3</x:v>
      </x:c>
      <x:c r="V227" s="14" t="str">
        <x:v>ESRS E1, ISO 50001 (EnMS), ISO/IEC 30134‑2 (PUE), EU EPBD</x:v>
      </x:c>
      <x:c r="W227" s="14" t="str">
        <x:f>'02_Benchmarks'!$P227</x:f>
        <x:v>Offen – validierter Benchmark fehlt</x:v>
      </x:c>
      <x:c r="X227" s="14" t="str">
        <x:v>Teilbelegt – Benchmarkquelle fehlt</x:v>
      </x:c>
      <x:c r="Y227" s="14" t="str">
        <x:v>Hoch</x:v>
      </x:c>
      <x:c r="Z227" s="14" t="str">
        <x:v>Validierter Benchmark fehlt</x:v>
      </x:c>
      <x:c r="AA227" s="14" t="str">
        <x:v>Gebäude/Standort; Betrieb plus relevante Lebenszyklusmodule</x:v>
      </x:c>
      <x:c r="AB227" s="14" t="str">
        <x:v>Primärdaten plus repräsentativer, versionierter Benchmarkdatensatz; Stichprobe und Population offenlegen</x:v>
      </x:c>
      <x:c r="AC227" s="14" t="str">
        <x:v>Messwert-Assurance und unabhängige Benchmark-Governance</x:v>
      </x:c>
    </x:row>
    <x:row r="228" ht="42" customHeight="1">
      <x:c r="A228" s="14" t="str">
        <x:v>WOK-RE-114</x:v>
      </x:c>
      <x:c r="B228" s="14" t="str">
        <x:v>SDG 9 – Industrie/Innovation</x:v>
      </x:c>
      <x:c r="C228" s="14" t="str">
        <x:v>9.1</x:v>
      </x:c>
      <x:c r="D228" s="14" t="str">
        <x:v>Infrastruktur‑Zugänglichkeit</x:v>
      </x:c>
      <x:c r="E228" s="14" t="str">
        <x:v>Infrastruktur‑Zugänglichkeit – Graue Emissionen</x:v>
      </x:c>
      <x:c r="F228" s="14" t="str">
        <x:v>kg CO₂e/m²</x:v>
      </x:c>
      <x:c r="G228" s="14" t="str">
        <x:v>lower_is_better</x:v>
      </x:c>
      <x:c r="H228" s="14" t="str">
        <x:v>R06</x:v>
      </x:c>
      <x:c r="I228" s="14" t="str">
        <x:v>BENCHMARK</x:v>
      </x:c>
      <x:c r="J228" s="51"/>
      <x:c r="K228" s="51"/>
      <x:c r="L228" s="51"/>
      <x:c r="M228" s="54"/>
      <x:c r="N228" s="58" t="str">
        <x:f>""</x:f>
      </x:c>
      <x:c r="O228" s="58" t="str">
        <x:f>IF($J228="","",IF(OR('02_Benchmarks'!$P228&lt;&gt;"Aktiv",COUNT('02_Benchmarks'!$J228:$M228)&lt;4),"",IF($G228="lower_is_better",IF($J228&lt;='02_Benchmarks'!$J228,3,IF($J228&lt;'02_Benchmarks'!$K228,2,IF($J228&lt;='02_Benchmarks'!$L228,0,IF($J228&lt;='02_Benchmarks'!$M228,-2,-3)))),IF($J228&gt;='02_Benchmarks'!$J228,3,IF($J228&gt;'02_Benchmarks'!$K228,2,IF($J228&gt;='02_Benchmarks'!$L228,0,IF($J228&gt;='02_Benchmarks'!$M228,-2,-3)))))))</x:f>
      </x:c>
      <x:c r="P228" s="58" t="str">
        <x:f>IF(COUNT($N228:$O228)+IF(ISNUMBER($K228),1,0)=0,"",MIN($N228:$O228,$K228))</x:f>
      </x:c>
      <x:c r="Q228" s="58" t="str">
        <x:f>IF($P228="","",INDEX('04_Tarifmodell'!$B$6:$B$12,$P228+4))</x:f>
      </x:c>
      <x:c r="R228" s="64" t="str">
        <x:f>IF($P228="","",INDEX('04_Tarifmodell'!$C$6:$C$12,$P228+4))</x:f>
      </x:c>
      <x:c r="S228" s="14" t="str">
        <x:f>IF(OR($I228="QUALITATIVE",$I228="MANUAL_HYBRID"),IF($K228="","Assurance-Score fehlt","Assurance-bewertet"),IF($I228="BENCHMARK",IF($W228&lt;&gt;"Aktiv",IF($K228="","Benchmark fehlt","Assurance-bewertet"),IF($J228="","Messwert fehlt",IF($P228="","Nicht bewertbar","Berechnet"))),IF(AND($J228="",$K228&lt;&gt;""),"Nur Assurance-Score",IF($J228="","Messwert fehlt",IF($P228="","Nicht bewertbar",IF($P228&lt;=-2,"Kritische Wirkung / Prüfung","Berechnet"))))))</x:f>
        <x:v>Benchmark fehlt</x:v>
      </x:c>
      <x:c r="T228" s="14" t="str">
        <x:v>Top-10-Prozent, Mittelwert, 150 % und 250 % müssen aus einer dokumentierten Grundgesamtheit stammen.</x:v>
      </x:c>
      <x:c r="U228" s="14" t="str">
        <x:v>Top‑10%:+3; Mittel:0; &gt;150%:‑2; &gt;250%:‑3</x:v>
      </x:c>
      <x:c r="V228" s="14" t="str">
        <x:v>ESRS E1, GHG Protocol (Corporate/Scope 1–3), ISO 14064/14067</x:v>
      </x:c>
      <x:c r="W228" s="14" t="str">
        <x:f>'02_Benchmarks'!$P228</x:f>
        <x:v>Offen – validierter Benchmark fehlt</x:v>
      </x:c>
      <x:c r="X228" s="14" t="str">
        <x:v>Teilbelegt – Benchmarkquelle fehlt</x:v>
      </x:c>
      <x:c r="Y228" s="14" t="str">
        <x:v>Hoch</x:v>
      </x:c>
      <x:c r="Z228" s="14" t="str">
        <x:v>Validierter Benchmark fehlt</x:v>
      </x:c>
      <x:c r="AA228" s="14" t="str">
        <x:v>Gebäude/Standort; Betrieb plus relevante Lebenszyklusmodule</x:v>
      </x:c>
      <x:c r="AB228" s="14" t="str">
        <x:v>Primärdaten plus repräsentativer, versionierter Benchmarkdatensatz; Stichprobe und Population offenlegen</x:v>
      </x:c>
      <x:c r="AC228" s="14" t="str">
        <x:v>Messwert-Assurance und unabhängige Benchmark-Governance</x:v>
      </x:c>
    </x:row>
    <x:row r="229" ht="42" customHeight="1">
      <x:c r="A229" s="14" t="str">
        <x:v>WOK-RE-115</x:v>
      </x:c>
      <x:c r="B229" s="14" t="str">
        <x:v>SDG 9 – Industrie/Innovation</x:v>
      </x:c>
      <x:c r="C229" s="14" t="str">
        <x:v>9.1</x:v>
      </x:c>
      <x:c r="D229" s="14" t="str">
        <x:v>Infrastruktur‑Zugänglichkeit</x:v>
      </x:c>
      <x:c r="E229" s="14" t="str">
        <x:v>Infrastruktur‑Zugänglichkeit – ÖPNV‑Erreichbarkeit</x:v>
      </x:c>
      <x:c r="F229" s="14" t="str">
        <x:v>0–1</x:v>
      </x:c>
      <x:c r="G229" s="14" t="str">
        <x:v>higher_is_better</x:v>
      </x:c>
      <x:c r="H229" s="14" t="str">
        <x:v>R14</x:v>
      </x:c>
      <x:c r="I229" s="14" t="str">
        <x:v>NUM_HIGH</x:v>
      </x:c>
      <x:c r="J229" s="51"/>
      <x:c r="K229" s="51"/>
      <x:c r="L229" s="51"/>
      <x:c r="M229" s="54"/>
      <x:c r="N229" s="58" t="str">
        <x:f>IF($J229="","",IF($J229&lt;0.2,-3,IF($J229&lt;0.4,-2,IF($J229&lt;0.6,0,IF($J229&lt;0.8,2,3)))))</x:f>
      </x:c>
      <x:c r="O229" s="58" t="str">
        <x:f>IF($J229="","",IF(OR('02_Benchmarks'!$P229&lt;&gt;"Aktiv",COUNT('02_Benchmarks'!$J229:$M229)&lt;4),"",IF($G229="lower_is_better",IF($J229&lt;='02_Benchmarks'!$J229,3,IF($J229&lt;'02_Benchmarks'!$K229,2,IF($J229&lt;='02_Benchmarks'!$L229,0,IF($J229&lt;='02_Benchmarks'!$M229,-2,-3)))),IF($J229&gt;='02_Benchmarks'!$J229,3,IF($J229&gt;'02_Benchmarks'!$K229,2,IF($J229&gt;='02_Benchmarks'!$L229,0,IF($J229&gt;='02_Benchmarks'!$M229,-2,-3)))))))</x:f>
      </x:c>
      <x:c r="P229" s="58" t="str">
        <x:f>IF(COUNT($N229:$O229)+IF(ISNUMBER($K229),1,0)=0,"",MIN($N229:$O229,$K229))</x:f>
      </x:c>
      <x:c r="Q229" s="58" t="str">
        <x:f>IF($P229="","",INDEX('04_Tarifmodell'!$B$6:$B$12,$P229+4))</x:f>
      </x:c>
      <x:c r="R229" s="64" t="str">
        <x:f>IF($P229="","",INDEX('04_Tarifmodell'!$C$6:$C$12,$P229+4))</x:f>
      </x:c>
      <x:c r="S229" s="14" t="str">
        <x:f>IF(OR($I229="QUALITATIVE",$I229="MANUAL_HYBRID"),IF($K229="","Assurance-Score fehlt","Assurance-bewertet"),IF($I229="BENCHMARK",IF($W229&lt;&gt;"Aktiv",IF($K229="","Benchmark fehlt","Assurance-bewertet"),IF($J229="","Messwert fehlt",IF($P229="","Nicht bewertbar","Berechnet"))),IF(AND($J229="",$K229&lt;&gt;""),"Nur Assurance-Score",IF($J229="","Messwert fehlt",IF($P229="","Nicht bewertbar",IF($P229&lt;=-2,"Kritische Wirkung / Prüfung","Berechnet"))))))</x:f>
        <x:v>Messwert fehlt</x:v>
      </x:c>
      <x:c r="T229" s="14" t="str">
        <x:v>Konkreten Datenhalter, GIS-Layer, Stichtag und Methodik ergänzen. Vollständige fünfstufige numerische Regel.</x:v>
      </x:c>
      <x:c r="U229" s="14" t="str">
        <x:v>≥0,8:+3; 0,6–0,79:+2; 0,4–0,59:0; 0,2–0,39:‑2; &lt;0,2:‑3</x:v>
      </x:c>
      <x:c r="V229" s="14" t="str">
        <x:v>Stadt/GIS</x:v>
      </x:c>
      <x:c r="W229" s="14" t="str">
        <x:f>'02_Benchmarks'!$P229</x:f>
        <x:v>Optional – kein aktiver Benchmark</x:v>
      </x:c>
      <x:c r="X229" s="14" t="str">
        <x:v>Platzhalter – konkrete Datenquelle fehlt</x:v>
      </x:c>
      <x:c r="Y229" s="14" t="str">
        <x:v>Hoch</x:v>
      </x:c>
      <x:c r="Z229" s="14" t="str">
        <x:v>Arbeitskalibrierung – fachlich zu validieren</x:v>
      </x:c>
      <x:c r="AA229" s="14" t="str">
        <x:v>Gebäude/Standort; Betrieb plus relevante Lebenszyklusmodule</x:v>
      </x:c>
      <x:c r="AB229" s="14" t="str">
        <x:v>Primärdaten oder qualitätsgesicherte Sekundärdaten; Methode, Zeitraum und Systemgrenze dokumentieren</x:v>
      </x:c>
      <x:c r="AC229" s="14" t="str">
        <x:v>Limited Assurance; bei materieller Steuerwirkung risikobasiert vertiefen</x:v>
      </x:c>
    </x:row>
    <x:row r="230" ht="42" customHeight="1">
      <x:c r="A230" s="14" t="str">
        <x:v>WOK-P-116</x:v>
      </x:c>
      <x:c r="B230" s="14" t="str">
        <x:v>SDG 9 – Industrie/Innovation</x:v>
      </x:c>
      <x:c r="C230" s="14" t="str">
        <x:v>9.4</x:v>
      </x:c>
      <x:c r="D230" s="14" t="str">
        <x:v>Produkt‑Sicherheit/Qualität</x:v>
      </x:c>
      <x:c r="E230" s="14" t="str">
        <x:v>Produkt‑Sicherheit/Qualität – PCF</x:v>
      </x:c>
      <x:c r="F230" s="14" t="str">
        <x:v>kg CO₂e/Einheit</x:v>
      </x:c>
      <x:c r="G230" s="14" t="str">
        <x:v>lower_is_better</x:v>
      </x:c>
      <x:c r="H230" s="14" t="str">
        <x:v>R07</x:v>
      </x:c>
      <x:c r="I230" s="14" t="str">
        <x:v>BENCHMARK</x:v>
      </x:c>
      <x:c r="J230" s="51"/>
      <x:c r="K230" s="51"/>
      <x:c r="L230" s="51"/>
      <x:c r="M230" s="54"/>
      <x:c r="N230" s="58" t="str">
        <x:f>""</x:f>
      </x:c>
      <x:c r="O230" s="58" t="str">
        <x:f>IF($J230="","",IF(OR('02_Benchmarks'!$P230&lt;&gt;"Aktiv",COUNT('02_Benchmarks'!$J230:$M230)&lt;4),"",IF($G230="lower_is_better",IF($J230&lt;='02_Benchmarks'!$J230,3,IF($J230&lt;'02_Benchmarks'!$K230,2,IF($J230&lt;='02_Benchmarks'!$L230,0,IF($J230&lt;='02_Benchmarks'!$M230,-2,-3)))),IF($J230&gt;='02_Benchmarks'!$J230,3,IF($J230&gt;'02_Benchmarks'!$K230,2,IF($J230&gt;='02_Benchmarks'!$L230,0,IF($J230&gt;='02_Benchmarks'!$M230,-2,-3)))))))</x:f>
      </x:c>
      <x:c r="P230" s="58" t="str">
        <x:f>IF(COUNT($N230:$O230)+IF(ISNUMBER($K230),1,0)=0,"",MIN($N230:$O230,$K230))</x:f>
      </x:c>
      <x:c r="Q230" s="58" t="str">
        <x:f>IF($P230="","",INDEX('04_Tarifmodell'!$B$6:$B$12,$P230+4))</x:f>
      </x:c>
      <x:c r="R230" s="64" t="str">
        <x:f>IF($P230="","",INDEX('04_Tarifmodell'!$C$6:$C$12,$P230+4))</x:f>
      </x:c>
      <x:c r="S230" s="14" t="str">
        <x:f>IF(OR($I230="QUALITATIVE",$I230="MANUAL_HYBRID"),IF($K230="","Assurance-Score fehlt","Assurance-bewertet"),IF($I230="BENCHMARK",IF($W230&lt;&gt;"Aktiv",IF($K230="","Benchmark fehlt","Assurance-bewertet"),IF($J230="","Messwert fehlt",IF($P230="","Nicht bewertbar","Berechnet"))),IF(AND($J230="",$K230&lt;&gt;""),"Nur Assurance-Score",IF($J230="","Messwert fehlt",IF($P230="","Nicht bewertbar",IF($P230&lt;=-2,"Kritische Wirkung / Prüfung","Berechnet"))))))</x:f>
        <x:v>Benchmark fehlt</x:v>
      </x:c>
      <x:c r="T230" s="14" t="str">
        <x:v>Produktspezifische Referenzpopulation erforderlich.</x:v>
      </x:c>
      <x:c r="U230" s="14" t="str">
        <x:v>Top‑10%:+3; ±Benchmark:0; &gt;150%:‑2; &gt;250%:‑3</x:v>
      </x:c>
      <x:c r="V230" s="14" t="str">
        <x:v>ISO 14067/14040/44 (LCA/PCF), PEF/EF 3.1, EU Reparierbarkeitsindex</x:v>
      </x:c>
      <x:c r="W230" s="14" t="str">
        <x:f>'02_Benchmarks'!$P230</x:f>
        <x:v>Offen – validierter Benchmark fehlt</x:v>
      </x:c>
      <x:c r="X230" s="14" t="str">
        <x:v>Teilbelegt – Benchmarkquelle fehlt</x:v>
      </x:c>
      <x:c r="Y230" s="14" t="str">
        <x:v>Hoch</x:v>
      </x:c>
      <x:c r="Z230" s="14" t="str">
        <x:v>Validierter Benchmark fehlt</x:v>
      </x:c>
      <x:c r="AA230" s="14" t="str">
        <x:v>Produkt/Funktionseinheit; Lebenszyklusgrenze mindestens cradle-to-gate, bei Nutzungs-/End-of-Life-Relevanz cradle-to-grave</x:v>
      </x:c>
      <x:c r="AB230" s="14" t="str">
        <x:v>Primärdaten plus repräsentativer, versionierter Benchmarkdatensatz; Stichprobe und Population offenlegen</x:v>
      </x:c>
      <x:c r="AC230" s="14" t="str">
        <x:v>Messwert-Assurance und unabhängige Benchmark-Governance</x:v>
      </x:c>
    </x:row>
    <x:row r="231" ht="42" customHeight="1">
      <x:c r="A231" s="14" t="str">
        <x:v>WOK-P-117</x:v>
      </x:c>
      <x:c r="B231" s="14" t="str">
        <x:v>SDG 9 – Industrie/Innovation</x:v>
      </x:c>
      <x:c r="C231" s="14" t="str">
        <x:v>9.4</x:v>
      </x:c>
      <x:c r="D231" s="14" t="str">
        <x:v>Produkt‑Sicherheit/Qualität</x:v>
      </x:c>
      <x:c r="E231" s="14" t="str">
        <x:v>Produkt‑Sicherheit/Qualität – Reparierbarkeit</x:v>
      </x:c>
      <x:c r="F231" s="14" t="str">
        <x:v>Score 0–10</x:v>
      </x:c>
      <x:c r="G231" s="14" t="str">
        <x:v>higher_is_better</x:v>
      </x:c>
      <x:c r="H231" s="14" t="str">
        <x:v>R24</x:v>
      </x:c>
      <x:c r="I231" s="14" t="str">
        <x:v>NUM_HIGH</x:v>
      </x:c>
      <x:c r="J231" s="51"/>
      <x:c r="K231" s="51"/>
      <x:c r="L231" s="51"/>
      <x:c r="M231" s="54"/>
      <x:c r="N231" s="58" t="str">
        <x:f>IF($J231="","",IF($J231&lt;2,-3,IF($J231&lt;4,-2,IF($J231&lt;6,0,IF($J231&lt;8,2,3)))))</x:f>
      </x:c>
      <x:c r="O231" s="58" t="str">
        <x:f>IF($J231="","",IF(OR('02_Benchmarks'!$P231&lt;&gt;"Aktiv",COUNT('02_Benchmarks'!$J231:$M231)&lt;4),"",IF($G231="lower_is_better",IF($J231&lt;='02_Benchmarks'!$J231,3,IF($J231&lt;'02_Benchmarks'!$K231,2,IF($J231&lt;='02_Benchmarks'!$L231,0,IF($J231&lt;='02_Benchmarks'!$M231,-2,-3)))),IF($J231&gt;='02_Benchmarks'!$J231,3,IF($J231&gt;'02_Benchmarks'!$K231,2,IF($J231&gt;='02_Benchmarks'!$L231,0,IF($J231&gt;='02_Benchmarks'!$M231,-2,-3)))))))</x:f>
      </x:c>
      <x:c r="P231" s="58" t="str">
        <x:f>IF(COUNT($N231:$O231)+IF(ISNUMBER($K231),1,0)=0,"",MIN($N231:$O231,$K231))</x:f>
      </x:c>
      <x:c r="Q231" s="58" t="str">
        <x:f>IF($P231="","",INDEX('04_Tarifmodell'!$B$6:$B$12,$P231+4))</x:f>
      </x:c>
      <x:c r="R231" s="64" t="str">
        <x:f>IF($P231="","",INDEX('04_Tarifmodell'!$C$6:$C$12,$P231+4))</x:f>
      </x:c>
      <x:c r="S231" s="14" t="str">
        <x:f>IF(OR($I231="QUALITATIVE",$I231="MANUAL_HYBRID"),IF($K231="","Assurance-Score fehlt","Assurance-bewertet"),IF($I231="BENCHMARK",IF($W231&lt;&gt;"Aktiv",IF($K231="","Benchmark fehlt","Assurance-bewertet"),IF($J231="","Messwert fehlt",IF($P231="","Nicht bewertbar","Berechnet"))),IF(AND($J231="",$K231&lt;&gt;""),"Nur Assurance-Score",IF($J231="","Messwert fehlt",IF($P231="","Nicht bewertbar",IF($P231&lt;=-2,"Kritische Wirkung / Prüfung","Berechnet"))))))</x:f>
        <x:v>Messwert fehlt</x:v>
      </x:c>
      <x:c r="T231" s="14" t="str">
        <x:v>Indexsystem, Produktgruppe und Rechtsstand festlegen. Französischer Index und EU-Score sind nicht pauschal austauschbar.</x:v>
      </x:c>
      <x:c r="U231" s="14" t="str">
        <x:v>≥8:+3; 6–7,9:+2; 4–5,9:0; 2–3,9:‑2; &lt;2:‑3</x:v>
      </x:c>
      <x:c r="V231" s="14" t="str">
        <x:v>ISO 14067/14040/44 (LCA/PCF), PEF/EF 3.1, EU Reparierbarkeitsindex</x:v>
      </x:c>
      <x:c r="W231" s="14" t="str">
        <x:f>'02_Benchmarks'!$P231</x:f>
        <x:v>Optional – kein aktiver Benchmark</x:v>
      </x:c>
      <x:c r="X231" s="14" t="str">
        <x:v>Teilbelegt – produktspezifisch zu validieren</x:v>
      </x:c>
      <x:c r="Y231" s="14" t="str">
        <x:v>Hoch</x:v>
      </x:c>
      <x:c r="Z231" s="14" t="str">
        <x:v>Indexsystem und Produktgruppe müssen ausgewiesen werden</x:v>
      </x:c>
      <x:c r="AA231" s="14" t="str">
        <x:v>Produkt/Funktionseinheit; Lebenszyklusgrenze mindestens cradle-to-gate, bei Nutzungs-/End-of-Life-Relevanz cradle-to-grave</x:v>
      </x:c>
      <x:c r="AB231" s="14" t="str">
        <x:v>Primärdaten oder qualitätsgesicherte Sekundärdaten; Methode, Zeitraum und Systemgrenze dokumentieren</x:v>
      </x:c>
      <x:c r="AC231" s="14" t="str">
        <x:v>Limited Assurance; bei materieller Steuerwirkung risikobasiert vertiefen</x:v>
      </x:c>
    </x:row>
    <x:row r="232" ht="42" customHeight="1">
      <x:c r="A232" s="14" t="str">
        <x:v>WOK-P-118</x:v>
      </x:c>
      <x:c r="B232" s="14" t="str">
        <x:v>SDG 9 – Industrie/Innovation</x:v>
      </x:c>
      <x:c r="C232" s="14" t="str">
        <x:v>9.4</x:v>
      </x:c>
      <x:c r="D232" s="14" t="str">
        <x:v>Produkt‑Sicherheit/Qualität</x:v>
      </x:c>
      <x:c r="E232" s="14" t="str">
        <x:v>Produkt‑Sicherheit/Qualität – Rücknahme/Recycling</x:v>
      </x:c>
      <x:c r="F232" s="14" t="str">
        <x:v>%</x:v>
      </x:c>
      <x:c r="G232" s="14" t="str">
        <x:v>higher_is_better</x:v>
      </x:c>
      <x:c r="H232" s="14" t="str">
        <x:v>R22</x:v>
      </x:c>
      <x:c r="I232" s="14" t="str">
        <x:v>NUM_HIGH</x:v>
      </x:c>
      <x:c r="J232" s="51"/>
      <x:c r="K232" s="51"/>
      <x:c r="L232" s="51"/>
      <x:c r="M232" s="54"/>
      <x:c r="N232" s="58" t="str">
        <x:f>IF($J232="","",IF($J232&lt;15,-3,IF($J232&lt;30,-2,IF($J232&lt;50,0,IF($J232&lt;70,2,3)))))</x:f>
      </x:c>
      <x:c r="O232" s="58" t="str">
        <x:f>IF($J232="","",IF(OR('02_Benchmarks'!$P232&lt;&gt;"Aktiv",COUNT('02_Benchmarks'!$J232:$M232)&lt;4),"",IF($G232="lower_is_better",IF($J232&lt;='02_Benchmarks'!$J232,3,IF($J232&lt;'02_Benchmarks'!$K232,2,IF($J232&lt;='02_Benchmarks'!$L232,0,IF($J232&lt;='02_Benchmarks'!$M232,-2,-3)))),IF($J232&gt;='02_Benchmarks'!$J232,3,IF($J232&gt;'02_Benchmarks'!$K232,2,IF($J232&gt;='02_Benchmarks'!$L232,0,IF($J232&gt;='02_Benchmarks'!$M232,-2,-3)))))))</x:f>
      </x:c>
      <x:c r="P232" s="58" t="str">
        <x:f>IF(COUNT($N232:$O232)+IF(ISNUMBER($K232),1,0)=0,"",MIN($N232:$O232,$K232))</x:f>
      </x:c>
      <x:c r="Q232" s="58" t="str">
        <x:f>IF($P232="","",INDEX('04_Tarifmodell'!$B$6:$B$12,$P232+4))</x:f>
      </x:c>
      <x:c r="R232" s="64" t="str">
        <x:f>IF($P232="","",INDEX('04_Tarifmodell'!$C$6:$C$12,$P232+4))</x:f>
      </x:c>
      <x:c r="S232" s="14" t="str">
        <x:f>IF(OR($I232="QUALITATIVE",$I232="MANUAL_HYBRID"),IF($K232="","Assurance-Score fehlt","Assurance-bewertet"),IF($I232="BENCHMARK",IF($W232&lt;&gt;"Aktiv",IF($K232="","Benchmark fehlt","Assurance-bewertet"),IF($J232="","Messwert fehlt",IF($P232="","Nicht bewertbar","Berechnet"))),IF(AND($J232="",$K232&lt;&gt;""),"Nur Assurance-Score",IF($J232="","Messwert fehlt",IF($P232="","Nicht bewertbar",IF($P232&lt;=-2,"Kritische Wirkung / Prüfung","Berechnet"))))))</x:f>
        <x:v>Messwert fehlt</x:v>
      </x:c>
      <x:c r="T232" s="14" t="str">
        <x:v>Vollständige fünfstufige numerische Regel.</x:v>
      </x:c>
      <x:c r="U232" s="14" t="str">
        <x:v>≥70:+3; 50–69:+2; 30–49:0; 15–29:‑2; &lt;15:‑3</x:v>
      </x:c>
      <x:c r="V232" s="14" t="str">
        <x:v>ESRS E5, GRI 306, WEEE/VerpackG</x:v>
      </x:c>
      <x:c r="W232" s="14" t="str">
        <x:f>'02_Benchmarks'!$P232</x:f>
        <x:v>Optional – kein aktiver Benchmark</x:v>
      </x:c>
      <x:c r="X232" s="14" t="str">
        <x:v>Messgrundlage belegt; Schwellenkalibrierung offen</x:v>
      </x:c>
      <x:c r="Y232" s="14" t="str">
        <x:v>Mittel</x:v>
      </x:c>
      <x:c r="Z232" s="14" t="str">
        <x:v>Arbeitskalibrierung – fachlich zu validieren</x:v>
      </x:c>
      <x:c r="AA232" s="14" t="str">
        <x:v>Produkt/Funktionseinheit; Lebenszyklusgrenze mindestens cradle-to-gate, bei Nutzungs-/End-of-Life-Relevanz cradle-to-grave</x:v>
      </x:c>
      <x:c r="AB232" s="14" t="str">
        <x:v>Primärdaten bevorzugt; Sekundärdaten nur transparent und versioniert; Methode und Systemgrenze dokumentieren</x:v>
      </x:c>
      <x:c r="AC232" s="14" t="str">
        <x:v>Limited Assurance; risikobasiert höhere Prüftiefe</x:v>
      </x:c>
    </x:row>
    <x:row r="233" ht="42" customHeight="1">
      <x:c r="A233" s="14" t="str">
        <x:v>WOK-SC-119</x:v>
      </x:c>
      <x:c r="B233" s="14" t="str">
        <x:v>SDG 9 – Industrie/Innovation</x:v>
      </x:c>
      <x:c r="C233" s="14" t="str">
        <x:v>9.c</x:v>
      </x:c>
      <x:c r="D233" s="14" t="str">
        <x:v>Lieferkette‑Digitalisierung/Transparenz</x:v>
      </x:c>
      <x:c r="E233" s="14" t="str">
        <x:v>Lieferkette‑Digitalisierung/Transparenz – ESG‑Spend‑Coverage</x:v>
      </x:c>
      <x:c r="F233" s="14" t="str">
        <x:v>%</x:v>
      </x:c>
      <x:c r="G233" s="14" t="str">
        <x:v>higher_is_better</x:v>
      </x:c>
      <x:c r="H233" s="14" t="str">
        <x:v>R26</x:v>
      </x:c>
      <x:c r="I233" s="14" t="str">
        <x:v>NUM_HIGH</x:v>
      </x:c>
      <x:c r="J233" s="51"/>
      <x:c r="K233" s="51"/>
      <x:c r="L233" s="51"/>
      <x:c r="M233" s="54"/>
      <x:c r="N233" s="58" t="str">
        <x:f>IF($J233="","",IF($J233&lt;30,-3,IF($J233&lt;50,-2,IF($J233&lt;70,0,IF($J233&lt;90,2,3)))))</x:f>
      </x:c>
      <x:c r="O233" s="58" t="str">
        <x:f>IF($J233="","",IF(OR('02_Benchmarks'!$P233&lt;&gt;"Aktiv",COUNT('02_Benchmarks'!$J233:$M233)&lt;4),"",IF($G233="lower_is_better",IF($J233&lt;='02_Benchmarks'!$J233,3,IF($J233&lt;'02_Benchmarks'!$K233,2,IF($J233&lt;='02_Benchmarks'!$L233,0,IF($J233&lt;='02_Benchmarks'!$M233,-2,-3)))),IF($J233&gt;='02_Benchmarks'!$J233,3,IF($J233&gt;'02_Benchmarks'!$K233,2,IF($J233&gt;='02_Benchmarks'!$L233,0,IF($J233&gt;='02_Benchmarks'!$M233,-2,-3)))))))</x:f>
      </x:c>
      <x:c r="P233" s="58" t="str">
        <x:f>IF(COUNT($N233:$O233)+IF(ISNUMBER($K233),1,0)=0,"",MIN($N233:$O233,$K233))</x:f>
      </x:c>
      <x:c r="Q233" s="58" t="str">
        <x:f>IF($P233="","",INDEX('04_Tarifmodell'!$B$6:$B$12,$P233+4))</x:f>
      </x:c>
      <x:c r="R233" s="64" t="str">
        <x:f>IF($P233="","",INDEX('04_Tarifmodell'!$C$6:$C$12,$P233+4))</x:f>
      </x:c>
      <x:c r="S233" s="14" t="str">
        <x:f>IF(OR($I233="QUALITATIVE",$I233="MANUAL_HYBRID"),IF($K233="","Assurance-Score fehlt","Assurance-bewertet"),IF($I233="BENCHMARK",IF($W233&lt;&gt;"Aktiv",IF($K233="","Benchmark fehlt","Assurance-bewertet"),IF($J233="","Messwert fehlt",IF($P233="","Nicht bewertbar","Berechnet"))),IF(AND($J233="",$K233&lt;&gt;""),"Nur Assurance-Score",IF($J233="","Messwert fehlt",IF($P233="","Nicht bewertbar",IF($P233&lt;=-2,"Kritische Wirkung / Prüfung","Berechnet"))))))</x:f>
        <x:v>Messwert fehlt</x:v>
      </x:c>
      <x:c r="T233" s="14" t="str">
        <x:v>Vollständige fünfstufige numerische Regel.</x:v>
      </x:c>
      <x:c r="U233" s="14" t="str">
        <x:v>≥90:+3; 70–89:+2; 50–69:0; 30–49:‑2; &lt;30:‑3</x:v>
      </x:c>
      <x:c r="V233" s="14" t="str">
        <x:v>ESRS S2, GRI 308/414, OECD Due Diligence</x:v>
      </x:c>
      <x:c r="W233" s="14" t="str">
        <x:f>'02_Benchmarks'!$P233</x:f>
        <x:v>Optional – kein aktiver Benchmark</x:v>
      </x:c>
      <x:c r="X233" s="14" t="str">
        <x:v>Messgrundlage belegt; Schwellenkalibrierung offen</x:v>
      </x:c>
      <x:c r="Y233" s="14" t="str">
        <x:v>Mittel</x:v>
      </x:c>
      <x:c r="Z233" s="14" t="str">
        <x:v>Arbeitskalibrierung – fachlich zu validieren</x:v>
      </x:c>
      <x:c r="AA233" s="14" t="str">
        <x:v>Vorgelagerte Lieferkette; relevante Tier-Stufen und Beschaffungsvolumen</x:v>
      </x:c>
      <x:c r="AB233" s="14" t="str">
        <x:v>Primärdaten bevorzugt; Sekundärdaten nur transparent und versioniert; Methode und Systemgrenze dokumentieren</x:v>
      </x:c>
      <x:c r="AC233" s="14" t="str">
        <x:v>Limited Assurance; risikobasiert höhere Prüftiefe</x:v>
      </x:c>
    </x:row>
    <x:row r="234" ht="42" customHeight="1">
      <x:c r="A234" s="14" t="str">
        <x:v>WOK-SC-120</x:v>
      </x:c>
      <x:c r="B234" s="14" t="str">
        <x:v>SDG 9 – Industrie/Innovation</x:v>
      </x:c>
      <x:c r="C234" s="14" t="str">
        <x:v>9.c</x:v>
      </x:c>
      <x:c r="D234" s="14" t="str">
        <x:v>Lieferkette‑Digitalisierung/Transparenz</x:v>
      </x:c>
      <x:c r="E234" s="14" t="str">
        <x:v>Lieferkette‑Digitalisierung/Transparenz – Kinder/Zwangsarbeit</x:v>
      </x:c>
      <x:c r="F234" s="14" t="str">
        <x:v>% Lieferanten</x:v>
      </x:c>
      <x:c r="G234" s="14" t="str">
        <x:v>higher_is_better</x:v>
      </x:c>
      <x:c r="H234" s="14" t="str">
        <x:v>R28</x:v>
      </x:c>
      <x:c r="I234" s="14" t="str">
        <x:v>NUM_HIGH</x:v>
      </x:c>
      <x:c r="J234" s="51"/>
      <x:c r="K234" s="51"/>
      <x:c r="L234" s="51"/>
      <x:c r="M234" s="54"/>
      <x:c r="N234" s="58" t="str">
        <x:f>IF($J234="","",IF($J234&lt;50,-3,IF($J234&lt;75,-2,IF($J234&lt;90,0,IF($J234&lt;98,2,3)))))</x:f>
      </x:c>
      <x:c r="O234" s="58" t="str">
        <x:f>IF($J234="","",IF(OR('02_Benchmarks'!$P234&lt;&gt;"Aktiv",COUNT('02_Benchmarks'!$J234:$M234)&lt;4),"",IF($G234="lower_is_better",IF($J234&lt;='02_Benchmarks'!$J234,3,IF($J234&lt;'02_Benchmarks'!$K234,2,IF($J234&lt;='02_Benchmarks'!$L234,0,IF($J234&lt;='02_Benchmarks'!$M234,-2,-3)))),IF($J234&gt;='02_Benchmarks'!$J234,3,IF($J234&gt;'02_Benchmarks'!$K234,2,IF($J234&gt;='02_Benchmarks'!$L234,0,IF($J234&gt;='02_Benchmarks'!$M234,-2,-3)))))))</x:f>
      </x:c>
      <x:c r="P234" s="58" t="str">
        <x:f>IF(COUNT($N234:$O234)+IF(ISNUMBER($K234),1,0)=0,"",MIN($N234:$O234,$K234))</x:f>
      </x:c>
      <x:c r="Q234" s="58" t="str">
        <x:f>IF($P234="","",INDEX('04_Tarifmodell'!$B$6:$B$12,$P234+4))</x:f>
      </x:c>
      <x:c r="R234" s="64" t="str">
        <x:f>IF($P234="","",INDEX('04_Tarifmodell'!$C$6:$C$12,$P234+4))</x:f>
      </x:c>
      <x:c r="S234" s="14" t="str">
        <x:f>IF(OR($I234="QUALITATIVE",$I234="MANUAL_HYBRID"),IF($K234="","Assurance-Score fehlt","Assurance-bewertet"),IF($I234="BENCHMARK",IF($W234&lt;&gt;"Aktiv",IF($K234="","Benchmark fehlt","Assurance-bewertet"),IF($J234="","Messwert fehlt",IF($P234="","Nicht bewertbar","Berechnet"))),IF(AND($J234="",$K234&lt;&gt;""),"Nur Assurance-Score",IF($J234="","Messwert fehlt",IF($P234="","Nicht bewertbar",IF($P234&lt;=-2,"Kritische Wirkung / Prüfung","Berechnet"))))))</x:f>
        <x:v>Messwert fehlt</x:v>
      </x:c>
      <x:c r="T234" s="14" t="str">
        <x:v>Vollständige fünfstufige numerische Regel.</x:v>
      </x:c>
      <x:c r="U234" s="14" t="str">
        <x:v>≥98:+3; 90–97:+2; 75–89:0; 50–74:‑2; &lt;50:‑3</x:v>
      </x:c>
      <x:c r="V234" s="14" t="str">
        <x:v>ESRS S2, GRI 308/414, OECD Due Diligence</x:v>
      </x:c>
      <x:c r="W234" s="14" t="str">
        <x:f>'02_Benchmarks'!$P234</x:f>
        <x:v>Optional – kein aktiver Benchmark</x:v>
      </x:c>
      <x:c r="X234" s="14" t="str">
        <x:v>Messgrundlage belegt; Schwellenkalibrierung offen</x:v>
      </x:c>
      <x:c r="Y234" s="14" t="str">
        <x:v>Mittel</x:v>
      </x:c>
      <x:c r="Z234" s="14" t="str">
        <x:v>Arbeitskalibrierung – fachlich zu validieren</x:v>
      </x:c>
      <x:c r="AA234" s="14" t="str">
        <x:v>Vorgelagerte Lieferkette; relevante Tier-Stufen und Beschaffungsvolumen</x:v>
      </x:c>
      <x:c r="AB234" s="14" t="str">
        <x:v>Primärdaten bevorzugt; Sekundärdaten nur transparent und versioniert; Methode und Systemgrenze dokumentieren</x:v>
      </x:c>
      <x:c r="AC234" s="14" t="str">
        <x:v>Limited Assurance; risikobasiert höhere Prüftiefe</x:v>
      </x:c>
    </x:row>
    <x:row r="235" ht="42" customHeight="1">
      <x:c r="A235" s="14" t="str">
        <x:v>WOK-SC-121</x:v>
      </x:c>
      <x:c r="B235" s="14" t="str">
        <x:v>SDG 9 – Industrie/Innovation</x:v>
      </x:c>
      <x:c r="C235" s="14" t="str">
        <x:v>9.c</x:v>
      </x:c>
      <x:c r="D235" s="14" t="str">
        <x:v>Lieferkette‑Digitalisierung/Transparenz</x:v>
      </x:c>
      <x:c r="E235" s="14" t="str">
        <x:v>Lieferkette‑Digitalisierung/Transparenz – Scope‑3 Daten</x:v>
      </x:c>
      <x:c r="F235" s="14" t="str">
        <x:v>% Kategorien</x:v>
      </x:c>
      <x:c r="G235" s="14" t="str">
        <x:v>higher_is_better</x:v>
      </x:c>
      <x:c r="H235" s="14" t="str">
        <x:v>R23</x:v>
      </x:c>
      <x:c r="I235" s="14" t="str">
        <x:v>NUM_HIGH</x:v>
      </x:c>
      <x:c r="J235" s="51"/>
      <x:c r="K235" s="51"/>
      <x:c r="L235" s="51"/>
      <x:c r="M235" s="54"/>
      <x:c r="N235" s="58" t="str">
        <x:f>IF($J235="","",IF($J235&lt;20,-3,IF($J235&lt;40,-2,IF($J235&lt;60,0,IF($J235&lt;80,2,3)))))</x:f>
      </x:c>
      <x:c r="O235" s="58" t="str">
        <x:f>IF($J235="","",IF(OR('02_Benchmarks'!$P235&lt;&gt;"Aktiv",COUNT('02_Benchmarks'!$J235:$M235)&lt;4),"",IF($G235="lower_is_better",IF($J235&lt;='02_Benchmarks'!$J235,3,IF($J235&lt;'02_Benchmarks'!$K235,2,IF($J235&lt;='02_Benchmarks'!$L235,0,IF($J235&lt;='02_Benchmarks'!$M235,-2,-3)))),IF($J235&gt;='02_Benchmarks'!$J235,3,IF($J235&gt;'02_Benchmarks'!$K235,2,IF($J235&gt;='02_Benchmarks'!$L235,0,IF($J235&gt;='02_Benchmarks'!$M235,-2,-3)))))))</x:f>
      </x:c>
      <x:c r="P235" s="58" t="str">
        <x:f>IF(COUNT($N235:$O235)+IF(ISNUMBER($K235),1,0)=0,"",MIN($N235:$O235,$K235))</x:f>
      </x:c>
      <x:c r="Q235" s="58" t="str">
        <x:f>IF($P235="","",INDEX('04_Tarifmodell'!$B$6:$B$12,$P235+4))</x:f>
      </x:c>
      <x:c r="R235" s="64" t="str">
        <x:f>IF($P235="","",INDEX('04_Tarifmodell'!$C$6:$C$12,$P235+4))</x:f>
      </x:c>
      <x:c r="S235" s="14" t="str">
        <x:f>IF(OR($I235="QUALITATIVE",$I235="MANUAL_HYBRID"),IF($K235="","Assurance-Score fehlt","Assurance-bewertet"),IF($I235="BENCHMARK",IF($W235&lt;&gt;"Aktiv",IF($K235="","Benchmark fehlt","Assurance-bewertet"),IF($J235="","Messwert fehlt",IF($P235="","Nicht bewertbar","Berechnet"))),IF(AND($J235="",$K235&lt;&gt;""),"Nur Assurance-Score",IF($J235="","Messwert fehlt",IF($P235="","Nicht bewertbar",IF($P235&lt;=-2,"Kritische Wirkung / Prüfung","Berechnet"))))))</x:f>
        <x:v>Messwert fehlt</x:v>
      </x:c>
      <x:c r="T235" s="14" t="str">
        <x:v>Vollständige fünfstufige numerische Regel.</x:v>
      </x:c>
      <x:c r="U235" s="14" t="str">
        <x:v>≥80:+3; 60–79:+2; 40–59:0; 20–39:‑2; &lt;20:‑3</x:v>
      </x:c>
      <x:c r="V235" s="14" t="str">
        <x:v>ESRS E1, GHG Protocol (Corporate/Scope 1–3), ISO 14064/14067</x:v>
      </x:c>
      <x:c r="W235" s="14" t="str">
        <x:f>'02_Benchmarks'!$P235</x:f>
        <x:v>Optional – kein aktiver Benchmark</x:v>
      </x:c>
      <x:c r="X235" s="14" t="str">
        <x:v>Messgrundlage belegt; Schwellenkalibrierung offen</x:v>
      </x:c>
      <x:c r="Y235" s="14" t="str">
        <x:v>Mittel</x:v>
      </x:c>
      <x:c r="Z235" s="14" t="str">
        <x:v>Arbeitskalibrierung – fachlich zu validieren</x:v>
      </x:c>
      <x:c r="AA235" s="14" t="str">
        <x:v>Vorgelagerte Lieferkette; relevante Tier-Stufen und Beschaffungsvolumen</x:v>
      </x:c>
      <x:c r="AB235" s="14" t="str">
        <x:v>Primärdaten bevorzugt; Sekundärdaten nur transparent und versioniert; Methode und Systemgrenze dokumentieren</x:v>
      </x:c>
      <x:c r="AC235" s="14" t="str">
        <x:v>Limited Assurance; risikobasiert höhere Prüftiefe</x:v>
      </x:c>
    </x:row>
    <x:row r="236" ht="42" customHeight="1">
      <x:c r="A236" s="14" t="str">
        <x:v>WOK-E-149</x:v>
      </x:c>
      <x:c r="B236" s="14" t="str">
        <x:v>SDG 9 – Industrie/Innovation</x:v>
      </x:c>
      <x:c r="C236" s="14" t="str">
        <x:v>9.4</x:v>
      </x:c>
      <x:c r="D236" s="14" t="str">
        <x:v>Rohstoff‑Effizienz</x:v>
      </x:c>
      <x:c r="E236" s="14" t="str">
        <x:v>Rohstoff‑Effizienz – Abfallintensität</x:v>
      </x:c>
      <x:c r="F236" s="14" t="str">
        <x:v>kg/t</x:v>
      </x:c>
      <x:c r="G236" s="14" t="str">
        <x:v>lower_is_better</x:v>
      </x:c>
      <x:c r="H236" s="14" t="str">
        <x:v>R06</x:v>
      </x:c>
      <x:c r="I236" s="14" t="str">
        <x:v>BENCHMARK</x:v>
      </x:c>
      <x:c r="J236" s="51"/>
      <x:c r="K236" s="51"/>
      <x:c r="L236" s="51"/>
      <x:c r="M236" s="54"/>
      <x:c r="N236" s="58" t="str">
        <x:f>""</x:f>
      </x:c>
      <x:c r="O236" s="58" t="str">
        <x:f>IF($J236="","",IF(OR('02_Benchmarks'!$P236&lt;&gt;"Aktiv",COUNT('02_Benchmarks'!$J236:$M236)&lt;4),"",IF($G236="lower_is_better",IF($J236&lt;='02_Benchmarks'!$J236,3,IF($J236&lt;'02_Benchmarks'!$K236,2,IF($J236&lt;='02_Benchmarks'!$L236,0,IF($J236&lt;='02_Benchmarks'!$M236,-2,-3)))),IF($J236&gt;='02_Benchmarks'!$J236,3,IF($J236&gt;'02_Benchmarks'!$K236,2,IF($J236&gt;='02_Benchmarks'!$L236,0,IF($J236&gt;='02_Benchmarks'!$M236,-2,-3)))))))</x:f>
      </x:c>
      <x:c r="P236" s="58" t="str">
        <x:f>IF(COUNT($N236:$O236)+IF(ISNUMBER($K236),1,0)=0,"",MIN($N236:$O236,$K236))</x:f>
      </x:c>
      <x:c r="Q236" s="58" t="str">
        <x:f>IF($P236="","",INDEX('04_Tarifmodell'!$B$6:$B$12,$P236+4))</x:f>
      </x:c>
      <x:c r="R236" s="64" t="str">
        <x:f>IF($P236="","",INDEX('04_Tarifmodell'!$C$6:$C$12,$P236+4))</x:f>
      </x:c>
      <x:c r="S236" s="14" t="str">
        <x:f>IF(OR($I236="QUALITATIVE",$I236="MANUAL_HYBRID"),IF($K236="","Assurance-Score fehlt","Assurance-bewertet"),IF($I236="BENCHMARK",IF($W236&lt;&gt;"Aktiv",IF($K236="","Benchmark fehlt","Assurance-bewertet"),IF($J236="","Messwert fehlt",IF($P236="","Nicht bewertbar","Berechnet"))),IF(AND($J236="",$K236&lt;&gt;""),"Nur Assurance-Score",IF($J236="","Messwert fehlt",IF($P236="","Nicht bewertbar",IF($P236&lt;=-2,"Kritische Wirkung / Prüfung","Berechnet"))))))</x:f>
        <x:v>Benchmark fehlt</x:v>
      </x:c>
      <x:c r="T236" s="14" t="str">
        <x:v>Top-10-Prozent, Mittelwert, 150 % und 250 % müssen aus einer dokumentierten Grundgesamtheit stammen.</x:v>
      </x:c>
      <x:c r="U236" s="14" t="str">
        <x:v>Top‑10%:+3; Mittel:0; &gt;150%:‑2; &gt;250%:‑3</x:v>
      </x:c>
      <x:c r="V236" s="14" t="str">
        <x:v>ESRS E1, ISO 50001 (EnMS), ISO/IEC 30134‑2 (PUE), EU EPBD</x:v>
      </x:c>
      <x:c r="W236" s="14" t="str">
        <x:f>'02_Benchmarks'!$P236</x:f>
        <x:v>Offen – validierter Benchmark fehlt</x:v>
      </x:c>
      <x:c r="X236" s="14" t="str">
        <x:v>Teilbelegt – Benchmarkquelle fehlt</x:v>
      </x:c>
      <x:c r="Y236" s="14" t="str">
        <x:v>Hoch</x:v>
      </x:c>
      <x:c r="Z236" s="14" t="str">
        <x:v>Validierter Benchmark fehlt</x:v>
      </x:c>
      <x:c r="AA236" s="14" t="str">
        <x:v>Standort/Prozess/Aktivität; Bezugsgröße und relevante Umweltmedien</x:v>
      </x:c>
      <x:c r="AB236" s="14" t="str">
        <x:v>Primärdaten plus repräsentativer, versionierter Benchmarkdatensatz; Stichprobe und Population offenlegen</x:v>
      </x:c>
      <x:c r="AC236" s="14" t="str">
        <x:v>Messwert-Assurance und unabhängige Benchmark-Governance</x:v>
      </x:c>
    </x:row>
    <x:row r="237" ht="42" customHeight="1">
      <x:c r="A237" s="14" t="str">
        <x:v>WOK-E-150</x:v>
      </x:c>
      <x:c r="B237" s="14" t="str">
        <x:v>SDG 9 – Industrie/Innovation</x:v>
      </x:c>
      <x:c r="C237" s="14" t="str">
        <x:v>9.4</x:v>
      </x:c>
      <x:c r="D237" s="14" t="str">
        <x:v>Rohstoff‑Effizienz</x:v>
      </x:c>
      <x:c r="E237" s="14" t="str">
        <x:v>Rohstoff‑Effizienz – Recyclingquote</x:v>
      </x:c>
      <x:c r="F237" s="14" t="str">
        <x:v>%</x:v>
      </x:c>
      <x:c r="G237" s="14" t="str">
        <x:v>higher_is_better</x:v>
      </x:c>
      <x:c r="H237" s="14" t="str">
        <x:v>R25</x:v>
      </x:c>
      <x:c r="I237" s="14" t="str">
        <x:v>NUM_HIGH</x:v>
      </x:c>
      <x:c r="J237" s="51"/>
      <x:c r="K237" s="51"/>
      <x:c r="L237" s="51"/>
      <x:c r="M237" s="54"/>
      <x:c r="N237" s="58" t="str">
        <x:f>IF($J237="","",IF($J237&lt;30,-3,IF($J237&lt;50,-2,IF($J237&lt;70,0,IF($J237&lt;90,2,3)))))</x:f>
      </x:c>
      <x:c r="O237" s="58" t="str">
        <x:f>IF($J237="","",IF(OR('02_Benchmarks'!$P237&lt;&gt;"Aktiv",COUNT('02_Benchmarks'!$J237:$M237)&lt;4),"",IF($G237="lower_is_better",IF($J237&lt;='02_Benchmarks'!$J237,3,IF($J237&lt;'02_Benchmarks'!$K237,2,IF($J237&lt;='02_Benchmarks'!$L237,0,IF($J237&lt;='02_Benchmarks'!$M237,-2,-3)))),IF($J237&gt;='02_Benchmarks'!$J237,3,IF($J237&gt;'02_Benchmarks'!$K237,2,IF($J237&gt;='02_Benchmarks'!$L237,0,IF($J237&gt;='02_Benchmarks'!$M237,-2,-3)))))))</x:f>
      </x:c>
      <x:c r="P237" s="58" t="str">
        <x:f>IF(COUNT($N237:$O237)+IF(ISNUMBER($K237),1,0)=0,"",MIN($N237:$O237,$K237))</x:f>
      </x:c>
      <x:c r="Q237" s="58" t="str">
        <x:f>IF($P237="","",INDEX('04_Tarifmodell'!$B$6:$B$12,$P237+4))</x:f>
      </x:c>
      <x:c r="R237" s="64" t="str">
        <x:f>IF($P237="","",INDEX('04_Tarifmodell'!$C$6:$C$12,$P237+4))</x:f>
      </x:c>
      <x:c r="S237" s="14" t="str">
        <x:f>IF(OR($I237="QUALITATIVE",$I237="MANUAL_HYBRID"),IF($K237="","Assurance-Score fehlt","Assurance-bewertet"),IF($I237="BENCHMARK",IF($W237&lt;&gt;"Aktiv",IF($K237="","Benchmark fehlt","Assurance-bewertet"),IF($J237="","Messwert fehlt",IF($P237="","Nicht bewertbar","Berechnet"))),IF(AND($J237="",$K237&lt;&gt;""),"Nur Assurance-Score",IF($J237="","Messwert fehlt",IF($P237="","Nicht bewertbar",IF($P237&lt;=-2,"Kritische Wirkung / Prüfung","Berechnet"))))))</x:f>
        <x:v>Messwert fehlt</x:v>
      </x:c>
      <x:c r="T237" s="14" t="str">
        <x:v>Vollständige fünfstufige Prozentregel.</x:v>
      </x:c>
      <x:c r="U237" s="14" t="str">
        <x:v>≥90%:+3; 70–89%:+2; 50–69%:0; 30–49%:‑2; &lt;30%:‑3</x:v>
      </x:c>
      <x:c r="V237" s="14" t="str">
        <x:v>ESRS E1, ISO 50001 (EnMS), ISO/IEC 30134‑2 (PUE), EU EPBD</x:v>
      </x:c>
      <x:c r="W237" s="14" t="str">
        <x:f>'02_Benchmarks'!$P237</x:f>
        <x:v>Optional – kein aktiver Benchmark</x:v>
      </x:c>
      <x:c r="X237" s="14" t="str">
        <x:v>Messgrundlage belegt; Schwellenkalibrierung offen</x:v>
      </x:c>
      <x:c r="Y237" s="14" t="str">
        <x:v>Mittel</x:v>
      </x:c>
      <x:c r="Z237" s="14" t="str">
        <x:v>Arbeitskalibrierung – fachlich zu validieren</x:v>
      </x:c>
      <x:c r="AA237" s="14" t="str">
        <x:v>Standort/Prozess/Aktivität; Bezugsgröße und relevante Umweltmedien</x:v>
      </x:c>
      <x:c r="AB237" s="14" t="str">
        <x:v>Primärdaten bevorzugt; Sekundärdaten nur transparent und versioniert; Methode und Systemgrenze dokumentieren</x:v>
      </x:c>
      <x:c r="AC237" s="14" t="str">
        <x:v>Limited Assurance; risikobasiert höhere Prüftiefe</x:v>
      </x:c>
    </x:row>
    <x:row r="238" ht="42" customHeight="1">
      <x:c r="A238" s="14" t="str">
        <x:v>WOK-E-151</x:v>
      </x:c>
      <x:c r="B238" s="14" t="str">
        <x:v>SDG 9 – Industrie/Innovation</x:v>
      </x:c>
      <x:c r="C238" s="14" t="str">
        <x:v>9.4</x:v>
      </x:c>
      <x:c r="D238" s="14" t="str">
        <x:v>Rohstoff‑Effizienz</x:v>
      </x:c>
      <x:c r="E238" s="14" t="str">
        <x:v>Rohstoff‑Effizienz – Gefährlicher Abfall</x:v>
      </x:c>
      <x:c r="F238" s="14" t="str">
        <x:v>kg/t</x:v>
      </x:c>
      <x:c r="G238" s="14" t="str">
        <x:v>lower_is_better</x:v>
      </x:c>
      <x:c r="H238" s="14" t="str">
        <x:v>R06</x:v>
      </x:c>
      <x:c r="I238" s="14" t="str">
        <x:v>BENCHMARK</x:v>
      </x:c>
      <x:c r="J238" s="51"/>
      <x:c r="K238" s="51"/>
      <x:c r="L238" s="51"/>
      <x:c r="M238" s="54"/>
      <x:c r="N238" s="58" t="str">
        <x:f>""</x:f>
      </x:c>
      <x:c r="O238" s="58" t="str">
        <x:f>IF($J238="","",IF(OR('02_Benchmarks'!$P238&lt;&gt;"Aktiv",COUNT('02_Benchmarks'!$J238:$M238)&lt;4),"",IF($G238="lower_is_better",IF($J238&lt;='02_Benchmarks'!$J238,3,IF($J238&lt;'02_Benchmarks'!$K238,2,IF($J238&lt;='02_Benchmarks'!$L238,0,IF($J238&lt;='02_Benchmarks'!$M238,-2,-3)))),IF($J238&gt;='02_Benchmarks'!$J238,3,IF($J238&gt;'02_Benchmarks'!$K238,2,IF($J238&gt;='02_Benchmarks'!$L238,0,IF($J238&gt;='02_Benchmarks'!$M238,-2,-3)))))))</x:f>
      </x:c>
      <x:c r="P238" s="58" t="str">
        <x:f>IF(COUNT($N238:$O238)+IF(ISNUMBER($K238),1,0)=0,"",MIN($N238:$O238,$K238))</x:f>
      </x:c>
      <x:c r="Q238" s="58" t="str">
        <x:f>IF($P238="","",INDEX('04_Tarifmodell'!$B$6:$B$12,$P238+4))</x:f>
      </x:c>
      <x:c r="R238" s="64" t="str">
        <x:f>IF($P238="","",INDEX('04_Tarifmodell'!$C$6:$C$12,$P238+4))</x:f>
      </x:c>
      <x:c r="S238" s="14" t="str">
        <x:f>IF(OR($I238="QUALITATIVE",$I238="MANUAL_HYBRID"),IF($K238="","Assurance-Score fehlt","Assurance-bewertet"),IF($I238="BENCHMARK",IF($W238&lt;&gt;"Aktiv",IF($K238="","Benchmark fehlt","Assurance-bewertet"),IF($J238="","Messwert fehlt",IF($P238="","Nicht bewertbar","Berechnet"))),IF(AND($J238="",$K238&lt;&gt;""),"Nur Assurance-Score",IF($J238="","Messwert fehlt",IF($P238="","Nicht bewertbar",IF($P238&lt;=-2,"Kritische Wirkung / Prüfung","Berechnet"))))))</x:f>
        <x:v>Benchmark fehlt</x:v>
      </x:c>
      <x:c r="T238" s="14" t="str">
        <x:v>Top-10-Prozent, Mittelwert, 150 % und 250 % müssen aus einer dokumentierten Grundgesamtheit stammen.</x:v>
      </x:c>
      <x:c r="U238" s="14" t="str">
        <x:v>Top‑10%:+3; Mittel:0; &gt;150%:‑2; &gt;250%:‑3</x:v>
      </x:c>
      <x:c r="V238" s="14" t="str">
        <x:v>ESRS E1, ISO 50001 (EnMS), ISO/IEC 30134‑2 (PUE), EU EPBD</x:v>
      </x:c>
      <x:c r="W238" s="14" t="str">
        <x:f>'02_Benchmarks'!$P238</x:f>
        <x:v>Offen – validierter Benchmark fehlt</x:v>
      </x:c>
      <x:c r="X238" s="14" t="str">
        <x:v>Teilbelegt – Benchmarkquelle fehlt</x:v>
      </x:c>
      <x:c r="Y238" s="14" t="str">
        <x:v>Hoch</x:v>
      </x:c>
      <x:c r="Z238" s="14" t="str">
        <x:v>Validierter Benchmark fehlt</x:v>
      </x:c>
      <x:c r="AA238" s="14" t="str">
        <x:v>Standort/Prozess/Aktivität; Bezugsgröße und relevante Umweltmedien</x:v>
      </x:c>
      <x:c r="AB238" s="14" t="str">
        <x:v>Primärdaten plus repräsentativer, versionierter Benchmarkdatensatz; Stichprobe und Population offenlegen</x:v>
      </x:c>
      <x:c r="AC238" s="14" t="str">
        <x:v>Messwert-Assurance und unabhängige Benchmark-Governance</x:v>
      </x:c>
    </x:row>
    <x:row r="239" ht="42" customHeight="1">
      <x:c r="A239" s="14" t="str">
        <x:v>WOK-SYS-122</x:v>
      </x:c>
      <x:c r="B239" s="14" t="str">
        <x:v>SDG 9 – Industrie/Innovation</x:v>
      </x:c>
      <x:c r="C239" s="14" t="str">
        <x:v>9.5</x:v>
      </x:c>
      <x:c r="D239" s="14" t="str">
        <x:v>Standort‑Innovationsökosystem</x:v>
      </x:c>
      <x:c r="E239" s="14" t="str">
        <x:v>Standort‑Innovationsökosystem – Index</x:v>
      </x:c>
      <x:c r="F239" s="14" t="str">
        <x:v>0–1</x:v>
      </x:c>
      <x:c r="G239" s="14" t="str">
        <x:v>higher_is_better</x:v>
      </x:c>
      <x:c r="H239" s="14" t="str">
        <x:v>R15</x:v>
      </x:c>
      <x:c r="I239" s="14" t="str">
        <x:v>NUM_HIGH</x:v>
      </x:c>
      <x:c r="J239" s="51"/>
      <x:c r="K239" s="51"/>
      <x:c r="L239" s="51"/>
      <x:c r="M239" s="54"/>
      <x:c r="N239" s="58" t="str">
        <x:f>IF($J239="","",IF($J239&lt;0.5,-3,IF($J239&lt;0.6,-2,IF($J239&lt;0.7,0,IF($J239&lt;0.8,2,3)))))</x:f>
      </x:c>
      <x:c r="O239" s="58" t="str">
        <x:f>IF($J239="","",IF(OR('02_Benchmarks'!$P239&lt;&gt;"Aktiv",COUNT('02_Benchmarks'!$J239:$M239)&lt;4),"",IF($G239="lower_is_better",IF($J239&lt;='02_Benchmarks'!$J239,3,IF($J239&lt;'02_Benchmarks'!$K239,2,IF($J239&lt;='02_Benchmarks'!$L239,0,IF($J239&lt;='02_Benchmarks'!$M239,-2,-3)))),IF($J239&gt;='02_Benchmarks'!$J239,3,IF($J239&gt;'02_Benchmarks'!$K239,2,IF($J239&gt;='02_Benchmarks'!$L239,0,IF($J239&gt;='02_Benchmarks'!$M239,-2,-3)))))))</x:f>
      </x:c>
      <x:c r="P239" s="58" t="str">
        <x:f>IF(COUNT($N239:$O239)+IF(ISNUMBER($K239),1,0)=0,"",MIN($N239:$O239,$K239))</x:f>
      </x:c>
      <x:c r="Q239" s="58" t="str">
        <x:f>IF($P239="","",INDEX('04_Tarifmodell'!$B$6:$B$12,$P239+4))</x:f>
      </x:c>
      <x:c r="R239" s="64" t="str">
        <x:f>IF($P239="","",INDEX('04_Tarifmodell'!$C$6:$C$12,$P239+4))</x:f>
      </x:c>
      <x:c r="S239" s="14" t="str">
        <x:f>IF(OR($I239="QUALITATIVE",$I239="MANUAL_HYBRID"),IF($K239="","Assurance-Score fehlt","Assurance-bewertet"),IF($I239="BENCHMARK",IF($W239&lt;&gt;"Aktiv",IF($K239="","Benchmark fehlt","Assurance-bewertet"),IF($J239="","Messwert fehlt",IF($P239="","Nicht bewertbar","Berechnet"))),IF(AND($J239="",$K239&lt;&gt;""),"Nur Assurance-Score",IF($J239="","Messwert fehlt",IF($P239="","Nicht bewertbar",IF($P239&lt;=-2,"Kritische Wirkung / Prüfung","Berechnet"))))))</x:f>
        <x:v>Messwert fehlt</x:v>
      </x:c>
      <x:c r="T239" s="14" t="str">
        <x:v>SROI/SDG 17 ist keine hinreichend konkrete Mess- oder Schwellenquelle. Vollständige fünfstufige numerische Regel.</x:v>
      </x:c>
      <x:c r="U239" s="14" t="str">
        <x:v>≥0,8:+3; 0,7–0,79:+2; 0,6–0,69:0; 0,5–0,59:‑2; &lt;0,5:‑3</x:v>
      </x:c>
      <x:c r="V239" s="14" t="str">
        <x:v>OECD Frascati, PATSTAT</x:v>
      </x:c>
      <x:c r="W239" s="14" t="str">
        <x:f>'02_Benchmarks'!$P239</x:f>
        <x:v>Optional – kein aktiver Benchmark</x:v>
      </x:c>
      <x:c r="X239" s="14" t="str">
        <x:v>Platzhalter – fachliche Operationalisierung offen</x:v>
      </x:c>
      <x:c r="Y239" s="14" t="str">
        <x:v>Kritisch</x:v>
      </x:c>
      <x:c r="Z239" s="14" t="str">
        <x:v>Arbeitskalibrierung – fachlich zu validieren</x:v>
      </x:c>
      <x:c r="AA239" s="14" t="str">
        <x:v>Programm/Portfolio/Systemraum; Empfängergruppe, Region und Zeitraum explizit definieren</x:v>
      </x:c>
      <x:c r="AB239" s="14" t="str">
        <x:v>Primärdaten bevorzugt; Sekundärdaten nur transparent und versioniert; Methode und Systemgrenze dokumentieren</x:v>
      </x:c>
      <x:c r="AC239" s="14" t="str">
        <x:v>Limited Assurance; risikobasiert höhere Prüftiefe</x:v>
      </x:c>
    </x:row>
    <x:row r="240" ht="42" customHeight="1">
      <x:c r="A240" s="14" t="str">
        <x:v>WOK-SYS-123</x:v>
      </x:c>
      <x:c r="B240" s="14" t="str">
        <x:v>SDG 9 – Industrie/Innovation</x:v>
      </x:c>
      <x:c r="C240" s="14" t="str">
        <x:v>9.5</x:v>
      </x:c>
      <x:c r="D240" s="14" t="str">
        <x:v>Standort‑Innovationsökosystem</x:v>
      </x:c>
      <x:c r="E240" s="14" t="str">
        <x:v>Standort‑Innovationsökosystem – Exposure</x:v>
      </x:c>
      <x:c r="F240" s="14" t="str">
        <x:v>%</x:v>
      </x:c>
      <x:c r="G240" s="14" t="str">
        <x:v>lower_is_better</x:v>
      </x:c>
      <x:c r="H240" s="14" t="str">
        <x:v>R13</x:v>
      </x:c>
      <x:c r="I240" s="14" t="str">
        <x:v>NUM_LOW</x:v>
      </x:c>
      <x:c r="J240" s="51"/>
      <x:c r="K240" s="51"/>
      <x:c r="L240" s="51"/>
      <x:c r="M240" s="54"/>
      <x:c r="N240" s="58" t="str">
        <x:f>IF($J240="","",IF($J240&lt;=5,3,IF($J240&lt;=10,2,IF($J240&lt;=20,0,IF($J240&lt;=30,-2,-3)))))</x:f>
      </x:c>
      <x:c r="O240" s="58" t="str">
        <x:f>IF($J240="","",IF(OR('02_Benchmarks'!$P240&lt;&gt;"Aktiv",COUNT('02_Benchmarks'!$J240:$M240)&lt;4),"",IF($G240="lower_is_better",IF($J240&lt;='02_Benchmarks'!$J240,3,IF($J240&lt;'02_Benchmarks'!$K240,2,IF($J240&lt;='02_Benchmarks'!$L240,0,IF($J240&lt;='02_Benchmarks'!$M240,-2,-3)))),IF($J240&gt;='02_Benchmarks'!$J240,3,IF($J240&gt;'02_Benchmarks'!$K240,2,IF($J240&gt;='02_Benchmarks'!$L240,0,IF($J240&gt;='02_Benchmarks'!$M240,-2,-3)))))))</x:f>
      </x:c>
      <x:c r="P240" s="58" t="str">
        <x:f>IF(COUNT($N240:$O240)+IF(ISNUMBER($K240),1,0)=0,"",MIN($N240:$O240,$K240))</x:f>
      </x:c>
      <x:c r="Q240" s="58" t="str">
        <x:f>IF($P240="","",INDEX('04_Tarifmodell'!$B$6:$B$12,$P240+4))</x:f>
      </x:c>
      <x:c r="R240" s="64" t="str">
        <x:f>IF($P240="","",INDEX('04_Tarifmodell'!$C$6:$C$12,$P240+4))</x:f>
      </x:c>
      <x:c r="S240" s="14" t="str">
        <x:f>IF(OR($I240="QUALITATIVE",$I240="MANUAL_HYBRID"),IF($K240="","Assurance-Score fehlt","Assurance-bewertet"),IF($I240="BENCHMARK",IF($W240&lt;&gt;"Aktiv",IF($K240="","Benchmark fehlt","Assurance-bewertet"),IF($J240="","Messwert fehlt",IF($P240="","Nicht bewertbar","Berechnet"))),IF(AND($J240="",$K240&lt;&gt;""),"Nur Assurance-Score",IF($J240="","Messwert fehlt",IF($P240="","Nicht bewertbar",IF($P240&lt;=-2,"Kritische Wirkung / Prüfung","Berechnet"))))))</x:f>
        <x:v>Messwert fehlt</x:v>
      </x:c>
      <x:c r="T240" s="14" t="str">
        <x:v>SROI/SDG 17 ist keine hinreichend konkrete Mess- oder Schwellenquelle. Vollständige fünfstufige numerische Regel.</x:v>
      </x:c>
      <x:c r="U240" s="14" t="str">
        <x:v>≤5:+3; 6–10:+2; 11–20:0; 21–30:‑2; &gt;30:‑3</x:v>
      </x:c>
      <x:c r="V240" s="14" t="str">
        <x:v>OECD Frascati, PATSTAT</x:v>
      </x:c>
      <x:c r="W240" s="14" t="str">
        <x:f>'02_Benchmarks'!$P240</x:f>
        <x:v>Optional – kein aktiver Benchmark</x:v>
      </x:c>
      <x:c r="X240" s="14" t="str">
        <x:v>Platzhalter – fachliche Operationalisierung offen</x:v>
      </x:c>
      <x:c r="Y240" s="14" t="str">
        <x:v>Kritisch</x:v>
      </x:c>
      <x:c r="Z240" s="14" t="str">
        <x:v>Arbeitskalibrierung – fachlich zu validieren</x:v>
      </x:c>
      <x:c r="AA240" s="14" t="str">
        <x:v>Programm/Portfolio/Systemraum; Empfängergruppe, Region und Zeitraum explizit definieren</x:v>
      </x:c>
      <x:c r="AB240" s="14" t="str">
        <x:v>Primärdaten bevorzugt; Sekundärdaten nur transparent und versioniert; Methode und Systemgrenze dokumentieren</x:v>
      </x:c>
      <x:c r="AC240" s="14" t="str">
        <x:v>Limited Assurance; risikobasiert höhere Prüftiefe</x:v>
      </x:c>
    </x:row>
    <x:row r="241" ht="42" customHeight="1">
      <x:c r="A241" s="14" t="str">
        <x:v>WOK-SYS-124</x:v>
      </x:c>
      <x:c r="B241" s="14" t="str">
        <x:v>SDG 9 – Industrie/Innovation</x:v>
      </x:c>
      <x:c r="C241" s="14" t="str">
        <x:v>9.5</x:v>
      </x:c>
      <x:c r="D241" s="14" t="str">
        <x:v>Standort‑Innovationsökosystem</x:v>
      </x:c>
      <x:c r="E241" s="14" t="str">
        <x:v>Standort‑Innovationsökosystem – Kooperationen</x:v>
      </x:c>
      <x:c r="F241" s="14" t="str">
        <x:v>#/Jahr</x:v>
      </x:c>
      <x:c r="G241" s="14" t="str">
        <x:v>higher_is_better</x:v>
      </x:c>
      <x:c r="H241" s="14" t="str">
        <x:v>R20</x:v>
      </x:c>
      <x:c r="I241" s="14" t="str">
        <x:v>NUM_HIGH</x:v>
      </x:c>
      <x:c r="J241" s="51"/>
      <x:c r="K241" s="51"/>
      <x:c r="L241" s="51"/>
      <x:c r="M241" s="54"/>
      <x:c r="N241" s="58" t="str">
        <x:f>IF($J241="","",IF($J241&lt;0,-3,IF($J241&lt;1,-2,IF($J241&lt;3,0,IF($J241&lt;5,2,3)))))</x:f>
      </x:c>
      <x:c r="O241" s="58" t="str">
        <x:f>IF($J241="","",IF(OR('02_Benchmarks'!$P241&lt;&gt;"Aktiv",COUNT('02_Benchmarks'!$J241:$M241)&lt;4),"",IF($G241="lower_is_better",IF($J241&lt;='02_Benchmarks'!$J241,3,IF($J241&lt;'02_Benchmarks'!$K241,2,IF($J241&lt;='02_Benchmarks'!$L241,0,IF($J241&lt;='02_Benchmarks'!$M241,-2,-3)))),IF($J241&gt;='02_Benchmarks'!$J241,3,IF($J241&gt;'02_Benchmarks'!$K241,2,IF($J241&gt;='02_Benchmarks'!$L241,0,IF($J241&gt;='02_Benchmarks'!$M241,-2,-3)))))))</x:f>
      </x:c>
      <x:c r="P241" s="58" t="str">
        <x:f>IF(COUNT($N241:$O241)+IF(ISNUMBER($K241),1,0)=0,"",MIN($N241:$O241,$K241))</x:f>
      </x:c>
      <x:c r="Q241" s="58" t="str">
        <x:f>IF($P241="","",INDEX('04_Tarifmodell'!$B$6:$B$12,$P241+4))</x:f>
      </x:c>
      <x:c r="R241" s="64" t="str">
        <x:f>IF($P241="","",INDEX('04_Tarifmodell'!$C$6:$C$12,$P241+4))</x:f>
      </x:c>
      <x:c r="S241" s="14" t="str">
        <x:f>IF(OR($I241="QUALITATIVE",$I241="MANUAL_HYBRID"),IF($K241="","Assurance-Score fehlt","Assurance-bewertet"),IF($I241="BENCHMARK",IF($W241&lt;&gt;"Aktiv",IF($K241="","Benchmark fehlt","Assurance-bewertet"),IF($J241="","Messwert fehlt",IF($P241="","Nicht bewertbar","Berechnet"))),IF(AND($J241="",$K241&lt;&gt;""),"Nur Assurance-Score",IF($J241="","Messwert fehlt",IF($P241="","Nicht bewertbar",IF($P241&lt;=-2,"Kritische Wirkung / Prüfung","Berechnet"))))))</x:f>
        <x:v>Messwert fehlt</x:v>
      </x:c>
      <x:c r="T241" s="14" t="str">
        <x:v>SROI/SDG 17 ist keine hinreichend konkrete Mess- oder Schwellenquelle. Für sachlogisch nichtnegative Zählwerte ist 0 die schlechteste reguläre Klasse (−2).</x:v>
      </x:c>
      <x:c r="U241" s="14" t="str">
        <x:v>≥5:+3; 3–4:+2; 1–2:0; 0:‑2</x:v>
      </x:c>
      <x:c r="V241" s="14" t="str">
        <x:v>OECD Frascati, PATSTAT</x:v>
      </x:c>
      <x:c r="W241" s="14" t="str">
        <x:f>'02_Benchmarks'!$P241</x:f>
        <x:v>Optional – kein aktiver Benchmark</x:v>
      </x:c>
      <x:c r="X241" s="14" t="str">
        <x:v>Platzhalter – fachliche Operationalisierung offen</x:v>
      </x:c>
      <x:c r="Y241" s="14" t="str">
        <x:v>Kritisch</x:v>
      </x:c>
      <x:c r="Z241" s="14" t="str">
        <x:v>Klasse −3 nur für negative/unzulässige Werte ergänzt</x:v>
      </x:c>
      <x:c r="AA241" s="14" t="str">
        <x:v>Programm/Portfolio/Systemraum; Empfängergruppe, Region und Zeitraum explizit definieren</x:v>
      </x:c>
      <x:c r="AB241" s="14" t="str">
        <x:v>Primärdaten bevorzugt; Sekundärdaten nur transparent und versioniert; Methode und Systemgrenze dokumentieren</x:v>
      </x:c>
      <x:c r="AC241" s="14" t="str">
        <x:v>Limited Assurance; risikobasiert höhere Prüftiefe</x:v>
      </x:c>
    </x:row>
    <x:row r="242" ht="42" customHeight="1">
      <x:c r="A242" s="14" t="str">
        <x:v>WOK-E-152</x:v>
      </x:c>
      <x:c r="B242" s="14" t="str">
        <x:v>SDG 9 – Industrie/Innovation</x:v>
      </x:c>
      <x:c r="C242" s="14" t="str">
        <x:v>9.4</x:v>
      </x:c>
      <x:c r="D242" s="14" t="str">
        <x:v>Energie‑/Ressourceneffizienz</x:v>
      </x:c>
      <x:c r="E242" s="14" t="str">
        <x:v>Energie‑/Ressourceneffizienz – EE‑Anteil</x:v>
      </x:c>
      <x:c r="F242" s="14" t="str">
        <x:v>%</x:v>
      </x:c>
      <x:c r="G242" s="14" t="str">
        <x:v>higher_is_better</x:v>
      </x:c>
      <x:c r="H242" s="14" t="str">
        <x:v>R25</x:v>
      </x:c>
      <x:c r="I242" s="14" t="str">
        <x:v>NUM_HIGH</x:v>
      </x:c>
      <x:c r="J242" s="51"/>
      <x:c r="K242" s="51"/>
      <x:c r="L242" s="51"/>
      <x:c r="M242" s="54"/>
      <x:c r="N242" s="58" t="str">
        <x:f>IF($J242="","",IF($J242&lt;30,-3,IF($J242&lt;50,-2,IF($J242&lt;70,0,IF($J242&lt;90,2,3)))))</x:f>
      </x:c>
      <x:c r="O242" s="58" t="str">
        <x:f>IF($J242="","",IF(OR('02_Benchmarks'!$P242&lt;&gt;"Aktiv",COUNT('02_Benchmarks'!$J242:$M242)&lt;4),"",IF($G242="lower_is_better",IF($J242&lt;='02_Benchmarks'!$J242,3,IF($J242&lt;'02_Benchmarks'!$K242,2,IF($J242&lt;='02_Benchmarks'!$L242,0,IF($J242&lt;='02_Benchmarks'!$M242,-2,-3)))),IF($J242&gt;='02_Benchmarks'!$J242,3,IF($J242&gt;'02_Benchmarks'!$K242,2,IF($J242&gt;='02_Benchmarks'!$L242,0,IF($J242&gt;='02_Benchmarks'!$M242,-2,-3)))))))</x:f>
      </x:c>
      <x:c r="P242" s="58" t="str">
        <x:f>IF(COUNT($N242:$O242)+IF(ISNUMBER($K242),1,0)=0,"",MIN($N242:$O242,$K242))</x:f>
      </x:c>
      <x:c r="Q242" s="58" t="str">
        <x:f>IF($P242="","",INDEX('04_Tarifmodell'!$B$6:$B$12,$P242+4))</x:f>
      </x:c>
      <x:c r="R242" s="64" t="str">
        <x:f>IF($P242="","",INDEX('04_Tarifmodell'!$C$6:$C$12,$P242+4))</x:f>
      </x:c>
      <x:c r="S242" s="14" t="str">
        <x:f>IF(OR($I242="QUALITATIVE",$I242="MANUAL_HYBRID"),IF($K242="","Assurance-Score fehlt","Assurance-bewertet"),IF($I242="BENCHMARK",IF($W242&lt;&gt;"Aktiv",IF($K242="","Benchmark fehlt","Assurance-bewertet"),IF($J242="","Messwert fehlt",IF($P242="","Nicht bewertbar","Berechnet"))),IF(AND($J242="",$K242&lt;&gt;""),"Nur Assurance-Score",IF($J242="","Messwert fehlt",IF($P242="","Nicht bewertbar",IF($P242&lt;=-2,"Kritische Wirkung / Prüfung","Berechnet"))))))</x:f>
        <x:v>Messwert fehlt</x:v>
      </x:c>
      <x:c r="T242" s="14" t="str">
        <x:v>Vollständige fünfstufige Prozentregel.</x:v>
      </x:c>
      <x:c r="U242" s="14" t="str">
        <x:v>≥90%:+3; 70–89%:+2; 50–69%:0; 30–49%:‑2; &lt;30%:‑3</x:v>
      </x:c>
      <x:c r="V242" s="14" t="str">
        <x:v>ESRS E1, ISO 50001 (EnMS), ISO/IEC 30134‑2 (PUE), EU EPBD</x:v>
      </x:c>
      <x:c r="W242" s="14" t="str">
        <x:f>'02_Benchmarks'!$P242</x:f>
        <x:v>Optional – kein aktiver Benchmark</x:v>
      </x:c>
      <x:c r="X242" s="14" t="str">
        <x:v>Messgrundlage belegt; Schwellenkalibrierung offen</x:v>
      </x:c>
      <x:c r="Y242" s="14" t="str">
        <x:v>Mittel</x:v>
      </x:c>
      <x:c r="Z242" s="14" t="str">
        <x:v>Arbeitskalibrierung – fachlich zu validieren</x:v>
      </x:c>
      <x:c r="AA242" s="14" t="str">
        <x:v>Standort/Prozess/Aktivität; Bezugsgröße und relevante Umweltmedien</x:v>
      </x:c>
      <x:c r="AB242" s="14" t="str">
        <x:v>Primärdaten bevorzugt; Sekundärdaten nur transparent und versioniert; Methode und Systemgrenze dokumentieren</x:v>
      </x:c>
      <x:c r="AC242" s="14" t="str">
        <x:v>Limited Assurance; risikobasiert höhere Prüftiefe</x:v>
      </x:c>
    </x:row>
    <x:row r="243" ht="42" customHeight="1">
      <x:c r="A243" s="14" t="str">
        <x:v>WOK-E-153</x:v>
      </x:c>
      <x:c r="B243" s="14" t="str">
        <x:v>SDG 9 – Industrie/Innovation</x:v>
      </x:c>
      <x:c r="C243" s="14" t="str">
        <x:v>9.4</x:v>
      </x:c>
      <x:c r="D243" s="14" t="str">
        <x:v>Energie‑/Ressourceneffizienz</x:v>
      </x:c>
      <x:c r="E243" s="14" t="str">
        <x:v>Energie‑/Ressourceneffizienz – Intensität</x:v>
      </x:c>
      <x:c r="F243" s="14" t="str">
        <x:v>kWh/€ Mio bzw. kWh/t</x:v>
      </x:c>
      <x:c r="G243" s="14" t="str">
        <x:v>lower_is_better</x:v>
      </x:c>
      <x:c r="H243" s="14" t="str">
        <x:v>R06</x:v>
      </x:c>
      <x:c r="I243" s="14" t="str">
        <x:v>BENCHMARK</x:v>
      </x:c>
      <x:c r="J243" s="51"/>
      <x:c r="K243" s="51"/>
      <x:c r="L243" s="51"/>
      <x:c r="M243" s="54"/>
      <x:c r="N243" s="58" t="str">
        <x:f>""</x:f>
      </x:c>
      <x:c r="O243" s="58" t="str">
        <x:f>IF($J243="","",IF(OR('02_Benchmarks'!$P243&lt;&gt;"Aktiv",COUNT('02_Benchmarks'!$J243:$M243)&lt;4),"",IF($G243="lower_is_better",IF($J243&lt;='02_Benchmarks'!$J243,3,IF($J243&lt;'02_Benchmarks'!$K243,2,IF($J243&lt;='02_Benchmarks'!$L243,0,IF($J243&lt;='02_Benchmarks'!$M243,-2,-3)))),IF($J243&gt;='02_Benchmarks'!$J243,3,IF($J243&gt;'02_Benchmarks'!$K243,2,IF($J243&gt;='02_Benchmarks'!$L243,0,IF($J243&gt;='02_Benchmarks'!$M243,-2,-3)))))))</x:f>
      </x:c>
      <x:c r="P243" s="58" t="str">
        <x:f>IF(COUNT($N243:$O243)+IF(ISNUMBER($K243),1,0)=0,"",MIN($N243:$O243,$K243))</x:f>
      </x:c>
      <x:c r="Q243" s="58" t="str">
        <x:f>IF($P243="","",INDEX('04_Tarifmodell'!$B$6:$B$12,$P243+4))</x:f>
      </x:c>
      <x:c r="R243" s="64" t="str">
        <x:f>IF($P243="","",INDEX('04_Tarifmodell'!$C$6:$C$12,$P243+4))</x:f>
      </x:c>
      <x:c r="S243" s="14" t="str">
        <x:f>IF(OR($I243="QUALITATIVE",$I243="MANUAL_HYBRID"),IF($K243="","Assurance-Score fehlt","Assurance-bewertet"),IF($I243="BENCHMARK",IF($W243&lt;&gt;"Aktiv",IF($K243="","Benchmark fehlt","Assurance-bewertet"),IF($J243="","Messwert fehlt",IF($P243="","Nicht bewertbar","Berechnet"))),IF(AND($J243="",$K243&lt;&gt;""),"Nur Assurance-Score",IF($J243="","Messwert fehlt",IF($P243="","Nicht bewertbar",IF($P243&lt;=-2,"Kritische Wirkung / Prüfung","Berechnet"))))))</x:f>
        <x:v>Benchmark fehlt</x:v>
      </x:c>
      <x:c r="T243" s="14" t="str">
        <x:v>Top-10-Prozent, Mittelwert, 150 % und 250 % müssen aus einer dokumentierten Grundgesamtheit stammen.</x:v>
      </x:c>
      <x:c r="U243" s="14" t="str">
        <x:v>Top‑10%:+3; Mittel:0; &gt;150%:‑2; &gt;250%:‑3</x:v>
      </x:c>
      <x:c r="V243" s="14" t="str">
        <x:v>ESRS E1, ISO 50001 (EnMS), ISO/IEC 30134‑2 (PUE), EU EPBD</x:v>
      </x:c>
      <x:c r="W243" s="14" t="str">
        <x:f>'02_Benchmarks'!$P243</x:f>
        <x:v>Offen – validierter Benchmark fehlt</x:v>
      </x:c>
      <x:c r="X243" s="14" t="str">
        <x:v>Teilbelegt – Benchmarkquelle fehlt</x:v>
      </x:c>
      <x:c r="Y243" s="14" t="str">
        <x:v>Hoch</x:v>
      </x:c>
      <x:c r="Z243" s="14" t="str">
        <x:v>Validierter Benchmark fehlt</x:v>
      </x:c>
      <x:c r="AA243" s="14" t="str">
        <x:v>Standort/Prozess/Aktivität; Bezugsgröße und relevante Umweltmedien</x:v>
      </x:c>
      <x:c r="AB243" s="14" t="str">
        <x:v>Primärdaten plus repräsentativer, versionierter Benchmarkdatensatz; Stichprobe und Population offenlegen</x:v>
      </x:c>
      <x:c r="AC243" s="14" t="str">
        <x:v>Messwert-Assurance und unabhängige Benchmark-Governance</x:v>
      </x:c>
    </x:row>
    <x:row r="244" ht="42" customHeight="1">
      <x:c r="A244" s="14" t="str">
        <x:v>WOK-E-154</x:v>
      </x:c>
      <x:c r="B244" s="14" t="str">
        <x:v>SDG 9 – Industrie/Innovation</x:v>
      </x:c>
      <x:c r="C244" s="14" t="str">
        <x:v>9.4</x:v>
      </x:c>
      <x:c r="D244" s="14" t="str">
        <x:v>Energie‑/Ressourceneffizienz</x:v>
      </x:c>
      <x:c r="E244" s="14" t="str">
        <x:v>Energie‑/Ressourceneffizienz – Effizienz (PUE)*</x:v>
      </x:c>
      <x:c r="F244" s="14" t="str">
        <x:v>PUE</x:v>
      </x:c>
      <x:c r="G244" s="14" t="str">
        <x:v>lower_is_better</x:v>
      </x:c>
      <x:c r="H244" s="14" t="str">
        <x:v>R09</x:v>
      </x:c>
      <x:c r="I244" s="14" t="str">
        <x:v>NUM_LOW</x:v>
      </x:c>
      <x:c r="J244" s="51"/>
      <x:c r="K244" s="51"/>
      <x:c r="L244" s="51"/>
      <x:c r="M244" s="54"/>
      <x:c r="N244" s="58" t="str">
        <x:f>IF($J244="","",IF($J244&lt;=1.2,3,IF($J244&lt;=1.4,2,IF($J244&lt;=1.6,0,IF($J244&lt;=1.8,-2,-3)))))</x:f>
      </x:c>
      <x:c r="O244" s="58" t="str">
        <x:f>IF($J244="","",IF(OR('02_Benchmarks'!$P244&lt;&gt;"Aktiv",COUNT('02_Benchmarks'!$J244:$M244)&lt;4),"",IF($G244="lower_is_better",IF($J244&lt;='02_Benchmarks'!$J244,3,IF($J244&lt;'02_Benchmarks'!$K244,2,IF($J244&lt;='02_Benchmarks'!$L244,0,IF($J244&lt;='02_Benchmarks'!$M244,-2,-3)))),IF($J244&gt;='02_Benchmarks'!$J244,3,IF($J244&gt;'02_Benchmarks'!$K244,2,IF($J244&gt;='02_Benchmarks'!$L244,0,IF($J244&gt;='02_Benchmarks'!$M244,-2,-3)))))))</x:f>
      </x:c>
      <x:c r="P244" s="58" t="str">
        <x:f>IF(COUNT($N244:$O244)+IF(ISNUMBER($K244),1,0)=0,"",MIN($N244:$O244,$K244))</x:f>
      </x:c>
      <x:c r="Q244" s="58" t="str">
        <x:f>IF($P244="","",INDEX('04_Tarifmodell'!$B$6:$B$12,$P244+4))</x:f>
      </x:c>
      <x:c r="R244" s="64" t="str">
        <x:f>IF($P244="","",INDEX('04_Tarifmodell'!$C$6:$C$12,$P244+4))</x:f>
      </x:c>
      <x:c r="S244" s="14" t="str">
        <x:f>IF(OR($I244="QUALITATIVE",$I244="MANUAL_HYBRID"),IF($K244="","Assurance-Score fehlt","Assurance-bewertet"),IF($I244="BENCHMARK",IF($W244&lt;&gt;"Aktiv",IF($K244="","Benchmark fehlt","Assurance-bewertet"),IF($J244="","Messwert fehlt",IF($P244="","Nicht bewertbar","Berechnet"))),IF(AND($J244="",$K244&lt;&gt;""),"Nur Assurance-Score",IF($J244="","Messwert fehlt",IF($P244="","Nicht bewertbar",IF($P244&lt;=-2,"Kritische Wirkung / Prüfung","Berechnet"))))))</x:f>
        <x:v>Messwert fehlt</x:v>
      </x:c>
      <x:c r="T244" s="14" t="str">
        <x:v>Klimazone und Rechenzentrumstyp sind bei der Validierung zu berücksichtigen.</x:v>
      </x:c>
      <x:c r="U244" s="14" t="str">
        <x:v>≤1,2:+3; 1,21–1,4:+2; 1,41–1,6:0; 1,61–1,8:‑2; &gt;1,8:‑3</x:v>
      </x:c>
      <x:c r="V244" s="14" t="str">
        <x:v>ESRS E1, ISO 50001 (EnMS), ISO/IEC 30134‑2 (PUE), EU EPBD</x:v>
      </x:c>
      <x:c r="W244" s="14" t="str">
        <x:f>'02_Benchmarks'!$P244</x:f>
        <x:v>Optional – kein aktiver Benchmark</x:v>
      </x:c>
      <x:c r="X244" s="14" t="str">
        <x:v>Messgrundlage belegt; Schwellenkalibrierung offen</x:v>
      </x:c>
      <x:c r="Y244" s="14" t="str">
        <x:v>Mittel</x:v>
      </x:c>
      <x:c r="Z244" s="14" t="str">
        <x:v>Messstandard belegt; Klassen sind WÖk-Kalibrierung</x:v>
      </x:c>
      <x:c r="AA244" s="14" t="str">
        <x:v>Standort/Prozess/Aktivität; Bezugsgröße und relevante Umweltmedien</x:v>
      </x:c>
      <x:c r="AB244" s="14" t="str">
        <x:v>Primärdaten bevorzugt; Sekundärdaten nur transparent und versioniert; Methode und Systemgrenze dokumentieren</x:v>
      </x:c>
      <x:c r="AC244" s="14" t="str">
        <x:v>Limited Assurance; risikobasiert höhere Prüftiefe</x:v>
      </x:c>
    </x:row>
    <x:row r="245" ht="42" customHeight="1">
      <x:c r="A245" s="14" t="str">
        <x:v>WOK-G-146</x:v>
      </x:c>
      <x:c r="B245" s="14" t="str">
        <x:v>SDG 9 – Industrie/Innovation</x:v>
      </x:c>
      <x:c r="C245" s="14" t="str">
        <x:v>9.5</x:v>
      </x:c>
      <x:c r="D245" s="14" t="str">
        <x:v>IP/Integrität F&amp;E</x:v>
      </x:c>
      <x:c r="E245" s="14" t="str">
        <x:v>IP/Integrität F&amp;E – Antikorruption</x:v>
      </x:c>
      <x:c r="F245" s="14" t="str">
        <x:v>Fälle/1.000 FTE</x:v>
      </x:c>
      <x:c r="G245" s="14" t="str">
        <x:v>lower_is_better</x:v>
      </x:c>
      <x:c r="H245" s="14" t="str">
        <x:v>R01</x:v>
      </x:c>
      <x:c r="I245" s="14" t="str">
        <x:v>NUM_LOW</x:v>
      </x:c>
      <x:c r="J245" s="51"/>
      <x:c r="K245" s="51"/>
      <x:c r="L245" s="51"/>
      <x:c r="M245" s="54"/>
      <x:c r="N245" s="58" t="str">
        <x:f>IF($J245="","",IF($J245&lt;=0,3,IF($J245&lt;=0.2,2,IF($J245&lt;=0.5,0,IF($J245&lt;=1,-2,-3)))))</x:f>
      </x:c>
      <x:c r="O245" s="58" t="str">
        <x:f>IF($J245="","",IF(OR('02_Benchmarks'!$P245&lt;&gt;"Aktiv",COUNT('02_Benchmarks'!$J245:$M245)&lt;4),"",IF($G245="lower_is_better",IF($J245&lt;='02_Benchmarks'!$J245,3,IF($J245&lt;'02_Benchmarks'!$K245,2,IF($J245&lt;='02_Benchmarks'!$L245,0,IF($J245&lt;='02_Benchmarks'!$M245,-2,-3)))),IF($J245&gt;='02_Benchmarks'!$J245,3,IF($J245&gt;'02_Benchmarks'!$K245,2,IF($J245&gt;='02_Benchmarks'!$L245,0,IF($J245&gt;='02_Benchmarks'!$M245,-2,-3)))))))</x:f>
      </x:c>
      <x:c r="P245" s="58" t="str">
        <x:f>IF(COUNT($N245:$O245)+IF(ISNUMBER($K245),1,0)=0,"",MIN($N245:$O245,$K245))</x:f>
      </x:c>
      <x:c r="Q245" s="58" t="str">
        <x:f>IF($P245="","",INDEX('04_Tarifmodell'!$B$6:$B$12,$P245+4))</x:f>
      </x:c>
      <x:c r="R245" s="64" t="str">
        <x:f>IF($P245="","",INDEX('04_Tarifmodell'!$C$6:$C$12,$P245+4))</x:f>
      </x:c>
      <x:c r="S245" s="14" t="str">
        <x:f>IF(OR($I245="QUALITATIVE",$I245="MANUAL_HYBRID"),IF($K245="","Assurance-Score fehlt","Assurance-bewertet"),IF($I245="BENCHMARK",IF($W245&lt;&gt;"Aktiv",IF($K245="","Benchmark fehlt","Assurance-bewertet"),IF($J245="","Messwert fehlt",IF($P245="","Nicht bewertbar","Berechnet"))),IF(AND($J245="",$K245&lt;&gt;""),"Nur Assurance-Score",IF($J245="","Messwert fehlt",IF($P245="","Nicht bewertbar",IF($P245&lt;=-2,"Kritische Wirkung / Prüfung","Berechnet"))))))</x:f>
        <x:v>Messwert fehlt</x:v>
      </x:c>
      <x:c r="T245" s="14" t="str">
        <x:v>Vollständige fünfstufige numerische Regel.</x:v>
      </x:c>
      <x:c r="U245" s="14" t="str">
        <x:v>0:+3; ≤0,2:+2; ≤0,5:0; ≤1:‑2; &gt;1:‑3</x:v>
      </x:c>
      <x:c r="V245" s="14" t="str">
        <x:v>ESRS G1, GRI 205/207, OECD Anti‑Bribery</x:v>
      </x:c>
      <x:c r="W245" s="14" t="str">
        <x:f>'02_Benchmarks'!$P245</x:f>
        <x:v>Optional – kein aktiver Benchmark</x:v>
      </x:c>
      <x:c r="X245" s="14" t="str">
        <x:v>Messgrundlage belegt; Schwellenkalibrierung offen</x:v>
      </x:c>
      <x:c r="Y245" s="14" t="str">
        <x:v>Mittel</x:v>
      </x:c>
      <x:c r="Z245" s="14" t="str">
        <x:v>Arbeitskalibrierung – fachlich zu validieren</x:v>
      </x:c>
      <x:c r="AA245" s="14" t="str">
        <x:v>Organisation/Governance; konsolidierter Kreis und relevante Rechtseinheiten</x:v>
      </x:c>
      <x:c r="AB245" s="14" t="str">
        <x:v>Primärdaten bevorzugt; Sekundärdaten nur transparent und versioniert; Methode und Systemgrenze dokumentieren</x:v>
      </x:c>
      <x:c r="AC245" s="14" t="str">
        <x:v>Limited Assurance; risikobasiert höhere Prüftiefe</x:v>
      </x:c>
    </x:row>
    <x:row r="246" ht="42" customHeight="1">
      <x:c r="A246" s="14" t="str">
        <x:v>WOK-G-147</x:v>
      </x:c>
      <x:c r="B246" s="14" t="str">
        <x:v>SDG 9 – Industrie/Innovation</x:v>
      </x:c>
      <x:c r="C246" s="14" t="str">
        <x:v>9.5</x:v>
      </x:c>
      <x:c r="D246" s="14" t="str">
        <x:v>IP/Integrität F&amp;E</x:v>
      </x:c>
      <x:c r="E246" s="14" t="str">
        <x:v>IP/Integrität F&amp;E – Whistleblowing</x:v>
      </x:c>
      <x:c r="F246" s="14" t="str">
        <x:v>0–1</x:v>
      </x:c>
      <x:c r="G246" s="14" t="str">
        <x:v>higher_is_better</x:v>
      </x:c>
      <x:c r="H246" s="14" t="str">
        <x:v>R16</x:v>
      </x:c>
      <x:c r="I246" s="14" t="str">
        <x:v>NUM_HIGH</x:v>
      </x:c>
      <x:c r="J246" s="51"/>
      <x:c r="K246" s="51"/>
      <x:c r="L246" s="51"/>
      <x:c r="M246" s="54"/>
      <x:c r="N246" s="58" t="str">
        <x:f>IF($J246="","",IF($J246&lt;0.4,-3,IF($J246&lt;0.6,-2,IF($J246&lt;0.75,0,IF($J246&lt;0.9,2,3)))))</x:f>
      </x:c>
      <x:c r="O246" s="58" t="str">
        <x:f>IF($J246="","",IF(OR('02_Benchmarks'!$P246&lt;&gt;"Aktiv",COUNT('02_Benchmarks'!$J246:$M246)&lt;4),"",IF($G246="lower_is_better",IF($J246&lt;='02_Benchmarks'!$J246,3,IF($J246&lt;'02_Benchmarks'!$K246,2,IF($J246&lt;='02_Benchmarks'!$L246,0,IF($J246&lt;='02_Benchmarks'!$M246,-2,-3)))),IF($J246&gt;='02_Benchmarks'!$J246,3,IF($J246&gt;'02_Benchmarks'!$K246,2,IF($J246&gt;='02_Benchmarks'!$L246,0,IF($J246&gt;='02_Benchmarks'!$M246,-2,-3)))))))</x:f>
      </x:c>
      <x:c r="P246" s="58" t="str">
        <x:f>IF(COUNT($N246:$O246)+IF(ISNUMBER($K246),1,0)=0,"",MIN($N246:$O246,$K246))</x:f>
      </x:c>
      <x:c r="Q246" s="58" t="str">
        <x:f>IF($P246="","",INDEX('04_Tarifmodell'!$B$6:$B$12,$P246+4))</x:f>
      </x:c>
      <x:c r="R246" s="64" t="str">
        <x:f>IF($P246="","",INDEX('04_Tarifmodell'!$C$6:$C$12,$P246+4))</x:f>
      </x:c>
      <x:c r="S246" s="14" t="str">
        <x:f>IF(OR($I246="QUALITATIVE",$I246="MANUAL_HYBRID"),IF($K246="","Assurance-Score fehlt","Assurance-bewertet"),IF($I246="BENCHMARK",IF($W246&lt;&gt;"Aktiv",IF($K246="","Benchmark fehlt","Assurance-bewertet"),IF($J246="","Messwert fehlt",IF($P246="","Nicht bewertbar","Berechnet"))),IF(AND($J246="",$K246&lt;&gt;""),"Nur Assurance-Score",IF($J246="","Messwert fehlt",IF($P246="","Nicht bewertbar",IF($P246&lt;=-2,"Kritische Wirkung / Prüfung","Berechnet"))))))</x:f>
        <x:v>Messwert fehlt</x:v>
      </x:c>
      <x:c r="T246" s="14" t="str">
        <x:v>Vollständige fünfstufige numerische Regel.</x:v>
      </x:c>
      <x:c r="U246" s="14" t="str">
        <x:v>≥0,9:+3; 0,75–0,89:+2; 0,6–0,74:0; 0,4–0,59:‑2; &lt;0,4:‑3</x:v>
      </x:c>
      <x:c r="V246" s="14" t="str">
        <x:v>ESRS G1, GRI 205/207, OECD Anti‑Bribery</x:v>
      </x:c>
      <x:c r="W246" s="14" t="str">
        <x:f>'02_Benchmarks'!$P246</x:f>
        <x:v>Optional – kein aktiver Benchmark</x:v>
      </x:c>
      <x:c r="X246" s="14" t="str">
        <x:v>Messgrundlage belegt; Schwellenkalibrierung offen</x:v>
      </x:c>
      <x:c r="Y246" s="14" t="str">
        <x:v>Mittel</x:v>
      </x:c>
      <x:c r="Z246" s="14" t="str">
        <x:v>Arbeitskalibrierung – fachlich zu validieren</x:v>
      </x:c>
      <x:c r="AA246" s="14" t="str">
        <x:v>Organisation/Governance; konsolidierter Kreis und relevante Rechtseinheiten</x:v>
      </x:c>
      <x:c r="AB246" s="14" t="str">
        <x:v>Primärdaten bevorzugt; Sekundärdaten nur transparent und versioniert; Methode und Systemgrenze dokumentieren</x:v>
      </x:c>
      <x:c r="AC246" s="14" t="str">
        <x:v>Limited Assurance; risikobasiert höhere Prüftiefe</x:v>
      </x:c>
    </x:row>
    <x:row r="247" ht="42" customHeight="1">
      <x:c r="A247" s="14" t="str">
        <x:v>WOK-G-148</x:v>
      </x:c>
      <x:c r="B247" s="14" t="str">
        <x:v>SDG 9 – Industrie/Innovation</x:v>
      </x:c>
      <x:c r="C247" s="14" t="str">
        <x:v>9.5</x:v>
      </x:c>
      <x:c r="D247" s="14" t="str">
        <x:v>IP/Integrität F&amp;E</x:v>
      </x:c>
      <x:c r="E247" s="14" t="str">
        <x:v>IP/Integrität F&amp;E – Steuertransparenz</x:v>
      </x:c>
      <x:c r="F247" s="14" t="str">
        <x:v>0–1</x:v>
      </x:c>
      <x:c r="G247" s="14" t="str">
        <x:v>higher_is_better</x:v>
      </x:c>
      <x:c r="H247" s="14" t="str">
        <x:v>R08</x:v>
      </x:c>
      <x:c r="I247" s="14" t="str">
        <x:v>QUALITATIVE</x:v>
      </x:c>
      <x:c r="J247" s="51"/>
      <x:c r="K247" s="51"/>
      <x:c r="L247" s="51"/>
      <x:c r="M247" s="54"/>
      <x:c r="N247" s="58" t="str">
        <x:f>""</x:f>
      </x:c>
      <x:c r="O247" s="58" t="str">
        <x:f>IF($J247="","",IF(OR('02_Benchmarks'!$P247&lt;&gt;"Aktiv",COUNT('02_Benchmarks'!$J247:$M247)&lt;4),"",IF($G247="lower_is_better",IF($J247&lt;='02_Benchmarks'!$J247,3,IF($J247&lt;'02_Benchmarks'!$K247,2,IF($J247&lt;='02_Benchmarks'!$L247,0,IF($J247&lt;='02_Benchmarks'!$M247,-2,-3)))),IF($J247&gt;='02_Benchmarks'!$J247,3,IF($J247&gt;'02_Benchmarks'!$K247,2,IF($J247&gt;='02_Benchmarks'!$L247,0,IF($J247&gt;='02_Benchmarks'!$M247,-2,-3)))))))</x:f>
      </x:c>
      <x:c r="P247" s="58" t="str">
        <x:f>IF(COUNT($N247:$O247)+IF(ISNUMBER($K247),1,0)=0,"",MIN($N247:$O247,$K247))</x:f>
      </x:c>
      <x:c r="Q247" s="58" t="str">
        <x:f>IF($P247="","",INDEX('04_Tarifmodell'!$B$6:$B$12,$P247+4))</x:f>
      </x:c>
      <x:c r="R247" s="64" t="str">
        <x:f>IF($P247="","",INDEX('04_Tarifmodell'!$C$6:$C$12,$P247+4))</x:f>
      </x:c>
      <x:c r="S247" s="14" t="str">
        <x:f>IF(OR($I247="QUALITATIVE",$I247="MANUAL_HYBRID"),IF($K247="","Assurance-Score fehlt","Assurance-bewertet"),IF($I247="BENCHMARK",IF($W247&lt;&gt;"Aktiv",IF($K247="","Benchmark fehlt","Assurance-bewertet"),IF($J247="","Messwert fehlt",IF($P247="","Nicht bewertbar","Berechnet"))),IF(AND($J247="",$K247&lt;&gt;""),"Nur Assurance-Score",IF($J247="","Messwert fehlt",IF($P247="","Nicht bewertbar",IF($P247&lt;=-2,"Kritische Wirkung / Prüfung","Berechnet"))))))</x:f>
        <x:v>Assurance-Score fehlt</x:v>
      </x:c>
      <x:c r="T247" s="14" t="str">
        <x:v>Die Kategorie −3 fehlt; Vollständigkeit und Wirksamkeit sind feldspezifisch zu definieren.</x:v>
      </x:c>
      <x:c r="U247" s="14" t="str">
        <x:v>vollständig:+3; teilweise:+2; minimal:0; schlecht:‑2</x:v>
      </x:c>
      <x:c r="V247" s="14" t="str">
        <x:v>ESRS G1, GRI 205/207, OECD Anti‑Bribery</x:v>
      </x:c>
      <x:c r="W247" s="14" t="str">
        <x:f>'02_Benchmarks'!$P247</x:f>
        <x:v>Optional – kein aktiver Benchmark</x:v>
      </x:c>
      <x:c r="X247" s="14" t="str">
        <x:v>Messgrundlage belegt; Schwellenkalibrierung offen</x:v>
      </x:c>
      <x:c r="Y247" s="14" t="str">
        <x:v>Hoch</x:v>
      </x:c>
      <x:c r="Z247" s="14" t="str">
        <x:v>Assurance und Kriterienkatalog erforderlich</x:v>
      </x:c>
      <x:c r="AA247" s="14" t="str">
        <x:v>Organisation/Governance; konsolidierter Kreis und relevante Rechtseinheiten</x:v>
      </x:c>
      <x:c r="AB247" s="14" t="str">
        <x:v>Dokumentierter Kriterienkatalog; nachvollziehbare Evidenz; DQR A/B bevorzugt</x:v>
      </x:c>
      <x:c r="AC247" s="14" t="str">
        <x:v>Unabhängige Fachprüfung/Limited Assurance; bei roten Linien Reasonable Assurance</x:v>
      </x:c>
    </x:row>
    <x:row r="248" ht="42" customHeight="1">
      <x:c r="A248" s="14" t="str">
        <x:v>WOK-G-149</x:v>
      </x:c>
      <x:c r="B248" s="14" t="str">
        <x:v>SDG 10 – Ungleichheiten</x:v>
      </x:c>
      <x:c r="C248" s="14" t="str">
        <x:v>10.4</x:v>
      </x:c>
      <x:c r="D248" s="14" t="str">
        <x:v>Pay Ratio &amp; Bonus</x:v>
      </x:c>
      <x:c r="E248" s="14" t="str">
        <x:v>Pay Ratio &amp; Bonus – Antikorruption</x:v>
      </x:c>
      <x:c r="F248" s="14" t="str">
        <x:v>Fälle/1.000 FTE</x:v>
      </x:c>
      <x:c r="G248" s="14" t="str">
        <x:v>lower_is_better</x:v>
      </x:c>
      <x:c r="H248" s="14" t="str">
        <x:v>R01</x:v>
      </x:c>
      <x:c r="I248" s="14" t="str">
        <x:v>NUM_LOW</x:v>
      </x:c>
      <x:c r="J248" s="51"/>
      <x:c r="K248" s="51"/>
      <x:c r="L248" s="51"/>
      <x:c r="M248" s="54"/>
      <x:c r="N248" s="58" t="str">
        <x:f>IF($J248="","",IF($J248&lt;=0,3,IF($J248&lt;=0.2,2,IF($J248&lt;=0.5,0,IF($J248&lt;=1,-2,-3)))))</x:f>
      </x:c>
      <x:c r="O248" s="58" t="str">
        <x:f>IF($J248="","",IF(OR('02_Benchmarks'!$P248&lt;&gt;"Aktiv",COUNT('02_Benchmarks'!$J248:$M248)&lt;4),"",IF($G248="lower_is_better",IF($J248&lt;='02_Benchmarks'!$J248,3,IF($J248&lt;'02_Benchmarks'!$K248,2,IF($J248&lt;='02_Benchmarks'!$L248,0,IF($J248&lt;='02_Benchmarks'!$M248,-2,-3)))),IF($J248&gt;='02_Benchmarks'!$J248,3,IF($J248&gt;'02_Benchmarks'!$K248,2,IF($J248&gt;='02_Benchmarks'!$L248,0,IF($J248&gt;='02_Benchmarks'!$M248,-2,-3)))))))</x:f>
      </x:c>
      <x:c r="P248" s="58" t="str">
        <x:f>IF(COUNT($N248:$O248)+IF(ISNUMBER($K248),1,0)=0,"",MIN($N248:$O248,$K248))</x:f>
      </x:c>
      <x:c r="Q248" s="58" t="str">
        <x:f>IF($P248="","",INDEX('04_Tarifmodell'!$B$6:$B$12,$P248+4))</x:f>
      </x:c>
      <x:c r="R248" s="64" t="str">
        <x:f>IF($P248="","",INDEX('04_Tarifmodell'!$C$6:$C$12,$P248+4))</x:f>
      </x:c>
      <x:c r="S248" s="14" t="str">
        <x:f>IF(OR($I248="QUALITATIVE",$I248="MANUAL_HYBRID"),IF($K248="","Assurance-Score fehlt","Assurance-bewertet"),IF($I248="BENCHMARK",IF($W248&lt;&gt;"Aktiv",IF($K248="","Benchmark fehlt","Assurance-bewertet"),IF($J248="","Messwert fehlt",IF($P248="","Nicht bewertbar","Berechnet"))),IF(AND($J248="",$K248&lt;&gt;""),"Nur Assurance-Score",IF($J248="","Messwert fehlt",IF($P248="","Nicht bewertbar",IF($P248&lt;=-2,"Kritische Wirkung / Prüfung","Berechnet"))))))</x:f>
        <x:v>Messwert fehlt</x:v>
      </x:c>
      <x:c r="T248" s="14" t="str">
        <x:v>Vollständige fünfstufige numerische Regel.</x:v>
      </x:c>
      <x:c r="U248" s="14" t="str">
        <x:v>0:+3; ≤0,2:+2; ≤0,5:0; ≤1:‑2; &gt;1:‑3</x:v>
      </x:c>
      <x:c r="V248" s="14" t="str">
        <x:v>ESRS G1, GRI 205/207, OECD Anti‑Bribery</x:v>
      </x:c>
      <x:c r="W248" s="14" t="str">
        <x:f>'02_Benchmarks'!$P248</x:f>
        <x:v>Optional – kein aktiver Benchmark</x:v>
      </x:c>
      <x:c r="X248" s="14" t="str">
        <x:v>Messgrundlage belegt; Schwellenkalibrierung offen</x:v>
      </x:c>
      <x:c r="Y248" s="14" t="str">
        <x:v>Mittel</x:v>
      </x:c>
      <x:c r="Z248" s="14" t="str">
        <x:v>Arbeitskalibrierung – fachlich zu validieren</x:v>
      </x:c>
      <x:c r="AA248" s="14" t="str">
        <x:v>Organisation/Governance; konsolidierter Kreis und relevante Rechtseinheiten</x:v>
      </x:c>
      <x:c r="AB248" s="14" t="str">
        <x:v>Primärdaten bevorzugt; Sekundärdaten nur transparent und versioniert; Methode und Systemgrenze dokumentieren</x:v>
      </x:c>
      <x:c r="AC248" s="14" t="str">
        <x:v>Limited Assurance; risikobasiert höhere Prüftiefe</x:v>
      </x:c>
    </x:row>
    <x:row r="249" ht="42" customHeight="1">
      <x:c r="A249" s="14" t="str">
        <x:v>WOK-G-150</x:v>
      </x:c>
      <x:c r="B249" s="14" t="str">
        <x:v>SDG 10 – Ungleichheiten</x:v>
      </x:c>
      <x:c r="C249" s="14" t="str">
        <x:v>10.4</x:v>
      </x:c>
      <x:c r="D249" s="14" t="str">
        <x:v>Pay Ratio &amp; Bonus</x:v>
      </x:c>
      <x:c r="E249" s="14" t="str">
        <x:v>Pay Ratio &amp; Bonus – Whistleblowing</x:v>
      </x:c>
      <x:c r="F249" s="14" t="str">
        <x:v>0–1</x:v>
      </x:c>
      <x:c r="G249" s="14" t="str">
        <x:v>higher_is_better</x:v>
      </x:c>
      <x:c r="H249" s="14" t="str">
        <x:v>R16</x:v>
      </x:c>
      <x:c r="I249" s="14" t="str">
        <x:v>NUM_HIGH</x:v>
      </x:c>
      <x:c r="J249" s="51"/>
      <x:c r="K249" s="51"/>
      <x:c r="L249" s="51"/>
      <x:c r="M249" s="54"/>
      <x:c r="N249" s="58" t="str">
        <x:f>IF($J249="","",IF($J249&lt;0.4,-3,IF($J249&lt;0.6,-2,IF($J249&lt;0.75,0,IF($J249&lt;0.9,2,3)))))</x:f>
      </x:c>
      <x:c r="O249" s="58" t="str">
        <x:f>IF($J249="","",IF(OR('02_Benchmarks'!$P249&lt;&gt;"Aktiv",COUNT('02_Benchmarks'!$J249:$M249)&lt;4),"",IF($G249="lower_is_better",IF($J249&lt;='02_Benchmarks'!$J249,3,IF($J249&lt;'02_Benchmarks'!$K249,2,IF($J249&lt;='02_Benchmarks'!$L249,0,IF($J249&lt;='02_Benchmarks'!$M249,-2,-3)))),IF($J249&gt;='02_Benchmarks'!$J249,3,IF($J249&gt;'02_Benchmarks'!$K249,2,IF($J249&gt;='02_Benchmarks'!$L249,0,IF($J249&gt;='02_Benchmarks'!$M249,-2,-3)))))))</x:f>
      </x:c>
      <x:c r="P249" s="58" t="str">
        <x:f>IF(COUNT($N249:$O249)+IF(ISNUMBER($K249),1,0)=0,"",MIN($N249:$O249,$K249))</x:f>
      </x:c>
      <x:c r="Q249" s="58" t="str">
        <x:f>IF($P249="","",INDEX('04_Tarifmodell'!$B$6:$B$12,$P249+4))</x:f>
      </x:c>
      <x:c r="R249" s="64" t="str">
        <x:f>IF($P249="","",INDEX('04_Tarifmodell'!$C$6:$C$12,$P249+4))</x:f>
      </x:c>
      <x:c r="S249" s="14" t="str">
        <x:f>IF(OR($I249="QUALITATIVE",$I249="MANUAL_HYBRID"),IF($K249="","Assurance-Score fehlt","Assurance-bewertet"),IF($I249="BENCHMARK",IF($W249&lt;&gt;"Aktiv",IF($K249="","Benchmark fehlt","Assurance-bewertet"),IF($J249="","Messwert fehlt",IF($P249="","Nicht bewertbar","Berechnet"))),IF(AND($J249="",$K249&lt;&gt;""),"Nur Assurance-Score",IF($J249="","Messwert fehlt",IF($P249="","Nicht bewertbar",IF($P249&lt;=-2,"Kritische Wirkung / Prüfung","Berechnet"))))))</x:f>
        <x:v>Messwert fehlt</x:v>
      </x:c>
      <x:c r="T249" s="14" t="str">
        <x:v>Vollständige fünfstufige numerische Regel.</x:v>
      </x:c>
      <x:c r="U249" s="14" t="str">
        <x:v>≥0,9:+3; 0,75–0,89:+2; 0,6–0,74:0; 0,4–0,59:‑2; &lt;0,4:‑3</x:v>
      </x:c>
      <x:c r="V249" s="14" t="str">
        <x:v>ESRS G1, GRI 205/207, OECD Anti‑Bribery</x:v>
      </x:c>
      <x:c r="W249" s="14" t="str">
        <x:f>'02_Benchmarks'!$P249</x:f>
        <x:v>Optional – kein aktiver Benchmark</x:v>
      </x:c>
      <x:c r="X249" s="14" t="str">
        <x:v>Messgrundlage belegt; Schwellenkalibrierung offen</x:v>
      </x:c>
      <x:c r="Y249" s="14" t="str">
        <x:v>Mittel</x:v>
      </x:c>
      <x:c r="Z249" s="14" t="str">
        <x:v>Arbeitskalibrierung – fachlich zu validieren</x:v>
      </x:c>
      <x:c r="AA249" s="14" t="str">
        <x:v>Organisation/Governance; konsolidierter Kreis und relevante Rechtseinheiten</x:v>
      </x:c>
      <x:c r="AB249" s="14" t="str">
        <x:v>Primärdaten bevorzugt; Sekundärdaten nur transparent und versioniert; Methode und Systemgrenze dokumentieren</x:v>
      </x:c>
      <x:c r="AC249" s="14" t="str">
        <x:v>Limited Assurance; risikobasiert höhere Prüftiefe</x:v>
      </x:c>
    </x:row>
    <x:row r="250" ht="42" customHeight="1">
      <x:c r="A250" s="14" t="str">
        <x:v>WOK-G-151</x:v>
      </x:c>
      <x:c r="B250" s="14" t="str">
        <x:v>SDG 10 – Ungleichheiten</x:v>
      </x:c>
      <x:c r="C250" s="14" t="str">
        <x:v>10.4</x:v>
      </x:c>
      <x:c r="D250" s="14" t="str">
        <x:v>Pay Ratio &amp; Bonus</x:v>
      </x:c>
      <x:c r="E250" s="14" t="str">
        <x:v>Pay Ratio &amp; Bonus – Steuertransparenz</x:v>
      </x:c>
      <x:c r="F250" s="14" t="str">
        <x:v>0–1</x:v>
      </x:c>
      <x:c r="G250" s="14" t="str">
        <x:v>higher_is_better</x:v>
      </x:c>
      <x:c r="H250" s="14" t="str">
        <x:v>R08</x:v>
      </x:c>
      <x:c r="I250" s="14" t="str">
        <x:v>QUALITATIVE</x:v>
      </x:c>
      <x:c r="J250" s="51"/>
      <x:c r="K250" s="51"/>
      <x:c r="L250" s="51"/>
      <x:c r="M250" s="54"/>
      <x:c r="N250" s="58" t="str">
        <x:f>""</x:f>
      </x:c>
      <x:c r="O250" s="58" t="str">
        <x:f>IF($J250="","",IF(OR('02_Benchmarks'!$P250&lt;&gt;"Aktiv",COUNT('02_Benchmarks'!$J250:$M250)&lt;4),"",IF($G250="lower_is_better",IF($J250&lt;='02_Benchmarks'!$J250,3,IF($J250&lt;'02_Benchmarks'!$K250,2,IF($J250&lt;='02_Benchmarks'!$L250,0,IF($J250&lt;='02_Benchmarks'!$M250,-2,-3)))),IF($J250&gt;='02_Benchmarks'!$J250,3,IF($J250&gt;'02_Benchmarks'!$K250,2,IF($J250&gt;='02_Benchmarks'!$L250,0,IF($J250&gt;='02_Benchmarks'!$M250,-2,-3)))))))</x:f>
      </x:c>
      <x:c r="P250" s="58" t="str">
        <x:f>IF(COUNT($N250:$O250)+IF(ISNUMBER($K250),1,0)=0,"",MIN($N250:$O250,$K250))</x:f>
      </x:c>
      <x:c r="Q250" s="58" t="str">
        <x:f>IF($P250="","",INDEX('04_Tarifmodell'!$B$6:$B$12,$P250+4))</x:f>
      </x:c>
      <x:c r="R250" s="64" t="str">
        <x:f>IF($P250="","",INDEX('04_Tarifmodell'!$C$6:$C$12,$P250+4))</x:f>
      </x:c>
      <x:c r="S250" s="14" t="str">
        <x:f>IF(OR($I250="QUALITATIVE",$I250="MANUAL_HYBRID"),IF($K250="","Assurance-Score fehlt","Assurance-bewertet"),IF($I250="BENCHMARK",IF($W250&lt;&gt;"Aktiv",IF($K250="","Benchmark fehlt","Assurance-bewertet"),IF($J250="","Messwert fehlt",IF($P250="","Nicht bewertbar","Berechnet"))),IF(AND($J250="",$K250&lt;&gt;""),"Nur Assurance-Score",IF($J250="","Messwert fehlt",IF($P250="","Nicht bewertbar",IF($P250&lt;=-2,"Kritische Wirkung / Prüfung","Berechnet"))))))</x:f>
        <x:v>Assurance-Score fehlt</x:v>
      </x:c>
      <x:c r="T250" s="14" t="str">
        <x:v>Die Kategorie −3 fehlt; Vollständigkeit und Wirksamkeit sind feldspezifisch zu definieren.</x:v>
      </x:c>
      <x:c r="U250" s="14" t="str">
        <x:v>vollständig:+3; teilweise:+2; minimal:0; schlecht:‑2</x:v>
      </x:c>
      <x:c r="V250" s="14" t="str">
        <x:v>ESRS G1, GRI 205/207, OECD Anti‑Bribery</x:v>
      </x:c>
      <x:c r="W250" s="14" t="str">
        <x:f>'02_Benchmarks'!$P250</x:f>
        <x:v>Optional – kein aktiver Benchmark</x:v>
      </x:c>
      <x:c r="X250" s="14" t="str">
        <x:v>Messgrundlage belegt; Schwellenkalibrierung offen</x:v>
      </x:c>
      <x:c r="Y250" s="14" t="str">
        <x:v>Hoch</x:v>
      </x:c>
      <x:c r="Z250" s="14" t="str">
        <x:v>Assurance und Kriterienkatalog erforderlich</x:v>
      </x:c>
      <x:c r="AA250" s="14" t="str">
        <x:v>Organisation/Governance; konsolidierter Kreis und relevante Rechtseinheiten</x:v>
      </x:c>
      <x:c r="AB250" s="14" t="str">
        <x:v>Dokumentierter Kriterienkatalog; nachvollziehbare Evidenz; DQR A/B bevorzugt</x:v>
      </x:c>
      <x:c r="AC250" s="14" t="str">
        <x:v>Unabhängige Fachprüfung/Limited Assurance; bei roten Linien Reasonable Assurance</x:v>
      </x:c>
    </x:row>
    <x:row r="251" ht="42" customHeight="1">
      <x:c r="A251" s="14" t="str">
        <x:v>WOK-S-161</x:v>
      </x:c>
      <x:c r="B251" s="14" t="str">
        <x:v>SDG 10 – Ungleichheiten</x:v>
      </x:c>
      <x:c r="C251" s="14" t="str">
        <x:v>10.2</x:v>
      </x:c>
      <x:c r="D251" s="14" t="str">
        <x:v>Inklusionsquote</x:v>
      </x:c>
      <x:c r="E251" s="14" t="str">
        <x:v>Inklusionsquote – Gender Pay Gap</x:v>
      </x:c>
      <x:c r="F251" s="14" t="str">
        <x:v>%</x:v>
      </x:c>
      <x:c r="G251" s="14" t="str">
        <x:v>lower_is_better</x:v>
      </x:c>
      <x:c r="H251" s="14" t="str">
        <x:v>R11</x:v>
      </x:c>
      <x:c r="I251" s="14" t="str">
        <x:v>NUM_LOW</x:v>
      </x:c>
      <x:c r="J251" s="51"/>
      <x:c r="K251" s="51"/>
      <x:c r="L251" s="51"/>
      <x:c r="M251" s="54"/>
      <x:c r="N251" s="58" t="str">
        <x:f>IF($J251="","",IF($J251&lt;=2,3,IF($J251&lt;=5,2,IF($J251&lt;=8,0,IF($J251&lt;=1E+99,-2,-2)))))</x:f>
      </x:c>
      <x:c r="O251" s="58" t="str">
        <x:f>IF($J251="","",IF(OR('02_Benchmarks'!$P251&lt;&gt;"Aktiv",COUNT('02_Benchmarks'!$J251:$M251)&lt;4),"",IF($G251="lower_is_better",IF($J251&lt;='02_Benchmarks'!$J251,3,IF($J251&lt;'02_Benchmarks'!$K251,2,IF($J251&lt;='02_Benchmarks'!$L251,0,IF($J251&lt;='02_Benchmarks'!$M251,-2,-3)))),IF($J251&gt;='02_Benchmarks'!$J251,3,IF($J251&gt;'02_Benchmarks'!$K251,2,IF($J251&gt;='02_Benchmarks'!$L251,0,IF($J251&gt;='02_Benchmarks'!$M251,-2,-3)))))))</x:f>
      </x:c>
      <x:c r="P251" s="58" t="str">
        <x:f>IF(COUNT($N251:$O251)+IF(ISNUMBER($K251),1,0)=0,"",MIN($N251:$O251,$K251))</x:f>
      </x:c>
      <x:c r="Q251" s="58" t="str">
        <x:f>IF($P251="","",INDEX('04_Tarifmodell'!$B$6:$B$12,$P251+4))</x:f>
      </x:c>
      <x:c r="R251" s="64" t="str">
        <x:f>IF($P251="","",INDEX('04_Tarifmodell'!$C$6:$C$12,$P251+4))</x:f>
      </x:c>
      <x:c r="S251" s="14" t="str">
        <x:f>IF(OR($I251="QUALITATIVE",$I251="MANUAL_HYBRID"),IF($K251="","Assurance-Score fehlt","Assurance-bewertet"),IF($I251="BENCHMARK",IF($W251&lt;&gt;"Aktiv",IF($K251="","Benchmark fehlt","Assurance-bewertet"),IF($J251="","Messwert fehlt",IF($P251="","Nicht bewertbar","Berechnet"))),IF(AND($J251="",$K251&lt;&gt;""),"Nur Assurance-Score",IF($J251="","Messwert fehlt",IF($P251="","Nicht bewertbar",IF($P251&lt;=-2,"Kritische Wirkung / Prüfung","Berechnet"))))))</x:f>
        <x:v>Messwert fehlt</x:v>
      </x:c>
      <x:c r="T251" s="14" t="str">
        <x:v>Werte &gt;8 werden bis zur Fachentscheidung konservativ mit −2 bewertet; manuelle Verschärfung über Assurance möglich.</x:v>
      </x:c>
      <x:c r="U251" s="14" t="str">
        <x:v>≤2:+3; ≤5:+2; ≤8:0; &gt;8:‑2/‑3</x:v>
      </x:c>
      <x:c r="V251" s="14" t="str">
        <x:v>ESRS S1, GRI 401/403/405/406, ILO</x:v>
      </x:c>
      <x:c r="W251" s="14" t="str">
        <x:f>'02_Benchmarks'!$P251</x:f>
        <x:v>Optional – kein aktiver Benchmark</x:v>
      </x:c>
      <x:c r="X251" s="14" t="str">
        <x:v>Messgrundlage belegt; Schwellenkalibrierung offen</x:v>
      </x:c>
      <x:c r="Y251" s="14" t="str">
        <x:v>Hoch</x:v>
      </x:c>
      <x:c r="Z251" s="14" t="str">
        <x:v>Grenze zwischen −2 und −3 offen</x:v>
      </x:c>
      <x:c r="AA251" s="14" t="str">
        <x:v>Eigene Belegschaft/Organisation; FTE, Beschäftigtengruppe und Zeitraum</x:v>
      </x:c>
      <x:c r="AB251" s="14" t="str">
        <x:v>Primärdaten oder qualitätsgesicherte Sekundärdaten; Methode, Zeitraum und Systemgrenze dokumentieren</x:v>
      </x:c>
      <x:c r="AC251" s="14" t="str">
        <x:v>Limited Assurance; bei materieller Steuerwirkung risikobasiert vertiefen</x:v>
      </x:c>
    </x:row>
    <x:row r="252" ht="42" customHeight="1">
      <x:c r="A252" s="14" t="str">
        <x:v>WOK-S-162</x:v>
      </x:c>
      <x:c r="B252" s="14" t="str">
        <x:v>SDG 10 – Ungleichheiten</x:v>
      </x:c>
      <x:c r="C252" s="14" t="str">
        <x:v>10.2</x:v>
      </x:c>
      <x:c r="D252" s="14" t="str">
        <x:v>Inklusionsquote</x:v>
      </x:c>
      <x:c r="E252" s="14" t="str">
        <x:v>Inklusionsquote – Führung Diversität</x:v>
      </x:c>
      <x:c r="F252" s="14" t="str">
        <x:v>%</x:v>
      </x:c>
      <x:c r="G252" s="14" t="str">
        <x:v>higher_is_better</x:v>
      </x:c>
      <x:c r="H252" s="14" t="str">
        <x:v>R18</x:v>
      </x:c>
      <x:c r="I252" s="14" t="str">
        <x:v>NUM_HIGH</x:v>
      </x:c>
      <x:c r="J252" s="51"/>
      <x:c r="K252" s="51"/>
      <x:c r="L252" s="51"/>
      <x:c r="M252" s="54"/>
      <x:c r="N252" s="58" t="str">
        <x:f>IF($J252="","",IF($J252&lt;30,-2,IF($J252&lt;40,0,IF($J252&lt;50,2,IF($J252&lt;1E+99,3,3)))))</x:f>
      </x:c>
      <x:c r="O252" s="58" t="str">
        <x:f>IF($J252="","",IF(OR('02_Benchmarks'!$P252&lt;&gt;"Aktiv",COUNT('02_Benchmarks'!$J252:$M252)&lt;4),"",IF($G252="lower_is_better",IF($J252&lt;='02_Benchmarks'!$J252,3,IF($J252&lt;'02_Benchmarks'!$K252,2,IF($J252&lt;='02_Benchmarks'!$L252,0,IF($J252&lt;='02_Benchmarks'!$M252,-2,-3)))),IF($J252&gt;='02_Benchmarks'!$J252,3,IF($J252&gt;'02_Benchmarks'!$K252,2,IF($J252&gt;='02_Benchmarks'!$L252,0,IF($J252&gt;='02_Benchmarks'!$M252,-2,-3)))))))</x:f>
      </x:c>
      <x:c r="P252" s="58" t="str">
        <x:f>IF(COUNT($N252:$O252)+IF(ISNUMBER($K252),1,0)=0,"",MIN($N252:$O252,$K252))</x:f>
      </x:c>
      <x:c r="Q252" s="58" t="str">
        <x:f>IF($P252="","",INDEX('04_Tarifmodell'!$B$6:$B$12,$P252+4))</x:f>
      </x:c>
      <x:c r="R252" s="64" t="str">
        <x:f>IF($P252="","",INDEX('04_Tarifmodell'!$C$6:$C$12,$P252+4))</x:f>
      </x:c>
      <x:c r="S252" s="14" t="str">
        <x:f>IF(OR($I252="QUALITATIVE",$I252="MANUAL_HYBRID"),IF($K252="","Assurance-Score fehlt","Assurance-bewertet"),IF($I252="BENCHMARK",IF($W252&lt;&gt;"Aktiv",IF($K252="","Benchmark fehlt","Assurance-bewertet"),IF($J252="","Messwert fehlt",IF($P252="","Nicht bewertbar","Berechnet"))),IF(AND($J252="",$K252&lt;&gt;""),"Nur Assurance-Score",IF($J252="","Messwert fehlt",IF($P252="","Nicht bewertbar",IF($P252&lt;=-2,"Kritische Wirkung / Prüfung","Berechnet"))))))</x:f>
        <x:v>Messwert fehlt</x:v>
      </x:c>
      <x:c r="T252" s="14" t="str">
        <x:v>Werte &lt;30 werden bis zur Fachentscheidung mit −2 bewertet; manuelle Verschärfung über Assurance möglich.</x:v>
      </x:c>
      <x:c r="U252" s="14" t="str">
        <x:v>≥50:+3; ≥40:+2; ≥30:0; &lt;30:‑2/‑3</x:v>
      </x:c>
      <x:c r="V252" s="14" t="str">
        <x:v>ESRS S1, GRI 401/403/405/406, ILO</x:v>
      </x:c>
      <x:c r="W252" s="14" t="str">
        <x:f>'02_Benchmarks'!$P252</x:f>
        <x:v>Optional – kein aktiver Benchmark</x:v>
      </x:c>
      <x:c r="X252" s="14" t="str">
        <x:v>Messgrundlage belegt; Schwellenkalibrierung offen</x:v>
      </x:c>
      <x:c r="Y252" s="14" t="str">
        <x:v>Hoch</x:v>
      </x:c>
      <x:c r="Z252" s="14" t="str">
        <x:v>Grenze zwischen −2 und −3 offen</x:v>
      </x:c>
      <x:c r="AA252" s="14" t="str">
        <x:v>Eigene Belegschaft/Organisation; FTE, Beschäftigtengruppe und Zeitraum</x:v>
      </x:c>
      <x:c r="AB252" s="14" t="str">
        <x:v>Primärdaten oder qualitätsgesicherte Sekundärdaten; Methode, Zeitraum und Systemgrenze dokumentieren</x:v>
      </x:c>
      <x:c r="AC252" s="14" t="str">
        <x:v>Limited Assurance; bei materieller Steuerwirkung risikobasiert vertiefen</x:v>
      </x:c>
    </x:row>
    <x:row r="253" ht="42" customHeight="1">
      <x:c r="A253" s="14" t="str">
        <x:v>WOK-S-163</x:v>
      </x:c>
      <x:c r="B253" s="14" t="str">
        <x:v>SDG 10 – Ungleichheiten</x:v>
      </x:c>
      <x:c r="C253" s="14" t="str">
        <x:v>10.2</x:v>
      </x:c>
      <x:c r="D253" s="14" t="str">
        <x:v>Inklusionsquote</x:v>
      </x:c>
      <x:c r="E253" s="14" t="str">
        <x:v>Inklusionsquote – Inklusion</x:v>
      </x:c>
      <x:c r="F253" s="14" t="str">
        <x:v>%</x:v>
      </x:c>
      <x:c r="G253" s="14" t="str">
        <x:v>higher_is_better</x:v>
      </x:c>
      <x:c r="H253" s="14" t="str">
        <x:v>R21</x:v>
      </x:c>
      <x:c r="I253" s="14" t="str">
        <x:v>NUM_HIGH</x:v>
      </x:c>
      <x:c r="J253" s="51"/>
      <x:c r="K253" s="51"/>
      <x:c r="L253" s="51"/>
      <x:c r="M253" s="54"/>
      <x:c r="N253" s="58" t="str">
        <x:f>IF($J253="","",IF($J253&lt;1,-3,IF($J253&lt;2,-2,IF($J253&lt;4,0,IF($J253&lt;6,2,3)))))</x:f>
      </x:c>
      <x:c r="O253" s="58" t="str">
        <x:f>IF($J253="","",IF(OR('02_Benchmarks'!$P253&lt;&gt;"Aktiv",COUNT('02_Benchmarks'!$J253:$M253)&lt;4),"",IF($G253="lower_is_better",IF($J253&lt;='02_Benchmarks'!$J253,3,IF($J253&lt;'02_Benchmarks'!$K253,2,IF($J253&lt;='02_Benchmarks'!$L253,0,IF($J253&lt;='02_Benchmarks'!$M253,-2,-3)))),IF($J253&gt;='02_Benchmarks'!$J253,3,IF($J253&gt;'02_Benchmarks'!$K253,2,IF($J253&gt;='02_Benchmarks'!$L253,0,IF($J253&gt;='02_Benchmarks'!$M253,-2,-3)))))))</x:f>
      </x:c>
      <x:c r="P253" s="58" t="str">
        <x:f>IF(COUNT($N253:$O253)+IF(ISNUMBER($K253),1,0)=0,"",MIN($N253:$O253,$K253))</x:f>
      </x:c>
      <x:c r="Q253" s="58" t="str">
        <x:f>IF($P253="","",INDEX('04_Tarifmodell'!$B$6:$B$12,$P253+4))</x:f>
      </x:c>
      <x:c r="R253" s="64" t="str">
        <x:f>IF($P253="","",INDEX('04_Tarifmodell'!$C$6:$C$12,$P253+4))</x:f>
      </x:c>
      <x:c r="S253" s="14" t="str">
        <x:f>IF(OR($I253="QUALITATIVE",$I253="MANUAL_HYBRID"),IF($K253="","Assurance-Score fehlt","Assurance-bewertet"),IF($I253="BENCHMARK",IF($W253&lt;&gt;"Aktiv",IF($K253="","Benchmark fehlt","Assurance-bewertet"),IF($J253="","Messwert fehlt",IF($P253="","Nicht bewertbar","Berechnet"))),IF(AND($J253="",$K253&lt;&gt;""),"Nur Assurance-Score",IF($J253="","Messwert fehlt",IF($P253="","Nicht bewertbar",IF($P253&lt;=-2,"Kritische Wirkung / Prüfung","Berechnet"))))))</x:f>
        <x:v>Messwert fehlt</x:v>
      </x:c>
      <x:c r="T253" s="14" t="str">
        <x:v>Vollständige fünfstufige numerische Regel.</x:v>
      </x:c>
      <x:c r="U253" s="14" t="str">
        <x:v>≥6:+3; 4–5,9:+2; 2–3,9:0; 1–1,9:‑2; &lt;1:‑3</x:v>
      </x:c>
      <x:c r="V253" s="14" t="str">
        <x:v>ESRS S1, GRI 401/403/405/406, ILO</x:v>
      </x:c>
      <x:c r="W253" s="14" t="str">
        <x:f>'02_Benchmarks'!$P253</x:f>
        <x:v>Optional – kein aktiver Benchmark</x:v>
      </x:c>
      <x:c r="X253" s="14" t="str">
        <x:v>Messgrundlage belegt; Schwellenkalibrierung offen</x:v>
      </x:c>
      <x:c r="Y253" s="14" t="str">
        <x:v>Mittel</x:v>
      </x:c>
      <x:c r="Z253" s="14" t="str">
        <x:v>Arbeitskalibrierung – fachlich zu validieren</x:v>
      </x:c>
      <x:c r="AA253" s="14" t="str">
        <x:v>Eigene Belegschaft/Organisation; FTE, Beschäftigtengruppe und Zeitraum</x:v>
      </x:c>
      <x:c r="AB253" s="14" t="str">
        <x:v>Primärdaten bevorzugt; Sekundärdaten nur transparent und versioniert; Methode und Systemgrenze dokumentieren</x:v>
      </x:c>
      <x:c r="AC253" s="14" t="str">
        <x:v>Limited Assurance; risikobasiert höhere Prüftiefe</x:v>
      </x:c>
    </x:row>
    <x:row r="254" ht="42" customHeight="1">
      <x:c r="A254" s="14" t="str">
        <x:v>WOK-S-164</x:v>
      </x:c>
      <x:c r="B254" s="14" t="str">
        <x:v>SDG 10 – Ungleichheiten</x:v>
      </x:c>
      <x:c r="C254" s="14" t="str">
        <x:v>10.3</x:v>
      </x:c>
      <x:c r="D254" s="14" t="str">
        <x:v>Diskriminierungsfälle</x:v>
      </x:c>
      <x:c r="E254" s="14" t="str">
        <x:v>Diskriminierungsfälle – Gender Pay Gap</x:v>
      </x:c>
      <x:c r="F254" s="14" t="str">
        <x:v>%</x:v>
      </x:c>
      <x:c r="G254" s="14" t="str">
        <x:v>lower_is_better</x:v>
      </x:c>
      <x:c r="H254" s="14" t="str">
        <x:v>R11</x:v>
      </x:c>
      <x:c r="I254" s="14" t="str">
        <x:v>NUM_LOW</x:v>
      </x:c>
      <x:c r="J254" s="51"/>
      <x:c r="K254" s="51"/>
      <x:c r="L254" s="51"/>
      <x:c r="M254" s="54"/>
      <x:c r="N254" s="58" t="str">
        <x:f>IF($J254="","",IF($J254&lt;=2,3,IF($J254&lt;=5,2,IF($J254&lt;=8,0,IF($J254&lt;=1E+99,-2,-2)))))</x:f>
      </x:c>
      <x:c r="O254" s="58" t="str">
        <x:f>IF($J254="","",IF(OR('02_Benchmarks'!$P254&lt;&gt;"Aktiv",COUNT('02_Benchmarks'!$J254:$M254)&lt;4),"",IF($G254="lower_is_better",IF($J254&lt;='02_Benchmarks'!$J254,3,IF($J254&lt;'02_Benchmarks'!$K254,2,IF($J254&lt;='02_Benchmarks'!$L254,0,IF($J254&lt;='02_Benchmarks'!$M254,-2,-3)))),IF($J254&gt;='02_Benchmarks'!$J254,3,IF($J254&gt;'02_Benchmarks'!$K254,2,IF($J254&gt;='02_Benchmarks'!$L254,0,IF($J254&gt;='02_Benchmarks'!$M254,-2,-3)))))))</x:f>
      </x:c>
      <x:c r="P254" s="58" t="str">
        <x:f>IF(COUNT($N254:$O254)+IF(ISNUMBER($K254),1,0)=0,"",MIN($N254:$O254,$K254))</x:f>
      </x:c>
      <x:c r="Q254" s="58" t="str">
        <x:f>IF($P254="","",INDEX('04_Tarifmodell'!$B$6:$B$12,$P254+4))</x:f>
      </x:c>
      <x:c r="R254" s="64" t="str">
        <x:f>IF($P254="","",INDEX('04_Tarifmodell'!$C$6:$C$12,$P254+4))</x:f>
      </x:c>
      <x:c r="S254" s="14" t="str">
        <x:f>IF(OR($I254="QUALITATIVE",$I254="MANUAL_HYBRID"),IF($K254="","Assurance-Score fehlt","Assurance-bewertet"),IF($I254="BENCHMARK",IF($W254&lt;&gt;"Aktiv",IF($K254="","Benchmark fehlt","Assurance-bewertet"),IF($J254="","Messwert fehlt",IF($P254="","Nicht bewertbar","Berechnet"))),IF(AND($J254="",$K254&lt;&gt;""),"Nur Assurance-Score",IF($J254="","Messwert fehlt",IF($P254="","Nicht bewertbar",IF($P254&lt;=-2,"Kritische Wirkung / Prüfung","Berechnet"))))))</x:f>
        <x:v>Messwert fehlt</x:v>
      </x:c>
      <x:c r="T254" s="14" t="str">
        <x:v>Werte &gt;8 werden bis zur Fachentscheidung konservativ mit −2 bewertet; manuelle Verschärfung über Assurance möglich.</x:v>
      </x:c>
      <x:c r="U254" s="14" t="str">
        <x:v>≤2:+3; ≤5:+2; ≤8:0; &gt;8:‑2/‑3</x:v>
      </x:c>
      <x:c r="V254" s="14" t="str">
        <x:v>ESRS S1, GRI 401/403/405/406, ILO</x:v>
      </x:c>
      <x:c r="W254" s="14" t="str">
        <x:f>'02_Benchmarks'!$P254</x:f>
        <x:v>Optional – kein aktiver Benchmark</x:v>
      </x:c>
      <x:c r="X254" s="14" t="str">
        <x:v>Messgrundlage belegt; Schwellenkalibrierung offen</x:v>
      </x:c>
      <x:c r="Y254" s="14" t="str">
        <x:v>Hoch</x:v>
      </x:c>
      <x:c r="Z254" s="14" t="str">
        <x:v>Grenze zwischen −2 und −3 offen</x:v>
      </x:c>
      <x:c r="AA254" s="14" t="str">
        <x:v>Eigene Belegschaft/Organisation; FTE, Beschäftigtengruppe und Zeitraum</x:v>
      </x:c>
      <x:c r="AB254" s="14" t="str">
        <x:v>Primärdaten oder qualitätsgesicherte Sekundärdaten; Methode, Zeitraum und Systemgrenze dokumentieren</x:v>
      </x:c>
      <x:c r="AC254" s="14" t="str">
        <x:v>Limited Assurance; bei materieller Steuerwirkung risikobasiert vertiefen</x:v>
      </x:c>
    </x:row>
    <x:row r="255" ht="42" customHeight="1">
      <x:c r="A255" s="14" t="str">
        <x:v>WOK-S-165</x:v>
      </x:c>
      <x:c r="B255" s="14" t="str">
        <x:v>SDG 10 – Ungleichheiten</x:v>
      </x:c>
      <x:c r="C255" s="14" t="str">
        <x:v>10.3</x:v>
      </x:c>
      <x:c r="D255" s="14" t="str">
        <x:v>Diskriminierungsfälle</x:v>
      </x:c>
      <x:c r="E255" s="14" t="str">
        <x:v>Diskriminierungsfälle – Führung Diversität</x:v>
      </x:c>
      <x:c r="F255" s="14" t="str">
        <x:v>%</x:v>
      </x:c>
      <x:c r="G255" s="14" t="str">
        <x:v>higher_is_better</x:v>
      </x:c>
      <x:c r="H255" s="14" t="str">
        <x:v>R18</x:v>
      </x:c>
      <x:c r="I255" s="14" t="str">
        <x:v>NUM_HIGH</x:v>
      </x:c>
      <x:c r="J255" s="51"/>
      <x:c r="K255" s="51"/>
      <x:c r="L255" s="51"/>
      <x:c r="M255" s="54"/>
      <x:c r="N255" s="58" t="str">
        <x:f>IF($J255="","",IF($J255&lt;30,-2,IF($J255&lt;40,0,IF($J255&lt;50,2,IF($J255&lt;1E+99,3,3)))))</x:f>
      </x:c>
      <x:c r="O255" s="58" t="str">
        <x:f>IF($J255="","",IF(OR('02_Benchmarks'!$P255&lt;&gt;"Aktiv",COUNT('02_Benchmarks'!$J255:$M255)&lt;4),"",IF($G255="lower_is_better",IF($J255&lt;='02_Benchmarks'!$J255,3,IF($J255&lt;'02_Benchmarks'!$K255,2,IF($J255&lt;='02_Benchmarks'!$L255,0,IF($J255&lt;='02_Benchmarks'!$M255,-2,-3)))),IF($J255&gt;='02_Benchmarks'!$J255,3,IF($J255&gt;'02_Benchmarks'!$K255,2,IF($J255&gt;='02_Benchmarks'!$L255,0,IF($J255&gt;='02_Benchmarks'!$M255,-2,-3)))))))</x:f>
      </x:c>
      <x:c r="P255" s="58" t="str">
        <x:f>IF(COUNT($N255:$O255)+IF(ISNUMBER($K255),1,0)=0,"",MIN($N255:$O255,$K255))</x:f>
      </x:c>
      <x:c r="Q255" s="58" t="str">
        <x:f>IF($P255="","",INDEX('04_Tarifmodell'!$B$6:$B$12,$P255+4))</x:f>
      </x:c>
      <x:c r="R255" s="64" t="str">
        <x:f>IF($P255="","",INDEX('04_Tarifmodell'!$C$6:$C$12,$P255+4))</x:f>
      </x:c>
      <x:c r="S255" s="14" t="str">
        <x:f>IF(OR($I255="QUALITATIVE",$I255="MANUAL_HYBRID"),IF($K255="","Assurance-Score fehlt","Assurance-bewertet"),IF($I255="BENCHMARK",IF($W255&lt;&gt;"Aktiv",IF($K255="","Benchmark fehlt","Assurance-bewertet"),IF($J255="","Messwert fehlt",IF($P255="","Nicht bewertbar","Berechnet"))),IF(AND($J255="",$K255&lt;&gt;""),"Nur Assurance-Score",IF($J255="","Messwert fehlt",IF($P255="","Nicht bewertbar",IF($P255&lt;=-2,"Kritische Wirkung / Prüfung","Berechnet"))))))</x:f>
        <x:v>Messwert fehlt</x:v>
      </x:c>
      <x:c r="T255" s="14" t="str">
        <x:v>Werte &lt;30 werden bis zur Fachentscheidung mit −2 bewertet; manuelle Verschärfung über Assurance möglich.</x:v>
      </x:c>
      <x:c r="U255" s="14" t="str">
        <x:v>≥50:+3; ≥40:+2; ≥30:0; &lt;30:‑2/‑3</x:v>
      </x:c>
      <x:c r="V255" s="14" t="str">
        <x:v>ESRS G1; GRI 205/207</x:v>
      </x:c>
      <x:c r="W255" s="14" t="str">
        <x:f>'02_Benchmarks'!$P255</x:f>
        <x:v>Optional – kein aktiver Benchmark</x:v>
      </x:c>
      <x:c r="X255" s="14" t="str">
        <x:v>Messgrundlage belegt; Schwellenkalibrierung offen</x:v>
      </x:c>
      <x:c r="Y255" s="14" t="str">
        <x:v>Hoch</x:v>
      </x:c>
      <x:c r="Z255" s="14" t="str">
        <x:v>Grenze zwischen −2 und −3 offen</x:v>
      </x:c>
      <x:c r="AA255" s="14" t="str">
        <x:v>Eigene Belegschaft/Organisation; FTE, Beschäftigtengruppe und Zeitraum</x:v>
      </x:c>
      <x:c r="AB255" s="14" t="str">
        <x:v>Primärdaten oder qualitätsgesicherte Sekundärdaten; Methode, Zeitraum und Systemgrenze dokumentieren</x:v>
      </x:c>
      <x:c r="AC255" s="14" t="str">
        <x:v>Limited Assurance; bei materieller Steuerwirkung risikobasiert vertiefen</x:v>
      </x:c>
    </x:row>
    <x:row r="256" ht="42" customHeight="1">
      <x:c r="A256" s="14" t="str">
        <x:v>WOK-S-166</x:v>
      </x:c>
      <x:c r="B256" s="14" t="str">
        <x:v>SDG 10 – Ungleichheiten</x:v>
      </x:c>
      <x:c r="C256" s="14" t="str">
        <x:v>10.3</x:v>
      </x:c>
      <x:c r="D256" s="14" t="str">
        <x:v>Diskriminierungsfälle</x:v>
      </x:c>
      <x:c r="E256" s="14" t="str">
        <x:v>Diskriminierungsfälle – Inklusion</x:v>
      </x:c>
      <x:c r="F256" s="14" t="str">
        <x:v>%</x:v>
      </x:c>
      <x:c r="G256" s="14" t="str">
        <x:v>higher_is_better</x:v>
      </x:c>
      <x:c r="H256" s="14" t="str">
        <x:v>R21</x:v>
      </x:c>
      <x:c r="I256" s="14" t="str">
        <x:v>NUM_HIGH</x:v>
      </x:c>
      <x:c r="J256" s="51"/>
      <x:c r="K256" s="51"/>
      <x:c r="L256" s="51"/>
      <x:c r="M256" s="54"/>
      <x:c r="N256" s="58" t="str">
        <x:f>IF($J256="","",IF($J256&lt;1,-3,IF($J256&lt;2,-2,IF($J256&lt;4,0,IF($J256&lt;6,2,3)))))</x:f>
      </x:c>
      <x:c r="O256" s="58" t="str">
        <x:f>IF($J256="","",IF(OR('02_Benchmarks'!$P256&lt;&gt;"Aktiv",COUNT('02_Benchmarks'!$J256:$M256)&lt;4),"",IF($G256="lower_is_better",IF($J256&lt;='02_Benchmarks'!$J256,3,IF($J256&lt;'02_Benchmarks'!$K256,2,IF($J256&lt;='02_Benchmarks'!$L256,0,IF($J256&lt;='02_Benchmarks'!$M256,-2,-3)))),IF($J256&gt;='02_Benchmarks'!$J256,3,IF($J256&gt;'02_Benchmarks'!$K256,2,IF($J256&gt;='02_Benchmarks'!$L256,0,IF($J256&gt;='02_Benchmarks'!$M256,-2,-3)))))))</x:f>
      </x:c>
      <x:c r="P256" s="58" t="str">
        <x:f>IF(COUNT($N256:$O256)+IF(ISNUMBER($K256),1,0)=0,"",MIN($N256:$O256,$K256))</x:f>
      </x:c>
      <x:c r="Q256" s="58" t="str">
        <x:f>IF($P256="","",INDEX('04_Tarifmodell'!$B$6:$B$12,$P256+4))</x:f>
      </x:c>
      <x:c r="R256" s="64" t="str">
        <x:f>IF($P256="","",INDEX('04_Tarifmodell'!$C$6:$C$12,$P256+4))</x:f>
      </x:c>
      <x:c r="S256" s="14" t="str">
        <x:f>IF(OR($I256="QUALITATIVE",$I256="MANUAL_HYBRID"),IF($K256="","Assurance-Score fehlt","Assurance-bewertet"),IF($I256="BENCHMARK",IF($W256&lt;&gt;"Aktiv",IF($K256="","Benchmark fehlt","Assurance-bewertet"),IF($J256="","Messwert fehlt",IF($P256="","Nicht bewertbar","Berechnet"))),IF(AND($J256="",$K256&lt;&gt;""),"Nur Assurance-Score",IF($J256="","Messwert fehlt",IF($P256="","Nicht bewertbar",IF($P256&lt;=-2,"Kritische Wirkung / Prüfung","Berechnet"))))))</x:f>
        <x:v>Messwert fehlt</x:v>
      </x:c>
      <x:c r="T256" s="14" t="str">
        <x:v>Vollständige fünfstufige numerische Regel.</x:v>
      </x:c>
      <x:c r="U256" s="14" t="str">
        <x:v>≥6:+3; 4–5,9:+2; 2–3,9:0; 1–1,9:‑2; &lt;1:‑3</x:v>
      </x:c>
      <x:c r="V256" s="14" t="str">
        <x:v>ESRS S1, GRI 401/403/405/406, ILO</x:v>
      </x:c>
      <x:c r="W256" s="14" t="str">
        <x:f>'02_Benchmarks'!$P256</x:f>
        <x:v>Optional – kein aktiver Benchmark</x:v>
      </x:c>
      <x:c r="X256" s="14" t="str">
        <x:v>Messgrundlage belegt; Schwellenkalibrierung offen</x:v>
      </x:c>
      <x:c r="Y256" s="14" t="str">
        <x:v>Mittel</x:v>
      </x:c>
      <x:c r="Z256" s="14" t="str">
        <x:v>Arbeitskalibrierung – fachlich zu validieren</x:v>
      </x:c>
      <x:c r="AA256" s="14" t="str">
        <x:v>Eigene Belegschaft/Organisation; FTE, Beschäftigtengruppe und Zeitraum</x:v>
      </x:c>
      <x:c r="AB256" s="14" t="str">
        <x:v>Primärdaten bevorzugt; Sekundärdaten nur transparent und versioniert; Methode und Systemgrenze dokumentieren</x:v>
      </x:c>
      <x:c r="AC256" s="14" t="str">
        <x:v>Limited Assurance; risikobasiert höhere Prüftiefe</x:v>
      </x:c>
    </x:row>
    <x:row r="257" ht="42" customHeight="1">
      <x:c r="A257" s="14" t="str">
        <x:v>WOK-SYS-125</x:v>
      </x:c>
      <x:c r="B257" s="14" t="str">
        <x:v>SDG 10 – Ungleichheiten</x:v>
      </x:c>
      <x:c r="C257" s="14" t="str">
        <x:v>10.c</x:v>
      </x:c>
      <x:c r="D257" s="14" t="str">
        <x:v>Erschwinglichkeit Produkte/Services</x:v>
      </x:c>
      <x:c r="E257" s="14" t="str">
        <x:v>Erschwinglichkeit Produkte/Services – Index</x:v>
      </x:c>
      <x:c r="F257" s="14" t="str">
        <x:v>0–1</x:v>
      </x:c>
      <x:c r="G257" s="14" t="str">
        <x:v>higher_is_better</x:v>
      </x:c>
      <x:c r="H257" s="14" t="str">
        <x:v>R15</x:v>
      </x:c>
      <x:c r="I257" s="14" t="str">
        <x:v>NUM_HIGH</x:v>
      </x:c>
      <x:c r="J257" s="51"/>
      <x:c r="K257" s="51"/>
      <x:c r="L257" s="51"/>
      <x:c r="M257" s="54"/>
      <x:c r="N257" s="58" t="str">
        <x:f>IF($J257="","",IF($J257&lt;0.5,-3,IF($J257&lt;0.6,-2,IF($J257&lt;0.7,0,IF($J257&lt;0.8,2,3)))))</x:f>
      </x:c>
      <x:c r="O257" s="58" t="str">
        <x:f>IF($J257="","",IF(OR('02_Benchmarks'!$P257&lt;&gt;"Aktiv",COUNT('02_Benchmarks'!$J257:$M257)&lt;4),"",IF($G257="lower_is_better",IF($J257&lt;='02_Benchmarks'!$J257,3,IF($J257&lt;'02_Benchmarks'!$K257,2,IF($J257&lt;='02_Benchmarks'!$L257,0,IF($J257&lt;='02_Benchmarks'!$M257,-2,-3)))),IF($J257&gt;='02_Benchmarks'!$J257,3,IF($J257&gt;'02_Benchmarks'!$K257,2,IF($J257&gt;='02_Benchmarks'!$L257,0,IF($J257&gt;='02_Benchmarks'!$M257,-2,-3)))))))</x:f>
      </x:c>
      <x:c r="P257" s="58" t="str">
        <x:f>IF(COUNT($N257:$O257)+IF(ISNUMBER($K257),1,0)=0,"",MIN($N257:$O257,$K257))</x:f>
      </x:c>
      <x:c r="Q257" s="58" t="str">
        <x:f>IF($P257="","",INDEX('04_Tarifmodell'!$B$6:$B$12,$P257+4))</x:f>
      </x:c>
      <x:c r="R257" s="64" t="str">
        <x:f>IF($P257="","",INDEX('04_Tarifmodell'!$C$6:$C$12,$P257+4))</x:f>
      </x:c>
      <x:c r="S257" s="14" t="str">
        <x:f>IF(OR($I257="QUALITATIVE",$I257="MANUAL_HYBRID"),IF($K257="","Assurance-Score fehlt","Assurance-bewertet"),IF($I257="BENCHMARK",IF($W257&lt;&gt;"Aktiv",IF($K257="","Benchmark fehlt","Assurance-bewertet"),IF($J257="","Messwert fehlt",IF($P257="","Nicht bewertbar","Berechnet"))),IF(AND($J257="",$K257&lt;&gt;""),"Nur Assurance-Score",IF($J257="","Messwert fehlt",IF($P257="","Nicht bewertbar",IF($P257&lt;=-2,"Kritische Wirkung / Prüfung","Berechnet"))))))</x:f>
        <x:v>Messwert fehlt</x:v>
      </x:c>
      <x:c r="T257" s="14" t="str">
        <x:v>SROI/SDG 17 ist keine hinreichend konkrete Mess- oder Schwellenquelle. Vollständige fünfstufige numerische Regel.</x:v>
      </x:c>
      <x:c r="U257" s="14" t="str">
        <x:v>≥0,8:+3; 0,7–0,79:+2; 0,6–0,69:0; 0,5–0,59:‑2; &lt;0,5:‑3</x:v>
      </x:c>
      <x:c r="V257" s="14" t="str">
        <x:v>ISO 14067/14040/44 (LCA/PCF), PEF/EF 3.1, EU Reparierbarkeitsindex</x:v>
      </x:c>
      <x:c r="W257" s="14" t="str">
        <x:f>'02_Benchmarks'!$P257</x:f>
        <x:v>Optional – kein aktiver Benchmark</x:v>
      </x:c>
      <x:c r="X257" s="14" t="str">
        <x:v>Platzhalter – fachliche Operationalisierung offen</x:v>
      </x:c>
      <x:c r="Y257" s="14" t="str">
        <x:v>Kritisch</x:v>
      </x:c>
      <x:c r="Z257" s="14" t="str">
        <x:v>Arbeitskalibrierung – fachlich zu validieren</x:v>
      </x:c>
      <x:c r="AA257" s="14" t="str">
        <x:v>Programm/Portfolio/Systemraum; Empfängergruppe, Region und Zeitraum explizit definieren</x:v>
      </x:c>
      <x:c r="AB257" s="14" t="str">
        <x:v>Primärdaten bevorzugt; Sekundärdaten nur transparent und versioniert; Methode und Systemgrenze dokumentieren</x:v>
      </x:c>
      <x:c r="AC257" s="14" t="str">
        <x:v>Limited Assurance; risikobasiert höhere Prüftiefe</x:v>
      </x:c>
    </x:row>
    <x:row r="258" ht="42" customHeight="1">
      <x:c r="A258" s="14" t="str">
        <x:v>WOK-SYS-126</x:v>
      </x:c>
      <x:c r="B258" s="14" t="str">
        <x:v>SDG 10 – Ungleichheiten</x:v>
      </x:c>
      <x:c r="C258" s="14" t="str">
        <x:v>10.c</x:v>
      </x:c>
      <x:c r="D258" s="14" t="str">
        <x:v>Erschwinglichkeit Produkte/Services</x:v>
      </x:c>
      <x:c r="E258" s="14" t="str">
        <x:v>Erschwinglichkeit Produkte/Services – Exposure</x:v>
      </x:c>
      <x:c r="F258" s="14" t="str">
        <x:v>%</x:v>
      </x:c>
      <x:c r="G258" s="14" t="str">
        <x:v>lower_is_better</x:v>
      </x:c>
      <x:c r="H258" s="14" t="str">
        <x:v>R13</x:v>
      </x:c>
      <x:c r="I258" s="14" t="str">
        <x:v>NUM_LOW</x:v>
      </x:c>
      <x:c r="J258" s="51"/>
      <x:c r="K258" s="51"/>
      <x:c r="L258" s="51"/>
      <x:c r="M258" s="54"/>
      <x:c r="N258" s="58" t="str">
        <x:f>IF($J258="","",IF($J258&lt;=5,3,IF($J258&lt;=10,2,IF($J258&lt;=20,0,IF($J258&lt;=30,-2,-3)))))</x:f>
      </x:c>
      <x:c r="O258" s="58" t="str">
        <x:f>IF($J258="","",IF(OR('02_Benchmarks'!$P258&lt;&gt;"Aktiv",COUNT('02_Benchmarks'!$J258:$M258)&lt;4),"",IF($G258="lower_is_better",IF($J258&lt;='02_Benchmarks'!$J258,3,IF($J258&lt;'02_Benchmarks'!$K258,2,IF($J258&lt;='02_Benchmarks'!$L258,0,IF($J258&lt;='02_Benchmarks'!$M258,-2,-3)))),IF($J258&gt;='02_Benchmarks'!$J258,3,IF($J258&gt;'02_Benchmarks'!$K258,2,IF($J258&gt;='02_Benchmarks'!$L258,0,IF($J258&gt;='02_Benchmarks'!$M258,-2,-3)))))))</x:f>
      </x:c>
      <x:c r="P258" s="58" t="str">
        <x:f>IF(COUNT($N258:$O258)+IF(ISNUMBER($K258),1,0)=0,"",MIN($N258:$O258,$K258))</x:f>
      </x:c>
      <x:c r="Q258" s="58" t="str">
        <x:f>IF($P258="","",INDEX('04_Tarifmodell'!$B$6:$B$12,$P258+4))</x:f>
      </x:c>
      <x:c r="R258" s="64" t="str">
        <x:f>IF($P258="","",INDEX('04_Tarifmodell'!$C$6:$C$12,$P258+4))</x:f>
      </x:c>
      <x:c r="S258" s="14" t="str">
        <x:f>IF(OR($I258="QUALITATIVE",$I258="MANUAL_HYBRID"),IF($K258="","Assurance-Score fehlt","Assurance-bewertet"),IF($I258="BENCHMARK",IF($W258&lt;&gt;"Aktiv",IF($K258="","Benchmark fehlt","Assurance-bewertet"),IF($J258="","Messwert fehlt",IF($P258="","Nicht bewertbar","Berechnet"))),IF(AND($J258="",$K258&lt;&gt;""),"Nur Assurance-Score",IF($J258="","Messwert fehlt",IF($P258="","Nicht bewertbar",IF($P258&lt;=-2,"Kritische Wirkung / Prüfung","Berechnet"))))))</x:f>
        <x:v>Messwert fehlt</x:v>
      </x:c>
      <x:c r="T258" s="14" t="str">
        <x:v>SROI/SDG 17 ist keine hinreichend konkrete Mess- oder Schwellenquelle. Vollständige fünfstufige numerische Regel.</x:v>
      </x:c>
      <x:c r="U258" s="14" t="str">
        <x:v>≤5:+3; 6–10:+2; 11–20:0; 21–30:‑2; &gt;30:‑3</x:v>
      </x:c>
      <x:c r="V258" s="14" t="str">
        <x:v>ISO 14067/14040/44 (LCA/PCF), PEF/EF 3.1, EU Reparierbarkeitsindex</x:v>
      </x:c>
      <x:c r="W258" s="14" t="str">
        <x:f>'02_Benchmarks'!$P258</x:f>
        <x:v>Optional – kein aktiver Benchmark</x:v>
      </x:c>
      <x:c r="X258" s="14" t="str">
        <x:v>Platzhalter – fachliche Operationalisierung offen</x:v>
      </x:c>
      <x:c r="Y258" s="14" t="str">
        <x:v>Kritisch</x:v>
      </x:c>
      <x:c r="Z258" s="14" t="str">
        <x:v>Arbeitskalibrierung – fachlich zu validieren</x:v>
      </x:c>
      <x:c r="AA258" s="14" t="str">
        <x:v>Programm/Portfolio/Systemraum; Empfängergruppe, Region und Zeitraum explizit definieren</x:v>
      </x:c>
      <x:c r="AB258" s="14" t="str">
        <x:v>Primärdaten bevorzugt; Sekundärdaten nur transparent und versioniert; Methode und Systemgrenze dokumentieren</x:v>
      </x:c>
      <x:c r="AC258" s="14" t="str">
        <x:v>Limited Assurance; risikobasiert höhere Prüftiefe</x:v>
      </x:c>
    </x:row>
    <x:row r="259" ht="42" customHeight="1">
      <x:c r="A259" s="14" t="str">
        <x:v>WOK-SYS-127</x:v>
      </x:c>
      <x:c r="B259" s="14" t="str">
        <x:v>SDG 10 – Ungleichheiten</x:v>
      </x:c>
      <x:c r="C259" s="14" t="str">
        <x:v>10.c</x:v>
      </x:c>
      <x:c r="D259" s="14" t="str">
        <x:v>Erschwinglichkeit Produkte/Services</x:v>
      </x:c>
      <x:c r="E259" s="14" t="str">
        <x:v>Erschwinglichkeit Produkte/Services – Kooperationen</x:v>
      </x:c>
      <x:c r="F259" s="14" t="str">
        <x:v>#/Jahr</x:v>
      </x:c>
      <x:c r="G259" s="14" t="str">
        <x:v>higher_is_better</x:v>
      </x:c>
      <x:c r="H259" s="14" t="str">
        <x:v>R20</x:v>
      </x:c>
      <x:c r="I259" s="14" t="str">
        <x:v>NUM_HIGH</x:v>
      </x:c>
      <x:c r="J259" s="51"/>
      <x:c r="K259" s="51"/>
      <x:c r="L259" s="51"/>
      <x:c r="M259" s="54"/>
      <x:c r="N259" s="58" t="str">
        <x:f>IF($J259="","",IF($J259&lt;0,-3,IF($J259&lt;1,-2,IF($J259&lt;3,0,IF($J259&lt;5,2,3)))))</x:f>
      </x:c>
      <x:c r="O259" s="58" t="str">
        <x:f>IF($J259="","",IF(OR('02_Benchmarks'!$P259&lt;&gt;"Aktiv",COUNT('02_Benchmarks'!$J259:$M259)&lt;4),"",IF($G259="lower_is_better",IF($J259&lt;='02_Benchmarks'!$J259,3,IF($J259&lt;'02_Benchmarks'!$K259,2,IF($J259&lt;='02_Benchmarks'!$L259,0,IF($J259&lt;='02_Benchmarks'!$M259,-2,-3)))),IF($J259&gt;='02_Benchmarks'!$J259,3,IF($J259&gt;'02_Benchmarks'!$K259,2,IF($J259&gt;='02_Benchmarks'!$L259,0,IF($J259&gt;='02_Benchmarks'!$M259,-2,-3)))))))</x:f>
      </x:c>
      <x:c r="P259" s="58" t="str">
        <x:f>IF(COUNT($N259:$O259)+IF(ISNUMBER($K259),1,0)=0,"",MIN($N259:$O259,$K259))</x:f>
      </x:c>
      <x:c r="Q259" s="58" t="str">
        <x:f>IF($P259="","",INDEX('04_Tarifmodell'!$B$6:$B$12,$P259+4))</x:f>
      </x:c>
      <x:c r="R259" s="64" t="str">
        <x:f>IF($P259="","",INDEX('04_Tarifmodell'!$C$6:$C$12,$P259+4))</x:f>
      </x:c>
      <x:c r="S259" s="14" t="str">
        <x:f>IF(OR($I259="QUALITATIVE",$I259="MANUAL_HYBRID"),IF($K259="","Assurance-Score fehlt","Assurance-bewertet"),IF($I259="BENCHMARK",IF($W259&lt;&gt;"Aktiv",IF($K259="","Benchmark fehlt","Assurance-bewertet"),IF($J259="","Messwert fehlt",IF($P259="","Nicht bewertbar","Berechnet"))),IF(AND($J259="",$K259&lt;&gt;""),"Nur Assurance-Score",IF($J259="","Messwert fehlt",IF($P259="","Nicht bewertbar",IF($P259&lt;=-2,"Kritische Wirkung / Prüfung","Berechnet"))))))</x:f>
        <x:v>Messwert fehlt</x:v>
      </x:c>
      <x:c r="T259" s="14" t="str">
        <x:v>SROI/SDG 17 ist keine hinreichend konkrete Mess- oder Schwellenquelle. Für sachlogisch nichtnegative Zählwerte ist 0 die schlechteste reguläre Klasse (−2).</x:v>
      </x:c>
      <x:c r="U259" s="14" t="str">
        <x:v>≥5:+3; 3–4:+2; 1–2:0; 0:‑2</x:v>
      </x:c>
      <x:c r="V259" s="14" t="str">
        <x:v>ISO 14067/14040/44 (LCA/PCF), PEF/EF 3.1, EU Reparierbarkeitsindex</x:v>
      </x:c>
      <x:c r="W259" s="14" t="str">
        <x:f>'02_Benchmarks'!$P259</x:f>
        <x:v>Optional – kein aktiver Benchmark</x:v>
      </x:c>
      <x:c r="X259" s="14" t="str">
        <x:v>Platzhalter – fachliche Operationalisierung offen</x:v>
      </x:c>
      <x:c r="Y259" s="14" t="str">
        <x:v>Kritisch</x:v>
      </x:c>
      <x:c r="Z259" s="14" t="str">
        <x:v>Klasse −3 nur für negative/unzulässige Werte ergänzt</x:v>
      </x:c>
      <x:c r="AA259" s="14" t="str">
        <x:v>Programm/Portfolio/Systemraum; Empfängergruppe, Region und Zeitraum explizit definieren</x:v>
      </x:c>
      <x:c r="AB259" s="14" t="str">
        <x:v>Primärdaten bevorzugt; Sekundärdaten nur transparent und versioniert; Methode und Systemgrenze dokumentieren</x:v>
      </x:c>
      <x:c r="AC259" s="14" t="str">
        <x:v>Limited Assurance; risikobasiert höhere Prüftiefe</x:v>
      </x:c>
    </x:row>
    <x:row r="260" ht="42" customHeight="1">
      <x:c r="A260" s="14" t="str">
        <x:v>WOK-G-152</x:v>
      </x:c>
      <x:c r="B260" s="14" t="str">
        <x:v>SDG 10 – Ungleichheiten</x:v>
      </x:c>
      <x:c r="C260" s="14" t="str">
        <x:v>10.4</x:v>
      </x:c>
      <x:c r="D260" s="14" t="str">
        <x:v>Transparenz Lohnbänder</x:v>
      </x:c>
      <x:c r="E260" s="14" t="str">
        <x:v>Transparenz Lohnbänder – Antikorruption</x:v>
      </x:c>
      <x:c r="F260" s="14" t="str">
        <x:v>Fälle/1.000 FTE</x:v>
      </x:c>
      <x:c r="G260" s="14" t="str">
        <x:v>lower_is_better</x:v>
      </x:c>
      <x:c r="H260" s="14" t="str">
        <x:v>R01</x:v>
      </x:c>
      <x:c r="I260" s="14" t="str">
        <x:v>NUM_LOW</x:v>
      </x:c>
      <x:c r="J260" s="51"/>
      <x:c r="K260" s="51"/>
      <x:c r="L260" s="51"/>
      <x:c r="M260" s="54"/>
      <x:c r="N260" s="58" t="str">
        <x:f>IF($J260="","",IF($J260&lt;=0,3,IF($J260&lt;=0.2,2,IF($J260&lt;=0.5,0,IF($J260&lt;=1,-2,-3)))))</x:f>
      </x:c>
      <x:c r="O260" s="58" t="str">
        <x:f>IF($J260="","",IF(OR('02_Benchmarks'!$P260&lt;&gt;"Aktiv",COUNT('02_Benchmarks'!$J260:$M260)&lt;4),"",IF($G260="lower_is_better",IF($J260&lt;='02_Benchmarks'!$J260,3,IF($J260&lt;'02_Benchmarks'!$K260,2,IF($J260&lt;='02_Benchmarks'!$L260,0,IF($J260&lt;='02_Benchmarks'!$M260,-2,-3)))),IF($J260&gt;='02_Benchmarks'!$J260,3,IF($J260&gt;'02_Benchmarks'!$K260,2,IF($J260&gt;='02_Benchmarks'!$L260,0,IF($J260&gt;='02_Benchmarks'!$M260,-2,-3)))))))</x:f>
      </x:c>
      <x:c r="P260" s="58" t="str">
        <x:f>IF(COUNT($N260:$O260)+IF(ISNUMBER($K260),1,0)=0,"",MIN($N260:$O260,$K260))</x:f>
      </x:c>
      <x:c r="Q260" s="58" t="str">
        <x:f>IF($P260="","",INDEX('04_Tarifmodell'!$B$6:$B$12,$P260+4))</x:f>
      </x:c>
      <x:c r="R260" s="64" t="str">
        <x:f>IF($P260="","",INDEX('04_Tarifmodell'!$C$6:$C$12,$P260+4))</x:f>
      </x:c>
      <x:c r="S260" s="14" t="str">
        <x:f>IF(OR($I260="QUALITATIVE",$I260="MANUAL_HYBRID"),IF($K260="","Assurance-Score fehlt","Assurance-bewertet"),IF($I260="BENCHMARK",IF($W260&lt;&gt;"Aktiv",IF($K260="","Benchmark fehlt","Assurance-bewertet"),IF($J260="","Messwert fehlt",IF($P260="","Nicht bewertbar","Berechnet"))),IF(AND($J260="",$K260&lt;&gt;""),"Nur Assurance-Score",IF($J260="","Messwert fehlt",IF($P260="","Nicht bewertbar",IF($P260&lt;=-2,"Kritische Wirkung / Prüfung","Berechnet"))))))</x:f>
        <x:v>Messwert fehlt</x:v>
      </x:c>
      <x:c r="T260" s="14" t="str">
        <x:v>Vollständige fünfstufige numerische Regel.</x:v>
      </x:c>
      <x:c r="U260" s="14" t="str">
        <x:v>0:+3; ≤0,2:+2; ≤0,5:0; ≤1:‑2; &gt;1:‑3</x:v>
      </x:c>
      <x:c r="V260" s="14" t="str">
        <x:v>ESRS S1, GRI 401/403/405/406, ILO</x:v>
      </x:c>
      <x:c r="W260" s="14" t="str">
        <x:f>'02_Benchmarks'!$P260</x:f>
        <x:v>Optional – kein aktiver Benchmark</x:v>
      </x:c>
      <x:c r="X260" s="14" t="str">
        <x:v>Messgrundlage belegt; Schwellenkalibrierung offen</x:v>
      </x:c>
      <x:c r="Y260" s="14" t="str">
        <x:v>Mittel</x:v>
      </x:c>
      <x:c r="Z260" s="14" t="str">
        <x:v>Arbeitskalibrierung – fachlich zu validieren</x:v>
      </x:c>
      <x:c r="AA260" s="14" t="str">
        <x:v>Organisation/Governance; konsolidierter Kreis und relevante Rechtseinheiten</x:v>
      </x:c>
      <x:c r="AB260" s="14" t="str">
        <x:v>Primärdaten bevorzugt; Sekundärdaten nur transparent und versioniert; Methode und Systemgrenze dokumentieren</x:v>
      </x:c>
      <x:c r="AC260" s="14" t="str">
        <x:v>Limited Assurance; risikobasiert höhere Prüftiefe</x:v>
      </x:c>
    </x:row>
    <x:row r="261" ht="42" customHeight="1">
      <x:c r="A261" s="14" t="str">
        <x:v>WOK-G-153</x:v>
      </x:c>
      <x:c r="B261" s="14" t="str">
        <x:v>SDG 10 – Ungleichheiten</x:v>
      </x:c>
      <x:c r="C261" s="14" t="str">
        <x:v>10.4</x:v>
      </x:c>
      <x:c r="D261" s="14" t="str">
        <x:v>Transparenz Lohnbänder</x:v>
      </x:c>
      <x:c r="E261" s="14" t="str">
        <x:v>Transparenz Lohnbänder – Whistleblowing</x:v>
      </x:c>
      <x:c r="F261" s="14" t="str">
        <x:v>0–1</x:v>
      </x:c>
      <x:c r="G261" s="14" t="str">
        <x:v>higher_is_better</x:v>
      </x:c>
      <x:c r="H261" s="14" t="str">
        <x:v>R16</x:v>
      </x:c>
      <x:c r="I261" s="14" t="str">
        <x:v>NUM_HIGH</x:v>
      </x:c>
      <x:c r="J261" s="51"/>
      <x:c r="K261" s="51"/>
      <x:c r="L261" s="51"/>
      <x:c r="M261" s="54"/>
      <x:c r="N261" s="58" t="str">
        <x:f>IF($J261="","",IF($J261&lt;0.4,-3,IF($J261&lt;0.6,-2,IF($J261&lt;0.75,0,IF($J261&lt;0.9,2,3)))))</x:f>
      </x:c>
      <x:c r="O261" s="58" t="str">
        <x:f>IF($J261="","",IF(OR('02_Benchmarks'!$P261&lt;&gt;"Aktiv",COUNT('02_Benchmarks'!$J261:$M261)&lt;4),"",IF($G261="lower_is_better",IF($J261&lt;='02_Benchmarks'!$J261,3,IF($J261&lt;'02_Benchmarks'!$K261,2,IF($J261&lt;='02_Benchmarks'!$L261,0,IF($J261&lt;='02_Benchmarks'!$M261,-2,-3)))),IF($J261&gt;='02_Benchmarks'!$J261,3,IF($J261&gt;'02_Benchmarks'!$K261,2,IF($J261&gt;='02_Benchmarks'!$L261,0,IF($J261&gt;='02_Benchmarks'!$M261,-2,-3)))))))</x:f>
      </x:c>
      <x:c r="P261" s="58" t="str">
        <x:f>IF(COUNT($N261:$O261)+IF(ISNUMBER($K261),1,0)=0,"",MIN($N261:$O261,$K261))</x:f>
      </x:c>
      <x:c r="Q261" s="58" t="str">
        <x:f>IF($P261="","",INDEX('04_Tarifmodell'!$B$6:$B$12,$P261+4))</x:f>
      </x:c>
      <x:c r="R261" s="64" t="str">
        <x:f>IF($P261="","",INDEX('04_Tarifmodell'!$C$6:$C$12,$P261+4))</x:f>
      </x:c>
      <x:c r="S261" s="14" t="str">
        <x:f>IF(OR($I261="QUALITATIVE",$I261="MANUAL_HYBRID"),IF($K261="","Assurance-Score fehlt","Assurance-bewertet"),IF($I261="BENCHMARK",IF($W261&lt;&gt;"Aktiv",IF($K261="","Benchmark fehlt","Assurance-bewertet"),IF($J261="","Messwert fehlt",IF($P261="","Nicht bewertbar","Berechnet"))),IF(AND($J261="",$K261&lt;&gt;""),"Nur Assurance-Score",IF($J261="","Messwert fehlt",IF($P261="","Nicht bewertbar",IF($P261&lt;=-2,"Kritische Wirkung / Prüfung","Berechnet"))))))</x:f>
        <x:v>Messwert fehlt</x:v>
      </x:c>
      <x:c r="T261" s="14" t="str">
        <x:v>Vollständige fünfstufige numerische Regel.</x:v>
      </x:c>
      <x:c r="U261" s="14" t="str">
        <x:v>≥0,9:+3; 0,75–0,89:+2; 0,6–0,74:0; 0,4–0,59:‑2; &lt;0,4:‑3</x:v>
      </x:c>
      <x:c r="V261" s="14" t="str">
        <x:v>ESRS S1, GRI 401/403/405/406, ILO</x:v>
      </x:c>
      <x:c r="W261" s="14" t="str">
        <x:f>'02_Benchmarks'!$P261</x:f>
        <x:v>Optional – kein aktiver Benchmark</x:v>
      </x:c>
      <x:c r="X261" s="14" t="str">
        <x:v>Messgrundlage belegt; Schwellenkalibrierung offen</x:v>
      </x:c>
      <x:c r="Y261" s="14" t="str">
        <x:v>Mittel</x:v>
      </x:c>
      <x:c r="Z261" s="14" t="str">
        <x:v>Arbeitskalibrierung – fachlich zu validieren</x:v>
      </x:c>
      <x:c r="AA261" s="14" t="str">
        <x:v>Organisation/Governance; konsolidierter Kreis und relevante Rechtseinheiten</x:v>
      </x:c>
      <x:c r="AB261" s="14" t="str">
        <x:v>Primärdaten bevorzugt; Sekundärdaten nur transparent und versioniert; Methode und Systemgrenze dokumentieren</x:v>
      </x:c>
      <x:c r="AC261" s="14" t="str">
        <x:v>Limited Assurance; risikobasiert höhere Prüftiefe</x:v>
      </x:c>
    </x:row>
    <x:row r="262" ht="42" customHeight="1">
      <x:c r="A262" s="14" t="str">
        <x:v>WOK-G-154</x:v>
      </x:c>
      <x:c r="B262" s="14" t="str">
        <x:v>SDG 10 – Ungleichheiten</x:v>
      </x:c>
      <x:c r="C262" s="14" t="str">
        <x:v>10.4</x:v>
      </x:c>
      <x:c r="D262" s="14" t="str">
        <x:v>Transparenz Lohnbänder</x:v>
      </x:c>
      <x:c r="E262" s="14" t="str">
        <x:v>Transparenz Lohnbänder – Steuertransparenz</x:v>
      </x:c>
      <x:c r="F262" s="14" t="str">
        <x:v>0–1</x:v>
      </x:c>
      <x:c r="G262" s="14" t="str">
        <x:v>higher_is_better</x:v>
      </x:c>
      <x:c r="H262" s="14" t="str">
        <x:v>R08</x:v>
      </x:c>
      <x:c r="I262" s="14" t="str">
        <x:v>QUALITATIVE</x:v>
      </x:c>
      <x:c r="J262" s="51"/>
      <x:c r="K262" s="51"/>
      <x:c r="L262" s="51"/>
      <x:c r="M262" s="54"/>
      <x:c r="N262" s="58" t="str">
        <x:f>""</x:f>
      </x:c>
      <x:c r="O262" s="58" t="str">
        <x:f>IF($J262="","",IF(OR('02_Benchmarks'!$P262&lt;&gt;"Aktiv",COUNT('02_Benchmarks'!$J262:$M262)&lt;4),"",IF($G262="lower_is_better",IF($J262&lt;='02_Benchmarks'!$J262,3,IF($J262&lt;'02_Benchmarks'!$K262,2,IF($J262&lt;='02_Benchmarks'!$L262,0,IF($J262&lt;='02_Benchmarks'!$M262,-2,-3)))),IF($J262&gt;='02_Benchmarks'!$J262,3,IF($J262&gt;'02_Benchmarks'!$K262,2,IF($J262&gt;='02_Benchmarks'!$L262,0,IF($J262&gt;='02_Benchmarks'!$M262,-2,-3)))))))</x:f>
      </x:c>
      <x:c r="P262" s="58" t="str">
        <x:f>IF(COUNT($N262:$O262)+IF(ISNUMBER($K262),1,0)=0,"",MIN($N262:$O262,$K262))</x:f>
      </x:c>
      <x:c r="Q262" s="58" t="str">
        <x:f>IF($P262="","",INDEX('04_Tarifmodell'!$B$6:$B$12,$P262+4))</x:f>
      </x:c>
      <x:c r="R262" s="64" t="str">
        <x:f>IF($P262="","",INDEX('04_Tarifmodell'!$C$6:$C$12,$P262+4))</x:f>
      </x:c>
      <x:c r="S262" s="14" t="str">
        <x:f>IF(OR($I262="QUALITATIVE",$I262="MANUAL_HYBRID"),IF($K262="","Assurance-Score fehlt","Assurance-bewertet"),IF($I262="BENCHMARK",IF($W262&lt;&gt;"Aktiv",IF($K262="","Benchmark fehlt","Assurance-bewertet"),IF($J262="","Messwert fehlt",IF($P262="","Nicht bewertbar","Berechnet"))),IF(AND($J262="",$K262&lt;&gt;""),"Nur Assurance-Score",IF($J262="","Messwert fehlt",IF($P262="","Nicht bewertbar",IF($P262&lt;=-2,"Kritische Wirkung / Prüfung","Berechnet"))))))</x:f>
        <x:v>Assurance-Score fehlt</x:v>
      </x:c>
      <x:c r="T262" s="14" t="str">
        <x:v>Die Kategorie −3 fehlt; Vollständigkeit und Wirksamkeit sind feldspezifisch zu definieren.</x:v>
      </x:c>
      <x:c r="U262" s="14" t="str">
        <x:v>vollständig:+3; teilweise:+2; minimal:0; schlecht:‑2</x:v>
      </x:c>
      <x:c r="V262" s="14" t="str">
        <x:v>ESRS S1, GRI 401/403/405/406, ILO</x:v>
      </x:c>
      <x:c r="W262" s="14" t="str">
        <x:f>'02_Benchmarks'!$P262</x:f>
        <x:v>Optional – kein aktiver Benchmark</x:v>
      </x:c>
      <x:c r="X262" s="14" t="str">
        <x:v>Messgrundlage belegt; Schwellenkalibrierung offen</x:v>
      </x:c>
      <x:c r="Y262" s="14" t="str">
        <x:v>Hoch</x:v>
      </x:c>
      <x:c r="Z262" s="14" t="str">
        <x:v>Assurance und Kriterienkatalog erforderlich</x:v>
      </x:c>
      <x:c r="AA262" s="14" t="str">
        <x:v>Organisation/Governance; konsolidierter Kreis und relevante Rechtseinheiten</x:v>
      </x:c>
      <x:c r="AB262" s="14" t="str">
        <x:v>Dokumentierter Kriterienkatalog; nachvollziehbare Evidenz; DQR A/B bevorzugt</x:v>
      </x:c>
      <x:c r="AC262" s="14" t="str">
        <x:v>Unabhängige Fachprüfung/Limited Assurance; bei roten Linien Reasonable Assurance</x:v>
      </x:c>
    </x:row>
    <x:row r="263" ht="42" customHeight="1">
      <x:c r="A263" s="14" t="str">
        <x:v>WOK-S-167</x:v>
      </x:c>
      <x:c r="B263" s="14" t="str">
        <x:v>SDG 10 – Ungleichheiten</x:v>
      </x:c>
      <x:c r="C263" s="14" t="str">
        <x:v>10.2</x:v>
      </x:c>
      <x:c r="D263" s="14" t="str">
        <x:v>Barrierefreiheit</x:v>
      </x:c>
      <x:c r="E263" s="14" t="str">
        <x:v>Barrierefreiheit – Living Wage</x:v>
      </x:c>
      <x:c r="F263" s="14" t="str">
        <x:v>% Beschäftigte</x:v>
      </x:c>
      <x:c r="G263" s="14" t="str">
        <x:v>higher_is_better</x:v>
      </x:c>
      <x:c r="H263" s="14" t="str">
        <x:v>R27</x:v>
      </x:c>
      <x:c r="I263" s="14" t="str">
        <x:v>NUM_HIGH</x:v>
      </x:c>
      <x:c r="J263" s="51"/>
      <x:c r="K263" s="51"/>
      <x:c r="L263" s="51"/>
      <x:c r="M263" s="54"/>
      <x:c r="N263" s="58" t="str">
        <x:f>IF($J263="","",IF($J263&lt;40,-3,IF($J263&lt;60,-2,IF($J263&lt;80,0,IF($J263&lt;95,2,3)))))</x:f>
      </x:c>
      <x:c r="O263" s="58" t="str">
        <x:f>IF($J263="","",IF(OR('02_Benchmarks'!$P263&lt;&gt;"Aktiv",COUNT('02_Benchmarks'!$J263:$M263)&lt;4),"",IF($G263="lower_is_better",IF($J263&lt;='02_Benchmarks'!$J263,3,IF($J263&lt;'02_Benchmarks'!$K263,2,IF($J263&lt;='02_Benchmarks'!$L263,0,IF($J263&lt;='02_Benchmarks'!$M263,-2,-3)))),IF($J263&gt;='02_Benchmarks'!$J263,3,IF($J263&gt;'02_Benchmarks'!$K263,2,IF($J263&gt;='02_Benchmarks'!$L263,0,IF($J263&gt;='02_Benchmarks'!$M263,-2,-3)))))))</x:f>
      </x:c>
      <x:c r="P263" s="58" t="str">
        <x:f>IF(COUNT($N263:$O263)+IF(ISNUMBER($K263),1,0)=0,"",MIN($N263:$O263,$K263))</x:f>
      </x:c>
      <x:c r="Q263" s="58" t="str">
        <x:f>IF($P263="","",INDEX('04_Tarifmodell'!$B$6:$B$12,$P263+4))</x:f>
      </x:c>
      <x:c r="R263" s="64" t="str">
        <x:f>IF($P263="","",INDEX('04_Tarifmodell'!$C$6:$C$12,$P263+4))</x:f>
      </x:c>
      <x:c r="S263" s="14" t="str">
        <x:f>IF(OR($I263="QUALITATIVE",$I263="MANUAL_HYBRID"),IF($K263="","Assurance-Score fehlt","Assurance-bewertet"),IF($I263="BENCHMARK",IF($W263&lt;&gt;"Aktiv",IF($K263="","Benchmark fehlt","Assurance-bewertet"),IF($J263="","Messwert fehlt",IF($P263="","Nicht bewertbar","Berechnet"))),IF(AND($J263="",$K263&lt;&gt;""),"Nur Assurance-Score",IF($J263="","Messwert fehlt",IF($P263="","Nicht bewertbar",IF($P263&lt;=-2,"Kritische Wirkung / Prüfung","Berechnet"))))))</x:f>
        <x:v>Messwert fehlt</x:v>
      </x:c>
      <x:c r="T263" s="14" t="str">
        <x:v>Vollständige fünfstufige numerische Regel.</x:v>
      </x:c>
      <x:c r="U263" s="14" t="str">
        <x:v>≥95:+3; 80–94:+2; 60–79:0; 40–59:‑2; &lt;40:‑3</x:v>
      </x:c>
      <x:c r="V263" s="14" t="str">
        <x:v>ESRS S1, GRI 401/403/405/406, ILO</x:v>
      </x:c>
      <x:c r="W263" s="14" t="str">
        <x:f>'02_Benchmarks'!$P263</x:f>
        <x:v>Optional – kein aktiver Benchmark</x:v>
      </x:c>
      <x:c r="X263" s="14" t="str">
        <x:v>Messgrundlage belegt; Schwellenkalibrierung offen</x:v>
      </x:c>
      <x:c r="Y263" s="14" t="str">
        <x:v>Mittel</x:v>
      </x:c>
      <x:c r="Z263" s="14" t="str">
        <x:v>Arbeitskalibrierung – fachlich zu validieren</x:v>
      </x:c>
      <x:c r="AA263" s="14" t="str">
        <x:v>Eigene Belegschaft/Organisation; FTE, Beschäftigtengruppe und Zeitraum</x:v>
      </x:c>
      <x:c r="AB263" s="14" t="str">
        <x:v>Primärdaten bevorzugt; Sekundärdaten nur transparent und versioniert; Methode und Systemgrenze dokumentieren</x:v>
      </x:c>
      <x:c r="AC263" s="14" t="str">
        <x:v>Limited Assurance; risikobasiert höhere Prüftiefe</x:v>
      </x:c>
    </x:row>
    <x:row r="264" ht="42" customHeight="1">
      <x:c r="A264" s="14" t="str">
        <x:v>WOK-S-168</x:v>
      </x:c>
      <x:c r="B264" s="14" t="str">
        <x:v>SDG 10 – Ungleichheiten</x:v>
      </x:c>
      <x:c r="C264" s="14" t="str">
        <x:v>10.2</x:v>
      </x:c>
      <x:c r="D264" s="14" t="str">
        <x:v>Barrierefreiheit</x:v>
      </x:c>
      <x:c r="E264" s="14" t="str">
        <x:v>Barrierefreiheit – Tarifbindung</x:v>
      </x:c>
      <x:c r="F264" s="14" t="str">
        <x:v>%</x:v>
      </x:c>
      <x:c r="G264" s="14" t="str">
        <x:v>higher_is_better</x:v>
      </x:c>
      <x:c r="H264" s="14" t="str">
        <x:v>R26</x:v>
      </x:c>
      <x:c r="I264" s="14" t="str">
        <x:v>NUM_HIGH</x:v>
      </x:c>
      <x:c r="J264" s="51"/>
      <x:c r="K264" s="51"/>
      <x:c r="L264" s="51"/>
      <x:c r="M264" s="54"/>
      <x:c r="N264" s="58" t="str">
        <x:f>IF($J264="","",IF($J264&lt;30,-3,IF($J264&lt;50,-2,IF($J264&lt;70,0,IF($J264&lt;90,2,3)))))</x:f>
      </x:c>
      <x:c r="O264" s="58" t="str">
        <x:f>IF($J264="","",IF(OR('02_Benchmarks'!$P264&lt;&gt;"Aktiv",COUNT('02_Benchmarks'!$J264:$M264)&lt;4),"",IF($G264="lower_is_better",IF($J264&lt;='02_Benchmarks'!$J264,3,IF($J264&lt;'02_Benchmarks'!$K264,2,IF($J264&lt;='02_Benchmarks'!$L264,0,IF($J264&lt;='02_Benchmarks'!$M264,-2,-3)))),IF($J264&gt;='02_Benchmarks'!$J264,3,IF($J264&gt;'02_Benchmarks'!$K264,2,IF($J264&gt;='02_Benchmarks'!$L264,0,IF($J264&gt;='02_Benchmarks'!$M264,-2,-3)))))))</x:f>
      </x:c>
      <x:c r="P264" s="58" t="str">
        <x:f>IF(COUNT($N264:$O264)+IF(ISNUMBER($K264),1,0)=0,"",MIN($N264:$O264,$K264))</x:f>
      </x:c>
      <x:c r="Q264" s="58" t="str">
        <x:f>IF($P264="","",INDEX('04_Tarifmodell'!$B$6:$B$12,$P264+4))</x:f>
      </x:c>
      <x:c r="R264" s="64" t="str">
        <x:f>IF($P264="","",INDEX('04_Tarifmodell'!$C$6:$C$12,$P264+4))</x:f>
      </x:c>
      <x:c r="S264" s="14" t="str">
        <x:f>IF(OR($I264="QUALITATIVE",$I264="MANUAL_HYBRID"),IF($K264="","Assurance-Score fehlt","Assurance-bewertet"),IF($I264="BENCHMARK",IF($W264&lt;&gt;"Aktiv",IF($K264="","Benchmark fehlt","Assurance-bewertet"),IF($J264="","Messwert fehlt",IF($P264="","Nicht bewertbar","Berechnet"))),IF(AND($J264="",$K264&lt;&gt;""),"Nur Assurance-Score",IF($J264="","Messwert fehlt",IF($P264="","Nicht bewertbar",IF($P264&lt;=-2,"Kritische Wirkung / Prüfung","Berechnet"))))))</x:f>
        <x:v>Messwert fehlt</x:v>
      </x:c>
      <x:c r="T264" s="14" t="str">
        <x:v>Vollständige fünfstufige numerische Regel.</x:v>
      </x:c>
      <x:c r="U264" s="14" t="str">
        <x:v>≥90:+3; 70–89:+2; 50–69:0; 30–49:‑2; &lt;30:‑3</x:v>
      </x:c>
      <x:c r="V264" s="14" t="str">
        <x:v>ESRS S1, GRI 401/403/405/406, ILO</x:v>
      </x:c>
      <x:c r="W264" s="14" t="str">
        <x:f>'02_Benchmarks'!$P264</x:f>
        <x:v>Optional – kein aktiver Benchmark</x:v>
      </x:c>
      <x:c r="X264" s="14" t="str">
        <x:v>Messgrundlage belegt; Schwellenkalibrierung offen</x:v>
      </x:c>
      <x:c r="Y264" s="14" t="str">
        <x:v>Mittel</x:v>
      </x:c>
      <x:c r="Z264" s="14" t="str">
        <x:v>Arbeitskalibrierung – fachlich zu validieren</x:v>
      </x:c>
      <x:c r="AA264" s="14" t="str">
        <x:v>Eigene Belegschaft/Organisation; FTE, Beschäftigtengruppe und Zeitraum</x:v>
      </x:c>
      <x:c r="AB264" s="14" t="str">
        <x:v>Primärdaten bevorzugt; Sekundärdaten nur transparent und versioniert; Methode und Systemgrenze dokumentieren</x:v>
      </x:c>
      <x:c r="AC264" s="14" t="str">
        <x:v>Limited Assurance; risikobasiert höhere Prüftiefe</x:v>
      </x:c>
    </x:row>
    <x:row r="265" ht="42" customHeight="1">
      <x:c r="A265" s="14" t="str">
        <x:v>WOK-S-169</x:v>
      </x:c>
      <x:c r="B265" s="14" t="str">
        <x:v>SDG 10 – Ungleichheiten</x:v>
      </x:c>
      <x:c r="C265" s="14" t="str">
        <x:v>10.2</x:v>
      </x:c>
      <x:c r="D265" s="14" t="str">
        <x:v>Barrierefreiheit</x:v>
      </x:c>
      <x:c r="E265" s="14" t="str">
        <x:v>Barrierefreiheit – LTIFR</x:v>
      </x:c>
      <x:c r="F265" s="14" t="str">
        <x:v>Unfälle/Mio Std.</x:v>
      </x:c>
      <x:c r="G265" s="14" t="str">
        <x:v>lower_is_better</x:v>
      </x:c>
      <x:c r="H265" s="14" t="str">
        <x:v>R02</x:v>
      </x:c>
      <x:c r="I265" s="14" t="str">
        <x:v>NUM_LOW</x:v>
      </x:c>
      <x:c r="J265" s="51"/>
      <x:c r="K265" s="51"/>
      <x:c r="L265" s="51"/>
      <x:c r="M265" s="54"/>
      <x:c r="N265" s="58" t="str">
        <x:f>IF($J265="","",IF($J265&lt;=0,3,IF($J265&lt;=1,2,IF($J265&lt;=3,0,IF($J265&lt;=5,-2,-3)))))</x:f>
      </x:c>
      <x:c r="O265" s="58" t="str">
        <x:f>IF($J265="","",IF(OR('02_Benchmarks'!$P265&lt;&gt;"Aktiv",COUNT('02_Benchmarks'!$J265:$M265)&lt;4),"",IF($G265="lower_is_better",IF($J265&lt;='02_Benchmarks'!$J265,3,IF($J265&lt;'02_Benchmarks'!$K265,2,IF($J265&lt;='02_Benchmarks'!$L265,0,IF($J265&lt;='02_Benchmarks'!$M265,-2,-3)))),IF($J265&gt;='02_Benchmarks'!$J265,3,IF($J265&gt;'02_Benchmarks'!$K265,2,IF($J265&gt;='02_Benchmarks'!$L265,0,IF($J265&gt;='02_Benchmarks'!$M265,-2,-3)))))))</x:f>
      </x:c>
      <x:c r="P265" s="58" t="str">
        <x:f>IF(COUNT($N265:$O265)+IF(ISNUMBER($K265),1,0)=0,"",MIN($N265:$O265,$K265))</x:f>
      </x:c>
      <x:c r="Q265" s="58" t="str">
        <x:f>IF($P265="","",INDEX('04_Tarifmodell'!$B$6:$B$12,$P265+4))</x:f>
      </x:c>
      <x:c r="R265" s="64" t="str">
        <x:f>IF($P265="","",INDEX('04_Tarifmodell'!$C$6:$C$12,$P265+4))</x:f>
      </x:c>
      <x:c r="S265" s="14" t="str">
        <x:f>IF(OR($I265="QUALITATIVE",$I265="MANUAL_HYBRID"),IF($K265="","Assurance-Score fehlt","Assurance-bewertet"),IF($I265="BENCHMARK",IF($W265&lt;&gt;"Aktiv",IF($K265="","Benchmark fehlt","Assurance-bewertet"),IF($J265="","Messwert fehlt",IF($P265="","Nicht bewertbar","Berechnet"))),IF(AND($J265="",$K265&lt;&gt;""),"Nur Assurance-Score",IF($J265="","Messwert fehlt",IF($P265="","Nicht bewertbar",IF($P265&lt;=-2,"Kritische Wirkung / Prüfung","Berechnet"))))))</x:f>
        <x:v>Messwert fehlt</x:v>
      </x:c>
      <x:c r="T265" s="14" t="str">
        <x:v>Vollständige fünfstufige numerische Regel.</x:v>
      </x:c>
      <x:c r="U265" s="14" t="str">
        <x:v>0:+3; ≤1:+2; ≤3:0; ≤5:‑2; &gt;5:‑3</x:v>
      </x:c>
      <x:c r="V265" s="14" t="str">
        <x:v>ESRS S1, GRI 401/403/405/406, ILO</x:v>
      </x:c>
      <x:c r="W265" s="14" t="str">
        <x:f>'02_Benchmarks'!$P265</x:f>
        <x:v>Optional – kein aktiver Benchmark</x:v>
      </x:c>
      <x:c r="X265" s="14" t="str">
        <x:v>Messgrundlage belegt; Schwellenkalibrierung offen</x:v>
      </x:c>
      <x:c r="Y265" s="14" t="str">
        <x:v>Mittel</x:v>
      </x:c>
      <x:c r="Z265" s="14" t="str">
        <x:v>Arbeitskalibrierung – fachlich zu validieren</x:v>
      </x:c>
      <x:c r="AA265" s="14" t="str">
        <x:v>Eigene Belegschaft/Organisation; FTE, Beschäftigtengruppe und Zeitraum</x:v>
      </x:c>
      <x:c r="AB265" s="14" t="str">
        <x:v>Primärdaten bevorzugt; Sekundärdaten nur transparent und versioniert; Methode und Systemgrenze dokumentieren</x:v>
      </x:c>
      <x:c r="AC265" s="14" t="str">
        <x:v>Limited Assurance; risikobasiert höhere Prüftiefe</x:v>
      </x:c>
    </x:row>
    <x:row r="266" ht="42" customHeight="1">
      <x:c r="A266" s="14" t="str">
        <x:v>WOK-SC-122</x:v>
      </x:c>
      <x:c r="B266" s="14" t="str">
        <x:v>SDG 10 – Ungleichheiten</x:v>
      </x:c>
      <x:c r="C266" s="14" t="str">
        <x:v>10.b</x:v>
      </x:c>
      <x:c r="D266" s="14" t="str">
        <x:v>Fairer Zugang Lieferanten (SME)</x:v>
      </x:c>
      <x:c r="E266" s="14" t="str">
        <x:v>Fairer Zugang Lieferanten (SME) – ESG‑Spend‑Coverage</x:v>
      </x:c>
      <x:c r="F266" s="14" t="str">
        <x:v>%</x:v>
      </x:c>
      <x:c r="G266" s="14" t="str">
        <x:v>higher_is_better</x:v>
      </x:c>
      <x:c r="H266" s="14" t="str">
        <x:v>R26</x:v>
      </x:c>
      <x:c r="I266" s="14" t="str">
        <x:v>NUM_HIGH</x:v>
      </x:c>
      <x:c r="J266" s="51"/>
      <x:c r="K266" s="51"/>
      <x:c r="L266" s="51"/>
      <x:c r="M266" s="54"/>
      <x:c r="N266" s="58" t="str">
        <x:f>IF($J266="","",IF($J266&lt;30,-3,IF($J266&lt;50,-2,IF($J266&lt;70,0,IF($J266&lt;90,2,3)))))</x:f>
      </x:c>
      <x:c r="O266" s="58" t="str">
        <x:f>IF($J266="","",IF(OR('02_Benchmarks'!$P266&lt;&gt;"Aktiv",COUNT('02_Benchmarks'!$J266:$M266)&lt;4),"",IF($G266="lower_is_better",IF($J266&lt;='02_Benchmarks'!$J266,3,IF($J266&lt;'02_Benchmarks'!$K266,2,IF($J266&lt;='02_Benchmarks'!$L266,0,IF($J266&lt;='02_Benchmarks'!$M266,-2,-3)))),IF($J266&gt;='02_Benchmarks'!$J266,3,IF($J266&gt;'02_Benchmarks'!$K266,2,IF($J266&gt;='02_Benchmarks'!$L266,0,IF($J266&gt;='02_Benchmarks'!$M266,-2,-3)))))))</x:f>
      </x:c>
      <x:c r="P266" s="58" t="str">
        <x:f>IF(COUNT($N266:$O266)+IF(ISNUMBER($K266),1,0)=0,"",MIN($N266:$O266,$K266))</x:f>
      </x:c>
      <x:c r="Q266" s="58" t="str">
        <x:f>IF($P266="","",INDEX('04_Tarifmodell'!$B$6:$B$12,$P266+4))</x:f>
      </x:c>
      <x:c r="R266" s="64" t="str">
        <x:f>IF($P266="","",INDEX('04_Tarifmodell'!$C$6:$C$12,$P266+4))</x:f>
      </x:c>
      <x:c r="S266" s="14" t="str">
        <x:f>IF(OR($I266="QUALITATIVE",$I266="MANUAL_HYBRID"),IF($K266="","Assurance-Score fehlt","Assurance-bewertet"),IF($I266="BENCHMARK",IF($W266&lt;&gt;"Aktiv",IF($K266="","Benchmark fehlt","Assurance-bewertet"),IF($J266="","Messwert fehlt",IF($P266="","Nicht bewertbar","Berechnet"))),IF(AND($J266="",$K266&lt;&gt;""),"Nur Assurance-Score",IF($J266="","Messwert fehlt",IF($P266="","Nicht bewertbar",IF($P266&lt;=-2,"Kritische Wirkung / Prüfung","Berechnet"))))))</x:f>
        <x:v>Messwert fehlt</x:v>
      </x:c>
      <x:c r="T266" s="14" t="str">
        <x:v>Vollständige fünfstufige numerische Regel.</x:v>
      </x:c>
      <x:c r="U266" s="14" t="str">
        <x:v>≥90:+3; 70–89:+2; 50–69:0; 30–49:‑2; &lt;30:‑3</x:v>
      </x:c>
      <x:c r="V266" s="14" t="str">
        <x:v>ESRS S2; GRI 308/414/408/409</x:v>
      </x:c>
      <x:c r="W266" s="14" t="str">
        <x:f>'02_Benchmarks'!$P266</x:f>
        <x:v>Optional – kein aktiver Benchmark</x:v>
      </x:c>
      <x:c r="X266" s="14" t="str">
        <x:v>Messgrundlage belegt; Schwellenkalibrierung offen</x:v>
      </x:c>
      <x:c r="Y266" s="14" t="str">
        <x:v>Mittel</x:v>
      </x:c>
      <x:c r="Z266" s="14" t="str">
        <x:v>Arbeitskalibrierung – fachlich zu validieren</x:v>
      </x:c>
      <x:c r="AA266" s="14" t="str">
        <x:v>Vorgelagerte Lieferkette; relevante Tier-Stufen und Beschaffungsvolumen</x:v>
      </x:c>
      <x:c r="AB266" s="14" t="str">
        <x:v>Primärdaten bevorzugt; Sekundärdaten nur transparent und versioniert; Methode und Systemgrenze dokumentieren</x:v>
      </x:c>
      <x:c r="AC266" s="14" t="str">
        <x:v>Limited Assurance; risikobasiert höhere Prüftiefe</x:v>
      </x:c>
    </x:row>
    <x:row r="267" ht="42" customHeight="1">
      <x:c r="A267" s="14" t="str">
        <x:v>WOK-SC-123</x:v>
      </x:c>
      <x:c r="B267" s="14" t="str">
        <x:v>SDG 10 – Ungleichheiten</x:v>
      </x:c>
      <x:c r="C267" s="14" t="str">
        <x:v>10.b</x:v>
      </x:c>
      <x:c r="D267" s="14" t="str">
        <x:v>Fairer Zugang Lieferanten (SME)</x:v>
      </x:c>
      <x:c r="E267" s="14" t="str">
        <x:v>Fairer Zugang Lieferanten (SME) – Kinder/Zwangsarbeit</x:v>
      </x:c>
      <x:c r="F267" s="14" t="str">
        <x:v>% Lieferanten</x:v>
      </x:c>
      <x:c r="G267" s="14" t="str">
        <x:v>higher_is_better</x:v>
      </x:c>
      <x:c r="H267" s="14" t="str">
        <x:v>R28</x:v>
      </x:c>
      <x:c r="I267" s="14" t="str">
        <x:v>NUM_HIGH</x:v>
      </x:c>
      <x:c r="J267" s="51"/>
      <x:c r="K267" s="51"/>
      <x:c r="L267" s="51"/>
      <x:c r="M267" s="54"/>
      <x:c r="N267" s="58" t="str">
        <x:f>IF($J267="","",IF($J267&lt;50,-3,IF($J267&lt;75,-2,IF($J267&lt;90,0,IF($J267&lt;98,2,3)))))</x:f>
      </x:c>
      <x:c r="O267" s="58" t="str">
        <x:f>IF($J267="","",IF(OR('02_Benchmarks'!$P267&lt;&gt;"Aktiv",COUNT('02_Benchmarks'!$J267:$M267)&lt;4),"",IF($G267="lower_is_better",IF($J267&lt;='02_Benchmarks'!$J267,3,IF($J267&lt;'02_Benchmarks'!$K267,2,IF($J267&lt;='02_Benchmarks'!$L267,0,IF($J267&lt;='02_Benchmarks'!$M267,-2,-3)))),IF($J267&gt;='02_Benchmarks'!$J267,3,IF($J267&gt;'02_Benchmarks'!$K267,2,IF($J267&gt;='02_Benchmarks'!$L267,0,IF($J267&gt;='02_Benchmarks'!$M267,-2,-3)))))))</x:f>
      </x:c>
      <x:c r="P267" s="58" t="str">
        <x:f>IF(COUNT($N267:$O267)+IF(ISNUMBER($K267),1,0)=0,"",MIN($N267:$O267,$K267))</x:f>
      </x:c>
      <x:c r="Q267" s="58" t="str">
        <x:f>IF($P267="","",INDEX('04_Tarifmodell'!$B$6:$B$12,$P267+4))</x:f>
      </x:c>
      <x:c r="R267" s="64" t="str">
        <x:f>IF($P267="","",INDEX('04_Tarifmodell'!$C$6:$C$12,$P267+4))</x:f>
      </x:c>
      <x:c r="S267" s="14" t="str">
        <x:f>IF(OR($I267="QUALITATIVE",$I267="MANUAL_HYBRID"),IF($K267="","Assurance-Score fehlt","Assurance-bewertet"),IF($I267="BENCHMARK",IF($W267&lt;&gt;"Aktiv",IF($K267="","Benchmark fehlt","Assurance-bewertet"),IF($J267="","Messwert fehlt",IF($P267="","Nicht bewertbar","Berechnet"))),IF(AND($J267="",$K267&lt;&gt;""),"Nur Assurance-Score",IF($J267="","Messwert fehlt",IF($P267="","Nicht bewertbar",IF($P267&lt;=-2,"Kritische Wirkung / Prüfung","Berechnet"))))))</x:f>
        <x:v>Messwert fehlt</x:v>
      </x:c>
      <x:c r="T267" s="14" t="str">
        <x:v>Vollständige fünfstufige numerische Regel.</x:v>
      </x:c>
      <x:c r="U267" s="14" t="str">
        <x:v>≥98:+3; 90–97:+2; 75–89:0; 50–74:‑2; &lt;50:‑3</x:v>
      </x:c>
      <x:c r="V267" s="14" t="str">
        <x:v>ESRS S2, GRI 308/414, OECD Due Diligence</x:v>
      </x:c>
      <x:c r="W267" s="14" t="str">
        <x:f>'02_Benchmarks'!$P267</x:f>
        <x:v>Optional – kein aktiver Benchmark</x:v>
      </x:c>
      <x:c r="X267" s="14" t="str">
        <x:v>Messgrundlage belegt; Schwellenkalibrierung offen</x:v>
      </x:c>
      <x:c r="Y267" s="14" t="str">
        <x:v>Mittel</x:v>
      </x:c>
      <x:c r="Z267" s="14" t="str">
        <x:v>Arbeitskalibrierung – fachlich zu validieren</x:v>
      </x:c>
      <x:c r="AA267" s="14" t="str">
        <x:v>Vorgelagerte Lieferkette; relevante Tier-Stufen und Beschaffungsvolumen</x:v>
      </x:c>
      <x:c r="AB267" s="14" t="str">
        <x:v>Primärdaten bevorzugt; Sekundärdaten nur transparent und versioniert; Methode und Systemgrenze dokumentieren</x:v>
      </x:c>
      <x:c r="AC267" s="14" t="str">
        <x:v>Limited Assurance; risikobasiert höhere Prüftiefe</x:v>
      </x:c>
    </x:row>
    <x:row r="268" ht="42" customHeight="1">
      <x:c r="A268" s="14" t="str">
        <x:v>WOK-SC-124</x:v>
      </x:c>
      <x:c r="B268" s="14" t="str">
        <x:v>SDG 10 – Ungleichheiten</x:v>
      </x:c>
      <x:c r="C268" s="14" t="str">
        <x:v>10.b</x:v>
      </x:c>
      <x:c r="D268" s="14" t="str">
        <x:v>Fairer Zugang Lieferanten (SME)</x:v>
      </x:c>
      <x:c r="E268" s="14" t="str">
        <x:v>Fairer Zugang Lieferanten (SME) – Scope‑3 Daten</x:v>
      </x:c>
      <x:c r="F268" s="14" t="str">
        <x:v>% Kategorien</x:v>
      </x:c>
      <x:c r="G268" s="14" t="str">
        <x:v>higher_is_better</x:v>
      </x:c>
      <x:c r="H268" s="14" t="str">
        <x:v>R23</x:v>
      </x:c>
      <x:c r="I268" s="14" t="str">
        <x:v>NUM_HIGH</x:v>
      </x:c>
      <x:c r="J268" s="51"/>
      <x:c r="K268" s="51"/>
      <x:c r="L268" s="51"/>
      <x:c r="M268" s="54"/>
      <x:c r="N268" s="58" t="str">
        <x:f>IF($J268="","",IF($J268&lt;20,-3,IF($J268&lt;40,-2,IF($J268&lt;60,0,IF($J268&lt;80,2,3)))))</x:f>
      </x:c>
      <x:c r="O268" s="58" t="str">
        <x:f>IF($J268="","",IF(OR('02_Benchmarks'!$P268&lt;&gt;"Aktiv",COUNT('02_Benchmarks'!$J268:$M268)&lt;4),"",IF($G268="lower_is_better",IF($J268&lt;='02_Benchmarks'!$J268,3,IF($J268&lt;'02_Benchmarks'!$K268,2,IF($J268&lt;='02_Benchmarks'!$L268,0,IF($J268&lt;='02_Benchmarks'!$M268,-2,-3)))),IF($J268&gt;='02_Benchmarks'!$J268,3,IF($J268&gt;'02_Benchmarks'!$K268,2,IF($J268&gt;='02_Benchmarks'!$L268,0,IF($J268&gt;='02_Benchmarks'!$M268,-2,-3)))))))</x:f>
      </x:c>
      <x:c r="P268" s="58" t="str">
        <x:f>IF(COUNT($N268:$O268)+IF(ISNUMBER($K268),1,0)=0,"",MIN($N268:$O268,$K268))</x:f>
      </x:c>
      <x:c r="Q268" s="58" t="str">
        <x:f>IF($P268="","",INDEX('04_Tarifmodell'!$B$6:$B$12,$P268+4))</x:f>
      </x:c>
      <x:c r="R268" s="64" t="str">
        <x:f>IF($P268="","",INDEX('04_Tarifmodell'!$C$6:$C$12,$P268+4))</x:f>
      </x:c>
      <x:c r="S268" s="14" t="str">
        <x:f>IF(OR($I268="QUALITATIVE",$I268="MANUAL_HYBRID"),IF($K268="","Assurance-Score fehlt","Assurance-bewertet"),IF($I268="BENCHMARK",IF($W268&lt;&gt;"Aktiv",IF($K268="","Benchmark fehlt","Assurance-bewertet"),IF($J268="","Messwert fehlt",IF($P268="","Nicht bewertbar","Berechnet"))),IF(AND($J268="",$K268&lt;&gt;""),"Nur Assurance-Score",IF($J268="","Messwert fehlt",IF($P268="","Nicht bewertbar",IF($P268&lt;=-2,"Kritische Wirkung / Prüfung","Berechnet"))))))</x:f>
        <x:v>Messwert fehlt</x:v>
      </x:c>
      <x:c r="T268" s="14" t="str">
        <x:v>Vollständige fünfstufige numerische Regel.</x:v>
      </x:c>
      <x:c r="U268" s="14" t="str">
        <x:v>≥80:+3; 60–79:+2; 40–59:0; 20–39:‑2; &lt;20:‑3</x:v>
      </x:c>
      <x:c r="V268" s="14" t="str">
        <x:v>ESRS E1, GHG Protocol (Corporate/Scope 1–3), ISO 14064/14067</x:v>
      </x:c>
      <x:c r="W268" s="14" t="str">
        <x:f>'02_Benchmarks'!$P268</x:f>
        <x:v>Optional – kein aktiver Benchmark</x:v>
      </x:c>
      <x:c r="X268" s="14" t="str">
        <x:v>Messgrundlage belegt; Schwellenkalibrierung offen</x:v>
      </x:c>
      <x:c r="Y268" s="14" t="str">
        <x:v>Mittel</x:v>
      </x:c>
      <x:c r="Z268" s="14" t="str">
        <x:v>Arbeitskalibrierung – fachlich zu validieren</x:v>
      </x:c>
      <x:c r="AA268" s="14" t="str">
        <x:v>Vorgelagerte Lieferkette; relevante Tier-Stufen und Beschaffungsvolumen</x:v>
      </x:c>
      <x:c r="AB268" s="14" t="str">
        <x:v>Primärdaten bevorzugt; Sekundärdaten nur transparent und versioniert; Methode und Systemgrenze dokumentieren</x:v>
      </x:c>
      <x:c r="AC268" s="14" t="str">
        <x:v>Limited Assurance; risikobasiert höhere Prüftiefe</x:v>
      </x:c>
    </x:row>
    <x:row r="269" ht="42" customHeight="1">
      <x:c r="A269" s="14" t="str">
        <x:v>WOK-SYS-128</x:v>
      </x:c>
      <x:c r="B269" s="14" t="str">
        <x:v>SDG 10 – Ungleichheiten</x:v>
      </x:c>
      <x:c r="C269" s="14" t="str">
        <x:v>10.2</x:v>
      </x:c>
      <x:c r="D269" s="14" t="str">
        <x:v>Regionale Gerechtigkeit</x:v>
      </x:c>
      <x:c r="E269" s="14" t="str">
        <x:v>Regionale Gerechtigkeit – Index</x:v>
      </x:c>
      <x:c r="F269" s="14" t="str">
        <x:v>0–1</x:v>
      </x:c>
      <x:c r="G269" s="14" t="str">
        <x:v>higher_is_better</x:v>
      </x:c>
      <x:c r="H269" s="14" t="str">
        <x:v>R15</x:v>
      </x:c>
      <x:c r="I269" s="14" t="str">
        <x:v>NUM_HIGH</x:v>
      </x:c>
      <x:c r="J269" s="51"/>
      <x:c r="K269" s="51"/>
      <x:c r="L269" s="51"/>
      <x:c r="M269" s="54"/>
      <x:c r="N269" s="58" t="str">
        <x:f>IF($J269="","",IF($J269&lt;0.5,-3,IF($J269&lt;0.6,-2,IF($J269&lt;0.7,0,IF($J269&lt;0.8,2,3)))))</x:f>
      </x:c>
      <x:c r="O269" s="58" t="str">
        <x:f>IF($J269="","",IF(OR('02_Benchmarks'!$P269&lt;&gt;"Aktiv",COUNT('02_Benchmarks'!$J269:$M269)&lt;4),"",IF($G269="lower_is_better",IF($J269&lt;='02_Benchmarks'!$J269,3,IF($J269&lt;'02_Benchmarks'!$K269,2,IF($J269&lt;='02_Benchmarks'!$L269,0,IF($J269&lt;='02_Benchmarks'!$M269,-2,-3)))),IF($J269&gt;='02_Benchmarks'!$J269,3,IF($J269&gt;'02_Benchmarks'!$K269,2,IF($J269&gt;='02_Benchmarks'!$L269,0,IF($J269&gt;='02_Benchmarks'!$M269,-2,-3)))))))</x:f>
      </x:c>
      <x:c r="P269" s="58" t="str">
        <x:f>IF(COUNT($N269:$O269)+IF(ISNUMBER($K269),1,0)=0,"",MIN($N269:$O269,$K269))</x:f>
      </x:c>
      <x:c r="Q269" s="58" t="str">
        <x:f>IF($P269="","",INDEX('04_Tarifmodell'!$B$6:$B$12,$P269+4))</x:f>
      </x:c>
      <x:c r="R269" s="64" t="str">
        <x:f>IF($P269="","",INDEX('04_Tarifmodell'!$C$6:$C$12,$P269+4))</x:f>
      </x:c>
      <x:c r="S269" s="14" t="str">
        <x:f>IF(OR($I269="QUALITATIVE",$I269="MANUAL_HYBRID"),IF($K269="","Assurance-Score fehlt","Assurance-bewertet"),IF($I269="BENCHMARK",IF($W269&lt;&gt;"Aktiv",IF($K269="","Benchmark fehlt","Assurance-bewertet"),IF($J269="","Messwert fehlt",IF($P269="","Nicht bewertbar","Berechnet"))),IF(AND($J269="",$K269&lt;&gt;""),"Nur Assurance-Score",IF($J269="","Messwert fehlt",IF($P269="","Nicht bewertbar",IF($P269&lt;=-2,"Kritische Wirkung / Prüfung","Berechnet"))))))</x:f>
        <x:v>Messwert fehlt</x:v>
      </x:c>
      <x:c r="T269" s="14" t="str">
        <x:v>SROI/SDG 17 ist keine hinreichend konkrete Mess- oder Schwellenquelle. Vollständige fünfstufige numerische Regel.</x:v>
      </x:c>
      <x:c r="U269" s="14" t="str">
        <x:v>≥0,8:+3; 0,7–0,79:+2; 0,6–0,69:0; 0,5–0,59:‑2; &lt;0,5:‑3</x:v>
      </x:c>
      <x:c r="V269" s="14" t="str">
        <x:v>SDG 16/17, WJP, V‑Dem</x:v>
      </x:c>
      <x:c r="W269" s="14" t="str">
        <x:f>'02_Benchmarks'!$P269</x:f>
        <x:v>Optional – kein aktiver Benchmark</x:v>
      </x:c>
      <x:c r="X269" s="14" t="str">
        <x:v>Platzhalter – fachliche Operationalisierung offen</x:v>
      </x:c>
      <x:c r="Y269" s="14" t="str">
        <x:v>Kritisch</x:v>
      </x:c>
      <x:c r="Z269" s="14" t="str">
        <x:v>Arbeitskalibrierung – fachlich zu validieren</x:v>
      </x:c>
      <x:c r="AA269" s="14" t="str">
        <x:v>Programm/Portfolio/Systemraum; Empfängergruppe, Region und Zeitraum explizit definieren</x:v>
      </x:c>
      <x:c r="AB269" s="14" t="str">
        <x:v>Primärdaten bevorzugt; Sekundärdaten nur transparent und versioniert; Methode und Systemgrenze dokumentieren</x:v>
      </x:c>
      <x:c r="AC269" s="14" t="str">
        <x:v>Limited Assurance; risikobasiert höhere Prüftiefe</x:v>
      </x:c>
    </x:row>
    <x:row r="270" ht="42" customHeight="1">
      <x:c r="A270" s="14" t="str">
        <x:v>WOK-SYS-129</x:v>
      </x:c>
      <x:c r="B270" s="14" t="str">
        <x:v>SDG 10 – Ungleichheiten</x:v>
      </x:c>
      <x:c r="C270" s="14" t="str">
        <x:v>10.2</x:v>
      </x:c>
      <x:c r="D270" s="14" t="str">
        <x:v>Regionale Gerechtigkeit</x:v>
      </x:c>
      <x:c r="E270" s="14" t="str">
        <x:v>Regionale Gerechtigkeit – Exposure</x:v>
      </x:c>
      <x:c r="F270" s="14" t="str">
        <x:v>%</x:v>
      </x:c>
      <x:c r="G270" s="14" t="str">
        <x:v>lower_is_better</x:v>
      </x:c>
      <x:c r="H270" s="14" t="str">
        <x:v>R13</x:v>
      </x:c>
      <x:c r="I270" s="14" t="str">
        <x:v>NUM_LOW</x:v>
      </x:c>
      <x:c r="J270" s="51"/>
      <x:c r="K270" s="51"/>
      <x:c r="L270" s="51"/>
      <x:c r="M270" s="54"/>
      <x:c r="N270" s="58" t="str">
        <x:f>IF($J270="","",IF($J270&lt;=5,3,IF($J270&lt;=10,2,IF($J270&lt;=20,0,IF($J270&lt;=30,-2,-3)))))</x:f>
      </x:c>
      <x:c r="O270" s="58" t="str">
        <x:f>IF($J270="","",IF(OR('02_Benchmarks'!$P270&lt;&gt;"Aktiv",COUNT('02_Benchmarks'!$J270:$M270)&lt;4),"",IF($G270="lower_is_better",IF($J270&lt;='02_Benchmarks'!$J270,3,IF($J270&lt;'02_Benchmarks'!$K270,2,IF($J270&lt;='02_Benchmarks'!$L270,0,IF($J270&lt;='02_Benchmarks'!$M270,-2,-3)))),IF($J270&gt;='02_Benchmarks'!$J270,3,IF($J270&gt;'02_Benchmarks'!$K270,2,IF($J270&gt;='02_Benchmarks'!$L270,0,IF($J270&gt;='02_Benchmarks'!$M270,-2,-3)))))))</x:f>
      </x:c>
      <x:c r="P270" s="58" t="str">
        <x:f>IF(COUNT($N270:$O270)+IF(ISNUMBER($K270),1,0)=0,"",MIN($N270:$O270,$K270))</x:f>
      </x:c>
      <x:c r="Q270" s="58" t="str">
        <x:f>IF($P270="","",INDEX('04_Tarifmodell'!$B$6:$B$12,$P270+4))</x:f>
      </x:c>
      <x:c r="R270" s="64" t="str">
        <x:f>IF($P270="","",INDEX('04_Tarifmodell'!$C$6:$C$12,$P270+4))</x:f>
      </x:c>
      <x:c r="S270" s="14" t="str">
        <x:f>IF(OR($I270="QUALITATIVE",$I270="MANUAL_HYBRID"),IF($K270="","Assurance-Score fehlt","Assurance-bewertet"),IF($I270="BENCHMARK",IF($W270&lt;&gt;"Aktiv",IF($K270="","Benchmark fehlt","Assurance-bewertet"),IF($J270="","Messwert fehlt",IF($P270="","Nicht bewertbar","Berechnet"))),IF(AND($J270="",$K270&lt;&gt;""),"Nur Assurance-Score",IF($J270="","Messwert fehlt",IF($P270="","Nicht bewertbar",IF($P270&lt;=-2,"Kritische Wirkung / Prüfung","Berechnet"))))))</x:f>
        <x:v>Messwert fehlt</x:v>
      </x:c>
      <x:c r="T270" s="14" t="str">
        <x:v>SROI/SDG 17 ist keine hinreichend konkrete Mess- oder Schwellenquelle. Vollständige fünfstufige numerische Regel.</x:v>
      </x:c>
      <x:c r="U270" s="14" t="str">
        <x:v>≤5:+3; 6–10:+2; 11–20:0; 21–30:‑2; &gt;30:‑3</x:v>
      </x:c>
      <x:c r="V270" s="14" t="str">
        <x:v>SROI/SDG17</x:v>
      </x:c>
      <x:c r="W270" s="14" t="str">
        <x:f>'02_Benchmarks'!$P270</x:f>
        <x:v>Optional – kein aktiver Benchmark</x:v>
      </x:c>
      <x:c r="X270" s="14" t="str">
        <x:v>Platzhalter – fachliche Operationalisierung offen</x:v>
      </x:c>
      <x:c r="Y270" s="14" t="str">
        <x:v>Kritisch</x:v>
      </x:c>
      <x:c r="Z270" s="14" t="str">
        <x:v>Arbeitskalibrierung – fachlich zu validieren</x:v>
      </x:c>
      <x:c r="AA270" s="14" t="str">
        <x:v>Programm/Portfolio/Systemraum; Empfängergruppe, Region und Zeitraum explizit definieren</x:v>
      </x:c>
      <x:c r="AB270" s="14" t="str">
        <x:v>Primärdaten bevorzugt; Sekundärdaten nur transparent und versioniert; Methode und Systemgrenze dokumentieren</x:v>
      </x:c>
      <x:c r="AC270" s="14" t="str">
        <x:v>Limited Assurance; risikobasiert höhere Prüftiefe</x:v>
      </x:c>
    </x:row>
    <x:row r="271" ht="42" customHeight="1">
      <x:c r="A271" s="14" t="str">
        <x:v>WOK-SYS-130</x:v>
      </x:c>
      <x:c r="B271" s="14" t="str">
        <x:v>SDG 10 – Ungleichheiten</x:v>
      </x:c>
      <x:c r="C271" s="14" t="str">
        <x:v>10.2</x:v>
      </x:c>
      <x:c r="D271" s="14" t="str">
        <x:v>Regionale Gerechtigkeit</x:v>
      </x:c>
      <x:c r="E271" s="14" t="str">
        <x:v>Regionale Gerechtigkeit – Kooperationen</x:v>
      </x:c>
      <x:c r="F271" s="14" t="str">
        <x:v>#/Jahr</x:v>
      </x:c>
      <x:c r="G271" s="14" t="str">
        <x:v>higher_is_better</x:v>
      </x:c>
      <x:c r="H271" s="14" t="str">
        <x:v>R20</x:v>
      </x:c>
      <x:c r="I271" s="14" t="str">
        <x:v>NUM_HIGH</x:v>
      </x:c>
      <x:c r="J271" s="51"/>
      <x:c r="K271" s="51"/>
      <x:c r="L271" s="51"/>
      <x:c r="M271" s="54"/>
      <x:c r="N271" s="58" t="str">
        <x:f>IF($J271="","",IF($J271&lt;0,-3,IF($J271&lt;1,-2,IF($J271&lt;3,0,IF($J271&lt;5,2,3)))))</x:f>
      </x:c>
      <x:c r="O271" s="58" t="str">
        <x:f>IF($J271="","",IF(OR('02_Benchmarks'!$P271&lt;&gt;"Aktiv",COUNT('02_Benchmarks'!$J271:$M271)&lt;4),"",IF($G271="lower_is_better",IF($J271&lt;='02_Benchmarks'!$J271,3,IF($J271&lt;'02_Benchmarks'!$K271,2,IF($J271&lt;='02_Benchmarks'!$L271,0,IF($J271&lt;='02_Benchmarks'!$M271,-2,-3)))),IF($J271&gt;='02_Benchmarks'!$J271,3,IF($J271&gt;'02_Benchmarks'!$K271,2,IF($J271&gt;='02_Benchmarks'!$L271,0,IF($J271&gt;='02_Benchmarks'!$M271,-2,-3)))))))</x:f>
      </x:c>
      <x:c r="P271" s="58" t="str">
        <x:f>IF(COUNT($N271:$O271)+IF(ISNUMBER($K271),1,0)=0,"",MIN($N271:$O271,$K271))</x:f>
      </x:c>
      <x:c r="Q271" s="58" t="str">
        <x:f>IF($P271="","",INDEX('04_Tarifmodell'!$B$6:$B$12,$P271+4))</x:f>
      </x:c>
      <x:c r="R271" s="64" t="str">
        <x:f>IF($P271="","",INDEX('04_Tarifmodell'!$C$6:$C$12,$P271+4))</x:f>
      </x:c>
      <x:c r="S271" s="14" t="str">
        <x:f>IF(OR($I271="QUALITATIVE",$I271="MANUAL_HYBRID"),IF($K271="","Assurance-Score fehlt","Assurance-bewertet"),IF($I271="BENCHMARK",IF($W271&lt;&gt;"Aktiv",IF($K271="","Benchmark fehlt","Assurance-bewertet"),IF($J271="","Messwert fehlt",IF($P271="","Nicht bewertbar","Berechnet"))),IF(AND($J271="",$K271&lt;&gt;""),"Nur Assurance-Score",IF($J271="","Messwert fehlt",IF($P271="","Nicht bewertbar",IF($P271&lt;=-2,"Kritische Wirkung / Prüfung","Berechnet"))))))</x:f>
        <x:v>Messwert fehlt</x:v>
      </x:c>
      <x:c r="T271" s="14" t="str">
        <x:v>SROI/SDG 17 ist keine hinreichend konkrete Mess- oder Schwellenquelle. Für sachlogisch nichtnegative Zählwerte ist 0 die schlechteste reguläre Klasse (−2).</x:v>
      </x:c>
      <x:c r="U271" s="14" t="str">
        <x:v>≥5:+3; 3–4:+2; 1–2:0; 0:‑2</x:v>
      </x:c>
      <x:c r="V271" s="14" t="str">
        <x:v>SDG 16/17, WJP, V‑Dem</x:v>
      </x:c>
      <x:c r="W271" s="14" t="str">
        <x:f>'02_Benchmarks'!$P271</x:f>
        <x:v>Optional – kein aktiver Benchmark</x:v>
      </x:c>
      <x:c r="X271" s="14" t="str">
        <x:v>Platzhalter – fachliche Operationalisierung offen</x:v>
      </x:c>
      <x:c r="Y271" s="14" t="str">
        <x:v>Kritisch</x:v>
      </x:c>
      <x:c r="Z271" s="14" t="str">
        <x:v>Klasse −3 nur für negative/unzulässige Werte ergänzt</x:v>
      </x:c>
      <x:c r="AA271" s="14" t="str">
        <x:v>Programm/Portfolio/Systemraum; Empfängergruppe, Region und Zeitraum explizit definieren</x:v>
      </x:c>
      <x:c r="AB271" s="14" t="str">
        <x:v>Primärdaten bevorzugt; Sekundärdaten nur transparent und versioniert; Methode und Systemgrenze dokumentieren</x:v>
      </x:c>
      <x:c r="AC271" s="14" t="str">
        <x:v>Limited Assurance; risikobasiert höhere Prüftiefe</x:v>
      </x:c>
    </x:row>
    <x:row r="272" ht="42" customHeight="1">
      <x:c r="A272" s="14" t="str">
        <x:v>WOK-G-155</x:v>
      </x:c>
      <x:c r="B272" s="14" t="str">
        <x:v>SDG 10 – Ungleichheiten</x:v>
      </x:c>
      <x:c r="C272" s="14" t="str">
        <x:v>10.3</x:v>
      </x:c>
      <x:c r="D272" s="14" t="str">
        <x:v>Responsible Marketing (keine Exklusion)</x:v>
      </x:c>
      <x:c r="E272" s="14" t="str">
        <x:v>Responsible Marketing (keine Exklusion) – Antikorruption</x:v>
      </x:c>
      <x:c r="F272" s="14" t="str">
        <x:v>Fälle/1.000 FTE</x:v>
      </x:c>
      <x:c r="G272" s="14" t="str">
        <x:v>lower_is_better</x:v>
      </x:c>
      <x:c r="H272" s="14" t="str">
        <x:v>R01</x:v>
      </x:c>
      <x:c r="I272" s="14" t="str">
        <x:v>NUM_LOW</x:v>
      </x:c>
      <x:c r="J272" s="51"/>
      <x:c r="K272" s="51"/>
      <x:c r="L272" s="51"/>
      <x:c r="M272" s="54"/>
      <x:c r="N272" s="58" t="str">
        <x:f>IF($J272="","",IF($J272&lt;=0,3,IF($J272&lt;=0.2,2,IF($J272&lt;=0.5,0,IF($J272&lt;=1,-2,-3)))))</x:f>
      </x:c>
      <x:c r="O272" s="58" t="str">
        <x:f>IF($J272="","",IF(OR('02_Benchmarks'!$P272&lt;&gt;"Aktiv",COUNT('02_Benchmarks'!$J272:$M272)&lt;4),"",IF($G272="lower_is_better",IF($J272&lt;='02_Benchmarks'!$J272,3,IF($J272&lt;'02_Benchmarks'!$K272,2,IF($J272&lt;='02_Benchmarks'!$L272,0,IF($J272&lt;='02_Benchmarks'!$M272,-2,-3)))),IF($J272&gt;='02_Benchmarks'!$J272,3,IF($J272&gt;'02_Benchmarks'!$K272,2,IF($J272&gt;='02_Benchmarks'!$L272,0,IF($J272&gt;='02_Benchmarks'!$M272,-2,-3)))))))</x:f>
      </x:c>
      <x:c r="P272" s="58" t="str">
        <x:f>IF(COUNT($N272:$O272)+IF(ISNUMBER($K272),1,0)=0,"",MIN($N272:$O272,$K272))</x:f>
      </x:c>
      <x:c r="Q272" s="58" t="str">
        <x:f>IF($P272="","",INDEX('04_Tarifmodell'!$B$6:$B$12,$P272+4))</x:f>
      </x:c>
      <x:c r="R272" s="64" t="str">
        <x:f>IF($P272="","",INDEX('04_Tarifmodell'!$C$6:$C$12,$P272+4))</x:f>
      </x:c>
      <x:c r="S272" s="14" t="str">
        <x:f>IF(OR($I272="QUALITATIVE",$I272="MANUAL_HYBRID"),IF($K272="","Assurance-Score fehlt","Assurance-bewertet"),IF($I272="BENCHMARK",IF($W272&lt;&gt;"Aktiv",IF($K272="","Benchmark fehlt","Assurance-bewertet"),IF($J272="","Messwert fehlt",IF($P272="","Nicht bewertbar","Berechnet"))),IF(AND($J272="",$K272&lt;&gt;""),"Nur Assurance-Score",IF($J272="","Messwert fehlt",IF($P272="","Nicht bewertbar",IF($P272&lt;=-2,"Kritische Wirkung / Prüfung","Berechnet"))))))</x:f>
        <x:v>Messwert fehlt</x:v>
      </x:c>
      <x:c r="T272" s="14" t="str">
        <x:v>Vollständige fünfstufige numerische Regel.</x:v>
      </x:c>
      <x:c r="U272" s="14" t="str">
        <x:v>0:+3; ≤0,2:+2; ≤0,5:0; ≤1:‑2; &gt;1:‑3</x:v>
      </x:c>
      <x:c r="V272" s="14" t="str">
        <x:v>ESRS G1, GRI 205/207, OECD Anti‑Bribery</x:v>
      </x:c>
      <x:c r="W272" s="14" t="str">
        <x:f>'02_Benchmarks'!$P272</x:f>
        <x:v>Optional – kein aktiver Benchmark</x:v>
      </x:c>
      <x:c r="X272" s="14" t="str">
        <x:v>Messgrundlage belegt; Schwellenkalibrierung offen</x:v>
      </x:c>
      <x:c r="Y272" s="14" t="str">
        <x:v>Mittel</x:v>
      </x:c>
      <x:c r="Z272" s="14" t="str">
        <x:v>Arbeitskalibrierung – fachlich zu validieren</x:v>
      </x:c>
      <x:c r="AA272" s="14" t="str">
        <x:v>Organisation/Governance; konsolidierter Kreis und relevante Rechtseinheiten</x:v>
      </x:c>
      <x:c r="AB272" s="14" t="str">
        <x:v>Primärdaten bevorzugt; Sekundärdaten nur transparent und versioniert; Methode und Systemgrenze dokumentieren</x:v>
      </x:c>
      <x:c r="AC272" s="14" t="str">
        <x:v>Limited Assurance; risikobasiert höhere Prüftiefe</x:v>
      </x:c>
    </x:row>
    <x:row r="273" ht="42" customHeight="1">
      <x:c r="A273" s="14" t="str">
        <x:v>WOK-G-156</x:v>
      </x:c>
      <x:c r="B273" s="14" t="str">
        <x:v>SDG 10 – Ungleichheiten</x:v>
      </x:c>
      <x:c r="C273" s="14" t="str">
        <x:v>10.3</x:v>
      </x:c>
      <x:c r="D273" s="14" t="str">
        <x:v>Responsible Marketing (keine Exklusion)</x:v>
      </x:c>
      <x:c r="E273" s="14" t="str">
        <x:v>Responsible Marketing (keine Exklusion) – Whistleblowing</x:v>
      </x:c>
      <x:c r="F273" s="14" t="str">
        <x:v>0–1</x:v>
      </x:c>
      <x:c r="G273" s="14" t="str">
        <x:v>higher_is_better</x:v>
      </x:c>
      <x:c r="H273" s="14" t="str">
        <x:v>R16</x:v>
      </x:c>
      <x:c r="I273" s="14" t="str">
        <x:v>NUM_HIGH</x:v>
      </x:c>
      <x:c r="J273" s="51"/>
      <x:c r="K273" s="51"/>
      <x:c r="L273" s="51"/>
      <x:c r="M273" s="54"/>
      <x:c r="N273" s="58" t="str">
        <x:f>IF($J273="","",IF($J273&lt;0.4,-3,IF($J273&lt;0.6,-2,IF($J273&lt;0.75,0,IF($J273&lt;0.9,2,3)))))</x:f>
      </x:c>
      <x:c r="O273" s="58" t="str">
        <x:f>IF($J273="","",IF(OR('02_Benchmarks'!$P273&lt;&gt;"Aktiv",COUNT('02_Benchmarks'!$J273:$M273)&lt;4),"",IF($G273="lower_is_better",IF($J273&lt;='02_Benchmarks'!$J273,3,IF($J273&lt;'02_Benchmarks'!$K273,2,IF($J273&lt;='02_Benchmarks'!$L273,0,IF($J273&lt;='02_Benchmarks'!$M273,-2,-3)))),IF($J273&gt;='02_Benchmarks'!$J273,3,IF($J273&gt;'02_Benchmarks'!$K273,2,IF($J273&gt;='02_Benchmarks'!$L273,0,IF($J273&gt;='02_Benchmarks'!$M273,-2,-3)))))))</x:f>
      </x:c>
      <x:c r="P273" s="58" t="str">
        <x:f>IF(COUNT($N273:$O273)+IF(ISNUMBER($K273),1,0)=0,"",MIN($N273:$O273,$K273))</x:f>
      </x:c>
      <x:c r="Q273" s="58" t="str">
        <x:f>IF($P273="","",INDEX('04_Tarifmodell'!$B$6:$B$12,$P273+4))</x:f>
      </x:c>
      <x:c r="R273" s="64" t="str">
        <x:f>IF($P273="","",INDEX('04_Tarifmodell'!$C$6:$C$12,$P273+4))</x:f>
      </x:c>
      <x:c r="S273" s="14" t="str">
        <x:f>IF(OR($I273="QUALITATIVE",$I273="MANUAL_HYBRID"),IF($K273="","Assurance-Score fehlt","Assurance-bewertet"),IF($I273="BENCHMARK",IF($W273&lt;&gt;"Aktiv",IF($K273="","Benchmark fehlt","Assurance-bewertet"),IF($J273="","Messwert fehlt",IF($P273="","Nicht bewertbar","Berechnet"))),IF(AND($J273="",$K273&lt;&gt;""),"Nur Assurance-Score",IF($J273="","Messwert fehlt",IF($P273="","Nicht bewertbar",IF($P273&lt;=-2,"Kritische Wirkung / Prüfung","Berechnet"))))))</x:f>
        <x:v>Messwert fehlt</x:v>
      </x:c>
      <x:c r="T273" s="14" t="str">
        <x:v>Vollständige fünfstufige numerische Regel.</x:v>
      </x:c>
      <x:c r="U273" s="14" t="str">
        <x:v>≥0,9:+3; 0,75–0,89:+2; 0,6–0,74:0; 0,4–0,59:‑2; &lt;0,4:‑3</x:v>
      </x:c>
      <x:c r="V273" s="14" t="str">
        <x:v>ESRS G1, GRI 205/207, OECD Anti‑Bribery</x:v>
      </x:c>
      <x:c r="W273" s="14" t="str">
        <x:f>'02_Benchmarks'!$P273</x:f>
        <x:v>Optional – kein aktiver Benchmark</x:v>
      </x:c>
      <x:c r="X273" s="14" t="str">
        <x:v>Messgrundlage belegt; Schwellenkalibrierung offen</x:v>
      </x:c>
      <x:c r="Y273" s="14" t="str">
        <x:v>Mittel</x:v>
      </x:c>
      <x:c r="Z273" s="14" t="str">
        <x:v>Arbeitskalibrierung – fachlich zu validieren</x:v>
      </x:c>
      <x:c r="AA273" s="14" t="str">
        <x:v>Organisation/Governance; konsolidierter Kreis und relevante Rechtseinheiten</x:v>
      </x:c>
      <x:c r="AB273" s="14" t="str">
        <x:v>Primärdaten bevorzugt; Sekundärdaten nur transparent und versioniert; Methode und Systemgrenze dokumentieren</x:v>
      </x:c>
      <x:c r="AC273" s="14" t="str">
        <x:v>Limited Assurance; risikobasiert höhere Prüftiefe</x:v>
      </x:c>
    </x:row>
    <x:row r="274" ht="42" customHeight="1">
      <x:c r="A274" s="14" t="str">
        <x:v>WOK-G-157</x:v>
      </x:c>
      <x:c r="B274" s="14" t="str">
        <x:v>SDG 10 – Ungleichheiten</x:v>
      </x:c>
      <x:c r="C274" s="14" t="str">
        <x:v>10.3</x:v>
      </x:c>
      <x:c r="D274" s="14" t="str">
        <x:v>Responsible Marketing (keine Exklusion)</x:v>
      </x:c>
      <x:c r="E274" s="14" t="str">
        <x:v>Responsible Marketing (keine Exklusion) – Steuertransparenz</x:v>
      </x:c>
      <x:c r="F274" s="14" t="str">
        <x:v>0–1</x:v>
      </x:c>
      <x:c r="G274" s="14" t="str">
        <x:v>higher_is_better</x:v>
      </x:c>
      <x:c r="H274" s="14" t="str">
        <x:v>R08</x:v>
      </x:c>
      <x:c r="I274" s="14" t="str">
        <x:v>QUALITATIVE</x:v>
      </x:c>
      <x:c r="J274" s="51"/>
      <x:c r="K274" s="51"/>
      <x:c r="L274" s="51"/>
      <x:c r="M274" s="54"/>
      <x:c r="N274" s="58" t="str">
        <x:f>""</x:f>
      </x:c>
      <x:c r="O274" s="58" t="str">
        <x:f>IF($J274="","",IF(OR('02_Benchmarks'!$P274&lt;&gt;"Aktiv",COUNT('02_Benchmarks'!$J274:$M274)&lt;4),"",IF($G274="lower_is_better",IF($J274&lt;='02_Benchmarks'!$J274,3,IF($J274&lt;'02_Benchmarks'!$K274,2,IF($J274&lt;='02_Benchmarks'!$L274,0,IF($J274&lt;='02_Benchmarks'!$M274,-2,-3)))),IF($J274&gt;='02_Benchmarks'!$J274,3,IF($J274&gt;'02_Benchmarks'!$K274,2,IF($J274&gt;='02_Benchmarks'!$L274,0,IF($J274&gt;='02_Benchmarks'!$M274,-2,-3)))))))</x:f>
      </x:c>
      <x:c r="P274" s="58" t="str">
        <x:f>IF(COUNT($N274:$O274)+IF(ISNUMBER($K274),1,0)=0,"",MIN($N274:$O274,$K274))</x:f>
      </x:c>
      <x:c r="Q274" s="58" t="str">
        <x:f>IF($P274="","",INDEX('04_Tarifmodell'!$B$6:$B$12,$P274+4))</x:f>
      </x:c>
      <x:c r="R274" s="64" t="str">
        <x:f>IF($P274="","",INDEX('04_Tarifmodell'!$C$6:$C$12,$P274+4))</x:f>
      </x:c>
      <x:c r="S274" s="14" t="str">
        <x:f>IF(OR($I274="QUALITATIVE",$I274="MANUAL_HYBRID"),IF($K274="","Assurance-Score fehlt","Assurance-bewertet"),IF($I274="BENCHMARK",IF($W274&lt;&gt;"Aktiv",IF($K274="","Benchmark fehlt","Assurance-bewertet"),IF($J274="","Messwert fehlt",IF($P274="","Nicht bewertbar","Berechnet"))),IF(AND($J274="",$K274&lt;&gt;""),"Nur Assurance-Score",IF($J274="","Messwert fehlt",IF($P274="","Nicht bewertbar",IF($P274&lt;=-2,"Kritische Wirkung / Prüfung","Berechnet"))))))</x:f>
        <x:v>Assurance-Score fehlt</x:v>
      </x:c>
      <x:c r="T274" s="14" t="str">
        <x:v>Die Kategorie −3 fehlt; Vollständigkeit und Wirksamkeit sind feldspezifisch zu definieren.</x:v>
      </x:c>
      <x:c r="U274" s="14" t="str">
        <x:v>vollständig:+3; teilweise:+2; minimal:0; schlecht:‑2</x:v>
      </x:c>
      <x:c r="V274" s="14" t="str">
        <x:v>ESRS G1, GRI 205/207, OECD Anti‑Bribery</x:v>
      </x:c>
      <x:c r="W274" s="14" t="str">
        <x:f>'02_Benchmarks'!$P274</x:f>
        <x:v>Optional – kein aktiver Benchmark</x:v>
      </x:c>
      <x:c r="X274" s="14" t="str">
        <x:v>Messgrundlage belegt; Schwellenkalibrierung offen</x:v>
      </x:c>
      <x:c r="Y274" s="14" t="str">
        <x:v>Hoch</x:v>
      </x:c>
      <x:c r="Z274" s="14" t="str">
        <x:v>Assurance und Kriterienkatalog erforderlich</x:v>
      </x:c>
      <x:c r="AA274" s="14" t="str">
        <x:v>Organisation/Governance; konsolidierter Kreis und relevante Rechtseinheiten</x:v>
      </x:c>
      <x:c r="AB274" s="14" t="str">
        <x:v>Dokumentierter Kriterienkatalog; nachvollziehbare Evidenz; DQR A/B bevorzugt</x:v>
      </x:c>
      <x:c r="AC274" s="14" t="str">
        <x:v>Unabhängige Fachprüfung/Limited Assurance; bei roten Linien Reasonable Assurance</x:v>
      </x:c>
    </x:row>
    <x:row r="275" ht="42" customHeight="1">
      <x:c r="A275" s="14" t="str">
        <x:v>WOK-RE-116</x:v>
      </x:c>
      <x:c r="B275" s="14" t="str">
        <x:v>SDG 11 – Städte</x:v>
      </x:c>
      <x:c r="C275" s="14" t="str">
        <x:v>11.6</x:v>
      </x:c>
      <x:c r="D275" s="14" t="str">
        <x:v>Gebäudeenergiebedarf</x:v>
      </x:c>
      <x:c r="E275" s="14" t="str">
        <x:v>Gebäudeenergiebedarf – Betriebsenergie</x:v>
      </x:c>
      <x:c r="F275" s="14" t="str">
        <x:v>kWh/m²a</x:v>
      </x:c>
      <x:c r="G275" s="14" t="str">
        <x:v>lower_is_better</x:v>
      </x:c>
      <x:c r="H275" s="14" t="str">
        <x:v>R05</x:v>
      </x:c>
      <x:c r="I275" s="14" t="str">
        <x:v>BENCHMARK</x:v>
      </x:c>
      <x:c r="J275" s="51"/>
      <x:c r="K275" s="51"/>
      <x:c r="L275" s="51"/>
      <x:c r="M275" s="54"/>
      <x:c r="N275" s="58" t="str">
        <x:f>""</x:f>
      </x:c>
      <x:c r="O275" s="58" t="str">
        <x:f>IF($J275="","",IF(OR('02_Benchmarks'!$P275&lt;&gt;"Aktiv",COUNT('02_Benchmarks'!$J275:$M275)&lt;4),"",IF($G275="lower_is_better",IF($J275&lt;='02_Benchmarks'!$J275,3,IF($J275&lt;'02_Benchmarks'!$K275,2,IF($J275&lt;='02_Benchmarks'!$L275,0,IF($J275&lt;='02_Benchmarks'!$M275,-2,-3)))),IF($J275&gt;='02_Benchmarks'!$J275,3,IF($J275&gt;'02_Benchmarks'!$K275,2,IF($J275&gt;='02_Benchmarks'!$L275,0,IF($J275&gt;='02_Benchmarks'!$M275,-2,-3)))))))</x:f>
      </x:c>
      <x:c r="P275" s="58" t="str">
        <x:f>IF(COUNT($N275:$O275)+IF(ISNUMBER($K275),1,0)=0,"",MIN($N275:$O275,$K275))</x:f>
      </x:c>
      <x:c r="Q275" s="58" t="str">
        <x:f>IF($P275="","",INDEX('04_Tarifmodell'!$B$6:$B$12,$P275+4))</x:f>
      </x:c>
      <x:c r="R275" s="64" t="str">
        <x:f>IF($P275="","",INDEX('04_Tarifmodell'!$C$6:$C$12,$P275+4))</x:f>
      </x:c>
      <x:c r="S275" s="14" t="str">
        <x:f>IF(OR($I275="QUALITATIVE",$I275="MANUAL_HYBRID"),IF($K275="","Assurance-Score fehlt","Assurance-bewertet"),IF($I275="BENCHMARK",IF($W275&lt;&gt;"Aktiv",IF($K275="","Benchmark fehlt","Assurance-bewertet"),IF($J275="","Messwert fehlt",IF($P275="","Nicht bewertbar","Berechnet"))),IF(AND($J275="",$K275&lt;&gt;""),"Nur Assurance-Score",IF($J275="","Messwert fehlt",IF($P275="","Nicht bewertbar",IF($P275&lt;=-2,"Kritische Wirkung / Prüfung","Berechnet"))))))</x:f>
        <x:v>Benchmark fehlt</x:v>
      </x:c>
      <x:c r="T275" s="14" t="str">
        <x:v>Die Grenze &gt;+60 % ist derzeit nicht eindeutig in −2/−3 aufgelöst.</x:v>
      </x:c>
      <x:c r="U275" s="14" t="str">
        <x:v>Top 15%:+3; +15–30%:+2; +31–60%:0; &gt;+60%:‑2/‑3</x:v>
      </x:c>
      <x:c r="V275" s="14" t="str">
        <x:v>ESRS E1, ISO 50001 (EnMS), ISO/IEC 30134‑2 (PUE), EU EPBD</x:v>
      </x:c>
      <x:c r="W275" s="14" t="str">
        <x:f>'02_Benchmarks'!$P275</x:f>
        <x:v>Offen – validierter Benchmark fehlt</x:v>
      </x:c>
      <x:c r="X275" s="14" t="str">
        <x:v>Teilbelegt – Benchmarkquelle fehlt</x:v>
      </x:c>
      <x:c r="Y275" s="14" t="str">
        <x:v>Hoch</x:v>
      </x:c>
      <x:c r="Z275" s="14" t="str">
        <x:v>Validierter Benchmark fehlt</x:v>
      </x:c>
      <x:c r="AA275" s="14" t="str">
        <x:v>Gebäude/Standort; Betrieb plus relevante Lebenszyklusmodule</x:v>
      </x:c>
      <x:c r="AB275" s="14" t="str">
        <x:v>Primärdaten plus repräsentativer, versionierter Benchmarkdatensatz; Stichprobe und Population offenlegen</x:v>
      </x:c>
      <x:c r="AC275" s="14" t="str">
        <x:v>Messwert-Assurance und unabhängige Benchmark-Governance</x:v>
      </x:c>
    </x:row>
    <x:row r="276" ht="42" customHeight="1">
      <x:c r="A276" s="14" t="str">
        <x:v>WOK-RE-117</x:v>
      </x:c>
      <x:c r="B276" s="14" t="str">
        <x:v>SDG 11 – Städte</x:v>
      </x:c>
      <x:c r="C276" s="14" t="str">
        <x:v>11.6</x:v>
      </x:c>
      <x:c r="D276" s="14" t="str">
        <x:v>Gebäudeenergiebedarf</x:v>
      </x:c>
      <x:c r="E276" s="14" t="str">
        <x:v>Gebäudeenergiebedarf – Graue Emissionen</x:v>
      </x:c>
      <x:c r="F276" s="14" t="str">
        <x:v>kg CO₂e/m²</x:v>
      </x:c>
      <x:c r="G276" s="14" t="str">
        <x:v>lower_is_better</x:v>
      </x:c>
      <x:c r="H276" s="14" t="str">
        <x:v>R06</x:v>
      </x:c>
      <x:c r="I276" s="14" t="str">
        <x:v>BENCHMARK</x:v>
      </x:c>
      <x:c r="J276" s="51"/>
      <x:c r="K276" s="51"/>
      <x:c r="L276" s="51"/>
      <x:c r="M276" s="54"/>
      <x:c r="N276" s="58" t="str">
        <x:f>""</x:f>
      </x:c>
      <x:c r="O276" s="58" t="str">
        <x:f>IF($J276="","",IF(OR('02_Benchmarks'!$P276&lt;&gt;"Aktiv",COUNT('02_Benchmarks'!$J276:$M276)&lt;4),"",IF($G276="lower_is_better",IF($J276&lt;='02_Benchmarks'!$J276,3,IF($J276&lt;'02_Benchmarks'!$K276,2,IF($J276&lt;='02_Benchmarks'!$L276,0,IF($J276&lt;='02_Benchmarks'!$M276,-2,-3)))),IF($J276&gt;='02_Benchmarks'!$J276,3,IF($J276&gt;'02_Benchmarks'!$K276,2,IF($J276&gt;='02_Benchmarks'!$L276,0,IF($J276&gt;='02_Benchmarks'!$M276,-2,-3)))))))</x:f>
      </x:c>
      <x:c r="P276" s="58" t="str">
        <x:f>IF(COUNT($N276:$O276)+IF(ISNUMBER($K276),1,0)=0,"",MIN($N276:$O276,$K276))</x:f>
      </x:c>
      <x:c r="Q276" s="58" t="str">
        <x:f>IF($P276="","",INDEX('04_Tarifmodell'!$B$6:$B$12,$P276+4))</x:f>
      </x:c>
      <x:c r="R276" s="64" t="str">
        <x:f>IF($P276="","",INDEX('04_Tarifmodell'!$C$6:$C$12,$P276+4))</x:f>
      </x:c>
      <x:c r="S276" s="14" t="str">
        <x:f>IF(OR($I276="QUALITATIVE",$I276="MANUAL_HYBRID"),IF($K276="","Assurance-Score fehlt","Assurance-bewertet"),IF($I276="BENCHMARK",IF($W276&lt;&gt;"Aktiv",IF($K276="","Benchmark fehlt","Assurance-bewertet"),IF($J276="","Messwert fehlt",IF($P276="","Nicht bewertbar","Berechnet"))),IF(AND($J276="",$K276&lt;&gt;""),"Nur Assurance-Score",IF($J276="","Messwert fehlt",IF($P276="","Nicht bewertbar",IF($P276&lt;=-2,"Kritische Wirkung / Prüfung","Berechnet"))))))</x:f>
        <x:v>Benchmark fehlt</x:v>
      </x:c>
      <x:c r="T276" s="14" t="str">
        <x:v>Top-10-Prozent, Mittelwert, 150 % und 250 % müssen aus einer dokumentierten Grundgesamtheit stammen.</x:v>
      </x:c>
      <x:c r="U276" s="14" t="str">
        <x:v>Top‑10%:+3; Mittel:0; &gt;150%:‑2; &gt;250%:‑3</x:v>
      </x:c>
      <x:c r="V276" s="14" t="str">
        <x:v>ESRS E1, GHG Protocol (Corporate/Scope 1–3), ISO 14064/14067</x:v>
      </x:c>
      <x:c r="W276" s="14" t="str">
        <x:f>'02_Benchmarks'!$P276</x:f>
        <x:v>Offen – validierter Benchmark fehlt</x:v>
      </x:c>
      <x:c r="X276" s="14" t="str">
        <x:v>Teilbelegt – Benchmarkquelle fehlt</x:v>
      </x:c>
      <x:c r="Y276" s="14" t="str">
        <x:v>Hoch</x:v>
      </x:c>
      <x:c r="Z276" s="14" t="str">
        <x:v>Validierter Benchmark fehlt</x:v>
      </x:c>
      <x:c r="AA276" s="14" t="str">
        <x:v>Gebäude/Standort; Betrieb plus relevante Lebenszyklusmodule</x:v>
      </x:c>
      <x:c r="AB276" s="14" t="str">
        <x:v>Primärdaten plus repräsentativer, versionierter Benchmarkdatensatz; Stichprobe und Population offenlegen</x:v>
      </x:c>
      <x:c r="AC276" s="14" t="str">
        <x:v>Messwert-Assurance und unabhängige Benchmark-Governance</x:v>
      </x:c>
    </x:row>
    <x:row r="277" ht="42" customHeight="1">
      <x:c r="A277" s="14" t="str">
        <x:v>WOK-RE-118</x:v>
      </x:c>
      <x:c r="B277" s="14" t="str">
        <x:v>SDG 11 – Städte</x:v>
      </x:c>
      <x:c r="C277" s="14" t="str">
        <x:v>11.6</x:v>
      </x:c>
      <x:c r="D277" s="14" t="str">
        <x:v>Gebäudeenergiebedarf</x:v>
      </x:c>
      <x:c r="E277" s="14" t="str">
        <x:v>Gebäudeenergiebedarf – ÖPNV‑Erreichbarkeit</x:v>
      </x:c>
      <x:c r="F277" s="14" t="str">
        <x:v>0–1</x:v>
      </x:c>
      <x:c r="G277" s="14" t="str">
        <x:v>higher_is_better</x:v>
      </x:c>
      <x:c r="H277" s="14" t="str">
        <x:v>R14</x:v>
      </x:c>
      <x:c r="I277" s="14" t="str">
        <x:v>NUM_HIGH</x:v>
      </x:c>
      <x:c r="J277" s="51"/>
      <x:c r="K277" s="51"/>
      <x:c r="L277" s="51"/>
      <x:c r="M277" s="54"/>
      <x:c r="N277" s="58" t="str">
        <x:f>IF($J277="","",IF($J277&lt;0.2,-3,IF($J277&lt;0.4,-2,IF($J277&lt;0.6,0,IF($J277&lt;0.8,2,3)))))</x:f>
      </x:c>
      <x:c r="O277" s="58" t="str">
        <x:f>IF($J277="","",IF(OR('02_Benchmarks'!$P277&lt;&gt;"Aktiv",COUNT('02_Benchmarks'!$J277:$M277)&lt;4),"",IF($G277="lower_is_better",IF($J277&lt;='02_Benchmarks'!$J277,3,IF($J277&lt;'02_Benchmarks'!$K277,2,IF($J277&lt;='02_Benchmarks'!$L277,0,IF($J277&lt;='02_Benchmarks'!$M277,-2,-3)))),IF($J277&gt;='02_Benchmarks'!$J277,3,IF($J277&gt;'02_Benchmarks'!$K277,2,IF($J277&gt;='02_Benchmarks'!$L277,0,IF($J277&gt;='02_Benchmarks'!$M277,-2,-3)))))))</x:f>
      </x:c>
      <x:c r="P277" s="58" t="str">
        <x:f>IF(COUNT($N277:$O277)+IF(ISNUMBER($K277),1,0)=0,"",MIN($N277:$O277,$K277))</x:f>
      </x:c>
      <x:c r="Q277" s="58" t="str">
        <x:f>IF($P277="","",INDEX('04_Tarifmodell'!$B$6:$B$12,$P277+4))</x:f>
      </x:c>
      <x:c r="R277" s="64" t="str">
        <x:f>IF($P277="","",INDEX('04_Tarifmodell'!$C$6:$C$12,$P277+4))</x:f>
      </x:c>
      <x:c r="S277" s="14" t="str">
        <x:f>IF(OR($I277="QUALITATIVE",$I277="MANUAL_HYBRID"),IF($K277="","Assurance-Score fehlt","Assurance-bewertet"),IF($I277="BENCHMARK",IF($W277&lt;&gt;"Aktiv",IF($K277="","Benchmark fehlt","Assurance-bewertet"),IF($J277="","Messwert fehlt",IF($P277="","Nicht bewertbar","Berechnet"))),IF(AND($J277="",$K277&lt;&gt;""),"Nur Assurance-Score",IF($J277="","Messwert fehlt",IF($P277="","Nicht bewertbar",IF($P277&lt;=-2,"Kritische Wirkung / Prüfung","Berechnet"))))))</x:f>
        <x:v>Messwert fehlt</x:v>
      </x:c>
      <x:c r="T277" s="14" t="str">
        <x:v>Konkreten Datenhalter, GIS-Layer, Stichtag und Methodik ergänzen. Vollständige fünfstufige numerische Regel.</x:v>
      </x:c>
      <x:c r="U277" s="14" t="str">
        <x:v>≥0,8:+3; 0,6–0,79:+2; 0,4–0,59:0; 0,2–0,39:‑2; &lt;0,2:‑3</x:v>
      </x:c>
      <x:c r="V277" s="14" t="str">
        <x:v>ESRS E1, ISO 50001 (EnMS), ISO/IEC 30134‑2 (PUE), EU EPBD</x:v>
      </x:c>
      <x:c r="W277" s="14" t="str">
        <x:f>'02_Benchmarks'!$P277</x:f>
        <x:v>Optional – kein aktiver Benchmark</x:v>
      </x:c>
      <x:c r="X277" s="14" t="str">
        <x:v>Platzhalter – konkrete Datenquelle fehlt</x:v>
      </x:c>
      <x:c r="Y277" s="14" t="str">
        <x:v>Hoch</x:v>
      </x:c>
      <x:c r="Z277" s="14" t="str">
        <x:v>Arbeitskalibrierung – fachlich zu validieren</x:v>
      </x:c>
      <x:c r="AA277" s="14" t="str">
        <x:v>Gebäude/Standort; Betrieb plus relevante Lebenszyklusmodule</x:v>
      </x:c>
      <x:c r="AB277" s="14" t="str">
        <x:v>Primärdaten oder qualitätsgesicherte Sekundärdaten; Methode, Zeitraum und Systemgrenze dokumentieren</x:v>
      </x:c>
      <x:c r="AC277" s="14" t="str">
        <x:v>Limited Assurance; bei materieller Steuerwirkung risikobasiert vertiefen</x:v>
      </x:c>
    </x:row>
    <x:row r="278" ht="42" customHeight="1">
      <x:c r="A278" s="14" t="str">
        <x:v>WOK-RE-119</x:v>
      </x:c>
      <x:c r="B278" s="14" t="str">
        <x:v>SDG 11 – Städte</x:v>
      </x:c>
      <x:c r="C278" s="14" t="str">
        <x:v>11.2</x:v>
      </x:c>
      <x:c r="D278" s="14" t="str">
        <x:v>ÖPNV‑Erreichbarkeit</x:v>
      </x:c>
      <x:c r="E278" s="14" t="str">
        <x:v>ÖPNV‑Erreichbarkeit – Betriebsenergie</x:v>
      </x:c>
      <x:c r="F278" s="14" t="str">
        <x:v>kWh/m²a</x:v>
      </x:c>
      <x:c r="G278" s="14" t="str">
        <x:v>lower_is_better</x:v>
      </x:c>
      <x:c r="H278" s="14" t="str">
        <x:v>R05</x:v>
      </x:c>
      <x:c r="I278" s="14" t="str">
        <x:v>BENCHMARK</x:v>
      </x:c>
      <x:c r="J278" s="51"/>
      <x:c r="K278" s="51"/>
      <x:c r="L278" s="51"/>
      <x:c r="M278" s="54"/>
      <x:c r="N278" s="58" t="str">
        <x:f>""</x:f>
      </x:c>
      <x:c r="O278" s="58" t="str">
        <x:f>IF($J278="","",IF(OR('02_Benchmarks'!$P278&lt;&gt;"Aktiv",COUNT('02_Benchmarks'!$J278:$M278)&lt;4),"",IF($G278="lower_is_better",IF($J278&lt;='02_Benchmarks'!$J278,3,IF($J278&lt;'02_Benchmarks'!$K278,2,IF($J278&lt;='02_Benchmarks'!$L278,0,IF($J278&lt;='02_Benchmarks'!$M278,-2,-3)))),IF($J278&gt;='02_Benchmarks'!$J278,3,IF($J278&gt;'02_Benchmarks'!$K278,2,IF($J278&gt;='02_Benchmarks'!$L278,0,IF($J278&gt;='02_Benchmarks'!$M278,-2,-3)))))))</x:f>
      </x:c>
      <x:c r="P278" s="58" t="str">
        <x:f>IF(COUNT($N278:$O278)+IF(ISNUMBER($K278),1,0)=0,"",MIN($N278:$O278,$K278))</x:f>
      </x:c>
      <x:c r="Q278" s="58" t="str">
        <x:f>IF($P278="","",INDEX('04_Tarifmodell'!$B$6:$B$12,$P278+4))</x:f>
      </x:c>
      <x:c r="R278" s="64" t="str">
        <x:f>IF($P278="","",INDEX('04_Tarifmodell'!$C$6:$C$12,$P278+4))</x:f>
      </x:c>
      <x:c r="S278" s="14" t="str">
        <x:f>IF(OR($I278="QUALITATIVE",$I278="MANUAL_HYBRID"),IF($K278="","Assurance-Score fehlt","Assurance-bewertet"),IF($I278="BENCHMARK",IF($W278&lt;&gt;"Aktiv",IF($K278="","Benchmark fehlt","Assurance-bewertet"),IF($J278="","Messwert fehlt",IF($P278="","Nicht bewertbar","Berechnet"))),IF(AND($J278="",$K278&lt;&gt;""),"Nur Assurance-Score",IF($J278="","Messwert fehlt",IF($P278="","Nicht bewertbar",IF($P278&lt;=-2,"Kritische Wirkung / Prüfung","Berechnet"))))))</x:f>
        <x:v>Benchmark fehlt</x:v>
      </x:c>
      <x:c r="T278" s="14" t="str">
        <x:v>Die Grenze &gt;+60 % ist derzeit nicht eindeutig in −2/−3 aufgelöst.</x:v>
      </x:c>
      <x:c r="U278" s="14" t="str">
        <x:v>Top 15%:+3; +15–30%:+2; +31–60%:0; &gt;+60%:‑2/‑3</x:v>
      </x:c>
      <x:c r="V278" s="14" t="str">
        <x:v>ESRS E1, ISO 50001 (EnMS), ISO/IEC 30134‑2 (PUE), EU EPBD</x:v>
      </x:c>
      <x:c r="W278" s="14" t="str">
        <x:f>'02_Benchmarks'!$P278</x:f>
        <x:v>Offen – validierter Benchmark fehlt</x:v>
      </x:c>
      <x:c r="X278" s="14" t="str">
        <x:v>Teilbelegt – Benchmarkquelle fehlt</x:v>
      </x:c>
      <x:c r="Y278" s="14" t="str">
        <x:v>Hoch</x:v>
      </x:c>
      <x:c r="Z278" s="14" t="str">
        <x:v>Validierter Benchmark fehlt</x:v>
      </x:c>
      <x:c r="AA278" s="14" t="str">
        <x:v>Gebäude/Standort; Betrieb plus relevante Lebenszyklusmodule</x:v>
      </x:c>
      <x:c r="AB278" s="14" t="str">
        <x:v>Primärdaten plus repräsentativer, versionierter Benchmarkdatensatz; Stichprobe und Population offenlegen</x:v>
      </x:c>
      <x:c r="AC278" s="14" t="str">
        <x:v>Messwert-Assurance und unabhängige Benchmark-Governance</x:v>
      </x:c>
    </x:row>
    <x:row r="279" ht="42" customHeight="1">
      <x:c r="A279" s="14" t="str">
        <x:v>WOK-RE-120</x:v>
      </x:c>
      <x:c r="B279" s="14" t="str">
        <x:v>SDG 11 – Städte</x:v>
      </x:c>
      <x:c r="C279" s="14" t="str">
        <x:v>11.2</x:v>
      </x:c>
      <x:c r="D279" s="14" t="str">
        <x:v>ÖPNV‑Erreichbarkeit</x:v>
      </x:c>
      <x:c r="E279" s="14" t="str">
        <x:v>ÖPNV‑Erreichbarkeit – Graue Emissionen</x:v>
      </x:c>
      <x:c r="F279" s="14" t="str">
        <x:v>kg CO₂e/m²</x:v>
      </x:c>
      <x:c r="G279" s="14" t="str">
        <x:v>lower_is_better</x:v>
      </x:c>
      <x:c r="H279" s="14" t="str">
        <x:v>R06</x:v>
      </x:c>
      <x:c r="I279" s="14" t="str">
        <x:v>BENCHMARK</x:v>
      </x:c>
      <x:c r="J279" s="51"/>
      <x:c r="K279" s="51"/>
      <x:c r="L279" s="51"/>
      <x:c r="M279" s="54"/>
      <x:c r="N279" s="58" t="str">
        <x:f>""</x:f>
      </x:c>
      <x:c r="O279" s="58" t="str">
        <x:f>IF($J279="","",IF(OR('02_Benchmarks'!$P279&lt;&gt;"Aktiv",COUNT('02_Benchmarks'!$J279:$M279)&lt;4),"",IF($G279="lower_is_better",IF($J279&lt;='02_Benchmarks'!$J279,3,IF($J279&lt;'02_Benchmarks'!$K279,2,IF($J279&lt;='02_Benchmarks'!$L279,0,IF($J279&lt;='02_Benchmarks'!$M279,-2,-3)))),IF($J279&gt;='02_Benchmarks'!$J279,3,IF($J279&gt;'02_Benchmarks'!$K279,2,IF($J279&gt;='02_Benchmarks'!$L279,0,IF($J279&gt;='02_Benchmarks'!$M279,-2,-3)))))))</x:f>
      </x:c>
      <x:c r="P279" s="58" t="str">
        <x:f>IF(COUNT($N279:$O279)+IF(ISNUMBER($K279),1,0)=0,"",MIN($N279:$O279,$K279))</x:f>
      </x:c>
      <x:c r="Q279" s="58" t="str">
        <x:f>IF($P279="","",INDEX('04_Tarifmodell'!$B$6:$B$12,$P279+4))</x:f>
      </x:c>
      <x:c r="R279" s="64" t="str">
        <x:f>IF($P279="","",INDEX('04_Tarifmodell'!$C$6:$C$12,$P279+4))</x:f>
      </x:c>
      <x:c r="S279" s="14" t="str">
        <x:f>IF(OR($I279="QUALITATIVE",$I279="MANUAL_HYBRID"),IF($K279="","Assurance-Score fehlt","Assurance-bewertet"),IF($I279="BENCHMARK",IF($W279&lt;&gt;"Aktiv",IF($K279="","Benchmark fehlt","Assurance-bewertet"),IF($J279="","Messwert fehlt",IF($P279="","Nicht bewertbar","Berechnet"))),IF(AND($J279="",$K279&lt;&gt;""),"Nur Assurance-Score",IF($J279="","Messwert fehlt",IF($P279="","Nicht bewertbar",IF($P279&lt;=-2,"Kritische Wirkung / Prüfung","Berechnet"))))))</x:f>
        <x:v>Benchmark fehlt</x:v>
      </x:c>
      <x:c r="T279" s="14" t="str">
        <x:v>Top-10-Prozent, Mittelwert, 150 % und 250 % müssen aus einer dokumentierten Grundgesamtheit stammen.</x:v>
      </x:c>
      <x:c r="U279" s="14" t="str">
        <x:v>Top‑10%:+3; Mittel:0; &gt;150%:‑2; &gt;250%:‑3</x:v>
      </x:c>
      <x:c r="V279" s="14" t="str">
        <x:v>ESRS E1, GHG Protocol (Corporate/Scope 1–3), ISO 14064/14067</x:v>
      </x:c>
      <x:c r="W279" s="14" t="str">
        <x:f>'02_Benchmarks'!$P279</x:f>
        <x:v>Offen – validierter Benchmark fehlt</x:v>
      </x:c>
      <x:c r="X279" s="14" t="str">
        <x:v>Teilbelegt – Benchmarkquelle fehlt</x:v>
      </x:c>
      <x:c r="Y279" s="14" t="str">
        <x:v>Hoch</x:v>
      </x:c>
      <x:c r="Z279" s="14" t="str">
        <x:v>Validierter Benchmark fehlt</x:v>
      </x:c>
      <x:c r="AA279" s="14" t="str">
        <x:v>Gebäude/Standort; Betrieb plus relevante Lebenszyklusmodule</x:v>
      </x:c>
      <x:c r="AB279" s="14" t="str">
        <x:v>Primärdaten plus repräsentativer, versionierter Benchmarkdatensatz; Stichprobe und Population offenlegen</x:v>
      </x:c>
      <x:c r="AC279" s="14" t="str">
        <x:v>Messwert-Assurance und unabhängige Benchmark-Governance</x:v>
      </x:c>
    </x:row>
    <x:row r="280" ht="42" customHeight="1">
      <x:c r="A280" s="14" t="str">
        <x:v>WOK-RE-121</x:v>
      </x:c>
      <x:c r="B280" s="14" t="str">
        <x:v>SDG 11 – Städte</x:v>
      </x:c>
      <x:c r="C280" s="14" t="str">
        <x:v>11.2</x:v>
      </x:c>
      <x:c r="D280" s="14" t="str">
        <x:v>ÖPNV‑Erreichbarkeit</x:v>
      </x:c>
      <x:c r="E280" s="14" t="str">
        <x:v>ÖPNV‑Erreichbarkeit – ÖPNV‑Erreichbarkeit</x:v>
      </x:c>
      <x:c r="F280" s="14" t="str">
        <x:v>0–1</x:v>
      </x:c>
      <x:c r="G280" s="14" t="str">
        <x:v>higher_is_better</x:v>
      </x:c>
      <x:c r="H280" s="14" t="str">
        <x:v>R14</x:v>
      </x:c>
      <x:c r="I280" s="14" t="str">
        <x:v>NUM_HIGH</x:v>
      </x:c>
      <x:c r="J280" s="51"/>
      <x:c r="K280" s="51"/>
      <x:c r="L280" s="51"/>
      <x:c r="M280" s="54"/>
      <x:c r="N280" s="58" t="str">
        <x:f>IF($J280="","",IF($J280&lt;0.2,-3,IF($J280&lt;0.4,-2,IF($J280&lt;0.6,0,IF($J280&lt;0.8,2,3)))))</x:f>
      </x:c>
      <x:c r="O280" s="58" t="str">
        <x:f>IF($J280="","",IF(OR('02_Benchmarks'!$P280&lt;&gt;"Aktiv",COUNT('02_Benchmarks'!$J280:$M280)&lt;4),"",IF($G280="lower_is_better",IF($J280&lt;='02_Benchmarks'!$J280,3,IF($J280&lt;'02_Benchmarks'!$K280,2,IF($J280&lt;='02_Benchmarks'!$L280,0,IF($J280&lt;='02_Benchmarks'!$M280,-2,-3)))),IF($J280&gt;='02_Benchmarks'!$J280,3,IF($J280&gt;'02_Benchmarks'!$K280,2,IF($J280&gt;='02_Benchmarks'!$L280,0,IF($J280&gt;='02_Benchmarks'!$M280,-2,-3)))))))</x:f>
      </x:c>
      <x:c r="P280" s="58" t="str">
        <x:f>IF(COUNT($N280:$O280)+IF(ISNUMBER($K280),1,0)=0,"",MIN($N280:$O280,$K280))</x:f>
      </x:c>
      <x:c r="Q280" s="58" t="str">
        <x:f>IF($P280="","",INDEX('04_Tarifmodell'!$B$6:$B$12,$P280+4))</x:f>
      </x:c>
      <x:c r="R280" s="64" t="str">
        <x:f>IF($P280="","",INDEX('04_Tarifmodell'!$C$6:$C$12,$P280+4))</x:f>
      </x:c>
      <x:c r="S280" s="14" t="str">
        <x:f>IF(OR($I280="QUALITATIVE",$I280="MANUAL_HYBRID"),IF($K280="","Assurance-Score fehlt","Assurance-bewertet"),IF($I280="BENCHMARK",IF($W280&lt;&gt;"Aktiv",IF($K280="","Benchmark fehlt","Assurance-bewertet"),IF($J280="","Messwert fehlt",IF($P280="","Nicht bewertbar","Berechnet"))),IF(AND($J280="",$K280&lt;&gt;""),"Nur Assurance-Score",IF($J280="","Messwert fehlt",IF($P280="","Nicht bewertbar",IF($P280&lt;=-2,"Kritische Wirkung / Prüfung","Berechnet"))))))</x:f>
        <x:v>Messwert fehlt</x:v>
      </x:c>
      <x:c r="T280" s="14" t="str">
        <x:v>Konkreten Datenhalter, GIS-Layer, Stichtag und Methodik ergänzen. Vollständige fünfstufige numerische Regel.</x:v>
      </x:c>
      <x:c r="U280" s="14" t="str">
        <x:v>≥0,8:+3; 0,6–0,79:+2; 0,4–0,59:0; 0,2–0,39:‑2; &lt;0,2:‑3</x:v>
      </x:c>
      <x:c r="V280" s="14" t="str">
        <x:v>Stadt/GIS</x:v>
      </x:c>
      <x:c r="W280" s="14" t="str">
        <x:f>'02_Benchmarks'!$P280</x:f>
        <x:v>Optional – kein aktiver Benchmark</x:v>
      </x:c>
      <x:c r="X280" s="14" t="str">
        <x:v>Platzhalter – konkrete Datenquelle fehlt</x:v>
      </x:c>
      <x:c r="Y280" s="14" t="str">
        <x:v>Hoch</x:v>
      </x:c>
      <x:c r="Z280" s="14" t="str">
        <x:v>Arbeitskalibrierung – fachlich zu validieren</x:v>
      </x:c>
      <x:c r="AA280" s="14" t="str">
        <x:v>Gebäude/Standort; Betrieb plus relevante Lebenszyklusmodule</x:v>
      </x:c>
      <x:c r="AB280" s="14" t="str">
        <x:v>Primärdaten oder qualitätsgesicherte Sekundärdaten; Methode, Zeitraum und Systemgrenze dokumentieren</x:v>
      </x:c>
      <x:c r="AC280" s="14" t="str">
        <x:v>Limited Assurance; bei materieller Steuerwirkung risikobasiert vertiefen</x:v>
      </x:c>
    </x:row>
    <x:row r="281" ht="42" customHeight="1">
      <x:c r="A281" s="14" t="str">
        <x:v>WOK-E-155</x:v>
      </x:c>
      <x:c r="B281" s="14" t="str">
        <x:v>SDG 11 – Städte</x:v>
      </x:c>
      <x:c r="C281" s="14" t="str">
        <x:v>11.6</x:v>
      </x:c>
      <x:c r="D281" s="14" t="str">
        <x:v>Luftqualitätsbeitrag</x:v>
      </x:c>
      <x:c r="E281" s="14" t="str">
        <x:v>Luftqualitätsbeitrag – Antikorruption</x:v>
      </x:c>
      <x:c r="F281" s="14" t="str">
        <x:v>Fälle/1.000 FTE</x:v>
      </x:c>
      <x:c r="G281" s="14" t="str">
        <x:v>lower_is_better</x:v>
      </x:c>
      <x:c r="H281" s="14" t="str">
        <x:v>R01</x:v>
      </x:c>
      <x:c r="I281" s="14" t="str">
        <x:v>NUM_LOW</x:v>
      </x:c>
      <x:c r="J281" s="51"/>
      <x:c r="K281" s="51"/>
      <x:c r="L281" s="51"/>
      <x:c r="M281" s="54"/>
      <x:c r="N281" s="58" t="str">
        <x:f>IF($J281="","",IF($J281&lt;=0,3,IF($J281&lt;=0.2,2,IF($J281&lt;=0.5,0,IF($J281&lt;=1,-2,-3)))))</x:f>
      </x:c>
      <x:c r="O281" s="58" t="str">
        <x:f>IF($J281="","",IF(OR('02_Benchmarks'!$P281&lt;&gt;"Aktiv",COUNT('02_Benchmarks'!$J281:$M281)&lt;4),"",IF($G281="lower_is_better",IF($J281&lt;='02_Benchmarks'!$J281,3,IF($J281&lt;'02_Benchmarks'!$K281,2,IF($J281&lt;='02_Benchmarks'!$L281,0,IF($J281&lt;='02_Benchmarks'!$M281,-2,-3)))),IF($J281&gt;='02_Benchmarks'!$J281,3,IF($J281&gt;'02_Benchmarks'!$K281,2,IF($J281&gt;='02_Benchmarks'!$L281,0,IF($J281&gt;='02_Benchmarks'!$M281,-2,-3)))))))</x:f>
      </x:c>
      <x:c r="P281" s="58" t="str">
        <x:f>IF(COUNT($N281:$O281)+IF(ISNUMBER($K281),1,0)=0,"",MIN($N281:$O281,$K281))</x:f>
      </x:c>
      <x:c r="Q281" s="58" t="str">
        <x:f>IF($P281="","",INDEX('04_Tarifmodell'!$B$6:$B$12,$P281+4))</x:f>
      </x:c>
      <x:c r="R281" s="64" t="str">
        <x:f>IF($P281="","",INDEX('04_Tarifmodell'!$C$6:$C$12,$P281+4))</x:f>
      </x:c>
      <x:c r="S281" s="14" t="str">
        <x:f>IF(OR($I281="QUALITATIVE",$I281="MANUAL_HYBRID"),IF($K281="","Assurance-Score fehlt","Assurance-bewertet"),IF($I281="BENCHMARK",IF($W281&lt;&gt;"Aktiv",IF($K281="","Benchmark fehlt","Assurance-bewertet"),IF($J281="","Messwert fehlt",IF($P281="","Nicht bewertbar","Berechnet"))),IF(AND($J281="",$K281&lt;&gt;""),"Nur Assurance-Score",IF($J281="","Messwert fehlt",IF($P281="","Nicht bewertbar",IF($P281&lt;=-2,"Kritische Wirkung / Prüfung","Berechnet"))))))</x:f>
        <x:v>Messwert fehlt</x:v>
      </x:c>
      <x:c r="T281" s="14" t="str">
        <x:v>Vollständige fünfstufige numerische Regel.</x:v>
      </x:c>
      <x:c r="U281" s="14" t="str">
        <x:v>0:+3; ≤0,2:+2; ≤0,5:0; ≤1:‑2; &gt;1:‑3</x:v>
      </x:c>
      <x:c r="V281" s="14" t="str">
        <x:v>ESRS G1, GRI 205/207, OECD Anti‑Bribery</x:v>
      </x:c>
      <x:c r="W281" s="14" t="str">
        <x:f>'02_Benchmarks'!$P281</x:f>
        <x:v>Optional – kein aktiver Benchmark</x:v>
      </x:c>
      <x:c r="X281" s="14" t="str">
        <x:v>Messgrundlage belegt; Schwellenkalibrierung offen</x:v>
      </x:c>
      <x:c r="Y281" s="14" t="str">
        <x:v>Mittel</x:v>
      </x:c>
      <x:c r="Z281" s="14" t="str">
        <x:v>Arbeitskalibrierung – fachlich zu validieren</x:v>
      </x:c>
      <x:c r="AA281" s="14" t="str">
        <x:v>Standort/Prozess/Aktivität; Bezugsgröße und relevante Umweltmedien</x:v>
      </x:c>
      <x:c r="AB281" s="14" t="str">
        <x:v>Primärdaten bevorzugt; Sekundärdaten nur transparent und versioniert; Methode und Systemgrenze dokumentieren</x:v>
      </x:c>
      <x:c r="AC281" s="14" t="str">
        <x:v>Limited Assurance; risikobasiert höhere Prüftiefe</x:v>
      </x:c>
    </x:row>
    <x:row r="282" ht="42" customHeight="1">
      <x:c r="A282" s="14" t="str">
        <x:v>WOK-E-156</x:v>
      </x:c>
      <x:c r="B282" s="14" t="str">
        <x:v>SDG 11 – Städte</x:v>
      </x:c>
      <x:c r="C282" s="14" t="str">
        <x:v>11.6</x:v>
      </x:c>
      <x:c r="D282" s="14" t="str">
        <x:v>Luftqualitätsbeitrag</x:v>
      </x:c>
      <x:c r="E282" s="14" t="str">
        <x:v>Luftqualitätsbeitrag – Whistleblowing</x:v>
      </x:c>
      <x:c r="F282" s="14" t="str">
        <x:v>0–1</x:v>
      </x:c>
      <x:c r="G282" s="14" t="str">
        <x:v>higher_is_better</x:v>
      </x:c>
      <x:c r="H282" s="14" t="str">
        <x:v>R16</x:v>
      </x:c>
      <x:c r="I282" s="14" t="str">
        <x:v>NUM_HIGH</x:v>
      </x:c>
      <x:c r="J282" s="51"/>
      <x:c r="K282" s="51"/>
      <x:c r="L282" s="51"/>
      <x:c r="M282" s="54"/>
      <x:c r="N282" s="58" t="str">
        <x:f>IF($J282="","",IF($J282&lt;0.4,-3,IF($J282&lt;0.6,-2,IF($J282&lt;0.75,0,IF($J282&lt;0.9,2,3)))))</x:f>
      </x:c>
      <x:c r="O282" s="58" t="str">
        <x:f>IF($J282="","",IF(OR('02_Benchmarks'!$P282&lt;&gt;"Aktiv",COUNT('02_Benchmarks'!$J282:$M282)&lt;4),"",IF($G282="lower_is_better",IF($J282&lt;='02_Benchmarks'!$J282,3,IF($J282&lt;'02_Benchmarks'!$K282,2,IF($J282&lt;='02_Benchmarks'!$L282,0,IF($J282&lt;='02_Benchmarks'!$M282,-2,-3)))),IF($J282&gt;='02_Benchmarks'!$J282,3,IF($J282&gt;'02_Benchmarks'!$K282,2,IF($J282&gt;='02_Benchmarks'!$L282,0,IF($J282&gt;='02_Benchmarks'!$M282,-2,-3)))))))</x:f>
      </x:c>
      <x:c r="P282" s="58" t="str">
        <x:f>IF(COUNT($N282:$O282)+IF(ISNUMBER($K282),1,0)=0,"",MIN($N282:$O282,$K282))</x:f>
      </x:c>
      <x:c r="Q282" s="58" t="str">
        <x:f>IF($P282="","",INDEX('04_Tarifmodell'!$B$6:$B$12,$P282+4))</x:f>
      </x:c>
      <x:c r="R282" s="64" t="str">
        <x:f>IF($P282="","",INDEX('04_Tarifmodell'!$C$6:$C$12,$P282+4))</x:f>
      </x:c>
      <x:c r="S282" s="14" t="str">
        <x:f>IF(OR($I282="QUALITATIVE",$I282="MANUAL_HYBRID"),IF($K282="","Assurance-Score fehlt","Assurance-bewertet"),IF($I282="BENCHMARK",IF($W282&lt;&gt;"Aktiv",IF($K282="","Benchmark fehlt","Assurance-bewertet"),IF($J282="","Messwert fehlt",IF($P282="","Nicht bewertbar","Berechnet"))),IF(AND($J282="",$K282&lt;&gt;""),"Nur Assurance-Score",IF($J282="","Messwert fehlt",IF($P282="","Nicht bewertbar",IF($P282&lt;=-2,"Kritische Wirkung / Prüfung","Berechnet"))))))</x:f>
        <x:v>Messwert fehlt</x:v>
      </x:c>
      <x:c r="T282" s="14" t="str">
        <x:v>Vollständige fünfstufige numerische Regel.</x:v>
      </x:c>
      <x:c r="U282" s="14" t="str">
        <x:v>≥0,9:+3; 0,75–0,89:+2; 0,6–0,74:0; 0,4–0,59:‑2; &lt;0,4:‑3</x:v>
      </x:c>
      <x:c r="V282" s="14" t="str">
        <x:v>ESRS G1, GRI 205/207, OECD Anti‑Bribery</x:v>
      </x:c>
      <x:c r="W282" s="14" t="str">
        <x:f>'02_Benchmarks'!$P282</x:f>
        <x:v>Optional – kein aktiver Benchmark</x:v>
      </x:c>
      <x:c r="X282" s="14" t="str">
        <x:v>Messgrundlage belegt; Schwellenkalibrierung offen</x:v>
      </x:c>
      <x:c r="Y282" s="14" t="str">
        <x:v>Mittel</x:v>
      </x:c>
      <x:c r="Z282" s="14" t="str">
        <x:v>Arbeitskalibrierung – fachlich zu validieren</x:v>
      </x:c>
      <x:c r="AA282" s="14" t="str">
        <x:v>Standort/Prozess/Aktivität; Bezugsgröße und relevante Umweltmedien</x:v>
      </x:c>
      <x:c r="AB282" s="14" t="str">
        <x:v>Primärdaten bevorzugt; Sekundärdaten nur transparent und versioniert; Methode und Systemgrenze dokumentieren</x:v>
      </x:c>
      <x:c r="AC282" s="14" t="str">
        <x:v>Limited Assurance; risikobasiert höhere Prüftiefe</x:v>
      </x:c>
    </x:row>
    <x:row r="283" ht="42" customHeight="1">
      <x:c r="A283" s="14" t="str">
        <x:v>WOK-E-157</x:v>
      </x:c>
      <x:c r="B283" s="14" t="str">
        <x:v>SDG 11 – Städte</x:v>
      </x:c>
      <x:c r="C283" s="14" t="str">
        <x:v>11.6</x:v>
      </x:c>
      <x:c r="D283" s="14" t="str">
        <x:v>Luftqualitätsbeitrag</x:v>
      </x:c>
      <x:c r="E283" s="14" t="str">
        <x:v>Luftqualitätsbeitrag – Steuertransparenz</x:v>
      </x:c>
      <x:c r="F283" s="14" t="str">
        <x:v>0–1</x:v>
      </x:c>
      <x:c r="G283" s="14" t="str">
        <x:v>higher_is_better</x:v>
      </x:c>
      <x:c r="H283" s="14" t="str">
        <x:v>R08</x:v>
      </x:c>
      <x:c r="I283" s="14" t="str">
        <x:v>QUALITATIVE</x:v>
      </x:c>
      <x:c r="J283" s="51"/>
      <x:c r="K283" s="51"/>
      <x:c r="L283" s="51"/>
      <x:c r="M283" s="54"/>
      <x:c r="N283" s="58" t="str">
        <x:f>""</x:f>
      </x:c>
      <x:c r="O283" s="58" t="str">
        <x:f>IF($J283="","",IF(OR('02_Benchmarks'!$P283&lt;&gt;"Aktiv",COUNT('02_Benchmarks'!$J283:$M283)&lt;4),"",IF($G283="lower_is_better",IF($J283&lt;='02_Benchmarks'!$J283,3,IF($J283&lt;'02_Benchmarks'!$K283,2,IF($J283&lt;='02_Benchmarks'!$L283,0,IF($J283&lt;='02_Benchmarks'!$M283,-2,-3)))),IF($J283&gt;='02_Benchmarks'!$J283,3,IF($J283&gt;'02_Benchmarks'!$K283,2,IF($J283&gt;='02_Benchmarks'!$L283,0,IF($J283&gt;='02_Benchmarks'!$M283,-2,-3)))))))</x:f>
      </x:c>
      <x:c r="P283" s="58" t="str">
        <x:f>IF(COUNT($N283:$O283)+IF(ISNUMBER($K283),1,0)=0,"",MIN($N283:$O283,$K283))</x:f>
      </x:c>
      <x:c r="Q283" s="58" t="str">
        <x:f>IF($P283="","",INDEX('04_Tarifmodell'!$B$6:$B$12,$P283+4))</x:f>
      </x:c>
      <x:c r="R283" s="64" t="str">
        <x:f>IF($P283="","",INDEX('04_Tarifmodell'!$C$6:$C$12,$P283+4))</x:f>
      </x:c>
      <x:c r="S283" s="14" t="str">
        <x:f>IF(OR($I283="QUALITATIVE",$I283="MANUAL_HYBRID"),IF($K283="","Assurance-Score fehlt","Assurance-bewertet"),IF($I283="BENCHMARK",IF($W283&lt;&gt;"Aktiv",IF($K283="","Benchmark fehlt","Assurance-bewertet"),IF($J283="","Messwert fehlt",IF($P283="","Nicht bewertbar","Berechnet"))),IF(AND($J283="",$K283&lt;&gt;""),"Nur Assurance-Score",IF($J283="","Messwert fehlt",IF($P283="","Nicht bewertbar",IF($P283&lt;=-2,"Kritische Wirkung / Prüfung","Berechnet"))))))</x:f>
        <x:v>Assurance-Score fehlt</x:v>
      </x:c>
      <x:c r="T283" s="14" t="str">
        <x:v>Die Kategorie −3 fehlt; Vollständigkeit und Wirksamkeit sind feldspezifisch zu definieren.</x:v>
      </x:c>
      <x:c r="U283" s="14" t="str">
        <x:v>vollständig:+3; teilweise:+2; minimal:0; schlecht:‑2</x:v>
      </x:c>
      <x:c r="V283" s="14" t="str">
        <x:v>ESRS G1, GRI 205/207, OECD Anti‑Bribery</x:v>
      </x:c>
      <x:c r="W283" s="14" t="str">
        <x:f>'02_Benchmarks'!$P283</x:f>
        <x:v>Optional – kein aktiver Benchmark</x:v>
      </x:c>
      <x:c r="X283" s="14" t="str">
        <x:v>Messgrundlage belegt; Schwellenkalibrierung offen</x:v>
      </x:c>
      <x:c r="Y283" s="14" t="str">
        <x:v>Hoch</x:v>
      </x:c>
      <x:c r="Z283" s="14" t="str">
        <x:v>Assurance und Kriterienkatalog erforderlich</x:v>
      </x:c>
      <x:c r="AA283" s="14" t="str">
        <x:v>Standort/Prozess/Aktivität; Bezugsgröße und relevante Umweltmedien</x:v>
      </x:c>
      <x:c r="AB283" s="14" t="str">
        <x:v>Dokumentierter Kriterienkatalog; nachvollziehbare Evidenz; DQR A/B bevorzugt</x:v>
      </x:c>
      <x:c r="AC283" s="14" t="str">
        <x:v>Unabhängige Fachprüfung/Limited Assurance; bei roten Linien Reasonable Assurance</x:v>
      </x:c>
    </x:row>
    <x:row r="284" ht="42" customHeight="1">
      <x:c r="A284" s="14" t="str">
        <x:v>WOK-E-158</x:v>
      </x:c>
      <x:c r="B284" s="14" t="str">
        <x:v>SDG 11 – Städte</x:v>
      </x:c>
      <x:c r="C284" s="14" t="str">
        <x:v>11.6</x:v>
      </x:c>
      <x:c r="D284" s="14" t="str">
        <x:v>Abfallmanagement Stadt</x:v>
      </x:c>
      <x:c r="E284" s="14" t="str">
        <x:v>Abfallmanagement Stadt – Abfallintensität</x:v>
      </x:c>
      <x:c r="F284" s="14" t="str">
        <x:v>kg/t</x:v>
      </x:c>
      <x:c r="G284" s="14" t="str">
        <x:v>lower_is_better</x:v>
      </x:c>
      <x:c r="H284" s="14" t="str">
        <x:v>R06</x:v>
      </x:c>
      <x:c r="I284" s="14" t="str">
        <x:v>BENCHMARK</x:v>
      </x:c>
      <x:c r="J284" s="51"/>
      <x:c r="K284" s="51"/>
      <x:c r="L284" s="51"/>
      <x:c r="M284" s="54"/>
      <x:c r="N284" s="58" t="str">
        <x:f>""</x:f>
      </x:c>
      <x:c r="O284" s="58" t="str">
        <x:f>IF($J284="","",IF(OR('02_Benchmarks'!$P284&lt;&gt;"Aktiv",COUNT('02_Benchmarks'!$J284:$M284)&lt;4),"",IF($G284="lower_is_better",IF($J284&lt;='02_Benchmarks'!$J284,3,IF($J284&lt;'02_Benchmarks'!$K284,2,IF($J284&lt;='02_Benchmarks'!$L284,0,IF($J284&lt;='02_Benchmarks'!$M284,-2,-3)))),IF($J284&gt;='02_Benchmarks'!$J284,3,IF($J284&gt;'02_Benchmarks'!$K284,2,IF($J284&gt;='02_Benchmarks'!$L284,0,IF($J284&gt;='02_Benchmarks'!$M284,-2,-3)))))))</x:f>
      </x:c>
      <x:c r="P284" s="58" t="str">
        <x:f>IF(COUNT($N284:$O284)+IF(ISNUMBER($K284),1,0)=0,"",MIN($N284:$O284,$K284))</x:f>
      </x:c>
      <x:c r="Q284" s="58" t="str">
        <x:f>IF($P284="","",INDEX('04_Tarifmodell'!$B$6:$B$12,$P284+4))</x:f>
      </x:c>
      <x:c r="R284" s="64" t="str">
        <x:f>IF($P284="","",INDEX('04_Tarifmodell'!$C$6:$C$12,$P284+4))</x:f>
      </x:c>
      <x:c r="S284" s="14" t="str">
        <x:f>IF(OR($I284="QUALITATIVE",$I284="MANUAL_HYBRID"),IF($K284="","Assurance-Score fehlt","Assurance-bewertet"),IF($I284="BENCHMARK",IF($W284&lt;&gt;"Aktiv",IF($K284="","Benchmark fehlt","Assurance-bewertet"),IF($J284="","Messwert fehlt",IF($P284="","Nicht bewertbar","Berechnet"))),IF(AND($J284="",$K284&lt;&gt;""),"Nur Assurance-Score",IF($J284="","Messwert fehlt",IF($P284="","Nicht bewertbar",IF($P284&lt;=-2,"Kritische Wirkung / Prüfung","Berechnet"))))))</x:f>
        <x:v>Benchmark fehlt</x:v>
      </x:c>
      <x:c r="T284" s="14" t="str">
        <x:v>Top-10-Prozent, Mittelwert, 150 % und 250 % müssen aus einer dokumentierten Grundgesamtheit stammen.</x:v>
      </x:c>
      <x:c r="U284" s="14" t="str">
        <x:v>Top‑10%:+3; Mittel:0; &gt;150%:‑2; &gt;250%:‑3</x:v>
      </x:c>
      <x:c r="V284" s="14" t="str">
        <x:v>ESRS E5, GRI 306, WEEE/VerpackG</x:v>
      </x:c>
      <x:c r="W284" s="14" t="str">
        <x:f>'02_Benchmarks'!$P284</x:f>
        <x:v>Offen – validierter Benchmark fehlt</x:v>
      </x:c>
      <x:c r="X284" s="14" t="str">
        <x:v>Teilbelegt – Benchmarkquelle fehlt</x:v>
      </x:c>
      <x:c r="Y284" s="14" t="str">
        <x:v>Hoch</x:v>
      </x:c>
      <x:c r="Z284" s="14" t="str">
        <x:v>Validierter Benchmark fehlt</x:v>
      </x:c>
      <x:c r="AA284" s="14" t="str">
        <x:v>Standort/Prozess/Aktivität; Bezugsgröße und relevante Umweltmedien</x:v>
      </x:c>
      <x:c r="AB284" s="14" t="str">
        <x:v>Primärdaten plus repräsentativer, versionierter Benchmarkdatensatz; Stichprobe und Population offenlegen</x:v>
      </x:c>
      <x:c r="AC284" s="14" t="str">
        <x:v>Messwert-Assurance und unabhängige Benchmark-Governance</x:v>
      </x:c>
    </x:row>
    <x:row r="285" ht="42" customHeight="1">
      <x:c r="A285" s="14" t="str">
        <x:v>WOK-E-159</x:v>
      </x:c>
      <x:c r="B285" s="14" t="str">
        <x:v>SDG 11 – Städte</x:v>
      </x:c>
      <x:c r="C285" s="14" t="str">
        <x:v>11.6</x:v>
      </x:c>
      <x:c r="D285" s="14" t="str">
        <x:v>Abfallmanagement Stadt</x:v>
      </x:c>
      <x:c r="E285" s="14" t="str">
        <x:v>Abfallmanagement Stadt – Recyclingquote</x:v>
      </x:c>
      <x:c r="F285" s="14" t="str">
        <x:v>%</x:v>
      </x:c>
      <x:c r="G285" s="14" t="str">
        <x:v>higher_is_better</x:v>
      </x:c>
      <x:c r="H285" s="14" t="str">
        <x:v>R25</x:v>
      </x:c>
      <x:c r="I285" s="14" t="str">
        <x:v>NUM_HIGH</x:v>
      </x:c>
      <x:c r="J285" s="51"/>
      <x:c r="K285" s="51"/>
      <x:c r="L285" s="51"/>
      <x:c r="M285" s="54"/>
      <x:c r="N285" s="58" t="str">
        <x:f>IF($J285="","",IF($J285&lt;30,-3,IF($J285&lt;50,-2,IF($J285&lt;70,0,IF($J285&lt;90,2,3)))))</x:f>
      </x:c>
      <x:c r="O285" s="58" t="str">
        <x:f>IF($J285="","",IF(OR('02_Benchmarks'!$P285&lt;&gt;"Aktiv",COUNT('02_Benchmarks'!$J285:$M285)&lt;4),"",IF($G285="lower_is_better",IF($J285&lt;='02_Benchmarks'!$J285,3,IF($J285&lt;'02_Benchmarks'!$K285,2,IF($J285&lt;='02_Benchmarks'!$L285,0,IF($J285&lt;='02_Benchmarks'!$M285,-2,-3)))),IF($J285&gt;='02_Benchmarks'!$J285,3,IF($J285&gt;'02_Benchmarks'!$K285,2,IF($J285&gt;='02_Benchmarks'!$L285,0,IF($J285&gt;='02_Benchmarks'!$M285,-2,-3)))))))</x:f>
      </x:c>
      <x:c r="P285" s="58" t="str">
        <x:f>IF(COUNT($N285:$O285)+IF(ISNUMBER($K285),1,0)=0,"",MIN($N285:$O285,$K285))</x:f>
      </x:c>
      <x:c r="Q285" s="58" t="str">
        <x:f>IF($P285="","",INDEX('04_Tarifmodell'!$B$6:$B$12,$P285+4))</x:f>
      </x:c>
      <x:c r="R285" s="64" t="str">
        <x:f>IF($P285="","",INDEX('04_Tarifmodell'!$C$6:$C$12,$P285+4))</x:f>
      </x:c>
      <x:c r="S285" s="14" t="str">
        <x:f>IF(OR($I285="QUALITATIVE",$I285="MANUAL_HYBRID"),IF($K285="","Assurance-Score fehlt","Assurance-bewertet"),IF($I285="BENCHMARK",IF($W285&lt;&gt;"Aktiv",IF($K285="","Benchmark fehlt","Assurance-bewertet"),IF($J285="","Messwert fehlt",IF($P285="","Nicht bewertbar","Berechnet"))),IF(AND($J285="",$K285&lt;&gt;""),"Nur Assurance-Score",IF($J285="","Messwert fehlt",IF($P285="","Nicht bewertbar",IF($P285&lt;=-2,"Kritische Wirkung / Prüfung","Berechnet"))))))</x:f>
        <x:v>Messwert fehlt</x:v>
      </x:c>
      <x:c r="T285" s="14" t="str">
        <x:v>Vollständige fünfstufige Prozentregel.</x:v>
      </x:c>
      <x:c r="U285" s="14" t="str">
        <x:v>≥90%:+3; 70–89%:+2; 50–69%:0; 30–49%:‑2; &lt;30%:‑3</x:v>
      </x:c>
      <x:c r="V285" s="14" t="str">
        <x:v>ESRS E5, GRI 306, WEEE/VerpackG</x:v>
      </x:c>
      <x:c r="W285" s="14" t="str">
        <x:f>'02_Benchmarks'!$P285</x:f>
        <x:v>Optional – kein aktiver Benchmark</x:v>
      </x:c>
      <x:c r="X285" s="14" t="str">
        <x:v>Messgrundlage belegt; Schwellenkalibrierung offen</x:v>
      </x:c>
      <x:c r="Y285" s="14" t="str">
        <x:v>Mittel</x:v>
      </x:c>
      <x:c r="Z285" s="14" t="str">
        <x:v>Arbeitskalibrierung – fachlich zu validieren</x:v>
      </x:c>
      <x:c r="AA285" s="14" t="str">
        <x:v>Standort/Prozess/Aktivität; Bezugsgröße und relevante Umweltmedien</x:v>
      </x:c>
      <x:c r="AB285" s="14" t="str">
        <x:v>Primärdaten bevorzugt; Sekundärdaten nur transparent und versioniert; Methode und Systemgrenze dokumentieren</x:v>
      </x:c>
      <x:c r="AC285" s="14" t="str">
        <x:v>Limited Assurance; risikobasiert höhere Prüftiefe</x:v>
      </x:c>
    </x:row>
    <x:row r="286" ht="42" customHeight="1">
      <x:c r="A286" s="14" t="str">
        <x:v>WOK-E-160</x:v>
      </x:c>
      <x:c r="B286" s="14" t="str">
        <x:v>SDG 11 – Städte</x:v>
      </x:c>
      <x:c r="C286" s="14" t="str">
        <x:v>11.6</x:v>
      </x:c>
      <x:c r="D286" s="14" t="str">
        <x:v>Abfallmanagement Stadt</x:v>
      </x:c>
      <x:c r="E286" s="14" t="str">
        <x:v>Abfallmanagement Stadt – Gefährlicher Abfall</x:v>
      </x:c>
      <x:c r="F286" s="14" t="str">
        <x:v>kg/t</x:v>
      </x:c>
      <x:c r="G286" s="14" t="str">
        <x:v>lower_is_better</x:v>
      </x:c>
      <x:c r="H286" s="14" t="str">
        <x:v>R06</x:v>
      </x:c>
      <x:c r="I286" s="14" t="str">
        <x:v>BENCHMARK</x:v>
      </x:c>
      <x:c r="J286" s="51"/>
      <x:c r="K286" s="51"/>
      <x:c r="L286" s="51"/>
      <x:c r="M286" s="54"/>
      <x:c r="N286" s="58" t="str">
        <x:f>""</x:f>
      </x:c>
      <x:c r="O286" s="58" t="str">
        <x:f>IF($J286="","",IF(OR('02_Benchmarks'!$P286&lt;&gt;"Aktiv",COUNT('02_Benchmarks'!$J286:$M286)&lt;4),"",IF($G286="lower_is_better",IF($J286&lt;='02_Benchmarks'!$J286,3,IF($J286&lt;'02_Benchmarks'!$K286,2,IF($J286&lt;='02_Benchmarks'!$L286,0,IF($J286&lt;='02_Benchmarks'!$M286,-2,-3)))),IF($J286&gt;='02_Benchmarks'!$J286,3,IF($J286&gt;'02_Benchmarks'!$K286,2,IF($J286&gt;='02_Benchmarks'!$L286,0,IF($J286&gt;='02_Benchmarks'!$M286,-2,-3)))))))</x:f>
      </x:c>
      <x:c r="P286" s="58" t="str">
        <x:f>IF(COUNT($N286:$O286)+IF(ISNUMBER($K286),1,0)=0,"",MIN($N286:$O286,$K286))</x:f>
      </x:c>
      <x:c r="Q286" s="58" t="str">
        <x:f>IF($P286="","",INDEX('04_Tarifmodell'!$B$6:$B$12,$P286+4))</x:f>
      </x:c>
      <x:c r="R286" s="64" t="str">
        <x:f>IF($P286="","",INDEX('04_Tarifmodell'!$C$6:$C$12,$P286+4))</x:f>
      </x:c>
      <x:c r="S286" s="14" t="str">
        <x:f>IF(OR($I286="QUALITATIVE",$I286="MANUAL_HYBRID"),IF($K286="","Assurance-Score fehlt","Assurance-bewertet"),IF($I286="BENCHMARK",IF($W286&lt;&gt;"Aktiv",IF($K286="","Benchmark fehlt","Assurance-bewertet"),IF($J286="","Messwert fehlt",IF($P286="","Nicht bewertbar","Berechnet"))),IF(AND($J286="",$K286&lt;&gt;""),"Nur Assurance-Score",IF($J286="","Messwert fehlt",IF($P286="","Nicht bewertbar",IF($P286&lt;=-2,"Kritische Wirkung / Prüfung","Berechnet"))))))</x:f>
        <x:v>Benchmark fehlt</x:v>
      </x:c>
      <x:c r="T286" s="14" t="str">
        <x:v>Top-10-Prozent, Mittelwert, 150 % und 250 % müssen aus einer dokumentierten Grundgesamtheit stammen.</x:v>
      </x:c>
      <x:c r="U286" s="14" t="str">
        <x:v>Top‑10%:+3; Mittel:0; &gt;150%:‑2; &gt;250%:‑3</x:v>
      </x:c>
      <x:c r="V286" s="14" t="str">
        <x:v>ESRS E5, GRI 306, WEEE/VerpackG</x:v>
      </x:c>
      <x:c r="W286" s="14" t="str">
        <x:f>'02_Benchmarks'!$P286</x:f>
        <x:v>Offen – validierter Benchmark fehlt</x:v>
      </x:c>
      <x:c r="X286" s="14" t="str">
        <x:v>Teilbelegt – Benchmarkquelle fehlt</x:v>
      </x:c>
      <x:c r="Y286" s="14" t="str">
        <x:v>Hoch</x:v>
      </x:c>
      <x:c r="Z286" s="14" t="str">
        <x:v>Validierter Benchmark fehlt</x:v>
      </x:c>
      <x:c r="AA286" s="14" t="str">
        <x:v>Standort/Prozess/Aktivität; Bezugsgröße und relevante Umweltmedien</x:v>
      </x:c>
      <x:c r="AB286" s="14" t="str">
        <x:v>Primärdaten plus repräsentativer, versionierter Benchmarkdatensatz; Stichprobe und Population offenlegen</x:v>
      </x:c>
      <x:c r="AC286" s="14" t="str">
        <x:v>Messwert-Assurance und unabhängige Benchmark-Governance</x:v>
      </x:c>
    </x:row>
    <x:row r="287" ht="42" customHeight="1">
      <x:c r="A287" s="14" t="str">
        <x:v>WOK-P-119</x:v>
      </x:c>
      <x:c r="B287" s="14" t="str">
        <x:v>SDG 11 – Städte</x:v>
      </x:c>
      <x:c r="C287" s="14" t="str">
        <x:v>11.c</x:v>
      </x:c>
      <x:c r="D287" s="14" t="str">
        <x:v>Sichere Bauprodukte</x:v>
      </x:c>
      <x:c r="E287" s="14" t="str">
        <x:v>Sichere Bauprodukte – PCF</x:v>
      </x:c>
      <x:c r="F287" s="14" t="str">
        <x:v>kg CO₂e/Einheit</x:v>
      </x:c>
      <x:c r="G287" s="14" t="str">
        <x:v>lower_is_better</x:v>
      </x:c>
      <x:c r="H287" s="14" t="str">
        <x:v>R07</x:v>
      </x:c>
      <x:c r="I287" s="14" t="str">
        <x:v>BENCHMARK</x:v>
      </x:c>
      <x:c r="J287" s="51"/>
      <x:c r="K287" s="51"/>
      <x:c r="L287" s="51"/>
      <x:c r="M287" s="54"/>
      <x:c r="N287" s="58" t="str">
        <x:f>""</x:f>
      </x:c>
      <x:c r="O287" s="58" t="str">
        <x:f>IF($J287="","",IF(OR('02_Benchmarks'!$P287&lt;&gt;"Aktiv",COUNT('02_Benchmarks'!$J287:$M287)&lt;4),"",IF($G287="lower_is_better",IF($J287&lt;='02_Benchmarks'!$J287,3,IF($J287&lt;'02_Benchmarks'!$K287,2,IF($J287&lt;='02_Benchmarks'!$L287,0,IF($J287&lt;='02_Benchmarks'!$M287,-2,-3)))),IF($J287&gt;='02_Benchmarks'!$J287,3,IF($J287&gt;'02_Benchmarks'!$K287,2,IF($J287&gt;='02_Benchmarks'!$L287,0,IF($J287&gt;='02_Benchmarks'!$M287,-2,-3)))))))</x:f>
      </x:c>
      <x:c r="P287" s="58" t="str">
        <x:f>IF(COUNT($N287:$O287)+IF(ISNUMBER($K287),1,0)=0,"",MIN($N287:$O287,$K287))</x:f>
      </x:c>
      <x:c r="Q287" s="58" t="str">
        <x:f>IF($P287="","",INDEX('04_Tarifmodell'!$B$6:$B$12,$P287+4))</x:f>
      </x:c>
      <x:c r="R287" s="64" t="str">
        <x:f>IF($P287="","",INDEX('04_Tarifmodell'!$C$6:$C$12,$P287+4))</x:f>
      </x:c>
      <x:c r="S287" s="14" t="str">
        <x:f>IF(OR($I287="QUALITATIVE",$I287="MANUAL_HYBRID"),IF($K287="","Assurance-Score fehlt","Assurance-bewertet"),IF($I287="BENCHMARK",IF($W287&lt;&gt;"Aktiv",IF($K287="","Benchmark fehlt","Assurance-bewertet"),IF($J287="","Messwert fehlt",IF($P287="","Nicht bewertbar","Berechnet"))),IF(AND($J287="",$K287&lt;&gt;""),"Nur Assurance-Score",IF($J287="","Messwert fehlt",IF($P287="","Nicht bewertbar",IF($P287&lt;=-2,"Kritische Wirkung / Prüfung","Berechnet"))))))</x:f>
        <x:v>Benchmark fehlt</x:v>
      </x:c>
      <x:c r="T287" s="14" t="str">
        <x:v>Produktspezifische Referenzpopulation erforderlich.</x:v>
      </x:c>
      <x:c r="U287" s="14" t="str">
        <x:v>Top‑10%:+3; ±Benchmark:0; &gt;150%:‑2; &gt;250%:‑3</x:v>
      </x:c>
      <x:c r="V287" s="14" t="str">
        <x:v>ISO 14067/14040/44 (LCA/PCF), PEF/EF 3.1, EU Reparierbarkeitsindex</x:v>
      </x:c>
      <x:c r="W287" s="14" t="str">
        <x:f>'02_Benchmarks'!$P287</x:f>
        <x:v>Offen – validierter Benchmark fehlt</x:v>
      </x:c>
      <x:c r="X287" s="14" t="str">
        <x:v>Teilbelegt – Benchmarkquelle fehlt</x:v>
      </x:c>
      <x:c r="Y287" s="14" t="str">
        <x:v>Hoch</x:v>
      </x:c>
      <x:c r="Z287" s="14" t="str">
        <x:v>Validierter Benchmark fehlt</x:v>
      </x:c>
      <x:c r="AA287" s="14" t="str">
        <x:v>Produkt/Funktionseinheit; Lebenszyklusgrenze mindestens cradle-to-gate, bei Nutzungs-/End-of-Life-Relevanz cradle-to-grave</x:v>
      </x:c>
      <x:c r="AB287" s="14" t="str">
        <x:v>Primärdaten plus repräsentativer, versionierter Benchmarkdatensatz; Stichprobe und Population offenlegen</x:v>
      </x:c>
      <x:c r="AC287" s="14" t="str">
        <x:v>Messwert-Assurance und unabhängige Benchmark-Governance</x:v>
      </x:c>
    </x:row>
    <x:row r="288" ht="42" customHeight="1">
      <x:c r="A288" s="14" t="str">
        <x:v>WOK-P-120</x:v>
      </x:c>
      <x:c r="B288" s="14" t="str">
        <x:v>SDG 11 – Städte</x:v>
      </x:c>
      <x:c r="C288" s="14" t="str">
        <x:v>11.c</x:v>
      </x:c>
      <x:c r="D288" s="14" t="str">
        <x:v>Sichere Bauprodukte</x:v>
      </x:c>
      <x:c r="E288" s="14" t="str">
        <x:v>Sichere Bauprodukte – Reparierbarkeit</x:v>
      </x:c>
      <x:c r="F288" s="14" t="str">
        <x:v>Score 0–10</x:v>
      </x:c>
      <x:c r="G288" s="14" t="str">
        <x:v>higher_is_better</x:v>
      </x:c>
      <x:c r="H288" s="14" t="str">
        <x:v>R24</x:v>
      </x:c>
      <x:c r="I288" s="14" t="str">
        <x:v>NUM_HIGH</x:v>
      </x:c>
      <x:c r="J288" s="51"/>
      <x:c r="K288" s="51"/>
      <x:c r="L288" s="51"/>
      <x:c r="M288" s="54"/>
      <x:c r="N288" s="58" t="str">
        <x:f>IF($J288="","",IF($J288&lt;2,-3,IF($J288&lt;4,-2,IF($J288&lt;6,0,IF($J288&lt;8,2,3)))))</x:f>
      </x:c>
      <x:c r="O288" s="58" t="str">
        <x:f>IF($J288="","",IF(OR('02_Benchmarks'!$P288&lt;&gt;"Aktiv",COUNT('02_Benchmarks'!$J288:$M288)&lt;4),"",IF($G288="lower_is_better",IF($J288&lt;='02_Benchmarks'!$J288,3,IF($J288&lt;'02_Benchmarks'!$K288,2,IF($J288&lt;='02_Benchmarks'!$L288,0,IF($J288&lt;='02_Benchmarks'!$M288,-2,-3)))),IF($J288&gt;='02_Benchmarks'!$J288,3,IF($J288&gt;'02_Benchmarks'!$K288,2,IF($J288&gt;='02_Benchmarks'!$L288,0,IF($J288&gt;='02_Benchmarks'!$M288,-2,-3)))))))</x:f>
      </x:c>
      <x:c r="P288" s="58" t="str">
        <x:f>IF(COUNT($N288:$O288)+IF(ISNUMBER($K288),1,0)=0,"",MIN($N288:$O288,$K288))</x:f>
      </x:c>
      <x:c r="Q288" s="58" t="str">
        <x:f>IF($P288="","",INDEX('04_Tarifmodell'!$B$6:$B$12,$P288+4))</x:f>
      </x:c>
      <x:c r="R288" s="64" t="str">
        <x:f>IF($P288="","",INDEX('04_Tarifmodell'!$C$6:$C$12,$P288+4))</x:f>
      </x:c>
      <x:c r="S288" s="14" t="str">
        <x:f>IF(OR($I288="QUALITATIVE",$I288="MANUAL_HYBRID"),IF($K288="","Assurance-Score fehlt","Assurance-bewertet"),IF($I288="BENCHMARK",IF($W288&lt;&gt;"Aktiv",IF($K288="","Benchmark fehlt","Assurance-bewertet"),IF($J288="","Messwert fehlt",IF($P288="","Nicht bewertbar","Berechnet"))),IF(AND($J288="",$K288&lt;&gt;""),"Nur Assurance-Score",IF($J288="","Messwert fehlt",IF($P288="","Nicht bewertbar",IF($P288&lt;=-2,"Kritische Wirkung / Prüfung","Berechnet"))))))</x:f>
        <x:v>Messwert fehlt</x:v>
      </x:c>
      <x:c r="T288" s="14" t="str">
        <x:v>Indexsystem, Produktgruppe und Rechtsstand festlegen. Französischer Index und EU-Score sind nicht pauschal austauschbar.</x:v>
      </x:c>
      <x:c r="U288" s="14" t="str">
        <x:v>≥8:+3; 6–7,9:+2; 4–5,9:0; 2–3,9:‑2; &lt;2:‑3</x:v>
      </x:c>
      <x:c r="V288" s="14" t="str">
        <x:v>ISO 14067/14040/44 (LCA/PCF), PEF/EF 3.1, EU Reparierbarkeitsindex</x:v>
      </x:c>
      <x:c r="W288" s="14" t="str">
        <x:f>'02_Benchmarks'!$P288</x:f>
        <x:v>Optional – kein aktiver Benchmark</x:v>
      </x:c>
      <x:c r="X288" s="14" t="str">
        <x:v>Teilbelegt – produktspezifisch zu validieren</x:v>
      </x:c>
      <x:c r="Y288" s="14" t="str">
        <x:v>Hoch</x:v>
      </x:c>
      <x:c r="Z288" s="14" t="str">
        <x:v>Indexsystem und Produktgruppe müssen ausgewiesen werden</x:v>
      </x:c>
      <x:c r="AA288" s="14" t="str">
        <x:v>Produkt/Funktionseinheit; Lebenszyklusgrenze mindestens cradle-to-gate, bei Nutzungs-/End-of-Life-Relevanz cradle-to-grave</x:v>
      </x:c>
      <x:c r="AB288" s="14" t="str">
        <x:v>Primärdaten oder qualitätsgesicherte Sekundärdaten; Methode, Zeitraum und Systemgrenze dokumentieren</x:v>
      </x:c>
      <x:c r="AC288" s="14" t="str">
        <x:v>Limited Assurance; bei materieller Steuerwirkung risikobasiert vertiefen</x:v>
      </x:c>
    </x:row>
    <x:row r="289" ht="42" customHeight="1">
      <x:c r="A289" s="14" t="str">
        <x:v>WOK-P-121</x:v>
      </x:c>
      <x:c r="B289" s="14" t="str">
        <x:v>SDG 11 – Städte</x:v>
      </x:c>
      <x:c r="C289" s="14" t="str">
        <x:v>11.c</x:v>
      </x:c>
      <x:c r="D289" s="14" t="str">
        <x:v>Sichere Bauprodukte</x:v>
      </x:c>
      <x:c r="E289" s="14" t="str">
        <x:v>Sichere Bauprodukte – Rücknahme/Recycling</x:v>
      </x:c>
      <x:c r="F289" s="14" t="str">
        <x:v>%</x:v>
      </x:c>
      <x:c r="G289" s="14" t="str">
        <x:v>higher_is_better</x:v>
      </x:c>
      <x:c r="H289" s="14" t="str">
        <x:v>R22</x:v>
      </x:c>
      <x:c r="I289" s="14" t="str">
        <x:v>NUM_HIGH</x:v>
      </x:c>
      <x:c r="J289" s="51"/>
      <x:c r="K289" s="51"/>
      <x:c r="L289" s="51"/>
      <x:c r="M289" s="54"/>
      <x:c r="N289" s="58" t="str">
        <x:f>IF($J289="","",IF($J289&lt;15,-3,IF($J289&lt;30,-2,IF($J289&lt;50,0,IF($J289&lt;70,2,3)))))</x:f>
      </x:c>
      <x:c r="O289" s="58" t="str">
        <x:f>IF($J289="","",IF(OR('02_Benchmarks'!$P289&lt;&gt;"Aktiv",COUNT('02_Benchmarks'!$J289:$M289)&lt;4),"",IF($G289="lower_is_better",IF($J289&lt;='02_Benchmarks'!$J289,3,IF($J289&lt;'02_Benchmarks'!$K289,2,IF($J289&lt;='02_Benchmarks'!$L289,0,IF($J289&lt;='02_Benchmarks'!$M289,-2,-3)))),IF($J289&gt;='02_Benchmarks'!$J289,3,IF($J289&gt;'02_Benchmarks'!$K289,2,IF($J289&gt;='02_Benchmarks'!$L289,0,IF($J289&gt;='02_Benchmarks'!$M289,-2,-3)))))))</x:f>
      </x:c>
      <x:c r="P289" s="58" t="str">
        <x:f>IF(COUNT($N289:$O289)+IF(ISNUMBER($K289),1,0)=0,"",MIN($N289:$O289,$K289))</x:f>
      </x:c>
      <x:c r="Q289" s="58" t="str">
        <x:f>IF($P289="","",INDEX('04_Tarifmodell'!$B$6:$B$12,$P289+4))</x:f>
      </x:c>
      <x:c r="R289" s="64" t="str">
        <x:f>IF($P289="","",INDEX('04_Tarifmodell'!$C$6:$C$12,$P289+4))</x:f>
      </x:c>
      <x:c r="S289" s="14" t="str">
        <x:f>IF(OR($I289="QUALITATIVE",$I289="MANUAL_HYBRID"),IF($K289="","Assurance-Score fehlt","Assurance-bewertet"),IF($I289="BENCHMARK",IF($W289&lt;&gt;"Aktiv",IF($K289="","Benchmark fehlt","Assurance-bewertet"),IF($J289="","Messwert fehlt",IF($P289="","Nicht bewertbar","Berechnet"))),IF(AND($J289="",$K289&lt;&gt;""),"Nur Assurance-Score",IF($J289="","Messwert fehlt",IF($P289="","Nicht bewertbar",IF($P289&lt;=-2,"Kritische Wirkung / Prüfung","Berechnet"))))))</x:f>
        <x:v>Messwert fehlt</x:v>
      </x:c>
      <x:c r="T289" s="14" t="str">
        <x:v>Vollständige fünfstufige numerische Regel.</x:v>
      </x:c>
      <x:c r="U289" s="14" t="str">
        <x:v>≥70:+3; 50–69:+2; 30–49:0; 15–29:‑2; &lt;15:‑3</x:v>
      </x:c>
      <x:c r="V289" s="14" t="str">
        <x:v>ESRS E5, GRI 306, WEEE/VerpackG</x:v>
      </x:c>
      <x:c r="W289" s="14" t="str">
        <x:f>'02_Benchmarks'!$P289</x:f>
        <x:v>Optional – kein aktiver Benchmark</x:v>
      </x:c>
      <x:c r="X289" s="14" t="str">
        <x:v>Messgrundlage belegt; Schwellenkalibrierung offen</x:v>
      </x:c>
      <x:c r="Y289" s="14" t="str">
        <x:v>Mittel</x:v>
      </x:c>
      <x:c r="Z289" s="14" t="str">
        <x:v>Arbeitskalibrierung – fachlich zu validieren</x:v>
      </x:c>
      <x:c r="AA289" s="14" t="str">
        <x:v>Produkt/Funktionseinheit; Lebenszyklusgrenze mindestens cradle-to-gate, bei Nutzungs-/End-of-Life-Relevanz cradle-to-grave</x:v>
      </x:c>
      <x:c r="AB289" s="14" t="str">
        <x:v>Primärdaten bevorzugt; Sekundärdaten nur transparent und versioniert; Methode und Systemgrenze dokumentieren</x:v>
      </x:c>
      <x:c r="AC289" s="14" t="str">
        <x:v>Limited Assurance; risikobasiert höhere Prüftiefe</x:v>
      </x:c>
    </x:row>
    <x:row r="290" ht="42" customHeight="1">
      <x:c r="A290" s="14" t="str">
        <x:v>WOK-SYS-131</x:v>
      </x:c>
      <x:c r="B290" s="14" t="str">
        <x:v>SDG 11 – Städte</x:v>
      </x:c>
      <x:c r="C290" s="14" t="str">
        <x:v>11.4</x:v>
      </x:c>
      <x:c r="D290" s="14" t="str">
        <x:v>Kultur &amp; Teilhabe</x:v>
      </x:c>
      <x:c r="E290" s="14" t="str">
        <x:v>Kultur &amp; Teilhabe – Index</x:v>
      </x:c>
      <x:c r="F290" s="14" t="str">
        <x:v>0–1</x:v>
      </x:c>
      <x:c r="G290" s="14" t="str">
        <x:v>higher_is_better</x:v>
      </x:c>
      <x:c r="H290" s="14" t="str">
        <x:v>R15</x:v>
      </x:c>
      <x:c r="I290" s="14" t="str">
        <x:v>NUM_HIGH</x:v>
      </x:c>
      <x:c r="J290" s="51"/>
      <x:c r="K290" s="51"/>
      <x:c r="L290" s="51"/>
      <x:c r="M290" s="54"/>
      <x:c r="N290" s="58" t="str">
        <x:f>IF($J290="","",IF($J290&lt;0.5,-3,IF($J290&lt;0.6,-2,IF($J290&lt;0.7,0,IF($J290&lt;0.8,2,3)))))</x:f>
      </x:c>
      <x:c r="O290" s="58" t="str">
        <x:f>IF($J290="","",IF(OR('02_Benchmarks'!$P290&lt;&gt;"Aktiv",COUNT('02_Benchmarks'!$J290:$M290)&lt;4),"",IF($G290="lower_is_better",IF($J290&lt;='02_Benchmarks'!$J290,3,IF($J290&lt;'02_Benchmarks'!$K290,2,IF($J290&lt;='02_Benchmarks'!$L290,0,IF($J290&lt;='02_Benchmarks'!$M290,-2,-3)))),IF($J290&gt;='02_Benchmarks'!$J290,3,IF($J290&gt;'02_Benchmarks'!$K290,2,IF($J290&gt;='02_Benchmarks'!$L290,0,IF($J290&gt;='02_Benchmarks'!$M290,-2,-3)))))))</x:f>
      </x:c>
      <x:c r="P290" s="58" t="str">
        <x:f>IF(COUNT($N290:$O290)+IF(ISNUMBER($K290),1,0)=0,"",MIN($N290:$O290,$K290))</x:f>
      </x:c>
      <x:c r="Q290" s="58" t="str">
        <x:f>IF($P290="","",INDEX('04_Tarifmodell'!$B$6:$B$12,$P290+4))</x:f>
      </x:c>
      <x:c r="R290" s="64" t="str">
        <x:f>IF($P290="","",INDEX('04_Tarifmodell'!$C$6:$C$12,$P290+4))</x:f>
      </x:c>
      <x:c r="S290" s="14" t="str">
        <x:f>IF(OR($I290="QUALITATIVE",$I290="MANUAL_HYBRID"),IF($K290="","Assurance-Score fehlt","Assurance-bewertet"),IF($I290="BENCHMARK",IF($W290&lt;&gt;"Aktiv",IF($K290="","Benchmark fehlt","Assurance-bewertet"),IF($J290="","Messwert fehlt",IF($P290="","Nicht bewertbar","Berechnet"))),IF(AND($J290="",$K290&lt;&gt;""),"Nur Assurance-Score",IF($J290="","Messwert fehlt",IF($P290="","Nicht bewertbar",IF($P290&lt;=-2,"Kritische Wirkung / Prüfung","Berechnet"))))))</x:f>
        <x:v>Messwert fehlt</x:v>
      </x:c>
      <x:c r="T290" s="14" t="str">
        <x:v>SROI/SDG 17 ist keine hinreichend konkrete Mess- oder Schwellenquelle. Vollständige fünfstufige numerische Regel.</x:v>
      </x:c>
      <x:c r="U290" s="14" t="str">
        <x:v>≥0,8:+3; 0,7–0,79:+2; 0,6–0,69:0; 0,5–0,59:‑2; &lt;0,5:‑3</x:v>
      </x:c>
      <x:c r="V290" s="14" t="str">
        <x:v>SDG 16/17, WJP, V‑Dem</x:v>
      </x:c>
      <x:c r="W290" s="14" t="str">
        <x:f>'02_Benchmarks'!$P290</x:f>
        <x:v>Optional – kein aktiver Benchmark</x:v>
      </x:c>
      <x:c r="X290" s="14" t="str">
        <x:v>Platzhalter – fachliche Operationalisierung offen</x:v>
      </x:c>
      <x:c r="Y290" s="14" t="str">
        <x:v>Kritisch</x:v>
      </x:c>
      <x:c r="Z290" s="14" t="str">
        <x:v>Arbeitskalibrierung – fachlich zu validieren</x:v>
      </x:c>
      <x:c r="AA290" s="14" t="str">
        <x:v>Programm/Portfolio/Systemraum; Empfängergruppe, Region und Zeitraum explizit definieren</x:v>
      </x:c>
      <x:c r="AB290" s="14" t="str">
        <x:v>Primärdaten bevorzugt; Sekundärdaten nur transparent und versioniert; Methode und Systemgrenze dokumentieren</x:v>
      </x:c>
      <x:c r="AC290" s="14" t="str">
        <x:v>Limited Assurance; risikobasiert höhere Prüftiefe</x:v>
      </x:c>
    </x:row>
    <x:row r="291" ht="42" customHeight="1">
      <x:c r="A291" s="14" t="str">
        <x:v>WOK-SYS-132</x:v>
      </x:c>
      <x:c r="B291" s="14" t="str">
        <x:v>SDG 11 – Städte</x:v>
      </x:c>
      <x:c r="C291" s="14" t="str">
        <x:v>11.4</x:v>
      </x:c>
      <x:c r="D291" s="14" t="str">
        <x:v>Kultur &amp; Teilhabe</x:v>
      </x:c>
      <x:c r="E291" s="14" t="str">
        <x:v>Kultur &amp; Teilhabe – Exposure</x:v>
      </x:c>
      <x:c r="F291" s="14" t="str">
        <x:v>%</x:v>
      </x:c>
      <x:c r="G291" s="14" t="str">
        <x:v>lower_is_better</x:v>
      </x:c>
      <x:c r="H291" s="14" t="str">
        <x:v>R13</x:v>
      </x:c>
      <x:c r="I291" s="14" t="str">
        <x:v>NUM_LOW</x:v>
      </x:c>
      <x:c r="J291" s="51"/>
      <x:c r="K291" s="51"/>
      <x:c r="L291" s="51"/>
      <x:c r="M291" s="54"/>
      <x:c r="N291" s="58" t="str">
        <x:f>IF($J291="","",IF($J291&lt;=5,3,IF($J291&lt;=10,2,IF($J291&lt;=20,0,IF($J291&lt;=30,-2,-3)))))</x:f>
      </x:c>
      <x:c r="O291" s="58" t="str">
        <x:f>IF($J291="","",IF(OR('02_Benchmarks'!$P291&lt;&gt;"Aktiv",COUNT('02_Benchmarks'!$J291:$M291)&lt;4),"",IF($G291="lower_is_better",IF($J291&lt;='02_Benchmarks'!$J291,3,IF($J291&lt;'02_Benchmarks'!$K291,2,IF($J291&lt;='02_Benchmarks'!$L291,0,IF($J291&lt;='02_Benchmarks'!$M291,-2,-3)))),IF($J291&gt;='02_Benchmarks'!$J291,3,IF($J291&gt;'02_Benchmarks'!$K291,2,IF($J291&gt;='02_Benchmarks'!$L291,0,IF($J291&gt;='02_Benchmarks'!$M291,-2,-3)))))))</x:f>
      </x:c>
      <x:c r="P291" s="58" t="str">
        <x:f>IF(COUNT($N291:$O291)+IF(ISNUMBER($K291),1,0)=0,"",MIN($N291:$O291,$K291))</x:f>
      </x:c>
      <x:c r="Q291" s="58" t="str">
        <x:f>IF($P291="","",INDEX('04_Tarifmodell'!$B$6:$B$12,$P291+4))</x:f>
      </x:c>
      <x:c r="R291" s="64" t="str">
        <x:f>IF($P291="","",INDEX('04_Tarifmodell'!$C$6:$C$12,$P291+4))</x:f>
      </x:c>
      <x:c r="S291" s="14" t="str">
        <x:f>IF(OR($I291="QUALITATIVE",$I291="MANUAL_HYBRID"),IF($K291="","Assurance-Score fehlt","Assurance-bewertet"),IF($I291="BENCHMARK",IF($W291&lt;&gt;"Aktiv",IF($K291="","Benchmark fehlt","Assurance-bewertet"),IF($J291="","Messwert fehlt",IF($P291="","Nicht bewertbar","Berechnet"))),IF(AND($J291="",$K291&lt;&gt;""),"Nur Assurance-Score",IF($J291="","Messwert fehlt",IF($P291="","Nicht bewertbar",IF($P291&lt;=-2,"Kritische Wirkung / Prüfung","Berechnet"))))))</x:f>
        <x:v>Messwert fehlt</x:v>
      </x:c>
      <x:c r="T291" s="14" t="str">
        <x:v>SROI/SDG 17 ist keine hinreichend konkrete Mess- oder Schwellenquelle. Vollständige fünfstufige numerische Regel.</x:v>
      </x:c>
      <x:c r="U291" s="14" t="str">
        <x:v>≤5:+3; 6–10:+2; 11–20:0; 21–30:‑2; &gt;30:‑3</x:v>
      </x:c>
      <x:c r="V291" s="14" t="str">
        <x:v>SROI/SDG17</x:v>
      </x:c>
      <x:c r="W291" s="14" t="str">
        <x:f>'02_Benchmarks'!$P291</x:f>
        <x:v>Optional – kein aktiver Benchmark</x:v>
      </x:c>
      <x:c r="X291" s="14" t="str">
        <x:v>Platzhalter – fachliche Operationalisierung offen</x:v>
      </x:c>
      <x:c r="Y291" s="14" t="str">
        <x:v>Kritisch</x:v>
      </x:c>
      <x:c r="Z291" s="14" t="str">
        <x:v>Arbeitskalibrierung – fachlich zu validieren</x:v>
      </x:c>
      <x:c r="AA291" s="14" t="str">
        <x:v>Programm/Portfolio/Systemraum; Empfängergruppe, Region und Zeitraum explizit definieren</x:v>
      </x:c>
      <x:c r="AB291" s="14" t="str">
        <x:v>Primärdaten bevorzugt; Sekundärdaten nur transparent und versioniert; Methode und Systemgrenze dokumentieren</x:v>
      </x:c>
      <x:c r="AC291" s="14" t="str">
        <x:v>Limited Assurance; risikobasiert höhere Prüftiefe</x:v>
      </x:c>
    </x:row>
    <x:row r="292" ht="42" customHeight="1">
      <x:c r="A292" s="14" t="str">
        <x:v>WOK-SYS-133</x:v>
      </x:c>
      <x:c r="B292" s="14" t="str">
        <x:v>SDG 11 – Städte</x:v>
      </x:c>
      <x:c r="C292" s="14" t="str">
        <x:v>11.4</x:v>
      </x:c>
      <x:c r="D292" s="14" t="str">
        <x:v>Kultur &amp; Teilhabe</x:v>
      </x:c>
      <x:c r="E292" s="14" t="str">
        <x:v>Kultur &amp; Teilhabe – Kooperationen</x:v>
      </x:c>
      <x:c r="F292" s="14" t="str">
        <x:v>#/Jahr</x:v>
      </x:c>
      <x:c r="G292" s="14" t="str">
        <x:v>higher_is_better</x:v>
      </x:c>
      <x:c r="H292" s="14" t="str">
        <x:v>R20</x:v>
      </x:c>
      <x:c r="I292" s="14" t="str">
        <x:v>NUM_HIGH</x:v>
      </x:c>
      <x:c r="J292" s="51"/>
      <x:c r="K292" s="51"/>
      <x:c r="L292" s="51"/>
      <x:c r="M292" s="54"/>
      <x:c r="N292" s="58" t="str">
        <x:f>IF($J292="","",IF($J292&lt;0,-3,IF($J292&lt;1,-2,IF($J292&lt;3,0,IF($J292&lt;5,2,3)))))</x:f>
      </x:c>
      <x:c r="O292" s="58" t="str">
        <x:f>IF($J292="","",IF(OR('02_Benchmarks'!$P292&lt;&gt;"Aktiv",COUNT('02_Benchmarks'!$J292:$M292)&lt;4),"",IF($G292="lower_is_better",IF($J292&lt;='02_Benchmarks'!$J292,3,IF($J292&lt;'02_Benchmarks'!$K292,2,IF($J292&lt;='02_Benchmarks'!$L292,0,IF($J292&lt;='02_Benchmarks'!$M292,-2,-3)))),IF($J292&gt;='02_Benchmarks'!$J292,3,IF($J292&gt;'02_Benchmarks'!$K292,2,IF($J292&gt;='02_Benchmarks'!$L292,0,IF($J292&gt;='02_Benchmarks'!$M292,-2,-3)))))))</x:f>
      </x:c>
      <x:c r="P292" s="58" t="str">
        <x:f>IF(COUNT($N292:$O292)+IF(ISNUMBER($K292),1,0)=0,"",MIN($N292:$O292,$K292))</x:f>
      </x:c>
      <x:c r="Q292" s="58" t="str">
        <x:f>IF($P292="","",INDEX('04_Tarifmodell'!$B$6:$B$12,$P292+4))</x:f>
      </x:c>
      <x:c r="R292" s="64" t="str">
        <x:f>IF($P292="","",INDEX('04_Tarifmodell'!$C$6:$C$12,$P292+4))</x:f>
      </x:c>
      <x:c r="S292" s="14" t="str">
        <x:f>IF(OR($I292="QUALITATIVE",$I292="MANUAL_HYBRID"),IF($K292="","Assurance-Score fehlt","Assurance-bewertet"),IF($I292="BENCHMARK",IF($W292&lt;&gt;"Aktiv",IF($K292="","Benchmark fehlt","Assurance-bewertet"),IF($J292="","Messwert fehlt",IF($P292="","Nicht bewertbar","Berechnet"))),IF(AND($J292="",$K292&lt;&gt;""),"Nur Assurance-Score",IF($J292="","Messwert fehlt",IF($P292="","Nicht bewertbar",IF($P292&lt;=-2,"Kritische Wirkung / Prüfung","Berechnet"))))))</x:f>
        <x:v>Messwert fehlt</x:v>
      </x:c>
      <x:c r="T292" s="14" t="str">
        <x:v>SROI/SDG 17 ist keine hinreichend konkrete Mess- oder Schwellenquelle. Für sachlogisch nichtnegative Zählwerte ist 0 die schlechteste reguläre Klasse (−2).</x:v>
      </x:c>
      <x:c r="U292" s="14" t="str">
        <x:v>≥5:+3; 3–4:+2; 1–2:0; 0:‑2</x:v>
      </x:c>
      <x:c r="V292" s="14" t="str">
        <x:v>SDG 16/17, WJP, V‑Dem</x:v>
      </x:c>
      <x:c r="W292" s="14" t="str">
        <x:f>'02_Benchmarks'!$P292</x:f>
        <x:v>Optional – kein aktiver Benchmark</x:v>
      </x:c>
      <x:c r="X292" s="14" t="str">
        <x:v>Platzhalter – fachliche Operationalisierung offen</x:v>
      </x:c>
      <x:c r="Y292" s="14" t="str">
        <x:v>Kritisch</x:v>
      </x:c>
      <x:c r="Z292" s="14" t="str">
        <x:v>Klasse −3 nur für negative/unzulässige Werte ergänzt</x:v>
      </x:c>
      <x:c r="AA292" s="14" t="str">
        <x:v>Programm/Portfolio/Systemraum; Empfängergruppe, Region und Zeitraum explizit definieren</x:v>
      </x:c>
      <x:c r="AB292" s="14" t="str">
        <x:v>Primärdaten bevorzugt; Sekundärdaten nur transparent und versioniert; Methode und Systemgrenze dokumentieren</x:v>
      </x:c>
      <x:c r="AC292" s="14" t="str">
        <x:v>Limited Assurance; risikobasiert höhere Prüftiefe</x:v>
      </x:c>
    </x:row>
    <x:row r="293" ht="42" customHeight="1">
      <x:c r="A293" s="14" t="str">
        <x:v>WOK-E-161</x:v>
      </x:c>
      <x:c r="B293" s="14" t="str">
        <x:v>SDG 11 – Städte</x:v>
      </x:c>
      <x:c r="C293" s="14" t="str">
        <x:v>11.7</x:v>
      </x:c>
      <x:c r="D293" s="14" t="str">
        <x:v>Stadtgrün/Flächenversiegelung</x:v>
      </x:c>
      <x:c r="E293" s="14" t="str">
        <x:v>Stadtgrün/Flächenversiegelung – Nettoeffekt</x:v>
      </x:c>
      <x:c r="F293" s="14" t="str">
        <x:v>Qualitativ → Klasse</x:v>
      </x:c>
      <x:c r="G293" s="14" t="str">
        <x:v>higher_is_better</x:v>
      </x:c>
      <x:c r="H293" s="14" t="str">
        <x:v>R03</x:v>
      </x:c>
      <x:c r="I293" s="14" t="str">
        <x:v>QUALITATIVE</x:v>
      </x:c>
      <x:c r="J293" s="51"/>
      <x:c r="K293" s="51"/>
      <x:c r="L293" s="51"/>
      <x:c r="M293" s="54"/>
      <x:c r="N293" s="58" t="str">
        <x:f>""</x:f>
      </x:c>
      <x:c r="O293" s="58" t="str">
        <x:f>IF($J293="","",IF(OR('02_Benchmarks'!$P293&lt;&gt;"Aktiv",COUNT('02_Benchmarks'!$J293:$M293)&lt;4),"",IF($G293="lower_is_better",IF($J293&lt;='02_Benchmarks'!$J293,3,IF($J293&lt;'02_Benchmarks'!$K293,2,IF($J293&lt;='02_Benchmarks'!$L293,0,IF($J293&lt;='02_Benchmarks'!$M293,-2,-3)))),IF($J293&gt;='02_Benchmarks'!$J293,3,IF($J293&gt;'02_Benchmarks'!$K293,2,IF($J293&gt;='02_Benchmarks'!$L293,0,IF($J293&gt;='02_Benchmarks'!$M293,-2,-3)))))))</x:f>
      </x:c>
      <x:c r="P293" s="58" t="str">
        <x:f>IF(COUNT($N293:$O293)+IF(ISNUMBER($K293),1,0)=0,"",MIN($N293:$O293,$K293))</x:f>
      </x:c>
      <x:c r="Q293" s="58" t="str">
        <x:f>IF($P293="","",INDEX('04_Tarifmodell'!$B$6:$B$12,$P293+4))</x:f>
      </x:c>
      <x:c r="R293" s="64" t="str">
        <x:f>IF($P293="","",INDEX('04_Tarifmodell'!$C$6:$C$12,$P293+4))</x:f>
      </x:c>
      <x:c r="S293" s="14" t="str">
        <x:f>IF(OR($I293="QUALITATIVE",$I293="MANUAL_HYBRID"),IF($K293="","Assurance-Score fehlt","Assurance-bewertet"),IF($I293="BENCHMARK",IF($W293&lt;&gt;"Aktiv",IF($K293="","Benchmark fehlt","Assurance-bewertet"),IF($J293="","Messwert fehlt",IF($P293="","Nicht bewertbar","Berechnet"))),IF(AND($J293="",$K293&lt;&gt;""),"Nur Assurance-Score",IF($J293="","Messwert fehlt",IF($P293="","Nicht bewertbar",IF($P293&lt;=-2,"Kritische Wirkung / Prüfung","Berechnet"))))))</x:f>
        <x:v>Assurance-Score fehlt</x:v>
      </x:c>
      <x:c r="T293" s="14" t="str">
        <x:v>Net Gain/No Net Loss/Net Loss ist ohne feldspezifischen Nachweis nicht automatisierbar.</x:v>
      </x:c>
      <x:c r="U293" s="14" t="str">
        <x:v>Net Gain:+3; No Net Loss:0; Net Loss:‑2/‑3</x:v>
      </x:c>
      <x:c r="V293" s="14" t="str">
        <x:v>ESRS E4, CBD/GBF, EN 15978 (Bau)</x:v>
      </x:c>
      <x:c r="W293" s="14" t="str">
        <x:f>'02_Benchmarks'!$P293</x:f>
        <x:v>Optional – kein aktiver Benchmark</x:v>
      </x:c>
      <x:c r="X293" s="14" t="str">
        <x:v>Messgrundlage belegt; Schwellenkalibrierung offen</x:v>
      </x:c>
      <x:c r="Y293" s="14" t="str">
        <x:v>Hoch</x:v>
      </x:c>
      <x:c r="Z293" s="14" t="str">
        <x:v>Assurance und Kriterienkatalog erforderlich</x:v>
      </x:c>
      <x:c r="AA293" s="14" t="str">
        <x:v>Standort/Prozess/Aktivität; Bezugsgröße und relevante Umweltmedien</x:v>
      </x:c>
      <x:c r="AB293" s="14" t="str">
        <x:v>Dokumentierter Kriterienkatalog; nachvollziehbare Evidenz; DQR A/B bevorzugt</x:v>
      </x:c>
      <x:c r="AC293" s="14" t="str">
        <x:v>Unabhängige Fachprüfung/Limited Assurance; bei roten Linien Reasonable Assurance</x:v>
      </x:c>
    </x:row>
    <x:row r="294" ht="42" customHeight="1">
      <x:c r="A294" s="14" t="str">
        <x:v>WOK-E-162</x:v>
      </x:c>
      <x:c r="B294" s="14" t="str">
        <x:v>SDG 11 – Städte</x:v>
      </x:c>
      <x:c r="C294" s="14" t="str">
        <x:v>11.7</x:v>
      </x:c>
      <x:c r="D294" s="14" t="str">
        <x:v>Stadtgrün/Flächenversiegelung</x:v>
      </x:c>
      <x:c r="E294" s="14" t="str">
        <x:v>Stadtgrün/Flächenversiegelung – Landumwandlung</x:v>
      </x:c>
      <x:c r="F294" s="14" t="str">
        <x:v>ha/Jahr</x:v>
      </x:c>
      <x:c r="G294" s="14" t="str">
        <x:v>lower_is_better</x:v>
      </x:c>
      <x:c r="H294" s="14" t="str">
        <x:v>R02</x:v>
      </x:c>
      <x:c r="I294" s="14" t="str">
        <x:v>NUM_LOW</x:v>
      </x:c>
      <x:c r="J294" s="51"/>
      <x:c r="K294" s="51"/>
      <x:c r="L294" s="51"/>
      <x:c r="M294" s="54"/>
      <x:c r="N294" s="58" t="str">
        <x:f>IF($J294="","",IF($J294&lt;=0,3,IF($J294&lt;=1,2,IF($J294&lt;=3,0,IF($J294&lt;=5,-2,-3)))))</x:f>
      </x:c>
      <x:c r="O294" s="58" t="str">
        <x:f>IF($J294="","",IF(OR('02_Benchmarks'!$P294&lt;&gt;"Aktiv",COUNT('02_Benchmarks'!$J294:$M294)&lt;4),"",IF($G294="lower_is_better",IF($J294&lt;='02_Benchmarks'!$J294,3,IF($J294&lt;'02_Benchmarks'!$K294,2,IF($J294&lt;='02_Benchmarks'!$L294,0,IF($J294&lt;='02_Benchmarks'!$M294,-2,-3)))),IF($J294&gt;='02_Benchmarks'!$J294,3,IF($J294&gt;'02_Benchmarks'!$K294,2,IF($J294&gt;='02_Benchmarks'!$L294,0,IF($J294&gt;='02_Benchmarks'!$M294,-2,-3)))))))</x:f>
      </x:c>
      <x:c r="P294" s="58" t="str">
        <x:f>IF(COUNT($N294:$O294)+IF(ISNUMBER($K294),1,0)=0,"",MIN($N294:$O294,$K294))</x:f>
      </x:c>
      <x:c r="Q294" s="58" t="str">
        <x:f>IF($P294="","",INDEX('04_Tarifmodell'!$B$6:$B$12,$P294+4))</x:f>
      </x:c>
      <x:c r="R294" s="64" t="str">
        <x:f>IF($P294="","",INDEX('04_Tarifmodell'!$C$6:$C$12,$P294+4))</x:f>
      </x:c>
      <x:c r="S294" s="14" t="str">
        <x:f>IF(OR($I294="QUALITATIVE",$I294="MANUAL_HYBRID"),IF($K294="","Assurance-Score fehlt","Assurance-bewertet"),IF($I294="BENCHMARK",IF($W294&lt;&gt;"Aktiv",IF($K294="","Benchmark fehlt","Assurance-bewertet"),IF($J294="","Messwert fehlt",IF($P294="","Nicht bewertbar","Berechnet"))),IF(AND($J294="",$K294&lt;&gt;""),"Nur Assurance-Score",IF($J294="","Messwert fehlt",IF($P294="","Nicht bewertbar",IF($P294&lt;=-2,"Kritische Wirkung / Prüfung","Berechnet"))))))</x:f>
        <x:v>Messwert fehlt</x:v>
      </x:c>
      <x:c r="T294" s="14" t="str">
        <x:v>Vollständige fünfstufige numerische Regel.</x:v>
      </x:c>
      <x:c r="U294" s="14" t="str">
        <x:v>0:+3; ≤1:+2; ≤3:0; ≤5:‑2; &gt;5:‑3</x:v>
      </x:c>
      <x:c r="V294" s="14" t="str">
        <x:v>ESRS E4, CBD/GBF, EN 15978 (Bau)</x:v>
      </x:c>
      <x:c r="W294" s="14" t="str">
        <x:f>'02_Benchmarks'!$P294</x:f>
        <x:v>Optional – kein aktiver Benchmark</x:v>
      </x:c>
      <x:c r="X294" s="14" t="str">
        <x:v>Messgrundlage belegt; Schwellenkalibrierung offen</x:v>
      </x:c>
      <x:c r="Y294" s="14" t="str">
        <x:v>Mittel</x:v>
      </x:c>
      <x:c r="Z294" s="14" t="str">
        <x:v>Arbeitskalibrierung – fachlich zu validieren</x:v>
      </x:c>
      <x:c r="AA294" s="14" t="str">
        <x:v>Standort/Prozess/Aktivität; Bezugsgröße und relevante Umweltmedien</x:v>
      </x:c>
      <x:c r="AB294" s="14" t="str">
        <x:v>Primärdaten bevorzugt; Sekundärdaten nur transparent und versioniert; Methode und Systemgrenze dokumentieren</x:v>
      </x:c>
      <x:c r="AC294" s="14" t="str">
        <x:v>Limited Assurance; risikobasiert höhere Prüftiefe</x:v>
      </x:c>
    </x:row>
    <x:row r="295" ht="42" customHeight="1">
      <x:c r="A295" s="14" t="str">
        <x:v>WOK-E-163</x:v>
      </x:c>
      <x:c r="B295" s="14" t="str">
        <x:v>SDG 11 – Städte</x:v>
      </x:c>
      <x:c r="C295" s="14" t="str">
        <x:v>11.7</x:v>
      </x:c>
      <x:c r="D295" s="14" t="str">
        <x:v>Stadtgrün/Flächenversiegelung</x:v>
      </x:c>
      <x:c r="E295" s="14" t="str">
        <x:v>Stadtgrün/Flächenversiegelung – Deforestationsfrei</x:v>
      </x:c>
      <x:c r="F295" s="14" t="str">
        <x:v>%</x:v>
      </x:c>
      <x:c r="G295" s="14" t="str">
        <x:v>higher_is_better</x:v>
      </x:c>
      <x:c r="H295" s="14" t="str">
        <x:v>R28</x:v>
      </x:c>
      <x:c r="I295" s="14" t="str">
        <x:v>NUM_HIGH</x:v>
      </x:c>
      <x:c r="J295" s="51"/>
      <x:c r="K295" s="51"/>
      <x:c r="L295" s="51"/>
      <x:c r="M295" s="54"/>
      <x:c r="N295" s="58" t="str">
        <x:f>IF($J295="","",IF($J295&lt;50,-3,IF($J295&lt;75,-2,IF($J295&lt;90,0,IF($J295&lt;98,2,3)))))</x:f>
      </x:c>
      <x:c r="O295" s="58" t="str">
        <x:f>IF($J295="","",IF(OR('02_Benchmarks'!$P295&lt;&gt;"Aktiv",COUNT('02_Benchmarks'!$J295:$M295)&lt;4),"",IF($G295="lower_is_better",IF($J295&lt;='02_Benchmarks'!$J295,3,IF($J295&lt;'02_Benchmarks'!$K295,2,IF($J295&lt;='02_Benchmarks'!$L295,0,IF($J295&lt;='02_Benchmarks'!$M295,-2,-3)))),IF($J295&gt;='02_Benchmarks'!$J295,3,IF($J295&gt;'02_Benchmarks'!$K295,2,IF($J295&gt;='02_Benchmarks'!$L295,0,IF($J295&gt;='02_Benchmarks'!$M295,-2,-3)))))))</x:f>
      </x:c>
      <x:c r="P295" s="58" t="str">
        <x:f>IF(COUNT($N295:$O295)+IF(ISNUMBER($K295),1,0)=0,"",MIN($N295:$O295,$K295))</x:f>
      </x:c>
      <x:c r="Q295" s="58" t="str">
        <x:f>IF($P295="","",INDEX('04_Tarifmodell'!$B$6:$B$12,$P295+4))</x:f>
      </x:c>
      <x:c r="R295" s="64" t="str">
        <x:f>IF($P295="","",INDEX('04_Tarifmodell'!$C$6:$C$12,$P295+4))</x:f>
      </x:c>
      <x:c r="S295" s="14" t="str">
        <x:f>IF(OR($I295="QUALITATIVE",$I295="MANUAL_HYBRID"),IF($K295="","Assurance-Score fehlt","Assurance-bewertet"),IF($I295="BENCHMARK",IF($W295&lt;&gt;"Aktiv",IF($K295="","Benchmark fehlt","Assurance-bewertet"),IF($J295="","Messwert fehlt",IF($P295="","Nicht bewertbar","Berechnet"))),IF(AND($J295="",$K295&lt;&gt;""),"Nur Assurance-Score",IF($J295="","Messwert fehlt",IF($P295="","Nicht bewertbar",IF($P295&lt;=-2,"Kritische Wirkung / Prüfung","Berechnet"))))))</x:f>
        <x:v>Messwert fehlt</x:v>
      </x:c>
      <x:c r="T295" s="14" t="str">
        <x:v>Vollständige fünfstufige numerische Regel.</x:v>
      </x:c>
      <x:c r="U295" s="14" t="str">
        <x:v>≥98:+3; 90–97:+2; 75–89:0; 50–74:‑2; &lt;50:‑3</x:v>
      </x:c>
      <x:c r="V295" s="14" t="str">
        <x:v>ESRS E4, CBD/GBF, EN 15978 (Bau)</x:v>
      </x:c>
      <x:c r="W295" s="14" t="str">
        <x:f>'02_Benchmarks'!$P295</x:f>
        <x:v>Optional – kein aktiver Benchmark</x:v>
      </x:c>
      <x:c r="X295" s="14" t="str">
        <x:v>Messgrundlage belegt; Schwellenkalibrierung offen</x:v>
      </x:c>
      <x:c r="Y295" s="14" t="str">
        <x:v>Mittel</x:v>
      </x:c>
      <x:c r="Z295" s="14" t="str">
        <x:v>Arbeitskalibrierung – fachlich zu validieren</x:v>
      </x:c>
      <x:c r="AA295" s="14" t="str">
        <x:v>Standort/Prozess/Aktivität; Bezugsgröße und relevante Umweltmedien</x:v>
      </x:c>
      <x:c r="AB295" s="14" t="str">
        <x:v>Primärdaten bevorzugt; Sekundärdaten nur transparent und versioniert; Methode und Systemgrenze dokumentieren</x:v>
      </x:c>
      <x:c r="AC295" s="14" t="str">
        <x:v>Limited Assurance; risikobasiert höhere Prüftiefe</x:v>
      </x:c>
    </x:row>
    <x:row r="296" ht="42" customHeight="1">
      <x:c r="A296" s="14" t="str">
        <x:v>WOK-G-158</x:v>
      </x:c>
      <x:c r="B296" s="14" t="str">
        <x:v>SDG 11 – Städte</x:v>
      </x:c>
      <x:c r="C296" s="14" t="str">
        <x:v>11.3</x:v>
      </x:c>
      <x:c r="D296" s="14" t="str">
        <x:v>Partizipation/Transparenz Stadtprojekte</x:v>
      </x:c>
      <x:c r="E296" s="14" t="str">
        <x:v>Partizipation/Transparenz Stadtprojekte – Antikorruption</x:v>
      </x:c>
      <x:c r="F296" s="14" t="str">
        <x:v>Fälle/1.000 FTE</x:v>
      </x:c>
      <x:c r="G296" s="14" t="str">
        <x:v>lower_is_better</x:v>
      </x:c>
      <x:c r="H296" s="14" t="str">
        <x:v>R01</x:v>
      </x:c>
      <x:c r="I296" s="14" t="str">
        <x:v>NUM_LOW</x:v>
      </x:c>
      <x:c r="J296" s="51"/>
      <x:c r="K296" s="51"/>
      <x:c r="L296" s="51"/>
      <x:c r="M296" s="54"/>
      <x:c r="N296" s="58" t="str">
        <x:f>IF($J296="","",IF($J296&lt;=0,3,IF($J296&lt;=0.2,2,IF($J296&lt;=0.5,0,IF($J296&lt;=1,-2,-3)))))</x:f>
      </x:c>
      <x:c r="O296" s="58" t="str">
        <x:f>IF($J296="","",IF(OR('02_Benchmarks'!$P296&lt;&gt;"Aktiv",COUNT('02_Benchmarks'!$J296:$M296)&lt;4),"",IF($G296="lower_is_better",IF($J296&lt;='02_Benchmarks'!$J296,3,IF($J296&lt;'02_Benchmarks'!$K296,2,IF($J296&lt;='02_Benchmarks'!$L296,0,IF($J296&lt;='02_Benchmarks'!$M296,-2,-3)))),IF($J296&gt;='02_Benchmarks'!$J296,3,IF($J296&gt;'02_Benchmarks'!$K296,2,IF($J296&gt;='02_Benchmarks'!$L296,0,IF($J296&gt;='02_Benchmarks'!$M296,-2,-3)))))))</x:f>
      </x:c>
      <x:c r="P296" s="58" t="str">
        <x:f>IF(COUNT($N296:$O296)+IF(ISNUMBER($K296),1,0)=0,"",MIN($N296:$O296,$K296))</x:f>
      </x:c>
      <x:c r="Q296" s="58" t="str">
        <x:f>IF($P296="","",INDEX('04_Tarifmodell'!$B$6:$B$12,$P296+4))</x:f>
      </x:c>
      <x:c r="R296" s="64" t="str">
        <x:f>IF($P296="","",INDEX('04_Tarifmodell'!$C$6:$C$12,$P296+4))</x:f>
      </x:c>
      <x:c r="S296" s="14" t="str">
        <x:f>IF(OR($I296="QUALITATIVE",$I296="MANUAL_HYBRID"),IF($K296="","Assurance-Score fehlt","Assurance-bewertet"),IF($I296="BENCHMARK",IF($W296&lt;&gt;"Aktiv",IF($K296="","Benchmark fehlt","Assurance-bewertet"),IF($J296="","Messwert fehlt",IF($P296="","Nicht bewertbar","Berechnet"))),IF(AND($J296="",$K296&lt;&gt;""),"Nur Assurance-Score",IF($J296="","Messwert fehlt",IF($P296="","Nicht bewertbar",IF($P296&lt;=-2,"Kritische Wirkung / Prüfung","Berechnet"))))))</x:f>
        <x:v>Messwert fehlt</x:v>
      </x:c>
      <x:c r="T296" s="14" t="str">
        <x:v>Vollständige fünfstufige numerische Regel.</x:v>
      </x:c>
      <x:c r="U296" s="14" t="str">
        <x:v>0:+3; ≤0,2:+2; ≤0,5:0; ≤1:‑2; &gt;1:‑3</x:v>
      </x:c>
      <x:c r="V296" s="14" t="str">
        <x:v>ESRS G1, GRI 205/207, OECD Anti‑Bribery</x:v>
      </x:c>
      <x:c r="W296" s="14" t="str">
        <x:f>'02_Benchmarks'!$P296</x:f>
        <x:v>Optional – kein aktiver Benchmark</x:v>
      </x:c>
      <x:c r="X296" s="14" t="str">
        <x:v>Messgrundlage belegt; Schwellenkalibrierung offen</x:v>
      </x:c>
      <x:c r="Y296" s="14" t="str">
        <x:v>Mittel</x:v>
      </x:c>
      <x:c r="Z296" s="14" t="str">
        <x:v>Arbeitskalibrierung – fachlich zu validieren</x:v>
      </x:c>
      <x:c r="AA296" s="14" t="str">
        <x:v>Organisation/Governance; konsolidierter Kreis und relevante Rechtseinheiten</x:v>
      </x:c>
      <x:c r="AB296" s="14" t="str">
        <x:v>Primärdaten bevorzugt; Sekundärdaten nur transparent und versioniert; Methode und Systemgrenze dokumentieren</x:v>
      </x:c>
      <x:c r="AC296" s="14" t="str">
        <x:v>Limited Assurance; risikobasiert höhere Prüftiefe</x:v>
      </x:c>
    </x:row>
    <x:row r="297" ht="42" customHeight="1">
      <x:c r="A297" s="14" t="str">
        <x:v>WOK-G-159</x:v>
      </x:c>
      <x:c r="B297" s="14" t="str">
        <x:v>SDG 11 – Städte</x:v>
      </x:c>
      <x:c r="C297" s="14" t="str">
        <x:v>11.3</x:v>
      </x:c>
      <x:c r="D297" s="14" t="str">
        <x:v>Partizipation/Transparenz Stadtprojekte</x:v>
      </x:c>
      <x:c r="E297" s="14" t="str">
        <x:v>Partizipation/Transparenz Stadtprojekte – Whistleblowing</x:v>
      </x:c>
      <x:c r="F297" s="14" t="str">
        <x:v>0–1</x:v>
      </x:c>
      <x:c r="G297" s="14" t="str">
        <x:v>higher_is_better</x:v>
      </x:c>
      <x:c r="H297" s="14" t="str">
        <x:v>R16</x:v>
      </x:c>
      <x:c r="I297" s="14" t="str">
        <x:v>NUM_HIGH</x:v>
      </x:c>
      <x:c r="J297" s="51"/>
      <x:c r="K297" s="51"/>
      <x:c r="L297" s="51"/>
      <x:c r="M297" s="54"/>
      <x:c r="N297" s="58" t="str">
        <x:f>IF($J297="","",IF($J297&lt;0.4,-3,IF($J297&lt;0.6,-2,IF($J297&lt;0.75,0,IF($J297&lt;0.9,2,3)))))</x:f>
      </x:c>
      <x:c r="O297" s="58" t="str">
        <x:f>IF($J297="","",IF(OR('02_Benchmarks'!$P297&lt;&gt;"Aktiv",COUNT('02_Benchmarks'!$J297:$M297)&lt;4),"",IF($G297="lower_is_better",IF($J297&lt;='02_Benchmarks'!$J297,3,IF($J297&lt;'02_Benchmarks'!$K297,2,IF($J297&lt;='02_Benchmarks'!$L297,0,IF($J297&lt;='02_Benchmarks'!$M297,-2,-3)))),IF($J297&gt;='02_Benchmarks'!$J297,3,IF($J297&gt;'02_Benchmarks'!$K297,2,IF($J297&gt;='02_Benchmarks'!$L297,0,IF($J297&gt;='02_Benchmarks'!$M297,-2,-3)))))))</x:f>
      </x:c>
      <x:c r="P297" s="58" t="str">
        <x:f>IF(COUNT($N297:$O297)+IF(ISNUMBER($K297),1,0)=0,"",MIN($N297:$O297,$K297))</x:f>
      </x:c>
      <x:c r="Q297" s="58" t="str">
        <x:f>IF($P297="","",INDEX('04_Tarifmodell'!$B$6:$B$12,$P297+4))</x:f>
      </x:c>
      <x:c r="R297" s="64" t="str">
        <x:f>IF($P297="","",INDEX('04_Tarifmodell'!$C$6:$C$12,$P297+4))</x:f>
      </x:c>
      <x:c r="S297" s="14" t="str">
        <x:f>IF(OR($I297="QUALITATIVE",$I297="MANUAL_HYBRID"),IF($K297="","Assurance-Score fehlt","Assurance-bewertet"),IF($I297="BENCHMARK",IF($W297&lt;&gt;"Aktiv",IF($K297="","Benchmark fehlt","Assurance-bewertet"),IF($J297="","Messwert fehlt",IF($P297="","Nicht bewertbar","Berechnet"))),IF(AND($J297="",$K297&lt;&gt;""),"Nur Assurance-Score",IF($J297="","Messwert fehlt",IF($P297="","Nicht bewertbar",IF($P297&lt;=-2,"Kritische Wirkung / Prüfung","Berechnet"))))))</x:f>
        <x:v>Messwert fehlt</x:v>
      </x:c>
      <x:c r="T297" s="14" t="str">
        <x:v>Vollständige fünfstufige numerische Regel.</x:v>
      </x:c>
      <x:c r="U297" s="14" t="str">
        <x:v>≥0,9:+3; 0,75–0,89:+2; 0,6–0,74:0; 0,4–0,59:‑2; &lt;0,4:‑3</x:v>
      </x:c>
      <x:c r="V297" s="14" t="str">
        <x:v>ESRS G1, GRI 205/207, OECD Anti‑Bribery</x:v>
      </x:c>
      <x:c r="W297" s="14" t="str">
        <x:f>'02_Benchmarks'!$P297</x:f>
        <x:v>Optional – kein aktiver Benchmark</x:v>
      </x:c>
      <x:c r="X297" s="14" t="str">
        <x:v>Messgrundlage belegt; Schwellenkalibrierung offen</x:v>
      </x:c>
      <x:c r="Y297" s="14" t="str">
        <x:v>Mittel</x:v>
      </x:c>
      <x:c r="Z297" s="14" t="str">
        <x:v>Arbeitskalibrierung – fachlich zu validieren</x:v>
      </x:c>
      <x:c r="AA297" s="14" t="str">
        <x:v>Organisation/Governance; konsolidierter Kreis und relevante Rechtseinheiten</x:v>
      </x:c>
      <x:c r="AB297" s="14" t="str">
        <x:v>Primärdaten bevorzugt; Sekundärdaten nur transparent und versioniert; Methode und Systemgrenze dokumentieren</x:v>
      </x:c>
      <x:c r="AC297" s="14" t="str">
        <x:v>Limited Assurance; risikobasiert höhere Prüftiefe</x:v>
      </x:c>
    </x:row>
    <x:row r="298" ht="42" customHeight="1">
      <x:c r="A298" s="14" t="str">
        <x:v>WOK-G-160</x:v>
      </x:c>
      <x:c r="B298" s="14" t="str">
        <x:v>SDG 11 – Städte</x:v>
      </x:c>
      <x:c r="C298" s="14" t="str">
        <x:v>11.3</x:v>
      </x:c>
      <x:c r="D298" s="14" t="str">
        <x:v>Partizipation/Transparenz Stadtprojekte</x:v>
      </x:c>
      <x:c r="E298" s="14" t="str">
        <x:v>Partizipation/Transparenz Stadtprojekte – Steuertransparenz</x:v>
      </x:c>
      <x:c r="F298" s="14" t="str">
        <x:v>0–1</x:v>
      </x:c>
      <x:c r="G298" s="14" t="str">
        <x:v>higher_is_better</x:v>
      </x:c>
      <x:c r="H298" s="14" t="str">
        <x:v>R08</x:v>
      </x:c>
      <x:c r="I298" s="14" t="str">
        <x:v>QUALITATIVE</x:v>
      </x:c>
      <x:c r="J298" s="51"/>
      <x:c r="K298" s="51"/>
      <x:c r="L298" s="51"/>
      <x:c r="M298" s="54"/>
      <x:c r="N298" s="58" t="str">
        <x:f>""</x:f>
      </x:c>
      <x:c r="O298" s="58" t="str">
        <x:f>IF($J298="","",IF(OR('02_Benchmarks'!$P298&lt;&gt;"Aktiv",COUNT('02_Benchmarks'!$J298:$M298)&lt;4),"",IF($G298="lower_is_better",IF($J298&lt;='02_Benchmarks'!$J298,3,IF($J298&lt;'02_Benchmarks'!$K298,2,IF($J298&lt;='02_Benchmarks'!$L298,0,IF($J298&lt;='02_Benchmarks'!$M298,-2,-3)))),IF($J298&gt;='02_Benchmarks'!$J298,3,IF($J298&gt;'02_Benchmarks'!$K298,2,IF($J298&gt;='02_Benchmarks'!$L298,0,IF($J298&gt;='02_Benchmarks'!$M298,-2,-3)))))))</x:f>
      </x:c>
      <x:c r="P298" s="58" t="str">
        <x:f>IF(COUNT($N298:$O298)+IF(ISNUMBER($K298),1,0)=0,"",MIN($N298:$O298,$K298))</x:f>
      </x:c>
      <x:c r="Q298" s="58" t="str">
        <x:f>IF($P298="","",INDEX('04_Tarifmodell'!$B$6:$B$12,$P298+4))</x:f>
      </x:c>
      <x:c r="R298" s="64" t="str">
        <x:f>IF($P298="","",INDEX('04_Tarifmodell'!$C$6:$C$12,$P298+4))</x:f>
      </x:c>
      <x:c r="S298" s="14" t="str">
        <x:f>IF(OR($I298="QUALITATIVE",$I298="MANUAL_HYBRID"),IF($K298="","Assurance-Score fehlt","Assurance-bewertet"),IF($I298="BENCHMARK",IF($W298&lt;&gt;"Aktiv",IF($K298="","Benchmark fehlt","Assurance-bewertet"),IF($J298="","Messwert fehlt",IF($P298="","Nicht bewertbar","Berechnet"))),IF(AND($J298="",$K298&lt;&gt;""),"Nur Assurance-Score",IF($J298="","Messwert fehlt",IF($P298="","Nicht bewertbar",IF($P298&lt;=-2,"Kritische Wirkung / Prüfung","Berechnet"))))))</x:f>
        <x:v>Assurance-Score fehlt</x:v>
      </x:c>
      <x:c r="T298" s="14" t="str">
        <x:v>Die Kategorie −3 fehlt; Vollständigkeit und Wirksamkeit sind feldspezifisch zu definieren.</x:v>
      </x:c>
      <x:c r="U298" s="14" t="str">
        <x:v>vollständig:+3; teilweise:+2; minimal:0; schlecht:‑2</x:v>
      </x:c>
      <x:c r="V298" s="14" t="str">
        <x:v>ESRS G1, GRI 205/207, OECD Anti‑Bribery</x:v>
      </x:c>
      <x:c r="W298" s="14" t="str">
        <x:f>'02_Benchmarks'!$P298</x:f>
        <x:v>Optional – kein aktiver Benchmark</x:v>
      </x:c>
      <x:c r="X298" s="14" t="str">
        <x:v>Messgrundlage belegt; Schwellenkalibrierung offen</x:v>
      </x:c>
      <x:c r="Y298" s="14" t="str">
        <x:v>Hoch</x:v>
      </x:c>
      <x:c r="Z298" s="14" t="str">
        <x:v>Assurance und Kriterienkatalog erforderlich</x:v>
      </x:c>
      <x:c r="AA298" s="14" t="str">
        <x:v>Organisation/Governance; konsolidierter Kreis und relevante Rechtseinheiten</x:v>
      </x:c>
      <x:c r="AB298" s="14" t="str">
        <x:v>Dokumentierter Kriterienkatalog; nachvollziehbare Evidenz; DQR A/B bevorzugt</x:v>
      </x:c>
      <x:c r="AC298" s="14" t="str">
        <x:v>Unabhängige Fachprüfung/Limited Assurance; bei roten Linien Reasonable Assurance</x:v>
      </x:c>
    </x:row>
    <x:row r="299" ht="42" customHeight="1">
      <x:c r="A299" s="14" t="str">
        <x:v>WOK-E-164</x:v>
      </x:c>
      <x:c r="B299" s="14" t="str">
        <x:v>SDG 11 – Städte</x:v>
      </x:c>
      <x:c r="C299" s="14" t="str">
        <x:v>11.6</x:v>
      </x:c>
      <x:c r="D299" s="14" t="str">
        <x:v>Lärm‑Exposition</x:v>
      </x:c>
      <x:c r="E299" s="14" t="str">
        <x:v>Lärm‑Exposition – Antikorruption</x:v>
      </x:c>
      <x:c r="F299" s="14" t="str">
        <x:v>Fälle/1.000 FTE</x:v>
      </x:c>
      <x:c r="G299" s="14" t="str">
        <x:v>lower_is_better</x:v>
      </x:c>
      <x:c r="H299" s="14" t="str">
        <x:v>R01</x:v>
      </x:c>
      <x:c r="I299" s="14" t="str">
        <x:v>NUM_LOW</x:v>
      </x:c>
      <x:c r="J299" s="51"/>
      <x:c r="K299" s="51"/>
      <x:c r="L299" s="51"/>
      <x:c r="M299" s="54"/>
      <x:c r="N299" s="58" t="str">
        <x:f>IF($J299="","",IF($J299&lt;=0,3,IF($J299&lt;=0.2,2,IF($J299&lt;=0.5,0,IF($J299&lt;=1,-2,-3)))))</x:f>
      </x:c>
      <x:c r="O299" s="58" t="str">
        <x:f>IF($J299="","",IF(OR('02_Benchmarks'!$P299&lt;&gt;"Aktiv",COUNT('02_Benchmarks'!$J299:$M299)&lt;4),"",IF($G299="lower_is_better",IF($J299&lt;='02_Benchmarks'!$J299,3,IF($J299&lt;'02_Benchmarks'!$K299,2,IF($J299&lt;='02_Benchmarks'!$L299,0,IF($J299&lt;='02_Benchmarks'!$M299,-2,-3)))),IF($J299&gt;='02_Benchmarks'!$J299,3,IF($J299&gt;'02_Benchmarks'!$K299,2,IF($J299&gt;='02_Benchmarks'!$L299,0,IF($J299&gt;='02_Benchmarks'!$M299,-2,-3)))))))</x:f>
      </x:c>
      <x:c r="P299" s="58" t="str">
        <x:f>IF(COUNT($N299:$O299)+IF(ISNUMBER($K299),1,0)=0,"",MIN($N299:$O299,$K299))</x:f>
      </x:c>
      <x:c r="Q299" s="58" t="str">
        <x:f>IF($P299="","",INDEX('04_Tarifmodell'!$B$6:$B$12,$P299+4))</x:f>
      </x:c>
      <x:c r="R299" s="64" t="str">
        <x:f>IF($P299="","",INDEX('04_Tarifmodell'!$C$6:$C$12,$P299+4))</x:f>
      </x:c>
      <x:c r="S299" s="14" t="str">
        <x:f>IF(OR($I299="QUALITATIVE",$I299="MANUAL_HYBRID"),IF($K299="","Assurance-Score fehlt","Assurance-bewertet"),IF($I299="BENCHMARK",IF($W299&lt;&gt;"Aktiv",IF($K299="","Benchmark fehlt","Assurance-bewertet"),IF($J299="","Messwert fehlt",IF($P299="","Nicht bewertbar","Berechnet"))),IF(AND($J299="",$K299&lt;&gt;""),"Nur Assurance-Score",IF($J299="","Messwert fehlt",IF($P299="","Nicht bewertbar",IF($P299&lt;=-2,"Kritische Wirkung / Prüfung","Berechnet"))))))</x:f>
        <x:v>Messwert fehlt</x:v>
      </x:c>
      <x:c r="T299" s="14" t="str">
        <x:v>Vollständige fünfstufige numerische Regel.</x:v>
      </x:c>
      <x:c r="U299" s="14" t="str">
        <x:v>0:+3; ≤0,2:+2; ≤0,5:0; ≤1:‑2; &gt;1:‑3</x:v>
      </x:c>
      <x:c r="V299" s="14" t="str">
        <x:v>ESRS G1, GRI 205/207, OECD Anti‑Bribery</x:v>
      </x:c>
      <x:c r="W299" s="14" t="str">
        <x:f>'02_Benchmarks'!$P299</x:f>
        <x:v>Optional – kein aktiver Benchmark</x:v>
      </x:c>
      <x:c r="X299" s="14" t="str">
        <x:v>Messgrundlage belegt; Schwellenkalibrierung offen</x:v>
      </x:c>
      <x:c r="Y299" s="14" t="str">
        <x:v>Mittel</x:v>
      </x:c>
      <x:c r="Z299" s="14" t="str">
        <x:v>Arbeitskalibrierung – fachlich zu validieren</x:v>
      </x:c>
      <x:c r="AA299" s="14" t="str">
        <x:v>Standort/Prozess/Aktivität; Bezugsgröße und relevante Umweltmedien</x:v>
      </x:c>
      <x:c r="AB299" s="14" t="str">
        <x:v>Primärdaten bevorzugt; Sekundärdaten nur transparent und versioniert; Methode und Systemgrenze dokumentieren</x:v>
      </x:c>
      <x:c r="AC299" s="14" t="str">
        <x:v>Limited Assurance; risikobasiert höhere Prüftiefe</x:v>
      </x:c>
    </x:row>
    <x:row r="300" ht="42" customHeight="1">
      <x:c r="A300" s="14" t="str">
        <x:v>WOK-E-165</x:v>
      </x:c>
      <x:c r="B300" s="14" t="str">
        <x:v>SDG 11 – Städte</x:v>
      </x:c>
      <x:c r="C300" s="14" t="str">
        <x:v>11.6</x:v>
      </x:c>
      <x:c r="D300" s="14" t="str">
        <x:v>Lärm‑Exposition</x:v>
      </x:c>
      <x:c r="E300" s="14" t="str">
        <x:v>Lärm‑Exposition – Whistleblowing</x:v>
      </x:c>
      <x:c r="F300" s="14" t="str">
        <x:v>0–1</x:v>
      </x:c>
      <x:c r="G300" s="14" t="str">
        <x:v>higher_is_better</x:v>
      </x:c>
      <x:c r="H300" s="14" t="str">
        <x:v>R16</x:v>
      </x:c>
      <x:c r="I300" s="14" t="str">
        <x:v>NUM_HIGH</x:v>
      </x:c>
      <x:c r="J300" s="51"/>
      <x:c r="K300" s="51"/>
      <x:c r="L300" s="51"/>
      <x:c r="M300" s="54"/>
      <x:c r="N300" s="58" t="str">
        <x:f>IF($J300="","",IF($J300&lt;0.4,-3,IF($J300&lt;0.6,-2,IF($J300&lt;0.75,0,IF($J300&lt;0.9,2,3)))))</x:f>
      </x:c>
      <x:c r="O300" s="58" t="str">
        <x:f>IF($J300="","",IF(OR('02_Benchmarks'!$P300&lt;&gt;"Aktiv",COUNT('02_Benchmarks'!$J300:$M300)&lt;4),"",IF($G300="lower_is_better",IF($J300&lt;='02_Benchmarks'!$J300,3,IF($J300&lt;'02_Benchmarks'!$K300,2,IF($J300&lt;='02_Benchmarks'!$L300,0,IF($J300&lt;='02_Benchmarks'!$M300,-2,-3)))),IF($J300&gt;='02_Benchmarks'!$J300,3,IF($J300&gt;'02_Benchmarks'!$K300,2,IF($J300&gt;='02_Benchmarks'!$L300,0,IF($J300&gt;='02_Benchmarks'!$M300,-2,-3)))))))</x:f>
      </x:c>
      <x:c r="P300" s="58" t="str">
        <x:f>IF(COUNT($N300:$O300)+IF(ISNUMBER($K300),1,0)=0,"",MIN($N300:$O300,$K300))</x:f>
      </x:c>
      <x:c r="Q300" s="58" t="str">
        <x:f>IF($P300="","",INDEX('04_Tarifmodell'!$B$6:$B$12,$P300+4))</x:f>
      </x:c>
      <x:c r="R300" s="64" t="str">
        <x:f>IF($P300="","",INDEX('04_Tarifmodell'!$C$6:$C$12,$P300+4))</x:f>
      </x:c>
      <x:c r="S300" s="14" t="str">
        <x:f>IF(OR($I300="QUALITATIVE",$I300="MANUAL_HYBRID"),IF($K300="","Assurance-Score fehlt","Assurance-bewertet"),IF($I300="BENCHMARK",IF($W300&lt;&gt;"Aktiv",IF($K300="","Benchmark fehlt","Assurance-bewertet"),IF($J300="","Messwert fehlt",IF($P300="","Nicht bewertbar","Berechnet"))),IF(AND($J300="",$K300&lt;&gt;""),"Nur Assurance-Score",IF($J300="","Messwert fehlt",IF($P300="","Nicht bewertbar",IF($P300&lt;=-2,"Kritische Wirkung / Prüfung","Berechnet"))))))</x:f>
        <x:v>Messwert fehlt</x:v>
      </x:c>
      <x:c r="T300" s="14" t="str">
        <x:v>Vollständige fünfstufige numerische Regel.</x:v>
      </x:c>
      <x:c r="U300" s="14" t="str">
        <x:v>≥0,9:+3; 0,75–0,89:+2; 0,6–0,74:0; 0,4–0,59:‑2; &lt;0,4:‑3</x:v>
      </x:c>
      <x:c r="V300" s="14" t="str">
        <x:v>ESRS G1, GRI 205/207, OECD Anti‑Bribery</x:v>
      </x:c>
      <x:c r="W300" s="14" t="str">
        <x:f>'02_Benchmarks'!$P300</x:f>
        <x:v>Optional – kein aktiver Benchmark</x:v>
      </x:c>
      <x:c r="X300" s="14" t="str">
        <x:v>Messgrundlage belegt; Schwellenkalibrierung offen</x:v>
      </x:c>
      <x:c r="Y300" s="14" t="str">
        <x:v>Mittel</x:v>
      </x:c>
      <x:c r="Z300" s="14" t="str">
        <x:v>Arbeitskalibrierung – fachlich zu validieren</x:v>
      </x:c>
      <x:c r="AA300" s="14" t="str">
        <x:v>Standort/Prozess/Aktivität; Bezugsgröße und relevante Umweltmedien</x:v>
      </x:c>
      <x:c r="AB300" s="14" t="str">
        <x:v>Primärdaten bevorzugt; Sekundärdaten nur transparent und versioniert; Methode und Systemgrenze dokumentieren</x:v>
      </x:c>
      <x:c r="AC300" s="14" t="str">
        <x:v>Limited Assurance; risikobasiert höhere Prüftiefe</x:v>
      </x:c>
    </x:row>
    <x:row r="301" ht="42" customHeight="1">
      <x:c r="A301" s="14" t="str">
        <x:v>WOK-E-166</x:v>
      </x:c>
      <x:c r="B301" s="14" t="str">
        <x:v>SDG 11 – Städte</x:v>
      </x:c>
      <x:c r="C301" s="14" t="str">
        <x:v>11.6</x:v>
      </x:c>
      <x:c r="D301" s="14" t="str">
        <x:v>Lärm‑Exposition</x:v>
      </x:c>
      <x:c r="E301" s="14" t="str">
        <x:v>Lärm‑Exposition – Steuertransparenz</x:v>
      </x:c>
      <x:c r="F301" s="14" t="str">
        <x:v>0–1</x:v>
      </x:c>
      <x:c r="G301" s="14" t="str">
        <x:v>higher_is_better</x:v>
      </x:c>
      <x:c r="H301" s="14" t="str">
        <x:v>R08</x:v>
      </x:c>
      <x:c r="I301" s="14" t="str">
        <x:v>QUALITATIVE</x:v>
      </x:c>
      <x:c r="J301" s="51"/>
      <x:c r="K301" s="51"/>
      <x:c r="L301" s="51"/>
      <x:c r="M301" s="54"/>
      <x:c r="N301" s="58" t="str">
        <x:f>""</x:f>
      </x:c>
      <x:c r="O301" s="58" t="str">
        <x:f>IF($J301="","",IF(OR('02_Benchmarks'!$P301&lt;&gt;"Aktiv",COUNT('02_Benchmarks'!$J301:$M301)&lt;4),"",IF($G301="lower_is_better",IF($J301&lt;='02_Benchmarks'!$J301,3,IF($J301&lt;'02_Benchmarks'!$K301,2,IF($J301&lt;='02_Benchmarks'!$L301,0,IF($J301&lt;='02_Benchmarks'!$M301,-2,-3)))),IF($J301&gt;='02_Benchmarks'!$J301,3,IF($J301&gt;'02_Benchmarks'!$K301,2,IF($J301&gt;='02_Benchmarks'!$L301,0,IF($J301&gt;='02_Benchmarks'!$M301,-2,-3)))))))</x:f>
      </x:c>
      <x:c r="P301" s="58" t="str">
        <x:f>IF(COUNT($N301:$O301)+IF(ISNUMBER($K301),1,0)=0,"",MIN($N301:$O301,$K301))</x:f>
      </x:c>
      <x:c r="Q301" s="58" t="str">
        <x:f>IF($P301="","",INDEX('04_Tarifmodell'!$B$6:$B$12,$P301+4))</x:f>
      </x:c>
      <x:c r="R301" s="64" t="str">
        <x:f>IF($P301="","",INDEX('04_Tarifmodell'!$C$6:$C$12,$P301+4))</x:f>
      </x:c>
      <x:c r="S301" s="14" t="str">
        <x:f>IF(OR($I301="QUALITATIVE",$I301="MANUAL_HYBRID"),IF($K301="","Assurance-Score fehlt","Assurance-bewertet"),IF($I301="BENCHMARK",IF($W301&lt;&gt;"Aktiv",IF($K301="","Benchmark fehlt","Assurance-bewertet"),IF($J301="","Messwert fehlt",IF($P301="","Nicht bewertbar","Berechnet"))),IF(AND($J301="",$K301&lt;&gt;""),"Nur Assurance-Score",IF($J301="","Messwert fehlt",IF($P301="","Nicht bewertbar",IF($P301&lt;=-2,"Kritische Wirkung / Prüfung","Berechnet"))))))</x:f>
        <x:v>Assurance-Score fehlt</x:v>
      </x:c>
      <x:c r="T301" s="14" t="str">
        <x:v>Die Kategorie −3 fehlt; Vollständigkeit und Wirksamkeit sind feldspezifisch zu definieren.</x:v>
      </x:c>
      <x:c r="U301" s="14" t="str">
        <x:v>vollständig:+3; teilweise:+2; minimal:0; schlecht:‑2</x:v>
      </x:c>
      <x:c r="V301" s="14" t="str">
        <x:v>ESRS G1, GRI 205/207, OECD Anti‑Bribery</x:v>
      </x:c>
      <x:c r="W301" s="14" t="str">
        <x:f>'02_Benchmarks'!$P301</x:f>
        <x:v>Optional – kein aktiver Benchmark</x:v>
      </x:c>
      <x:c r="X301" s="14" t="str">
        <x:v>Messgrundlage belegt; Schwellenkalibrierung offen</x:v>
      </x:c>
      <x:c r="Y301" s="14" t="str">
        <x:v>Hoch</x:v>
      </x:c>
      <x:c r="Z301" s="14" t="str">
        <x:v>Assurance und Kriterienkatalog erforderlich</x:v>
      </x:c>
      <x:c r="AA301" s="14" t="str">
        <x:v>Standort/Prozess/Aktivität; Bezugsgröße und relevante Umweltmedien</x:v>
      </x:c>
      <x:c r="AB301" s="14" t="str">
        <x:v>Dokumentierter Kriterienkatalog; nachvollziehbare Evidenz; DQR A/B bevorzugt</x:v>
      </x:c>
      <x:c r="AC301" s="14" t="str">
        <x:v>Unabhängige Fachprüfung/Limited Assurance; bei roten Linien Reasonable Assurance</x:v>
      </x:c>
    </x:row>
    <x:row r="302" ht="42" customHeight="1">
      <x:c r="A302" s="14" t="str">
        <x:v>WOK-E-167</x:v>
      </x:c>
      <x:c r="B302" s="14" t="str">
        <x:v>SDG 12 – Konsum/Produktion</x:v>
      </x:c>
      <x:c r="C302" s="14" t="str">
        <x:v>12.2</x:v>
      </x:c>
      <x:c r="D302" s="14" t="str">
        <x:v>Materialintensität</x:v>
      </x:c>
      <x:c r="E302" s="14" t="str">
        <x:v>Materialintensität – Abfallintensität</x:v>
      </x:c>
      <x:c r="F302" s="14" t="str">
        <x:v>kg/t</x:v>
      </x:c>
      <x:c r="G302" s="14" t="str">
        <x:v>lower_is_better</x:v>
      </x:c>
      <x:c r="H302" s="14" t="str">
        <x:v>R06</x:v>
      </x:c>
      <x:c r="I302" s="14" t="str">
        <x:v>BENCHMARK</x:v>
      </x:c>
      <x:c r="J302" s="51"/>
      <x:c r="K302" s="51"/>
      <x:c r="L302" s="51"/>
      <x:c r="M302" s="54"/>
      <x:c r="N302" s="58" t="str">
        <x:f>""</x:f>
      </x:c>
      <x:c r="O302" s="58" t="str">
        <x:f>IF($J302="","",IF(OR('02_Benchmarks'!$P302&lt;&gt;"Aktiv",COUNT('02_Benchmarks'!$J302:$M302)&lt;4),"",IF($G302="lower_is_better",IF($J302&lt;='02_Benchmarks'!$J302,3,IF($J302&lt;'02_Benchmarks'!$K302,2,IF($J302&lt;='02_Benchmarks'!$L302,0,IF($J302&lt;='02_Benchmarks'!$M302,-2,-3)))),IF($J302&gt;='02_Benchmarks'!$J302,3,IF($J302&gt;'02_Benchmarks'!$K302,2,IF($J302&gt;='02_Benchmarks'!$L302,0,IF($J302&gt;='02_Benchmarks'!$M302,-2,-3)))))))</x:f>
      </x:c>
      <x:c r="P302" s="58" t="str">
        <x:f>IF(COUNT($N302:$O302)+IF(ISNUMBER($K302),1,0)=0,"",MIN($N302:$O302,$K302))</x:f>
      </x:c>
      <x:c r="Q302" s="58" t="str">
        <x:f>IF($P302="","",INDEX('04_Tarifmodell'!$B$6:$B$12,$P302+4))</x:f>
      </x:c>
      <x:c r="R302" s="64" t="str">
        <x:f>IF($P302="","",INDEX('04_Tarifmodell'!$C$6:$C$12,$P302+4))</x:f>
      </x:c>
      <x:c r="S302" s="14" t="str">
        <x:f>IF(OR($I302="QUALITATIVE",$I302="MANUAL_HYBRID"),IF($K302="","Assurance-Score fehlt","Assurance-bewertet"),IF($I302="BENCHMARK",IF($W302&lt;&gt;"Aktiv",IF($K302="","Benchmark fehlt","Assurance-bewertet"),IF($J302="","Messwert fehlt",IF($P302="","Nicht bewertbar","Berechnet"))),IF(AND($J302="",$K302&lt;&gt;""),"Nur Assurance-Score",IF($J302="","Messwert fehlt",IF($P302="","Nicht bewertbar",IF($P302&lt;=-2,"Kritische Wirkung / Prüfung","Berechnet"))))))</x:f>
        <x:v>Benchmark fehlt</x:v>
      </x:c>
      <x:c r="T302" s="14" t="str">
        <x:v>Top-10-Prozent, Mittelwert, 150 % und 250 % müssen aus einer dokumentierten Grundgesamtheit stammen.</x:v>
      </x:c>
      <x:c r="U302" s="14" t="str">
        <x:v>Top‑10%:+3; Mittel:0; &gt;150%:‑2; &gt;250%:‑3</x:v>
      </x:c>
      <x:c r="V302" s="14" t="str">
        <x:v>ESRS E5, GRI 306, WEEE/VerpackG</x:v>
      </x:c>
      <x:c r="W302" s="14" t="str">
        <x:f>'02_Benchmarks'!$P302</x:f>
        <x:v>Offen – validierter Benchmark fehlt</x:v>
      </x:c>
      <x:c r="X302" s="14" t="str">
        <x:v>Teilbelegt – Benchmarkquelle fehlt</x:v>
      </x:c>
      <x:c r="Y302" s="14" t="str">
        <x:v>Hoch</x:v>
      </x:c>
      <x:c r="Z302" s="14" t="str">
        <x:v>Validierter Benchmark fehlt</x:v>
      </x:c>
      <x:c r="AA302" s="14" t="str">
        <x:v>Standort/Prozess/Aktivität; Bezugsgröße und relevante Umweltmedien</x:v>
      </x:c>
      <x:c r="AB302" s="14" t="str">
        <x:v>Primärdaten plus repräsentativer, versionierter Benchmarkdatensatz; Stichprobe und Population offenlegen</x:v>
      </x:c>
      <x:c r="AC302" s="14" t="str">
        <x:v>Messwert-Assurance und unabhängige Benchmark-Governance</x:v>
      </x:c>
    </x:row>
    <x:row r="303" ht="42" customHeight="1">
      <x:c r="A303" s="14" t="str">
        <x:v>WOK-E-168</x:v>
      </x:c>
      <x:c r="B303" s="14" t="str">
        <x:v>SDG 12 – Konsum/Produktion</x:v>
      </x:c>
      <x:c r="C303" s="14" t="str">
        <x:v>12.2</x:v>
      </x:c>
      <x:c r="D303" s="14" t="str">
        <x:v>Materialintensität</x:v>
      </x:c>
      <x:c r="E303" s="14" t="str">
        <x:v>Materialintensität – Recyclingquote</x:v>
      </x:c>
      <x:c r="F303" s="14" t="str">
        <x:v>%</x:v>
      </x:c>
      <x:c r="G303" s="14" t="str">
        <x:v>higher_is_better</x:v>
      </x:c>
      <x:c r="H303" s="14" t="str">
        <x:v>R25</x:v>
      </x:c>
      <x:c r="I303" s="14" t="str">
        <x:v>NUM_HIGH</x:v>
      </x:c>
      <x:c r="J303" s="51"/>
      <x:c r="K303" s="51"/>
      <x:c r="L303" s="51"/>
      <x:c r="M303" s="54"/>
      <x:c r="N303" s="58" t="str">
        <x:f>IF($J303="","",IF($J303&lt;30,-3,IF($J303&lt;50,-2,IF($J303&lt;70,0,IF($J303&lt;90,2,3)))))</x:f>
      </x:c>
      <x:c r="O303" s="58" t="str">
        <x:f>IF($J303="","",IF(OR('02_Benchmarks'!$P303&lt;&gt;"Aktiv",COUNT('02_Benchmarks'!$J303:$M303)&lt;4),"",IF($G303="lower_is_better",IF($J303&lt;='02_Benchmarks'!$J303,3,IF($J303&lt;'02_Benchmarks'!$K303,2,IF($J303&lt;='02_Benchmarks'!$L303,0,IF($J303&lt;='02_Benchmarks'!$M303,-2,-3)))),IF($J303&gt;='02_Benchmarks'!$J303,3,IF($J303&gt;'02_Benchmarks'!$K303,2,IF($J303&gt;='02_Benchmarks'!$L303,0,IF($J303&gt;='02_Benchmarks'!$M303,-2,-3)))))))</x:f>
      </x:c>
      <x:c r="P303" s="58" t="str">
        <x:f>IF(COUNT($N303:$O303)+IF(ISNUMBER($K303),1,0)=0,"",MIN($N303:$O303,$K303))</x:f>
      </x:c>
      <x:c r="Q303" s="58" t="str">
        <x:f>IF($P303="","",INDEX('04_Tarifmodell'!$B$6:$B$12,$P303+4))</x:f>
      </x:c>
      <x:c r="R303" s="64" t="str">
        <x:f>IF($P303="","",INDEX('04_Tarifmodell'!$C$6:$C$12,$P303+4))</x:f>
      </x:c>
      <x:c r="S303" s="14" t="str">
        <x:f>IF(OR($I303="QUALITATIVE",$I303="MANUAL_HYBRID"),IF($K303="","Assurance-Score fehlt","Assurance-bewertet"),IF($I303="BENCHMARK",IF($W303&lt;&gt;"Aktiv",IF($K303="","Benchmark fehlt","Assurance-bewertet"),IF($J303="","Messwert fehlt",IF($P303="","Nicht bewertbar","Berechnet"))),IF(AND($J303="",$K303&lt;&gt;""),"Nur Assurance-Score",IF($J303="","Messwert fehlt",IF($P303="","Nicht bewertbar",IF($P303&lt;=-2,"Kritische Wirkung / Prüfung","Berechnet"))))))</x:f>
        <x:v>Messwert fehlt</x:v>
      </x:c>
      <x:c r="T303" s="14" t="str">
        <x:v>Vollständige fünfstufige Prozentregel.</x:v>
      </x:c>
      <x:c r="U303" s="14" t="str">
        <x:v>≥90%:+3; 70–89%:+2; 50–69%:0; 30–49%:‑2; &lt;30%:‑3</x:v>
      </x:c>
      <x:c r="V303" s="14" t="str">
        <x:v>ESRS E5, GRI 306, WEEE/VerpackG</x:v>
      </x:c>
      <x:c r="W303" s="14" t="str">
        <x:f>'02_Benchmarks'!$P303</x:f>
        <x:v>Optional – kein aktiver Benchmark</x:v>
      </x:c>
      <x:c r="X303" s="14" t="str">
        <x:v>Messgrundlage belegt; Schwellenkalibrierung offen</x:v>
      </x:c>
      <x:c r="Y303" s="14" t="str">
        <x:v>Mittel</x:v>
      </x:c>
      <x:c r="Z303" s="14" t="str">
        <x:v>Arbeitskalibrierung – fachlich zu validieren</x:v>
      </x:c>
      <x:c r="AA303" s="14" t="str">
        <x:v>Standort/Prozess/Aktivität; Bezugsgröße und relevante Umweltmedien</x:v>
      </x:c>
      <x:c r="AB303" s="14" t="str">
        <x:v>Primärdaten bevorzugt; Sekundärdaten nur transparent und versioniert; Methode und Systemgrenze dokumentieren</x:v>
      </x:c>
      <x:c r="AC303" s="14" t="str">
        <x:v>Limited Assurance; risikobasiert höhere Prüftiefe</x:v>
      </x:c>
    </x:row>
    <x:row r="304" ht="42" customHeight="1">
      <x:c r="A304" s="14" t="str">
        <x:v>WOK-E-169</x:v>
      </x:c>
      <x:c r="B304" s="14" t="str">
        <x:v>SDG 12 – Konsum/Produktion</x:v>
      </x:c>
      <x:c r="C304" s="14" t="str">
        <x:v>12.2</x:v>
      </x:c>
      <x:c r="D304" s="14" t="str">
        <x:v>Materialintensität</x:v>
      </x:c>
      <x:c r="E304" s="14" t="str">
        <x:v>Materialintensität – Gefährlicher Abfall</x:v>
      </x:c>
      <x:c r="F304" s="14" t="str">
        <x:v>kg/t</x:v>
      </x:c>
      <x:c r="G304" s="14" t="str">
        <x:v>lower_is_better</x:v>
      </x:c>
      <x:c r="H304" s="14" t="str">
        <x:v>R06</x:v>
      </x:c>
      <x:c r="I304" s="14" t="str">
        <x:v>BENCHMARK</x:v>
      </x:c>
      <x:c r="J304" s="51"/>
      <x:c r="K304" s="51"/>
      <x:c r="L304" s="51"/>
      <x:c r="M304" s="54"/>
      <x:c r="N304" s="58" t="str">
        <x:f>""</x:f>
      </x:c>
      <x:c r="O304" s="58" t="str">
        <x:f>IF($J304="","",IF(OR('02_Benchmarks'!$P304&lt;&gt;"Aktiv",COUNT('02_Benchmarks'!$J304:$M304)&lt;4),"",IF($G304="lower_is_better",IF($J304&lt;='02_Benchmarks'!$J304,3,IF($J304&lt;'02_Benchmarks'!$K304,2,IF($J304&lt;='02_Benchmarks'!$L304,0,IF($J304&lt;='02_Benchmarks'!$M304,-2,-3)))),IF($J304&gt;='02_Benchmarks'!$J304,3,IF($J304&gt;'02_Benchmarks'!$K304,2,IF($J304&gt;='02_Benchmarks'!$L304,0,IF($J304&gt;='02_Benchmarks'!$M304,-2,-3)))))))</x:f>
      </x:c>
      <x:c r="P304" s="58" t="str">
        <x:f>IF(COUNT($N304:$O304)+IF(ISNUMBER($K304),1,0)=0,"",MIN($N304:$O304,$K304))</x:f>
      </x:c>
      <x:c r="Q304" s="58" t="str">
        <x:f>IF($P304="","",INDEX('04_Tarifmodell'!$B$6:$B$12,$P304+4))</x:f>
      </x:c>
      <x:c r="R304" s="64" t="str">
        <x:f>IF($P304="","",INDEX('04_Tarifmodell'!$C$6:$C$12,$P304+4))</x:f>
      </x:c>
      <x:c r="S304" s="14" t="str">
        <x:f>IF(OR($I304="QUALITATIVE",$I304="MANUAL_HYBRID"),IF($K304="","Assurance-Score fehlt","Assurance-bewertet"),IF($I304="BENCHMARK",IF($W304&lt;&gt;"Aktiv",IF($K304="","Benchmark fehlt","Assurance-bewertet"),IF($J304="","Messwert fehlt",IF($P304="","Nicht bewertbar","Berechnet"))),IF(AND($J304="",$K304&lt;&gt;""),"Nur Assurance-Score",IF($J304="","Messwert fehlt",IF($P304="","Nicht bewertbar",IF($P304&lt;=-2,"Kritische Wirkung / Prüfung","Berechnet"))))))</x:f>
        <x:v>Benchmark fehlt</x:v>
      </x:c>
      <x:c r="T304" s="14" t="str">
        <x:v>Top-10-Prozent, Mittelwert, 150 % und 250 % müssen aus einer dokumentierten Grundgesamtheit stammen.</x:v>
      </x:c>
      <x:c r="U304" s="14" t="str">
        <x:v>Top‑10%:+3; Mittel:0; &gt;150%:‑2; &gt;250%:‑3</x:v>
      </x:c>
      <x:c r="V304" s="14" t="str">
        <x:v>ESRS E5, GRI 306, WEEE/VerpackG</x:v>
      </x:c>
      <x:c r="W304" s="14" t="str">
        <x:f>'02_Benchmarks'!$P304</x:f>
        <x:v>Offen – validierter Benchmark fehlt</x:v>
      </x:c>
      <x:c r="X304" s="14" t="str">
        <x:v>Teilbelegt – Benchmarkquelle fehlt</x:v>
      </x:c>
      <x:c r="Y304" s="14" t="str">
        <x:v>Hoch</x:v>
      </x:c>
      <x:c r="Z304" s="14" t="str">
        <x:v>Validierter Benchmark fehlt</x:v>
      </x:c>
      <x:c r="AA304" s="14" t="str">
        <x:v>Standort/Prozess/Aktivität; Bezugsgröße und relevante Umweltmedien</x:v>
      </x:c>
      <x:c r="AB304" s="14" t="str">
        <x:v>Primärdaten plus repräsentativer, versionierter Benchmarkdatensatz; Stichprobe und Population offenlegen</x:v>
      </x:c>
      <x:c r="AC304" s="14" t="str">
        <x:v>Messwert-Assurance und unabhängige Benchmark-Governance</x:v>
      </x:c>
    </x:row>
    <x:row r="305" ht="42" customHeight="1">
      <x:c r="A305" s="14" t="str">
        <x:v>WOK-E-170</x:v>
      </x:c>
      <x:c r="B305" s="14" t="str">
        <x:v>SDG 12 – Konsum/Produktion</x:v>
      </x:c>
      <x:c r="C305" s="14" t="str">
        <x:v>12.5</x:v>
      </x:c>
      <x:c r="D305" s="14" t="str">
        <x:v>Abfallvermeidung</x:v>
      </x:c>
      <x:c r="E305" s="14" t="str">
        <x:v>Abfallvermeidung – Abfallintensität</x:v>
      </x:c>
      <x:c r="F305" s="14" t="str">
        <x:v>kg/t</x:v>
      </x:c>
      <x:c r="G305" s="14" t="str">
        <x:v>lower_is_better</x:v>
      </x:c>
      <x:c r="H305" s="14" t="str">
        <x:v>R06</x:v>
      </x:c>
      <x:c r="I305" s="14" t="str">
        <x:v>BENCHMARK</x:v>
      </x:c>
      <x:c r="J305" s="51"/>
      <x:c r="K305" s="51"/>
      <x:c r="L305" s="51"/>
      <x:c r="M305" s="54"/>
      <x:c r="N305" s="58" t="str">
        <x:f>""</x:f>
      </x:c>
      <x:c r="O305" s="58" t="str">
        <x:f>IF($J305="","",IF(OR('02_Benchmarks'!$P305&lt;&gt;"Aktiv",COUNT('02_Benchmarks'!$J305:$M305)&lt;4),"",IF($G305="lower_is_better",IF($J305&lt;='02_Benchmarks'!$J305,3,IF($J305&lt;'02_Benchmarks'!$K305,2,IF($J305&lt;='02_Benchmarks'!$L305,0,IF($J305&lt;='02_Benchmarks'!$M305,-2,-3)))),IF($J305&gt;='02_Benchmarks'!$J305,3,IF($J305&gt;'02_Benchmarks'!$K305,2,IF($J305&gt;='02_Benchmarks'!$L305,0,IF($J305&gt;='02_Benchmarks'!$M305,-2,-3)))))))</x:f>
      </x:c>
      <x:c r="P305" s="58" t="str">
        <x:f>IF(COUNT($N305:$O305)+IF(ISNUMBER($K305),1,0)=0,"",MIN($N305:$O305,$K305))</x:f>
      </x:c>
      <x:c r="Q305" s="58" t="str">
        <x:f>IF($P305="","",INDEX('04_Tarifmodell'!$B$6:$B$12,$P305+4))</x:f>
      </x:c>
      <x:c r="R305" s="64" t="str">
        <x:f>IF($P305="","",INDEX('04_Tarifmodell'!$C$6:$C$12,$P305+4))</x:f>
      </x:c>
      <x:c r="S305" s="14" t="str">
        <x:f>IF(OR($I305="QUALITATIVE",$I305="MANUAL_HYBRID"),IF($K305="","Assurance-Score fehlt","Assurance-bewertet"),IF($I305="BENCHMARK",IF($W305&lt;&gt;"Aktiv",IF($K305="","Benchmark fehlt","Assurance-bewertet"),IF($J305="","Messwert fehlt",IF($P305="","Nicht bewertbar","Berechnet"))),IF(AND($J305="",$K305&lt;&gt;""),"Nur Assurance-Score",IF($J305="","Messwert fehlt",IF($P305="","Nicht bewertbar",IF($P305&lt;=-2,"Kritische Wirkung / Prüfung","Berechnet"))))))</x:f>
        <x:v>Benchmark fehlt</x:v>
      </x:c>
      <x:c r="T305" s="14" t="str">
        <x:v>Top-10-Prozent, Mittelwert, 150 % und 250 % müssen aus einer dokumentierten Grundgesamtheit stammen.</x:v>
      </x:c>
      <x:c r="U305" s="14" t="str">
        <x:v>Top‑10%:+3; Mittel:0; &gt;150%:‑2; &gt;250%:‑3</x:v>
      </x:c>
      <x:c r="V305" s="14" t="str">
        <x:v>ESRS E5, GRI 306, WEEE/VerpackG</x:v>
      </x:c>
      <x:c r="W305" s="14" t="str">
        <x:f>'02_Benchmarks'!$P305</x:f>
        <x:v>Offen – validierter Benchmark fehlt</x:v>
      </x:c>
      <x:c r="X305" s="14" t="str">
        <x:v>Teilbelegt – Benchmarkquelle fehlt</x:v>
      </x:c>
      <x:c r="Y305" s="14" t="str">
        <x:v>Hoch</x:v>
      </x:c>
      <x:c r="Z305" s="14" t="str">
        <x:v>Validierter Benchmark fehlt</x:v>
      </x:c>
      <x:c r="AA305" s="14" t="str">
        <x:v>Standort/Prozess/Aktivität; Bezugsgröße und relevante Umweltmedien</x:v>
      </x:c>
      <x:c r="AB305" s="14" t="str">
        <x:v>Primärdaten plus repräsentativer, versionierter Benchmarkdatensatz; Stichprobe und Population offenlegen</x:v>
      </x:c>
      <x:c r="AC305" s="14" t="str">
        <x:v>Messwert-Assurance und unabhängige Benchmark-Governance</x:v>
      </x:c>
    </x:row>
    <x:row r="306" ht="42" customHeight="1">
      <x:c r="A306" s="14" t="str">
        <x:v>WOK-E-171</x:v>
      </x:c>
      <x:c r="B306" s="14" t="str">
        <x:v>SDG 12 – Konsum/Produktion</x:v>
      </x:c>
      <x:c r="C306" s="14" t="str">
        <x:v>12.5</x:v>
      </x:c>
      <x:c r="D306" s="14" t="str">
        <x:v>Abfallvermeidung</x:v>
      </x:c>
      <x:c r="E306" s="14" t="str">
        <x:v>Abfallvermeidung – Recyclingquote</x:v>
      </x:c>
      <x:c r="F306" s="14" t="str">
        <x:v>%</x:v>
      </x:c>
      <x:c r="G306" s="14" t="str">
        <x:v>higher_is_better</x:v>
      </x:c>
      <x:c r="H306" s="14" t="str">
        <x:v>R25</x:v>
      </x:c>
      <x:c r="I306" s="14" t="str">
        <x:v>NUM_HIGH</x:v>
      </x:c>
      <x:c r="J306" s="51"/>
      <x:c r="K306" s="51"/>
      <x:c r="L306" s="51"/>
      <x:c r="M306" s="54"/>
      <x:c r="N306" s="58" t="str">
        <x:f>IF($J306="","",IF($J306&lt;30,-3,IF($J306&lt;50,-2,IF($J306&lt;70,0,IF($J306&lt;90,2,3)))))</x:f>
      </x:c>
      <x:c r="O306" s="58" t="str">
        <x:f>IF($J306="","",IF(OR('02_Benchmarks'!$P306&lt;&gt;"Aktiv",COUNT('02_Benchmarks'!$J306:$M306)&lt;4),"",IF($G306="lower_is_better",IF($J306&lt;='02_Benchmarks'!$J306,3,IF($J306&lt;'02_Benchmarks'!$K306,2,IF($J306&lt;='02_Benchmarks'!$L306,0,IF($J306&lt;='02_Benchmarks'!$M306,-2,-3)))),IF($J306&gt;='02_Benchmarks'!$J306,3,IF($J306&gt;'02_Benchmarks'!$K306,2,IF($J306&gt;='02_Benchmarks'!$L306,0,IF($J306&gt;='02_Benchmarks'!$M306,-2,-3)))))))</x:f>
      </x:c>
      <x:c r="P306" s="58" t="str">
        <x:f>IF(COUNT($N306:$O306)+IF(ISNUMBER($K306),1,0)=0,"",MIN($N306:$O306,$K306))</x:f>
      </x:c>
      <x:c r="Q306" s="58" t="str">
        <x:f>IF($P306="","",INDEX('04_Tarifmodell'!$B$6:$B$12,$P306+4))</x:f>
      </x:c>
      <x:c r="R306" s="64" t="str">
        <x:f>IF($P306="","",INDEX('04_Tarifmodell'!$C$6:$C$12,$P306+4))</x:f>
      </x:c>
      <x:c r="S306" s="14" t="str">
        <x:f>IF(OR($I306="QUALITATIVE",$I306="MANUAL_HYBRID"),IF($K306="","Assurance-Score fehlt","Assurance-bewertet"),IF($I306="BENCHMARK",IF($W306&lt;&gt;"Aktiv",IF($K306="","Benchmark fehlt","Assurance-bewertet"),IF($J306="","Messwert fehlt",IF($P306="","Nicht bewertbar","Berechnet"))),IF(AND($J306="",$K306&lt;&gt;""),"Nur Assurance-Score",IF($J306="","Messwert fehlt",IF($P306="","Nicht bewertbar",IF($P306&lt;=-2,"Kritische Wirkung / Prüfung","Berechnet"))))))</x:f>
        <x:v>Messwert fehlt</x:v>
      </x:c>
      <x:c r="T306" s="14" t="str">
        <x:v>Vollständige fünfstufige Prozentregel.</x:v>
      </x:c>
      <x:c r="U306" s="14" t="str">
        <x:v>≥90%:+3; 70–89%:+2; 50–69%:0; 30–49%:‑2; &lt;30%:‑3</x:v>
      </x:c>
      <x:c r="V306" s="14" t="str">
        <x:v>ESRS E5, GRI 306, WEEE/VerpackG</x:v>
      </x:c>
      <x:c r="W306" s="14" t="str">
        <x:f>'02_Benchmarks'!$P306</x:f>
        <x:v>Optional – kein aktiver Benchmark</x:v>
      </x:c>
      <x:c r="X306" s="14" t="str">
        <x:v>Messgrundlage belegt; Schwellenkalibrierung offen</x:v>
      </x:c>
      <x:c r="Y306" s="14" t="str">
        <x:v>Mittel</x:v>
      </x:c>
      <x:c r="Z306" s="14" t="str">
        <x:v>Arbeitskalibrierung – fachlich zu validieren</x:v>
      </x:c>
      <x:c r="AA306" s="14" t="str">
        <x:v>Standort/Prozess/Aktivität; Bezugsgröße und relevante Umweltmedien</x:v>
      </x:c>
      <x:c r="AB306" s="14" t="str">
        <x:v>Primärdaten bevorzugt; Sekundärdaten nur transparent und versioniert; Methode und Systemgrenze dokumentieren</x:v>
      </x:c>
      <x:c r="AC306" s="14" t="str">
        <x:v>Limited Assurance; risikobasiert höhere Prüftiefe</x:v>
      </x:c>
    </x:row>
    <x:row r="307" ht="42" customHeight="1">
      <x:c r="A307" s="14" t="str">
        <x:v>WOK-E-172</x:v>
      </x:c>
      <x:c r="B307" s="14" t="str">
        <x:v>SDG 12 – Konsum/Produktion</x:v>
      </x:c>
      <x:c r="C307" s="14" t="str">
        <x:v>12.5</x:v>
      </x:c>
      <x:c r="D307" s="14" t="str">
        <x:v>Abfallvermeidung</x:v>
      </x:c>
      <x:c r="E307" s="14" t="str">
        <x:v>Abfallvermeidung – Gefährlicher Abfall</x:v>
      </x:c>
      <x:c r="F307" s="14" t="str">
        <x:v>kg/t</x:v>
      </x:c>
      <x:c r="G307" s="14" t="str">
        <x:v>lower_is_better</x:v>
      </x:c>
      <x:c r="H307" s="14" t="str">
        <x:v>R06</x:v>
      </x:c>
      <x:c r="I307" s="14" t="str">
        <x:v>BENCHMARK</x:v>
      </x:c>
      <x:c r="J307" s="51"/>
      <x:c r="K307" s="51"/>
      <x:c r="L307" s="51"/>
      <x:c r="M307" s="54"/>
      <x:c r="N307" s="58" t="str">
        <x:f>""</x:f>
      </x:c>
      <x:c r="O307" s="58" t="str">
        <x:f>IF($J307="","",IF(OR('02_Benchmarks'!$P307&lt;&gt;"Aktiv",COUNT('02_Benchmarks'!$J307:$M307)&lt;4),"",IF($G307="lower_is_better",IF($J307&lt;='02_Benchmarks'!$J307,3,IF($J307&lt;'02_Benchmarks'!$K307,2,IF($J307&lt;='02_Benchmarks'!$L307,0,IF($J307&lt;='02_Benchmarks'!$M307,-2,-3)))),IF($J307&gt;='02_Benchmarks'!$J307,3,IF($J307&gt;'02_Benchmarks'!$K307,2,IF($J307&gt;='02_Benchmarks'!$L307,0,IF($J307&gt;='02_Benchmarks'!$M307,-2,-3)))))))</x:f>
      </x:c>
      <x:c r="P307" s="58" t="str">
        <x:f>IF(COUNT($N307:$O307)+IF(ISNUMBER($K307),1,0)=0,"",MIN($N307:$O307,$K307))</x:f>
      </x:c>
      <x:c r="Q307" s="58" t="str">
        <x:f>IF($P307="","",INDEX('04_Tarifmodell'!$B$6:$B$12,$P307+4))</x:f>
      </x:c>
      <x:c r="R307" s="64" t="str">
        <x:f>IF($P307="","",INDEX('04_Tarifmodell'!$C$6:$C$12,$P307+4))</x:f>
      </x:c>
      <x:c r="S307" s="14" t="str">
        <x:f>IF(OR($I307="QUALITATIVE",$I307="MANUAL_HYBRID"),IF($K307="","Assurance-Score fehlt","Assurance-bewertet"),IF($I307="BENCHMARK",IF($W307&lt;&gt;"Aktiv",IF($K307="","Benchmark fehlt","Assurance-bewertet"),IF($J307="","Messwert fehlt",IF($P307="","Nicht bewertbar","Berechnet"))),IF(AND($J307="",$K307&lt;&gt;""),"Nur Assurance-Score",IF($J307="","Messwert fehlt",IF($P307="","Nicht bewertbar",IF($P307&lt;=-2,"Kritische Wirkung / Prüfung","Berechnet"))))))</x:f>
        <x:v>Benchmark fehlt</x:v>
      </x:c>
      <x:c r="T307" s="14" t="str">
        <x:v>Top-10-Prozent, Mittelwert, 150 % und 250 % müssen aus einer dokumentierten Grundgesamtheit stammen.</x:v>
      </x:c>
      <x:c r="U307" s="14" t="str">
        <x:v>Top‑10%:+3; Mittel:0; &gt;150%:‑2; &gt;250%:‑3</x:v>
      </x:c>
      <x:c r="V307" s="14" t="str">
        <x:v>ESRS E5, GRI 306, WEEE/VerpackG</x:v>
      </x:c>
      <x:c r="W307" s="14" t="str">
        <x:f>'02_Benchmarks'!$P307</x:f>
        <x:v>Offen – validierter Benchmark fehlt</x:v>
      </x:c>
      <x:c r="X307" s="14" t="str">
        <x:v>Teilbelegt – Benchmarkquelle fehlt</x:v>
      </x:c>
      <x:c r="Y307" s="14" t="str">
        <x:v>Hoch</x:v>
      </x:c>
      <x:c r="Z307" s="14" t="str">
        <x:v>Validierter Benchmark fehlt</x:v>
      </x:c>
      <x:c r="AA307" s="14" t="str">
        <x:v>Standort/Prozess/Aktivität; Bezugsgröße und relevante Umweltmedien</x:v>
      </x:c>
      <x:c r="AB307" s="14" t="str">
        <x:v>Primärdaten plus repräsentativer, versionierter Benchmarkdatensatz; Stichprobe und Population offenlegen</x:v>
      </x:c>
      <x:c r="AC307" s="14" t="str">
        <x:v>Messwert-Assurance und unabhängige Benchmark-Governance</x:v>
      </x:c>
    </x:row>
    <x:row r="308" ht="42" customHeight="1">
      <x:c r="A308" s="14" t="str">
        <x:v>WOK-P-122</x:v>
      </x:c>
      <x:c r="B308" s="14" t="str">
        <x:v>SDG 12 – Konsum/Produktion</x:v>
      </x:c>
      <x:c r="C308" s="14" t="str">
        <x:v>12.5</x:v>
      </x:c>
      <x:c r="D308" s="14" t="str">
        <x:v>PCF/Reparierbarkeit/Rücknahme</x:v>
      </x:c>
      <x:c r="E308" s="14" t="str">
        <x:v>PCF/Reparierbarkeit/Rücknahme – PCF</x:v>
      </x:c>
      <x:c r="F308" s="14" t="str">
        <x:v>kg CO₂e/Einheit</x:v>
      </x:c>
      <x:c r="G308" s="14" t="str">
        <x:v>lower_is_better</x:v>
      </x:c>
      <x:c r="H308" s="14" t="str">
        <x:v>R07</x:v>
      </x:c>
      <x:c r="I308" s="14" t="str">
        <x:v>BENCHMARK</x:v>
      </x:c>
      <x:c r="J308" s="51"/>
      <x:c r="K308" s="51"/>
      <x:c r="L308" s="51"/>
      <x:c r="M308" s="54"/>
      <x:c r="N308" s="58" t="str">
        <x:f>""</x:f>
      </x:c>
      <x:c r="O308" s="58" t="str">
        <x:f>IF($J308="","",IF(OR('02_Benchmarks'!$P308&lt;&gt;"Aktiv",COUNT('02_Benchmarks'!$J308:$M308)&lt;4),"",IF($G308="lower_is_better",IF($J308&lt;='02_Benchmarks'!$J308,3,IF($J308&lt;'02_Benchmarks'!$K308,2,IF($J308&lt;='02_Benchmarks'!$L308,0,IF($J308&lt;='02_Benchmarks'!$M308,-2,-3)))),IF($J308&gt;='02_Benchmarks'!$J308,3,IF($J308&gt;'02_Benchmarks'!$K308,2,IF($J308&gt;='02_Benchmarks'!$L308,0,IF($J308&gt;='02_Benchmarks'!$M308,-2,-3)))))))</x:f>
      </x:c>
      <x:c r="P308" s="58" t="str">
        <x:f>IF(COUNT($N308:$O308)+IF(ISNUMBER($K308),1,0)=0,"",MIN($N308:$O308,$K308))</x:f>
      </x:c>
      <x:c r="Q308" s="58" t="str">
        <x:f>IF($P308="","",INDEX('04_Tarifmodell'!$B$6:$B$12,$P308+4))</x:f>
      </x:c>
      <x:c r="R308" s="64" t="str">
        <x:f>IF($P308="","",INDEX('04_Tarifmodell'!$C$6:$C$12,$P308+4))</x:f>
      </x:c>
      <x:c r="S308" s="14" t="str">
        <x:f>IF(OR($I308="QUALITATIVE",$I308="MANUAL_HYBRID"),IF($K308="","Assurance-Score fehlt","Assurance-bewertet"),IF($I308="BENCHMARK",IF($W308&lt;&gt;"Aktiv",IF($K308="","Benchmark fehlt","Assurance-bewertet"),IF($J308="","Messwert fehlt",IF($P308="","Nicht bewertbar","Berechnet"))),IF(AND($J308="",$K308&lt;&gt;""),"Nur Assurance-Score",IF($J308="","Messwert fehlt",IF($P308="","Nicht bewertbar",IF($P308&lt;=-2,"Kritische Wirkung / Prüfung","Berechnet"))))))</x:f>
        <x:v>Benchmark fehlt</x:v>
      </x:c>
      <x:c r="T308" s="14" t="str">
        <x:v>Produktspezifische Referenzpopulation erforderlich.</x:v>
      </x:c>
      <x:c r="U308" s="14" t="str">
        <x:v>Top‑10%:+3; ±Benchmark:0; &gt;150%:‑2; &gt;250%:‑3</x:v>
      </x:c>
      <x:c r="V308" s="14" t="str">
        <x:v>ESRS E5, GRI 306, WEEE/VerpackG</x:v>
      </x:c>
      <x:c r="W308" s="14" t="str">
        <x:f>'02_Benchmarks'!$P308</x:f>
        <x:v>Offen – validierter Benchmark fehlt</x:v>
      </x:c>
      <x:c r="X308" s="14" t="str">
        <x:v>Teilbelegt – Benchmarkquelle fehlt</x:v>
      </x:c>
      <x:c r="Y308" s="14" t="str">
        <x:v>Hoch</x:v>
      </x:c>
      <x:c r="Z308" s="14" t="str">
        <x:v>Validierter Benchmark fehlt</x:v>
      </x:c>
      <x:c r="AA308" s="14" t="str">
        <x:v>Produkt/Funktionseinheit; Lebenszyklusgrenze mindestens cradle-to-gate, bei Nutzungs-/End-of-Life-Relevanz cradle-to-grave</x:v>
      </x:c>
      <x:c r="AB308" s="14" t="str">
        <x:v>Primärdaten plus repräsentativer, versionierter Benchmarkdatensatz; Stichprobe und Population offenlegen</x:v>
      </x:c>
      <x:c r="AC308" s="14" t="str">
        <x:v>Messwert-Assurance und unabhängige Benchmark-Governance</x:v>
      </x:c>
    </x:row>
    <x:row r="309" ht="42" customHeight="1">
      <x:c r="A309" s="14" t="str">
        <x:v>WOK-P-123</x:v>
      </x:c>
      <x:c r="B309" s="14" t="str">
        <x:v>SDG 12 – Konsum/Produktion</x:v>
      </x:c>
      <x:c r="C309" s="14" t="str">
        <x:v>12.5</x:v>
      </x:c>
      <x:c r="D309" s="14" t="str">
        <x:v>PCF/Reparierbarkeit/Rücknahme</x:v>
      </x:c>
      <x:c r="E309" s="14" t="str">
        <x:v>PCF/Reparierbarkeit/Rücknahme – Reparierbarkeit</x:v>
      </x:c>
      <x:c r="F309" s="14" t="str">
        <x:v>Score 0–10</x:v>
      </x:c>
      <x:c r="G309" s="14" t="str">
        <x:v>higher_is_better</x:v>
      </x:c>
      <x:c r="H309" s="14" t="str">
        <x:v>R24</x:v>
      </x:c>
      <x:c r="I309" s="14" t="str">
        <x:v>NUM_HIGH</x:v>
      </x:c>
      <x:c r="J309" s="51"/>
      <x:c r="K309" s="51"/>
      <x:c r="L309" s="51"/>
      <x:c r="M309" s="54"/>
      <x:c r="N309" s="58" t="str">
        <x:f>IF($J309="","",IF($J309&lt;2,-3,IF($J309&lt;4,-2,IF($J309&lt;6,0,IF($J309&lt;8,2,3)))))</x:f>
      </x:c>
      <x:c r="O309" s="58" t="str">
        <x:f>IF($J309="","",IF(OR('02_Benchmarks'!$P309&lt;&gt;"Aktiv",COUNT('02_Benchmarks'!$J309:$M309)&lt;4),"",IF($G309="lower_is_better",IF($J309&lt;='02_Benchmarks'!$J309,3,IF($J309&lt;'02_Benchmarks'!$K309,2,IF($J309&lt;='02_Benchmarks'!$L309,0,IF($J309&lt;='02_Benchmarks'!$M309,-2,-3)))),IF($J309&gt;='02_Benchmarks'!$J309,3,IF($J309&gt;'02_Benchmarks'!$K309,2,IF($J309&gt;='02_Benchmarks'!$L309,0,IF($J309&gt;='02_Benchmarks'!$M309,-2,-3)))))))</x:f>
      </x:c>
      <x:c r="P309" s="58" t="str">
        <x:f>IF(COUNT($N309:$O309)+IF(ISNUMBER($K309),1,0)=0,"",MIN($N309:$O309,$K309))</x:f>
      </x:c>
      <x:c r="Q309" s="58" t="str">
        <x:f>IF($P309="","",INDEX('04_Tarifmodell'!$B$6:$B$12,$P309+4))</x:f>
      </x:c>
      <x:c r="R309" s="64" t="str">
        <x:f>IF($P309="","",INDEX('04_Tarifmodell'!$C$6:$C$12,$P309+4))</x:f>
      </x:c>
      <x:c r="S309" s="14" t="str">
        <x:f>IF(OR($I309="QUALITATIVE",$I309="MANUAL_HYBRID"),IF($K309="","Assurance-Score fehlt","Assurance-bewertet"),IF($I309="BENCHMARK",IF($W309&lt;&gt;"Aktiv",IF($K309="","Benchmark fehlt","Assurance-bewertet"),IF($J309="","Messwert fehlt",IF($P309="","Nicht bewertbar","Berechnet"))),IF(AND($J309="",$K309&lt;&gt;""),"Nur Assurance-Score",IF($J309="","Messwert fehlt",IF($P309="","Nicht bewertbar",IF($P309&lt;=-2,"Kritische Wirkung / Prüfung","Berechnet"))))))</x:f>
        <x:v>Messwert fehlt</x:v>
      </x:c>
      <x:c r="T309" s="14" t="str">
        <x:v>Indexsystem, Produktgruppe und Rechtsstand festlegen. Französischer Index und EU-Score sind nicht pauschal austauschbar.</x:v>
      </x:c>
      <x:c r="U309" s="14" t="str">
        <x:v>≥8:+3; 6–7,9:+2; 4–5,9:0; 2–3,9:‑2; &lt;2:‑3</x:v>
      </x:c>
      <x:c r="V309" s="14" t="str">
        <x:v>ESRS E5, GRI 306, WEEE/VerpackG</x:v>
      </x:c>
      <x:c r="W309" s="14" t="str">
        <x:f>'02_Benchmarks'!$P309</x:f>
        <x:v>Optional – kein aktiver Benchmark</x:v>
      </x:c>
      <x:c r="X309" s="14" t="str">
        <x:v>Teilbelegt – produktspezifisch zu validieren</x:v>
      </x:c>
      <x:c r="Y309" s="14" t="str">
        <x:v>Hoch</x:v>
      </x:c>
      <x:c r="Z309" s="14" t="str">
        <x:v>Indexsystem und Produktgruppe müssen ausgewiesen werden</x:v>
      </x:c>
      <x:c r="AA309" s="14" t="str">
        <x:v>Produkt/Funktionseinheit; Lebenszyklusgrenze mindestens cradle-to-gate, bei Nutzungs-/End-of-Life-Relevanz cradle-to-grave</x:v>
      </x:c>
      <x:c r="AB309" s="14" t="str">
        <x:v>Primärdaten oder qualitätsgesicherte Sekundärdaten; Methode, Zeitraum und Systemgrenze dokumentieren</x:v>
      </x:c>
      <x:c r="AC309" s="14" t="str">
        <x:v>Limited Assurance; bei materieller Steuerwirkung risikobasiert vertiefen</x:v>
      </x:c>
    </x:row>
    <x:row r="310" ht="42" customHeight="1">
      <x:c r="A310" s="14" t="str">
        <x:v>WOK-P-124</x:v>
      </x:c>
      <x:c r="B310" s="14" t="str">
        <x:v>SDG 12 – Konsum/Produktion</x:v>
      </x:c>
      <x:c r="C310" s="14" t="str">
        <x:v>12.5</x:v>
      </x:c>
      <x:c r="D310" s="14" t="str">
        <x:v>PCF/Reparierbarkeit/Rücknahme</x:v>
      </x:c>
      <x:c r="E310" s="14" t="str">
        <x:v>PCF/Reparierbarkeit/Rücknahme – Rücknahme/Recycling</x:v>
      </x:c>
      <x:c r="F310" s="14" t="str">
        <x:v>%</x:v>
      </x:c>
      <x:c r="G310" s="14" t="str">
        <x:v>higher_is_better</x:v>
      </x:c>
      <x:c r="H310" s="14" t="str">
        <x:v>R22</x:v>
      </x:c>
      <x:c r="I310" s="14" t="str">
        <x:v>NUM_HIGH</x:v>
      </x:c>
      <x:c r="J310" s="51"/>
      <x:c r="K310" s="51"/>
      <x:c r="L310" s="51"/>
      <x:c r="M310" s="54"/>
      <x:c r="N310" s="58" t="str">
        <x:f>IF($J310="","",IF($J310&lt;15,-3,IF($J310&lt;30,-2,IF($J310&lt;50,0,IF($J310&lt;70,2,3)))))</x:f>
      </x:c>
      <x:c r="O310" s="58" t="str">
        <x:f>IF($J310="","",IF(OR('02_Benchmarks'!$P310&lt;&gt;"Aktiv",COUNT('02_Benchmarks'!$J310:$M310)&lt;4),"",IF($G310="lower_is_better",IF($J310&lt;='02_Benchmarks'!$J310,3,IF($J310&lt;'02_Benchmarks'!$K310,2,IF($J310&lt;='02_Benchmarks'!$L310,0,IF($J310&lt;='02_Benchmarks'!$M310,-2,-3)))),IF($J310&gt;='02_Benchmarks'!$J310,3,IF($J310&gt;'02_Benchmarks'!$K310,2,IF($J310&gt;='02_Benchmarks'!$L310,0,IF($J310&gt;='02_Benchmarks'!$M310,-2,-3)))))))</x:f>
      </x:c>
      <x:c r="P310" s="58" t="str">
        <x:f>IF(COUNT($N310:$O310)+IF(ISNUMBER($K310),1,0)=0,"",MIN($N310:$O310,$K310))</x:f>
      </x:c>
      <x:c r="Q310" s="58" t="str">
        <x:f>IF($P310="","",INDEX('04_Tarifmodell'!$B$6:$B$12,$P310+4))</x:f>
      </x:c>
      <x:c r="R310" s="64" t="str">
        <x:f>IF($P310="","",INDEX('04_Tarifmodell'!$C$6:$C$12,$P310+4))</x:f>
      </x:c>
      <x:c r="S310" s="14" t="str">
        <x:f>IF(OR($I310="QUALITATIVE",$I310="MANUAL_HYBRID"),IF($K310="","Assurance-Score fehlt","Assurance-bewertet"),IF($I310="BENCHMARK",IF($W310&lt;&gt;"Aktiv",IF($K310="","Benchmark fehlt","Assurance-bewertet"),IF($J310="","Messwert fehlt",IF($P310="","Nicht bewertbar","Berechnet"))),IF(AND($J310="",$K310&lt;&gt;""),"Nur Assurance-Score",IF($J310="","Messwert fehlt",IF($P310="","Nicht bewertbar",IF($P310&lt;=-2,"Kritische Wirkung / Prüfung","Berechnet"))))))</x:f>
        <x:v>Messwert fehlt</x:v>
      </x:c>
      <x:c r="T310" s="14" t="str">
        <x:v>Vollständige fünfstufige numerische Regel.</x:v>
      </x:c>
      <x:c r="U310" s="14" t="str">
        <x:v>≥70:+3; 50–69:+2; 30–49:0; 15–29:‑2; &lt;15:‑3</x:v>
      </x:c>
      <x:c r="V310" s="14" t="str">
        <x:v>ESRS E5, GRI 306, WEEE/VerpackG</x:v>
      </x:c>
      <x:c r="W310" s="14" t="str">
        <x:f>'02_Benchmarks'!$P310</x:f>
        <x:v>Optional – kein aktiver Benchmark</x:v>
      </x:c>
      <x:c r="X310" s="14" t="str">
        <x:v>Messgrundlage belegt; Schwellenkalibrierung offen</x:v>
      </x:c>
      <x:c r="Y310" s="14" t="str">
        <x:v>Mittel</x:v>
      </x:c>
      <x:c r="Z310" s="14" t="str">
        <x:v>Arbeitskalibrierung – fachlich zu validieren</x:v>
      </x:c>
      <x:c r="AA310" s="14" t="str">
        <x:v>Produkt/Funktionseinheit; Lebenszyklusgrenze mindestens cradle-to-gate, bei Nutzungs-/End-of-Life-Relevanz cradle-to-grave</x:v>
      </x:c>
      <x:c r="AB310" s="14" t="str">
        <x:v>Primärdaten bevorzugt; Sekundärdaten nur transparent und versioniert; Methode und Systemgrenze dokumentieren</x:v>
      </x:c>
      <x:c r="AC310" s="14" t="str">
        <x:v>Limited Assurance; risikobasiert höhere Prüftiefe</x:v>
      </x:c>
    </x:row>
    <x:row r="311" ht="42" customHeight="1">
      <x:c r="A311" s="14" t="str">
        <x:v>WOK-SC-125</x:v>
      </x:c>
      <x:c r="B311" s="14" t="str">
        <x:v>SDG 12 – Konsum/Produktion</x:v>
      </x:c>
      <x:c r="C311" s="14" t="str">
        <x:v>12.5</x:v>
      </x:c>
      <x:c r="D311" s="14" t="str">
        <x:v>Lieferkette – Zirkularität</x:v>
      </x:c>
      <x:c r="E311" s="14" t="str">
        <x:v>Lieferkette – Zirkularität – ESG‑Spend‑Coverage</x:v>
      </x:c>
      <x:c r="F311" s="14" t="str">
        <x:v>%</x:v>
      </x:c>
      <x:c r="G311" s="14" t="str">
        <x:v>higher_is_better</x:v>
      </x:c>
      <x:c r="H311" s="14" t="str">
        <x:v>R26</x:v>
      </x:c>
      <x:c r="I311" s="14" t="str">
        <x:v>NUM_HIGH</x:v>
      </x:c>
      <x:c r="J311" s="51"/>
      <x:c r="K311" s="51"/>
      <x:c r="L311" s="51"/>
      <x:c r="M311" s="54"/>
      <x:c r="N311" s="58" t="str">
        <x:f>IF($J311="","",IF($J311&lt;30,-3,IF($J311&lt;50,-2,IF($J311&lt;70,0,IF($J311&lt;90,2,3)))))</x:f>
      </x:c>
      <x:c r="O311" s="58" t="str">
        <x:f>IF($J311="","",IF(OR('02_Benchmarks'!$P311&lt;&gt;"Aktiv",COUNT('02_Benchmarks'!$J311:$M311)&lt;4),"",IF($G311="lower_is_better",IF($J311&lt;='02_Benchmarks'!$J311,3,IF($J311&lt;'02_Benchmarks'!$K311,2,IF($J311&lt;='02_Benchmarks'!$L311,0,IF($J311&lt;='02_Benchmarks'!$M311,-2,-3)))),IF($J311&gt;='02_Benchmarks'!$J311,3,IF($J311&gt;'02_Benchmarks'!$K311,2,IF($J311&gt;='02_Benchmarks'!$L311,0,IF($J311&gt;='02_Benchmarks'!$M311,-2,-3)))))))</x:f>
      </x:c>
      <x:c r="P311" s="58" t="str">
        <x:f>IF(COUNT($N311:$O311)+IF(ISNUMBER($K311),1,0)=0,"",MIN($N311:$O311,$K311))</x:f>
      </x:c>
      <x:c r="Q311" s="58" t="str">
        <x:f>IF($P311="","",INDEX('04_Tarifmodell'!$B$6:$B$12,$P311+4))</x:f>
      </x:c>
      <x:c r="R311" s="64" t="str">
        <x:f>IF($P311="","",INDEX('04_Tarifmodell'!$C$6:$C$12,$P311+4))</x:f>
      </x:c>
      <x:c r="S311" s="14" t="str">
        <x:f>IF(OR($I311="QUALITATIVE",$I311="MANUAL_HYBRID"),IF($K311="","Assurance-Score fehlt","Assurance-bewertet"),IF($I311="BENCHMARK",IF($W311&lt;&gt;"Aktiv",IF($K311="","Benchmark fehlt","Assurance-bewertet"),IF($J311="","Messwert fehlt",IF($P311="","Nicht bewertbar","Berechnet"))),IF(AND($J311="",$K311&lt;&gt;""),"Nur Assurance-Score",IF($J311="","Messwert fehlt",IF($P311="","Nicht bewertbar",IF($P311&lt;=-2,"Kritische Wirkung / Prüfung","Berechnet"))))))</x:f>
        <x:v>Messwert fehlt</x:v>
      </x:c>
      <x:c r="T311" s="14" t="str">
        <x:v>Vollständige fünfstufige numerische Regel.</x:v>
      </x:c>
      <x:c r="U311" s="14" t="str">
        <x:v>≥90:+3; 70–89:+2; 50–69:0; 30–49:‑2; &lt;30:‑3</x:v>
      </x:c>
      <x:c r="V311" s="14" t="str">
        <x:v>ESRS S2, GRI 308/414, OECD Due Diligence</x:v>
      </x:c>
      <x:c r="W311" s="14" t="str">
        <x:f>'02_Benchmarks'!$P311</x:f>
        <x:v>Optional – kein aktiver Benchmark</x:v>
      </x:c>
      <x:c r="X311" s="14" t="str">
        <x:v>Messgrundlage belegt; Schwellenkalibrierung offen</x:v>
      </x:c>
      <x:c r="Y311" s="14" t="str">
        <x:v>Mittel</x:v>
      </x:c>
      <x:c r="Z311" s="14" t="str">
        <x:v>Arbeitskalibrierung – fachlich zu validieren</x:v>
      </x:c>
      <x:c r="AA311" s="14" t="str">
        <x:v>Vorgelagerte Lieferkette; relevante Tier-Stufen und Beschaffungsvolumen</x:v>
      </x:c>
      <x:c r="AB311" s="14" t="str">
        <x:v>Primärdaten bevorzugt; Sekundärdaten nur transparent und versioniert; Methode und Systemgrenze dokumentieren</x:v>
      </x:c>
      <x:c r="AC311" s="14" t="str">
        <x:v>Limited Assurance; risikobasiert höhere Prüftiefe</x:v>
      </x:c>
    </x:row>
    <x:row r="312" ht="42" customHeight="1">
      <x:c r="A312" s="14" t="str">
        <x:v>WOK-SC-126</x:v>
      </x:c>
      <x:c r="B312" s="14" t="str">
        <x:v>SDG 12 – Konsum/Produktion</x:v>
      </x:c>
      <x:c r="C312" s="14" t="str">
        <x:v>12.5</x:v>
      </x:c>
      <x:c r="D312" s="14" t="str">
        <x:v>Lieferkette – Zirkularität</x:v>
      </x:c>
      <x:c r="E312" s="14" t="str">
        <x:v>Lieferkette – Zirkularität – Kinder/Zwangsarbeit</x:v>
      </x:c>
      <x:c r="F312" s="14" t="str">
        <x:v>% Lieferanten</x:v>
      </x:c>
      <x:c r="G312" s="14" t="str">
        <x:v>higher_is_better</x:v>
      </x:c>
      <x:c r="H312" s="14" t="str">
        <x:v>R28</x:v>
      </x:c>
      <x:c r="I312" s="14" t="str">
        <x:v>NUM_HIGH</x:v>
      </x:c>
      <x:c r="J312" s="51"/>
      <x:c r="K312" s="51"/>
      <x:c r="L312" s="51"/>
      <x:c r="M312" s="54"/>
      <x:c r="N312" s="58" t="str">
        <x:f>IF($J312="","",IF($J312&lt;50,-3,IF($J312&lt;75,-2,IF($J312&lt;90,0,IF($J312&lt;98,2,3)))))</x:f>
      </x:c>
      <x:c r="O312" s="58" t="str">
        <x:f>IF($J312="","",IF(OR('02_Benchmarks'!$P312&lt;&gt;"Aktiv",COUNT('02_Benchmarks'!$J312:$M312)&lt;4),"",IF($G312="lower_is_better",IF($J312&lt;='02_Benchmarks'!$J312,3,IF($J312&lt;'02_Benchmarks'!$K312,2,IF($J312&lt;='02_Benchmarks'!$L312,0,IF($J312&lt;='02_Benchmarks'!$M312,-2,-3)))),IF($J312&gt;='02_Benchmarks'!$J312,3,IF($J312&gt;'02_Benchmarks'!$K312,2,IF($J312&gt;='02_Benchmarks'!$L312,0,IF($J312&gt;='02_Benchmarks'!$M312,-2,-3)))))))</x:f>
      </x:c>
      <x:c r="P312" s="58" t="str">
        <x:f>IF(COUNT($N312:$O312)+IF(ISNUMBER($K312),1,0)=0,"",MIN($N312:$O312,$K312))</x:f>
      </x:c>
      <x:c r="Q312" s="58" t="str">
        <x:f>IF($P312="","",INDEX('04_Tarifmodell'!$B$6:$B$12,$P312+4))</x:f>
      </x:c>
      <x:c r="R312" s="64" t="str">
        <x:f>IF($P312="","",INDEX('04_Tarifmodell'!$C$6:$C$12,$P312+4))</x:f>
      </x:c>
      <x:c r="S312" s="14" t="str">
        <x:f>IF(OR($I312="QUALITATIVE",$I312="MANUAL_HYBRID"),IF($K312="","Assurance-Score fehlt","Assurance-bewertet"),IF($I312="BENCHMARK",IF($W312&lt;&gt;"Aktiv",IF($K312="","Benchmark fehlt","Assurance-bewertet"),IF($J312="","Messwert fehlt",IF($P312="","Nicht bewertbar","Berechnet"))),IF(AND($J312="",$K312&lt;&gt;""),"Nur Assurance-Score",IF($J312="","Messwert fehlt",IF($P312="","Nicht bewertbar",IF($P312&lt;=-2,"Kritische Wirkung / Prüfung","Berechnet"))))))</x:f>
        <x:v>Messwert fehlt</x:v>
      </x:c>
      <x:c r="T312" s="14" t="str">
        <x:v>Vollständige fünfstufige numerische Regel.</x:v>
      </x:c>
      <x:c r="U312" s="14" t="str">
        <x:v>≥98:+3; 90–97:+2; 75–89:0; 50–74:‑2; &lt;50:‑3</x:v>
      </x:c>
      <x:c r="V312" s="14" t="str">
        <x:v>ESRS S2, GRI 308/414, OECD Due Diligence</x:v>
      </x:c>
      <x:c r="W312" s="14" t="str">
        <x:f>'02_Benchmarks'!$P312</x:f>
        <x:v>Optional – kein aktiver Benchmark</x:v>
      </x:c>
      <x:c r="X312" s="14" t="str">
        <x:v>Messgrundlage belegt; Schwellenkalibrierung offen</x:v>
      </x:c>
      <x:c r="Y312" s="14" t="str">
        <x:v>Mittel</x:v>
      </x:c>
      <x:c r="Z312" s="14" t="str">
        <x:v>Arbeitskalibrierung – fachlich zu validieren</x:v>
      </x:c>
      <x:c r="AA312" s="14" t="str">
        <x:v>Vorgelagerte Lieferkette; relevante Tier-Stufen und Beschaffungsvolumen</x:v>
      </x:c>
      <x:c r="AB312" s="14" t="str">
        <x:v>Primärdaten bevorzugt; Sekundärdaten nur transparent und versioniert; Methode und Systemgrenze dokumentieren</x:v>
      </x:c>
      <x:c r="AC312" s="14" t="str">
        <x:v>Limited Assurance; risikobasiert höhere Prüftiefe</x:v>
      </x:c>
    </x:row>
    <x:row r="313" ht="42" customHeight="1">
      <x:c r="A313" s="14" t="str">
        <x:v>WOK-SC-127</x:v>
      </x:c>
      <x:c r="B313" s="14" t="str">
        <x:v>SDG 12 – Konsum/Produktion</x:v>
      </x:c>
      <x:c r="C313" s="14" t="str">
        <x:v>12.5</x:v>
      </x:c>
      <x:c r="D313" s="14" t="str">
        <x:v>Lieferkette – Zirkularität</x:v>
      </x:c>
      <x:c r="E313" s="14" t="str">
        <x:v>Lieferkette – Zirkularität – Scope‑3 Daten</x:v>
      </x:c>
      <x:c r="F313" s="14" t="str">
        <x:v>% Kategorien</x:v>
      </x:c>
      <x:c r="G313" s="14" t="str">
        <x:v>higher_is_better</x:v>
      </x:c>
      <x:c r="H313" s="14" t="str">
        <x:v>R23</x:v>
      </x:c>
      <x:c r="I313" s="14" t="str">
        <x:v>NUM_HIGH</x:v>
      </x:c>
      <x:c r="J313" s="51"/>
      <x:c r="K313" s="51"/>
      <x:c r="L313" s="51"/>
      <x:c r="M313" s="54"/>
      <x:c r="N313" s="58" t="str">
        <x:f>IF($J313="","",IF($J313&lt;20,-3,IF($J313&lt;40,-2,IF($J313&lt;60,0,IF($J313&lt;80,2,3)))))</x:f>
      </x:c>
      <x:c r="O313" s="58" t="str">
        <x:f>IF($J313="","",IF(OR('02_Benchmarks'!$P313&lt;&gt;"Aktiv",COUNT('02_Benchmarks'!$J313:$M313)&lt;4),"",IF($G313="lower_is_better",IF($J313&lt;='02_Benchmarks'!$J313,3,IF($J313&lt;'02_Benchmarks'!$K313,2,IF($J313&lt;='02_Benchmarks'!$L313,0,IF($J313&lt;='02_Benchmarks'!$M313,-2,-3)))),IF($J313&gt;='02_Benchmarks'!$J313,3,IF($J313&gt;'02_Benchmarks'!$K313,2,IF($J313&gt;='02_Benchmarks'!$L313,0,IF($J313&gt;='02_Benchmarks'!$M313,-2,-3)))))))</x:f>
      </x:c>
      <x:c r="P313" s="58" t="str">
        <x:f>IF(COUNT($N313:$O313)+IF(ISNUMBER($K313),1,0)=0,"",MIN($N313:$O313,$K313))</x:f>
      </x:c>
      <x:c r="Q313" s="58" t="str">
        <x:f>IF($P313="","",INDEX('04_Tarifmodell'!$B$6:$B$12,$P313+4))</x:f>
      </x:c>
      <x:c r="R313" s="64" t="str">
        <x:f>IF($P313="","",INDEX('04_Tarifmodell'!$C$6:$C$12,$P313+4))</x:f>
      </x:c>
      <x:c r="S313" s="14" t="str">
        <x:f>IF(OR($I313="QUALITATIVE",$I313="MANUAL_HYBRID"),IF($K313="","Assurance-Score fehlt","Assurance-bewertet"),IF($I313="BENCHMARK",IF($W313&lt;&gt;"Aktiv",IF($K313="","Benchmark fehlt","Assurance-bewertet"),IF($J313="","Messwert fehlt",IF($P313="","Nicht bewertbar","Berechnet"))),IF(AND($J313="",$K313&lt;&gt;""),"Nur Assurance-Score",IF($J313="","Messwert fehlt",IF($P313="","Nicht bewertbar",IF($P313&lt;=-2,"Kritische Wirkung / Prüfung","Berechnet"))))))</x:f>
        <x:v>Messwert fehlt</x:v>
      </x:c>
      <x:c r="T313" s="14" t="str">
        <x:v>Vollständige fünfstufige numerische Regel.</x:v>
      </x:c>
      <x:c r="U313" s="14" t="str">
        <x:v>≥80:+3; 60–79:+2; 40–59:0; 20–39:‑2; &lt;20:‑3</x:v>
      </x:c>
      <x:c r="V313" s="14" t="str">
        <x:v>ESRS E1, GHG Protocol (Corporate/Scope 1–3), ISO 14064/14067</x:v>
      </x:c>
      <x:c r="W313" s="14" t="str">
        <x:f>'02_Benchmarks'!$P313</x:f>
        <x:v>Optional – kein aktiver Benchmark</x:v>
      </x:c>
      <x:c r="X313" s="14" t="str">
        <x:v>Messgrundlage belegt; Schwellenkalibrierung offen</x:v>
      </x:c>
      <x:c r="Y313" s="14" t="str">
        <x:v>Mittel</x:v>
      </x:c>
      <x:c r="Z313" s="14" t="str">
        <x:v>Arbeitskalibrierung – fachlich zu validieren</x:v>
      </x:c>
      <x:c r="AA313" s="14" t="str">
        <x:v>Vorgelagerte Lieferkette; relevante Tier-Stufen und Beschaffungsvolumen</x:v>
      </x:c>
      <x:c r="AB313" s="14" t="str">
        <x:v>Primärdaten bevorzugt; Sekundärdaten nur transparent und versioniert; Methode und Systemgrenze dokumentieren</x:v>
      </x:c>
      <x:c r="AC313" s="14" t="str">
        <x:v>Limited Assurance; risikobasiert höhere Prüftiefe</x:v>
      </x:c>
    </x:row>
    <x:row r="314" ht="42" customHeight="1">
      <x:c r="A314" s="14" t="str">
        <x:v>WOK-G-161</x:v>
      </x:c>
      <x:c r="B314" s="14" t="str">
        <x:v>SDG 12 – Konsum/Produktion</x:v>
      </x:c>
      <x:c r="C314" s="14" t="str">
        <x:v>12.4</x:v>
      </x:c>
      <x:c r="D314" s="14" t="str">
        <x:v>Chemikaliensicherheit</x:v>
      </x:c>
      <x:c r="E314" s="14" t="str">
        <x:v>Chemikaliensicherheit – Antikorruption</x:v>
      </x:c>
      <x:c r="F314" s="14" t="str">
        <x:v>Fälle/1.000 FTE</x:v>
      </x:c>
      <x:c r="G314" s="14" t="str">
        <x:v>lower_is_better</x:v>
      </x:c>
      <x:c r="H314" s="14" t="str">
        <x:v>R01</x:v>
      </x:c>
      <x:c r="I314" s="14" t="str">
        <x:v>NUM_LOW</x:v>
      </x:c>
      <x:c r="J314" s="51"/>
      <x:c r="K314" s="51"/>
      <x:c r="L314" s="51"/>
      <x:c r="M314" s="54"/>
      <x:c r="N314" s="58" t="str">
        <x:f>IF($J314="","",IF($J314&lt;=0,3,IF($J314&lt;=0.2,2,IF($J314&lt;=0.5,0,IF($J314&lt;=1,-2,-3)))))</x:f>
      </x:c>
      <x:c r="O314" s="58" t="str">
        <x:f>IF($J314="","",IF(OR('02_Benchmarks'!$P314&lt;&gt;"Aktiv",COUNT('02_Benchmarks'!$J314:$M314)&lt;4),"",IF($G314="lower_is_better",IF($J314&lt;='02_Benchmarks'!$J314,3,IF($J314&lt;'02_Benchmarks'!$K314,2,IF($J314&lt;='02_Benchmarks'!$L314,0,IF($J314&lt;='02_Benchmarks'!$M314,-2,-3)))),IF($J314&gt;='02_Benchmarks'!$J314,3,IF($J314&gt;'02_Benchmarks'!$K314,2,IF($J314&gt;='02_Benchmarks'!$L314,0,IF($J314&gt;='02_Benchmarks'!$M314,-2,-3)))))))</x:f>
      </x:c>
      <x:c r="P314" s="58" t="str">
        <x:f>IF(COUNT($N314:$O314)+IF(ISNUMBER($K314),1,0)=0,"",MIN($N314:$O314,$K314))</x:f>
      </x:c>
      <x:c r="Q314" s="58" t="str">
        <x:f>IF($P314="","",INDEX('04_Tarifmodell'!$B$6:$B$12,$P314+4))</x:f>
      </x:c>
      <x:c r="R314" s="64" t="str">
        <x:f>IF($P314="","",INDEX('04_Tarifmodell'!$C$6:$C$12,$P314+4))</x:f>
      </x:c>
      <x:c r="S314" s="14" t="str">
        <x:f>IF(OR($I314="QUALITATIVE",$I314="MANUAL_HYBRID"),IF($K314="","Assurance-Score fehlt","Assurance-bewertet"),IF($I314="BENCHMARK",IF($W314&lt;&gt;"Aktiv",IF($K314="","Benchmark fehlt","Assurance-bewertet"),IF($J314="","Messwert fehlt",IF($P314="","Nicht bewertbar","Berechnet"))),IF(AND($J314="",$K314&lt;&gt;""),"Nur Assurance-Score",IF($J314="","Messwert fehlt",IF($P314="","Nicht bewertbar",IF($P314&lt;=-2,"Kritische Wirkung / Prüfung","Berechnet"))))))</x:f>
        <x:v>Messwert fehlt</x:v>
      </x:c>
      <x:c r="T314" s="14" t="str">
        <x:v>Vollständige fünfstufige numerische Regel.</x:v>
      </x:c>
      <x:c r="U314" s="14" t="str">
        <x:v>0:+3; ≤0,2:+2; ≤0,5:0; ≤1:‑2; &gt;1:‑3</x:v>
      </x:c>
      <x:c r="V314" s="14" t="str">
        <x:v>ESRS G1, GRI 205/207, OECD Anti‑Bribery</x:v>
      </x:c>
      <x:c r="W314" s="14" t="str">
        <x:f>'02_Benchmarks'!$P314</x:f>
        <x:v>Optional – kein aktiver Benchmark</x:v>
      </x:c>
      <x:c r="X314" s="14" t="str">
        <x:v>Messgrundlage belegt; Schwellenkalibrierung offen</x:v>
      </x:c>
      <x:c r="Y314" s="14" t="str">
        <x:v>Mittel</x:v>
      </x:c>
      <x:c r="Z314" s="14" t="str">
        <x:v>Arbeitskalibrierung – fachlich zu validieren</x:v>
      </x:c>
      <x:c r="AA314" s="14" t="str">
        <x:v>Organisation/Governance; konsolidierter Kreis und relevante Rechtseinheiten</x:v>
      </x:c>
      <x:c r="AB314" s="14" t="str">
        <x:v>Primärdaten bevorzugt; Sekundärdaten nur transparent und versioniert; Methode und Systemgrenze dokumentieren</x:v>
      </x:c>
      <x:c r="AC314" s="14" t="str">
        <x:v>Limited Assurance; risikobasiert höhere Prüftiefe</x:v>
      </x:c>
    </x:row>
    <x:row r="315" ht="42" customHeight="1">
      <x:c r="A315" s="14" t="str">
        <x:v>WOK-G-162</x:v>
      </x:c>
      <x:c r="B315" s="14" t="str">
        <x:v>SDG 12 – Konsum/Produktion</x:v>
      </x:c>
      <x:c r="C315" s="14" t="str">
        <x:v>12.4</x:v>
      </x:c>
      <x:c r="D315" s="14" t="str">
        <x:v>Chemikaliensicherheit</x:v>
      </x:c>
      <x:c r="E315" s="14" t="str">
        <x:v>Chemikaliensicherheit – Whistleblowing</x:v>
      </x:c>
      <x:c r="F315" s="14" t="str">
        <x:v>0–1</x:v>
      </x:c>
      <x:c r="G315" s="14" t="str">
        <x:v>higher_is_better</x:v>
      </x:c>
      <x:c r="H315" s="14" t="str">
        <x:v>R16</x:v>
      </x:c>
      <x:c r="I315" s="14" t="str">
        <x:v>NUM_HIGH</x:v>
      </x:c>
      <x:c r="J315" s="51"/>
      <x:c r="K315" s="51"/>
      <x:c r="L315" s="51"/>
      <x:c r="M315" s="54"/>
      <x:c r="N315" s="58" t="str">
        <x:f>IF($J315="","",IF($J315&lt;0.4,-3,IF($J315&lt;0.6,-2,IF($J315&lt;0.75,0,IF($J315&lt;0.9,2,3)))))</x:f>
      </x:c>
      <x:c r="O315" s="58" t="str">
        <x:f>IF($J315="","",IF(OR('02_Benchmarks'!$P315&lt;&gt;"Aktiv",COUNT('02_Benchmarks'!$J315:$M315)&lt;4),"",IF($G315="lower_is_better",IF($J315&lt;='02_Benchmarks'!$J315,3,IF($J315&lt;'02_Benchmarks'!$K315,2,IF($J315&lt;='02_Benchmarks'!$L315,0,IF($J315&lt;='02_Benchmarks'!$M315,-2,-3)))),IF($J315&gt;='02_Benchmarks'!$J315,3,IF($J315&gt;'02_Benchmarks'!$K315,2,IF($J315&gt;='02_Benchmarks'!$L315,0,IF($J315&gt;='02_Benchmarks'!$M315,-2,-3)))))))</x:f>
      </x:c>
      <x:c r="P315" s="58" t="str">
        <x:f>IF(COUNT($N315:$O315)+IF(ISNUMBER($K315),1,0)=0,"",MIN($N315:$O315,$K315))</x:f>
      </x:c>
      <x:c r="Q315" s="58" t="str">
        <x:f>IF($P315="","",INDEX('04_Tarifmodell'!$B$6:$B$12,$P315+4))</x:f>
      </x:c>
      <x:c r="R315" s="64" t="str">
        <x:f>IF($P315="","",INDEX('04_Tarifmodell'!$C$6:$C$12,$P315+4))</x:f>
      </x:c>
      <x:c r="S315" s="14" t="str">
        <x:f>IF(OR($I315="QUALITATIVE",$I315="MANUAL_HYBRID"),IF($K315="","Assurance-Score fehlt","Assurance-bewertet"),IF($I315="BENCHMARK",IF($W315&lt;&gt;"Aktiv",IF($K315="","Benchmark fehlt","Assurance-bewertet"),IF($J315="","Messwert fehlt",IF($P315="","Nicht bewertbar","Berechnet"))),IF(AND($J315="",$K315&lt;&gt;""),"Nur Assurance-Score",IF($J315="","Messwert fehlt",IF($P315="","Nicht bewertbar",IF($P315&lt;=-2,"Kritische Wirkung / Prüfung","Berechnet"))))))</x:f>
        <x:v>Messwert fehlt</x:v>
      </x:c>
      <x:c r="T315" s="14" t="str">
        <x:v>Vollständige fünfstufige numerische Regel.</x:v>
      </x:c>
      <x:c r="U315" s="14" t="str">
        <x:v>≥0,9:+3; 0,75–0,89:+2; 0,6–0,74:0; 0,4–0,59:‑2; &lt;0,4:‑3</x:v>
      </x:c>
      <x:c r="V315" s="14" t="str">
        <x:v>ESRS G1, GRI 205/207, OECD Anti‑Bribery</x:v>
      </x:c>
      <x:c r="W315" s="14" t="str">
        <x:f>'02_Benchmarks'!$P315</x:f>
        <x:v>Optional – kein aktiver Benchmark</x:v>
      </x:c>
      <x:c r="X315" s="14" t="str">
        <x:v>Messgrundlage belegt; Schwellenkalibrierung offen</x:v>
      </x:c>
      <x:c r="Y315" s="14" t="str">
        <x:v>Mittel</x:v>
      </x:c>
      <x:c r="Z315" s="14" t="str">
        <x:v>Arbeitskalibrierung – fachlich zu validieren</x:v>
      </x:c>
      <x:c r="AA315" s="14" t="str">
        <x:v>Organisation/Governance; konsolidierter Kreis und relevante Rechtseinheiten</x:v>
      </x:c>
      <x:c r="AB315" s="14" t="str">
        <x:v>Primärdaten bevorzugt; Sekundärdaten nur transparent und versioniert; Methode und Systemgrenze dokumentieren</x:v>
      </x:c>
      <x:c r="AC315" s="14" t="str">
        <x:v>Limited Assurance; risikobasiert höhere Prüftiefe</x:v>
      </x:c>
    </x:row>
    <x:row r="316" ht="42" customHeight="1">
      <x:c r="A316" s="14" t="str">
        <x:v>WOK-G-163</x:v>
      </x:c>
      <x:c r="B316" s="14" t="str">
        <x:v>SDG 12 – Konsum/Produktion</x:v>
      </x:c>
      <x:c r="C316" s="14" t="str">
        <x:v>12.4</x:v>
      </x:c>
      <x:c r="D316" s="14" t="str">
        <x:v>Chemikaliensicherheit</x:v>
      </x:c>
      <x:c r="E316" s="14" t="str">
        <x:v>Chemikaliensicherheit – Steuertransparenz</x:v>
      </x:c>
      <x:c r="F316" s="14" t="str">
        <x:v>0–1</x:v>
      </x:c>
      <x:c r="G316" s="14" t="str">
        <x:v>higher_is_better</x:v>
      </x:c>
      <x:c r="H316" s="14" t="str">
        <x:v>R08</x:v>
      </x:c>
      <x:c r="I316" s="14" t="str">
        <x:v>QUALITATIVE</x:v>
      </x:c>
      <x:c r="J316" s="51"/>
      <x:c r="K316" s="51"/>
      <x:c r="L316" s="51"/>
      <x:c r="M316" s="54"/>
      <x:c r="N316" s="58" t="str">
        <x:f>""</x:f>
      </x:c>
      <x:c r="O316" s="58" t="str">
        <x:f>IF($J316="","",IF(OR('02_Benchmarks'!$P316&lt;&gt;"Aktiv",COUNT('02_Benchmarks'!$J316:$M316)&lt;4),"",IF($G316="lower_is_better",IF($J316&lt;='02_Benchmarks'!$J316,3,IF($J316&lt;'02_Benchmarks'!$K316,2,IF($J316&lt;='02_Benchmarks'!$L316,0,IF($J316&lt;='02_Benchmarks'!$M316,-2,-3)))),IF($J316&gt;='02_Benchmarks'!$J316,3,IF($J316&gt;'02_Benchmarks'!$K316,2,IF($J316&gt;='02_Benchmarks'!$L316,0,IF($J316&gt;='02_Benchmarks'!$M316,-2,-3)))))))</x:f>
      </x:c>
      <x:c r="P316" s="58" t="str">
        <x:f>IF(COUNT($N316:$O316)+IF(ISNUMBER($K316),1,0)=0,"",MIN($N316:$O316,$K316))</x:f>
      </x:c>
      <x:c r="Q316" s="58" t="str">
        <x:f>IF($P316="","",INDEX('04_Tarifmodell'!$B$6:$B$12,$P316+4))</x:f>
      </x:c>
      <x:c r="R316" s="64" t="str">
        <x:f>IF($P316="","",INDEX('04_Tarifmodell'!$C$6:$C$12,$P316+4))</x:f>
      </x:c>
      <x:c r="S316" s="14" t="str">
        <x:f>IF(OR($I316="QUALITATIVE",$I316="MANUAL_HYBRID"),IF($K316="","Assurance-Score fehlt","Assurance-bewertet"),IF($I316="BENCHMARK",IF($W316&lt;&gt;"Aktiv",IF($K316="","Benchmark fehlt","Assurance-bewertet"),IF($J316="","Messwert fehlt",IF($P316="","Nicht bewertbar","Berechnet"))),IF(AND($J316="",$K316&lt;&gt;""),"Nur Assurance-Score",IF($J316="","Messwert fehlt",IF($P316="","Nicht bewertbar",IF($P316&lt;=-2,"Kritische Wirkung / Prüfung","Berechnet"))))))</x:f>
        <x:v>Assurance-Score fehlt</x:v>
      </x:c>
      <x:c r="T316" s="14" t="str">
        <x:v>Die Kategorie −3 fehlt; Vollständigkeit und Wirksamkeit sind feldspezifisch zu definieren.</x:v>
      </x:c>
      <x:c r="U316" s="14" t="str">
        <x:v>vollständig:+3; teilweise:+2; minimal:0; schlecht:‑2</x:v>
      </x:c>
      <x:c r="V316" s="14" t="str">
        <x:v>ESRS G1, GRI 205/207, OECD Anti‑Bribery</x:v>
      </x:c>
      <x:c r="W316" s="14" t="str">
        <x:f>'02_Benchmarks'!$P316</x:f>
        <x:v>Optional – kein aktiver Benchmark</x:v>
      </x:c>
      <x:c r="X316" s="14" t="str">
        <x:v>Messgrundlage belegt; Schwellenkalibrierung offen</x:v>
      </x:c>
      <x:c r="Y316" s="14" t="str">
        <x:v>Hoch</x:v>
      </x:c>
      <x:c r="Z316" s="14" t="str">
        <x:v>Assurance und Kriterienkatalog erforderlich</x:v>
      </x:c>
      <x:c r="AA316" s="14" t="str">
        <x:v>Organisation/Governance; konsolidierter Kreis und relevante Rechtseinheiten</x:v>
      </x:c>
      <x:c r="AB316" s="14" t="str">
        <x:v>Dokumentierter Kriterienkatalog; nachvollziehbare Evidenz; DQR A/B bevorzugt</x:v>
      </x:c>
      <x:c r="AC316" s="14" t="str">
        <x:v>Unabhängige Fachprüfung/Limited Assurance; bei roten Linien Reasonable Assurance</x:v>
      </x:c>
    </x:row>
    <x:row r="317" ht="42" customHeight="1">
      <x:c r="A317" s="14" t="str">
        <x:v>WOK-E-173</x:v>
      </x:c>
      <x:c r="B317" s="14" t="str">
        <x:v>SDG 12 – Konsum/Produktion</x:v>
      </x:c>
      <x:c r="C317" s="14" t="str">
        <x:v>12.2</x:v>
      </x:c>
      <x:c r="D317" s="14" t="str">
        <x:v>Wasserintensität Produkte</x:v>
      </x:c>
      <x:c r="E317" s="14" t="str">
        <x:v>Wasserintensität Produkte – Entnahme (WSI)</x:v>
      </x:c>
      <x:c r="F317" s="14" t="str">
        <x:v>m³*WSI</x:v>
      </x:c>
      <x:c r="G317" s="14" t="str">
        <x:v>lower_is_better</x:v>
      </x:c>
      <x:c r="H317" s="14" t="str">
        <x:v>R06</x:v>
      </x:c>
      <x:c r="I317" s="14" t="str">
        <x:v>BENCHMARK</x:v>
      </x:c>
      <x:c r="J317" s="51"/>
      <x:c r="K317" s="51"/>
      <x:c r="L317" s="51"/>
      <x:c r="M317" s="54"/>
      <x:c r="N317" s="58" t="str">
        <x:f>""</x:f>
      </x:c>
      <x:c r="O317" s="58" t="str">
        <x:f>IF($J317="","",IF(OR('02_Benchmarks'!$P317&lt;&gt;"Aktiv",COUNT('02_Benchmarks'!$J317:$M317)&lt;4),"",IF($G317="lower_is_better",IF($J317&lt;='02_Benchmarks'!$J317,3,IF($J317&lt;'02_Benchmarks'!$K317,2,IF($J317&lt;='02_Benchmarks'!$L317,0,IF($J317&lt;='02_Benchmarks'!$M317,-2,-3)))),IF($J317&gt;='02_Benchmarks'!$J317,3,IF($J317&gt;'02_Benchmarks'!$K317,2,IF($J317&gt;='02_Benchmarks'!$L317,0,IF($J317&gt;='02_Benchmarks'!$M317,-2,-3)))))))</x:f>
      </x:c>
      <x:c r="P317" s="58" t="str">
        <x:f>IF(COUNT($N317:$O317)+IF(ISNUMBER($K317),1,0)=0,"",MIN($N317:$O317,$K317))</x:f>
      </x:c>
      <x:c r="Q317" s="58" t="str">
        <x:f>IF($P317="","",INDEX('04_Tarifmodell'!$B$6:$B$12,$P317+4))</x:f>
      </x:c>
      <x:c r="R317" s="64" t="str">
        <x:f>IF($P317="","",INDEX('04_Tarifmodell'!$C$6:$C$12,$P317+4))</x:f>
      </x:c>
      <x:c r="S317" s="14" t="str">
        <x:f>IF(OR($I317="QUALITATIVE",$I317="MANUAL_HYBRID"),IF($K317="","Assurance-Score fehlt","Assurance-bewertet"),IF($I317="BENCHMARK",IF($W317&lt;&gt;"Aktiv",IF($K317="","Benchmark fehlt","Assurance-bewertet"),IF($J317="","Messwert fehlt",IF($P317="","Nicht bewertbar","Berechnet"))),IF(AND($J317="",$K317&lt;&gt;""),"Nur Assurance-Score",IF($J317="","Messwert fehlt",IF($P317="","Nicht bewertbar",IF($P317&lt;=-2,"Kritische Wirkung / Prüfung","Berechnet"))))))</x:f>
        <x:v>Benchmark fehlt</x:v>
      </x:c>
      <x:c r="T317" s="14" t="str">
        <x:v>Top-10-Prozent, Mittelwert, 150 % und 250 % müssen aus einer dokumentierten Grundgesamtheit stammen.</x:v>
      </x:c>
      <x:c r="U317" s="14" t="str">
        <x:v>Top‑10%:+3; Mittel:0; &gt;150%:‑2; &gt;250%:‑3</x:v>
      </x:c>
      <x:c r="V317" s="14" t="str">
        <x:v>ESRS E3, WRI Aqueduct, ISO 14046 (Water Footprint)</x:v>
      </x:c>
      <x:c r="W317" s="14" t="str">
        <x:f>'02_Benchmarks'!$P317</x:f>
        <x:v>Offen – validierter Benchmark fehlt</x:v>
      </x:c>
      <x:c r="X317" s="14" t="str">
        <x:v>Teilbelegt – Benchmarkquelle fehlt</x:v>
      </x:c>
      <x:c r="Y317" s="14" t="str">
        <x:v>Hoch</x:v>
      </x:c>
      <x:c r="Z317" s="14" t="str">
        <x:v>Validierter Benchmark fehlt</x:v>
      </x:c>
      <x:c r="AA317" s="14" t="str">
        <x:v>Standort/Prozess/Aktivität; Bezugsgröße und relevante Umweltmedien</x:v>
      </x:c>
      <x:c r="AB317" s="14" t="str">
        <x:v>Primärdaten plus repräsentativer, versionierter Benchmarkdatensatz; Stichprobe und Population offenlegen</x:v>
      </x:c>
      <x:c r="AC317" s="14" t="str">
        <x:v>Messwert-Assurance und unabhängige Benchmark-Governance</x:v>
      </x:c>
    </x:row>
    <x:row r="318" ht="42" customHeight="1">
      <x:c r="A318" s="14" t="str">
        <x:v>WOK-E-174</x:v>
      </x:c>
      <x:c r="B318" s="14" t="str">
        <x:v>SDG 12 – Konsum/Produktion</x:v>
      </x:c>
      <x:c r="C318" s="14" t="str">
        <x:v>12.2</x:v>
      </x:c>
      <x:c r="D318" s="14" t="str">
        <x:v>Wasserintensität Produkte</x:v>
      </x:c>
      <x:c r="E318" s="14" t="str">
        <x:v>Wasserintensität Produkte – Reuse</x:v>
      </x:c>
      <x:c r="F318" s="14" t="str">
        <x:v>%</x:v>
      </x:c>
      <x:c r="G318" s="14" t="str">
        <x:v>higher_is_better</x:v>
      </x:c>
      <x:c r="H318" s="14" t="str">
        <x:v>R25</x:v>
      </x:c>
      <x:c r="I318" s="14" t="str">
        <x:v>NUM_HIGH</x:v>
      </x:c>
      <x:c r="J318" s="51"/>
      <x:c r="K318" s="51"/>
      <x:c r="L318" s="51"/>
      <x:c r="M318" s="54"/>
      <x:c r="N318" s="58" t="str">
        <x:f>IF($J318="","",IF($J318&lt;30,-3,IF($J318&lt;50,-2,IF($J318&lt;70,0,IF($J318&lt;90,2,3)))))</x:f>
      </x:c>
      <x:c r="O318" s="58" t="str">
        <x:f>IF($J318="","",IF(OR('02_Benchmarks'!$P318&lt;&gt;"Aktiv",COUNT('02_Benchmarks'!$J318:$M318)&lt;4),"",IF($G318="lower_is_better",IF($J318&lt;='02_Benchmarks'!$J318,3,IF($J318&lt;'02_Benchmarks'!$K318,2,IF($J318&lt;='02_Benchmarks'!$L318,0,IF($J318&lt;='02_Benchmarks'!$M318,-2,-3)))),IF($J318&gt;='02_Benchmarks'!$J318,3,IF($J318&gt;'02_Benchmarks'!$K318,2,IF($J318&gt;='02_Benchmarks'!$L318,0,IF($J318&gt;='02_Benchmarks'!$M318,-2,-3)))))))</x:f>
      </x:c>
      <x:c r="P318" s="58" t="str">
        <x:f>IF(COUNT($N318:$O318)+IF(ISNUMBER($K318),1,0)=0,"",MIN($N318:$O318,$K318))</x:f>
      </x:c>
      <x:c r="Q318" s="58" t="str">
        <x:f>IF($P318="","",INDEX('04_Tarifmodell'!$B$6:$B$12,$P318+4))</x:f>
      </x:c>
      <x:c r="R318" s="64" t="str">
        <x:f>IF($P318="","",INDEX('04_Tarifmodell'!$C$6:$C$12,$P318+4))</x:f>
      </x:c>
      <x:c r="S318" s="14" t="str">
        <x:f>IF(OR($I318="QUALITATIVE",$I318="MANUAL_HYBRID"),IF($K318="","Assurance-Score fehlt","Assurance-bewertet"),IF($I318="BENCHMARK",IF($W318&lt;&gt;"Aktiv",IF($K318="","Benchmark fehlt","Assurance-bewertet"),IF($J318="","Messwert fehlt",IF($P318="","Nicht bewertbar","Berechnet"))),IF(AND($J318="",$K318&lt;&gt;""),"Nur Assurance-Score",IF($J318="","Messwert fehlt",IF($P318="","Nicht bewertbar",IF($P318&lt;=-2,"Kritische Wirkung / Prüfung","Berechnet"))))))</x:f>
        <x:v>Messwert fehlt</x:v>
      </x:c>
      <x:c r="T318" s="14" t="str">
        <x:v>Vollständige fünfstufige Prozentregel.</x:v>
      </x:c>
      <x:c r="U318" s="14" t="str">
        <x:v>≥90%:+3; 70–89%:+2; 50–69%:0; 30–49%:‑2; &lt;30%:‑3</x:v>
      </x:c>
      <x:c r="V318" s="14" t="str">
        <x:v>ESRS E3, WRI Aqueduct, ISO 14046 (Water Footprint)</x:v>
      </x:c>
      <x:c r="W318" s="14" t="str">
        <x:f>'02_Benchmarks'!$P318</x:f>
        <x:v>Optional – kein aktiver Benchmark</x:v>
      </x:c>
      <x:c r="X318" s="14" t="str">
        <x:v>Messgrundlage belegt; Schwellenkalibrierung offen</x:v>
      </x:c>
      <x:c r="Y318" s="14" t="str">
        <x:v>Mittel</x:v>
      </x:c>
      <x:c r="Z318" s="14" t="str">
        <x:v>Arbeitskalibrierung – fachlich zu validieren</x:v>
      </x:c>
      <x:c r="AA318" s="14" t="str">
        <x:v>Standort/Prozess/Aktivität; Bezugsgröße und relevante Umweltmedien</x:v>
      </x:c>
      <x:c r="AB318" s="14" t="str">
        <x:v>Primärdaten bevorzugt; Sekundärdaten nur transparent und versioniert; Methode und Systemgrenze dokumentieren</x:v>
      </x:c>
      <x:c r="AC318" s="14" t="str">
        <x:v>Limited Assurance; risikobasiert höhere Prüftiefe</x:v>
      </x:c>
    </x:row>
    <x:row r="319" ht="42" customHeight="1">
      <x:c r="A319" s="14" t="str">
        <x:v>WOK-E-175</x:v>
      </x:c>
      <x:c r="B319" s="14" t="str">
        <x:v>SDG 12 – Konsum/Produktion</x:v>
      </x:c>
      <x:c r="C319" s="14" t="str">
        <x:v>12.2</x:v>
      </x:c>
      <x:c r="D319" s="14" t="str">
        <x:v>Wasserintensität Produkte</x:v>
      </x:c>
      <x:c r="E319" s="14" t="str">
        <x:v>Wasserintensität Produkte – Abwasserqualität</x:v>
      </x:c>
      <x:c r="F319" s="14" t="str">
        <x:v>% des Grenzwerts</x:v>
      </x:c>
      <x:c r="G319" s="14" t="str">
        <x:v>lower_is_better</x:v>
      </x:c>
      <x:c r="H319" s="14" t="str">
        <x:v>R12</x:v>
      </x:c>
      <x:c r="I319" s="14" t="str">
        <x:v>LEGAL_RATIO</x:v>
      </x:c>
      <x:c r="J319" s="51"/>
      <x:c r="K319" s="51"/>
      <x:c r="L319" s="51"/>
      <x:c r="M319" s="54"/>
      <x:c r="N319" s="58" t="str">
        <x:f>IF($J319="","",IF($J319&lt;=50,3,IF($J319&lt;=75,2,IF($J319&lt;=100,0,IF($J319&lt;=120,-2,-3)))))</x:f>
      </x:c>
      <x:c r="O319" s="58" t="str">
        <x:f>IF($J319="","",IF(OR('02_Benchmarks'!$P319&lt;&gt;"Aktiv",COUNT('02_Benchmarks'!$J319:$M319)&lt;4),"",IF($G319="lower_is_better",IF($J319&lt;='02_Benchmarks'!$J319,3,IF($J319&lt;'02_Benchmarks'!$K319,2,IF($J319&lt;='02_Benchmarks'!$L319,0,IF($J319&lt;='02_Benchmarks'!$M319,-2,-3)))),IF($J319&gt;='02_Benchmarks'!$J319,3,IF($J319&gt;'02_Benchmarks'!$K319,2,IF($J319&gt;='02_Benchmarks'!$L319,0,IF($J319&gt;='02_Benchmarks'!$M319,-2,-3)))))))</x:f>
      </x:c>
      <x:c r="P319" s="58" t="str">
        <x:f>IF(COUNT($N319:$O319)+IF(ISNUMBER($K319),1,0)=0,"",MIN($N319:$O319,$K319))</x:f>
      </x:c>
      <x:c r="Q319" s="58" t="str">
        <x:f>IF($P319="","",INDEX('04_Tarifmodell'!$B$6:$B$12,$P319+4))</x:f>
      </x:c>
      <x:c r="R319" s="64" t="str">
        <x:f>IF($P319="","",INDEX('04_Tarifmodell'!$C$6:$C$12,$P319+4))</x:f>
      </x:c>
      <x:c r="S319" s="14" t="str">
        <x:f>IF(OR($I319="QUALITATIVE",$I319="MANUAL_HYBRID"),IF($K319="","Assurance-Score fehlt","Assurance-bewertet"),IF($I319="BENCHMARK",IF($W319&lt;&gt;"Aktiv",IF($K319="","Benchmark fehlt","Assurance-bewertet"),IF($J319="","Messwert fehlt",IF($P319="","Nicht bewertbar","Berechnet"))),IF(AND($J319="",$K319&lt;&gt;""),"Nur Assurance-Score",IF($J319="","Messwert fehlt",IF($P319="","Nicht bewertbar",IF($P319&lt;=-2,"Kritische Wirkung / Prüfung","Berechnet"))))))</x:f>
        <x:v>Messwert fehlt</x:v>
      </x:c>
      <x:c r="T319" s="14" t="str">
        <x:v>Nicht der absolute Messwert, sondern Messwert ÷ Grenzwert × 100 wird bewertet.</x:v>
      </x:c>
      <x:c r="U319" s="14" t="str">
        <x:v>≤50% Grenzwert:+3; ≤75%:+2; ≤100%:0; 101–120%:‑2; &gt;120%:‑3</x:v>
      </x:c>
      <x:c r="V319" s="14" t="str">
        <x:v>ESRS E3, WRI Aqueduct, ISO 14046 (Water Footprint)</x:v>
      </x:c>
      <x:c r="W319" s="14" t="str">
        <x:f>'02_Benchmarks'!$P319</x:f>
        <x:v>Optional – kein aktiver Benchmark</x:v>
      </x:c>
      <x:c r="X319" s="14" t="str">
        <x:v>Teilbelegt – Rechtsfundstelle je Messung fehlt</x:v>
      </x:c>
      <x:c r="Y319" s="14" t="str">
        <x:v>Hoch</x:v>
      </x:c>
      <x:c r="Z319" s="14" t="str">
        <x:v>Rechtsfundstelle je Fall erforderlich</x:v>
      </x:c>
      <x:c r="AA319" s="14" t="str">
        <x:v>Standort/Prozess/Aktivität; Bezugsgröße und relevante Umweltmedien</x:v>
      </x:c>
      <x:c r="AB319" s="14" t="str">
        <x:v>Kalibrierter Messwert; Rechtsfundstelle, Grenzwert, Einheit, Messpunkt und Zeitraum</x:v>
      </x:c>
      <x:c r="AC319" s="14" t="str">
        <x:v>Behördlicher/akkreditierter Nachweis oder unabhängige Prüfung</x:v>
      </x:c>
    </x:row>
    <x:row r="320" ht="42" customHeight="1">
      <x:c r="A320" s="14" t="str">
        <x:v>WOK-E-176</x:v>
      </x:c>
      <x:c r="B320" s="14" t="str">
        <x:v>SDG 12 – Konsum/Produktion</x:v>
      </x:c>
      <x:c r="C320" s="14" t="str">
        <x:v>12.2</x:v>
      </x:c>
      <x:c r="D320" s="14" t="str">
        <x:v>Energieintensität Produkte</x:v>
      </x:c>
      <x:c r="E320" s="14" t="str">
        <x:v>Energieintensität Produkte – EE‑Anteil</x:v>
      </x:c>
      <x:c r="F320" s="14" t="str">
        <x:v>%</x:v>
      </x:c>
      <x:c r="G320" s="14" t="str">
        <x:v>higher_is_better</x:v>
      </x:c>
      <x:c r="H320" s="14" t="str">
        <x:v>R25</x:v>
      </x:c>
      <x:c r="I320" s="14" t="str">
        <x:v>NUM_HIGH</x:v>
      </x:c>
      <x:c r="J320" s="51"/>
      <x:c r="K320" s="51"/>
      <x:c r="L320" s="51"/>
      <x:c r="M320" s="54"/>
      <x:c r="N320" s="58" t="str">
        <x:f>IF($J320="","",IF($J320&lt;30,-3,IF($J320&lt;50,-2,IF($J320&lt;70,0,IF($J320&lt;90,2,3)))))</x:f>
      </x:c>
      <x:c r="O320" s="58" t="str">
        <x:f>IF($J320="","",IF(OR('02_Benchmarks'!$P320&lt;&gt;"Aktiv",COUNT('02_Benchmarks'!$J320:$M320)&lt;4),"",IF($G320="lower_is_better",IF($J320&lt;='02_Benchmarks'!$J320,3,IF($J320&lt;'02_Benchmarks'!$K320,2,IF($J320&lt;='02_Benchmarks'!$L320,0,IF($J320&lt;='02_Benchmarks'!$M320,-2,-3)))),IF($J320&gt;='02_Benchmarks'!$J320,3,IF($J320&gt;'02_Benchmarks'!$K320,2,IF($J320&gt;='02_Benchmarks'!$L320,0,IF($J320&gt;='02_Benchmarks'!$M320,-2,-3)))))))</x:f>
      </x:c>
      <x:c r="P320" s="58" t="str">
        <x:f>IF(COUNT($N320:$O320)+IF(ISNUMBER($K320),1,0)=0,"",MIN($N320:$O320,$K320))</x:f>
      </x:c>
      <x:c r="Q320" s="58" t="str">
        <x:f>IF($P320="","",INDEX('04_Tarifmodell'!$B$6:$B$12,$P320+4))</x:f>
      </x:c>
      <x:c r="R320" s="64" t="str">
        <x:f>IF($P320="","",INDEX('04_Tarifmodell'!$C$6:$C$12,$P320+4))</x:f>
      </x:c>
      <x:c r="S320" s="14" t="str">
        <x:f>IF(OR($I320="QUALITATIVE",$I320="MANUAL_HYBRID"),IF($K320="","Assurance-Score fehlt","Assurance-bewertet"),IF($I320="BENCHMARK",IF($W320&lt;&gt;"Aktiv",IF($K320="","Benchmark fehlt","Assurance-bewertet"),IF($J320="","Messwert fehlt",IF($P320="","Nicht bewertbar","Berechnet"))),IF(AND($J320="",$K320&lt;&gt;""),"Nur Assurance-Score",IF($J320="","Messwert fehlt",IF($P320="","Nicht bewertbar",IF($P320&lt;=-2,"Kritische Wirkung / Prüfung","Berechnet"))))))</x:f>
        <x:v>Messwert fehlt</x:v>
      </x:c>
      <x:c r="T320" s="14" t="str">
        <x:v>Vollständige fünfstufige Prozentregel.</x:v>
      </x:c>
      <x:c r="U320" s="14" t="str">
        <x:v>≥90%:+3; 70–89%:+2; 50–69%:0; 30–49%:‑2; &lt;30%:‑3</x:v>
      </x:c>
      <x:c r="V320" s="14" t="str">
        <x:v>ESRS E1, ISO 50001 (EnMS), ISO/IEC 30134‑2 (PUE), EU EPBD</x:v>
      </x:c>
      <x:c r="W320" s="14" t="str">
        <x:f>'02_Benchmarks'!$P320</x:f>
        <x:v>Optional – kein aktiver Benchmark</x:v>
      </x:c>
      <x:c r="X320" s="14" t="str">
        <x:v>Messgrundlage belegt; Schwellenkalibrierung offen</x:v>
      </x:c>
      <x:c r="Y320" s="14" t="str">
        <x:v>Mittel</x:v>
      </x:c>
      <x:c r="Z320" s="14" t="str">
        <x:v>Arbeitskalibrierung – fachlich zu validieren</x:v>
      </x:c>
      <x:c r="AA320" s="14" t="str">
        <x:v>Standort/Prozess/Aktivität; Bezugsgröße und relevante Umweltmedien</x:v>
      </x:c>
      <x:c r="AB320" s="14" t="str">
        <x:v>Primärdaten bevorzugt; Sekundärdaten nur transparent und versioniert; Methode und Systemgrenze dokumentieren</x:v>
      </x:c>
      <x:c r="AC320" s="14" t="str">
        <x:v>Limited Assurance; risikobasiert höhere Prüftiefe</x:v>
      </x:c>
    </x:row>
    <x:row r="321" ht="42" customHeight="1">
      <x:c r="A321" s="14" t="str">
        <x:v>WOK-E-177</x:v>
      </x:c>
      <x:c r="B321" s="14" t="str">
        <x:v>SDG 12 – Konsum/Produktion</x:v>
      </x:c>
      <x:c r="C321" s="14" t="str">
        <x:v>12.2</x:v>
      </x:c>
      <x:c r="D321" s="14" t="str">
        <x:v>Energieintensität Produkte</x:v>
      </x:c>
      <x:c r="E321" s="14" t="str">
        <x:v>Energieintensität Produkte – Intensität</x:v>
      </x:c>
      <x:c r="F321" s="14" t="str">
        <x:v>kWh/€ Mio bzw. kWh/t</x:v>
      </x:c>
      <x:c r="G321" s="14" t="str">
        <x:v>lower_is_better</x:v>
      </x:c>
      <x:c r="H321" s="14" t="str">
        <x:v>R06</x:v>
      </x:c>
      <x:c r="I321" s="14" t="str">
        <x:v>BENCHMARK</x:v>
      </x:c>
      <x:c r="J321" s="51"/>
      <x:c r="K321" s="51"/>
      <x:c r="L321" s="51"/>
      <x:c r="M321" s="54"/>
      <x:c r="N321" s="58" t="str">
        <x:f>""</x:f>
      </x:c>
      <x:c r="O321" s="58" t="str">
        <x:f>IF($J321="","",IF(OR('02_Benchmarks'!$P321&lt;&gt;"Aktiv",COUNT('02_Benchmarks'!$J321:$M321)&lt;4),"",IF($G321="lower_is_better",IF($J321&lt;='02_Benchmarks'!$J321,3,IF($J321&lt;'02_Benchmarks'!$K321,2,IF($J321&lt;='02_Benchmarks'!$L321,0,IF($J321&lt;='02_Benchmarks'!$M321,-2,-3)))),IF($J321&gt;='02_Benchmarks'!$J321,3,IF($J321&gt;'02_Benchmarks'!$K321,2,IF($J321&gt;='02_Benchmarks'!$L321,0,IF($J321&gt;='02_Benchmarks'!$M321,-2,-3)))))))</x:f>
      </x:c>
      <x:c r="P321" s="58" t="str">
        <x:f>IF(COUNT($N321:$O321)+IF(ISNUMBER($K321),1,0)=0,"",MIN($N321:$O321,$K321))</x:f>
      </x:c>
      <x:c r="Q321" s="58" t="str">
        <x:f>IF($P321="","",INDEX('04_Tarifmodell'!$B$6:$B$12,$P321+4))</x:f>
      </x:c>
      <x:c r="R321" s="64" t="str">
        <x:f>IF($P321="","",INDEX('04_Tarifmodell'!$C$6:$C$12,$P321+4))</x:f>
      </x:c>
      <x:c r="S321" s="14" t="str">
        <x:f>IF(OR($I321="QUALITATIVE",$I321="MANUAL_HYBRID"),IF($K321="","Assurance-Score fehlt","Assurance-bewertet"),IF($I321="BENCHMARK",IF($W321&lt;&gt;"Aktiv",IF($K321="","Benchmark fehlt","Assurance-bewertet"),IF($J321="","Messwert fehlt",IF($P321="","Nicht bewertbar","Berechnet"))),IF(AND($J321="",$K321&lt;&gt;""),"Nur Assurance-Score",IF($J321="","Messwert fehlt",IF($P321="","Nicht bewertbar",IF($P321&lt;=-2,"Kritische Wirkung / Prüfung","Berechnet"))))))</x:f>
        <x:v>Benchmark fehlt</x:v>
      </x:c>
      <x:c r="T321" s="14" t="str">
        <x:v>Top-10-Prozent, Mittelwert, 150 % und 250 % müssen aus einer dokumentierten Grundgesamtheit stammen.</x:v>
      </x:c>
      <x:c r="U321" s="14" t="str">
        <x:v>Top‑10%:+3; Mittel:0; &gt;150%:‑2; &gt;250%:‑3</x:v>
      </x:c>
      <x:c r="V321" s="14" t="str">
        <x:v>ESRS E1, ISO 50001 (EnMS), ISO/IEC 30134‑2 (PUE), EU EPBD</x:v>
      </x:c>
      <x:c r="W321" s="14" t="str">
        <x:f>'02_Benchmarks'!$P321</x:f>
        <x:v>Offen – validierter Benchmark fehlt</x:v>
      </x:c>
      <x:c r="X321" s="14" t="str">
        <x:v>Teilbelegt – Benchmarkquelle fehlt</x:v>
      </x:c>
      <x:c r="Y321" s="14" t="str">
        <x:v>Hoch</x:v>
      </x:c>
      <x:c r="Z321" s="14" t="str">
        <x:v>Validierter Benchmark fehlt</x:v>
      </x:c>
      <x:c r="AA321" s="14" t="str">
        <x:v>Standort/Prozess/Aktivität; Bezugsgröße und relevante Umweltmedien</x:v>
      </x:c>
      <x:c r="AB321" s="14" t="str">
        <x:v>Primärdaten plus repräsentativer, versionierter Benchmarkdatensatz; Stichprobe und Population offenlegen</x:v>
      </x:c>
      <x:c r="AC321" s="14" t="str">
        <x:v>Messwert-Assurance und unabhängige Benchmark-Governance</x:v>
      </x:c>
    </x:row>
    <x:row r="322" ht="42" customHeight="1">
      <x:c r="A322" s="14" t="str">
        <x:v>WOK-E-178</x:v>
      </x:c>
      <x:c r="B322" s="14" t="str">
        <x:v>SDG 12 – Konsum/Produktion</x:v>
      </x:c>
      <x:c r="C322" s="14" t="str">
        <x:v>12.2</x:v>
      </x:c>
      <x:c r="D322" s="14" t="str">
        <x:v>Energieintensität Produkte</x:v>
      </x:c>
      <x:c r="E322" s="14" t="str">
        <x:v>Energieintensität Produkte – Effizienz (PUE)*</x:v>
      </x:c>
      <x:c r="F322" s="14" t="str">
        <x:v>PUE</x:v>
      </x:c>
      <x:c r="G322" s="14" t="str">
        <x:v>lower_is_better</x:v>
      </x:c>
      <x:c r="H322" s="14" t="str">
        <x:v>R09</x:v>
      </x:c>
      <x:c r="I322" s="14" t="str">
        <x:v>NUM_LOW</x:v>
      </x:c>
      <x:c r="J322" s="51"/>
      <x:c r="K322" s="51"/>
      <x:c r="L322" s="51"/>
      <x:c r="M322" s="54"/>
      <x:c r="N322" s="58" t="str">
        <x:f>IF($J322="","",IF($J322&lt;=1.2,3,IF($J322&lt;=1.4,2,IF($J322&lt;=1.6,0,IF($J322&lt;=1.8,-2,-3)))))</x:f>
      </x:c>
      <x:c r="O322" s="58" t="str">
        <x:f>IF($J322="","",IF(OR('02_Benchmarks'!$P322&lt;&gt;"Aktiv",COUNT('02_Benchmarks'!$J322:$M322)&lt;4),"",IF($G322="lower_is_better",IF($J322&lt;='02_Benchmarks'!$J322,3,IF($J322&lt;'02_Benchmarks'!$K322,2,IF($J322&lt;='02_Benchmarks'!$L322,0,IF($J322&lt;='02_Benchmarks'!$M322,-2,-3)))),IF($J322&gt;='02_Benchmarks'!$J322,3,IF($J322&gt;'02_Benchmarks'!$K322,2,IF($J322&gt;='02_Benchmarks'!$L322,0,IF($J322&gt;='02_Benchmarks'!$M322,-2,-3)))))))</x:f>
      </x:c>
      <x:c r="P322" s="58" t="str">
        <x:f>IF(COUNT($N322:$O322)+IF(ISNUMBER($K322),1,0)=0,"",MIN($N322:$O322,$K322))</x:f>
      </x:c>
      <x:c r="Q322" s="58" t="str">
        <x:f>IF($P322="","",INDEX('04_Tarifmodell'!$B$6:$B$12,$P322+4))</x:f>
      </x:c>
      <x:c r="R322" s="64" t="str">
        <x:f>IF($P322="","",INDEX('04_Tarifmodell'!$C$6:$C$12,$P322+4))</x:f>
      </x:c>
      <x:c r="S322" s="14" t="str">
        <x:f>IF(OR($I322="QUALITATIVE",$I322="MANUAL_HYBRID"),IF($K322="","Assurance-Score fehlt","Assurance-bewertet"),IF($I322="BENCHMARK",IF($W322&lt;&gt;"Aktiv",IF($K322="","Benchmark fehlt","Assurance-bewertet"),IF($J322="","Messwert fehlt",IF($P322="","Nicht bewertbar","Berechnet"))),IF(AND($J322="",$K322&lt;&gt;""),"Nur Assurance-Score",IF($J322="","Messwert fehlt",IF($P322="","Nicht bewertbar",IF($P322&lt;=-2,"Kritische Wirkung / Prüfung","Berechnet"))))))</x:f>
        <x:v>Messwert fehlt</x:v>
      </x:c>
      <x:c r="T322" s="14" t="str">
        <x:v>Klimazone und Rechenzentrumstyp sind bei der Validierung zu berücksichtigen.</x:v>
      </x:c>
      <x:c r="U322" s="14" t="str">
        <x:v>≤1,2:+3; 1,21–1,4:+2; 1,41–1,6:0; 1,61–1,8:‑2; &gt;1,8:‑3</x:v>
      </x:c>
      <x:c r="V322" s="14" t="str">
        <x:v>ESRS E1, ISO 50001 (EnMS), ISO/IEC 30134‑2 (PUE), EU EPBD</x:v>
      </x:c>
      <x:c r="W322" s="14" t="str">
        <x:f>'02_Benchmarks'!$P322</x:f>
        <x:v>Optional – kein aktiver Benchmark</x:v>
      </x:c>
      <x:c r="X322" s="14" t="str">
        <x:v>Messgrundlage belegt; Schwellenkalibrierung offen</x:v>
      </x:c>
      <x:c r="Y322" s="14" t="str">
        <x:v>Mittel</x:v>
      </x:c>
      <x:c r="Z322" s="14" t="str">
        <x:v>Messstandard belegt; Klassen sind WÖk-Kalibrierung</x:v>
      </x:c>
      <x:c r="AA322" s="14" t="str">
        <x:v>Standort/Prozess/Aktivität; Bezugsgröße und relevante Umweltmedien</x:v>
      </x:c>
      <x:c r="AB322" s="14" t="str">
        <x:v>Primärdaten bevorzugt; Sekundärdaten nur transparent und versioniert; Methode und Systemgrenze dokumentieren</x:v>
      </x:c>
      <x:c r="AC322" s="14" t="str">
        <x:v>Limited Assurance; risikobasiert höhere Prüftiefe</x:v>
      </x:c>
    </x:row>
    <x:row r="323" ht="42" customHeight="1">
      <x:c r="A323" s="14" t="str">
        <x:v>WOK-SYS-134</x:v>
      </x:c>
      <x:c r="B323" s="14" t="str">
        <x:v>SDG 12 – Konsum/Produktion</x:v>
      </x:c>
      <x:c r="C323" s="14" t="str">
        <x:v>12.8</x:v>
      </x:c>
      <x:c r="D323" s="14" t="str">
        <x:v>Konsumententransparenz</x:v>
      </x:c>
      <x:c r="E323" s="14" t="str">
        <x:v>Konsumententransparenz – Index</x:v>
      </x:c>
      <x:c r="F323" s="14" t="str">
        <x:v>0–1</x:v>
      </x:c>
      <x:c r="G323" s="14" t="str">
        <x:v>higher_is_better</x:v>
      </x:c>
      <x:c r="H323" s="14" t="str">
        <x:v>R15</x:v>
      </x:c>
      <x:c r="I323" s="14" t="str">
        <x:v>NUM_HIGH</x:v>
      </x:c>
      <x:c r="J323" s="51"/>
      <x:c r="K323" s="51"/>
      <x:c r="L323" s="51"/>
      <x:c r="M323" s="54"/>
      <x:c r="N323" s="58" t="str">
        <x:f>IF($J323="","",IF($J323&lt;0.5,-3,IF($J323&lt;0.6,-2,IF($J323&lt;0.7,0,IF($J323&lt;0.8,2,3)))))</x:f>
      </x:c>
      <x:c r="O323" s="58" t="str">
        <x:f>IF($J323="","",IF(OR('02_Benchmarks'!$P323&lt;&gt;"Aktiv",COUNT('02_Benchmarks'!$J323:$M323)&lt;4),"",IF($G323="lower_is_better",IF($J323&lt;='02_Benchmarks'!$J323,3,IF($J323&lt;'02_Benchmarks'!$K323,2,IF($J323&lt;='02_Benchmarks'!$L323,0,IF($J323&lt;='02_Benchmarks'!$M323,-2,-3)))),IF($J323&gt;='02_Benchmarks'!$J323,3,IF($J323&gt;'02_Benchmarks'!$K323,2,IF($J323&gt;='02_Benchmarks'!$L323,0,IF($J323&gt;='02_Benchmarks'!$M323,-2,-3)))))))</x:f>
      </x:c>
      <x:c r="P323" s="58" t="str">
        <x:f>IF(COUNT($N323:$O323)+IF(ISNUMBER($K323),1,0)=0,"",MIN($N323:$O323,$K323))</x:f>
      </x:c>
      <x:c r="Q323" s="58" t="str">
        <x:f>IF($P323="","",INDEX('04_Tarifmodell'!$B$6:$B$12,$P323+4))</x:f>
      </x:c>
      <x:c r="R323" s="64" t="str">
        <x:f>IF($P323="","",INDEX('04_Tarifmodell'!$C$6:$C$12,$P323+4))</x:f>
      </x:c>
      <x:c r="S323" s="14" t="str">
        <x:f>IF(OR($I323="QUALITATIVE",$I323="MANUAL_HYBRID"),IF($K323="","Assurance-Score fehlt","Assurance-bewertet"),IF($I323="BENCHMARK",IF($W323&lt;&gt;"Aktiv",IF($K323="","Benchmark fehlt","Assurance-bewertet"),IF($J323="","Messwert fehlt",IF($P323="","Nicht bewertbar","Berechnet"))),IF(AND($J323="",$K323&lt;&gt;""),"Nur Assurance-Score",IF($J323="","Messwert fehlt",IF($P323="","Nicht bewertbar",IF($P323&lt;=-2,"Kritische Wirkung / Prüfung","Berechnet"))))))</x:f>
        <x:v>Messwert fehlt</x:v>
      </x:c>
      <x:c r="T323" s="14" t="str">
        <x:v>SROI/SDG 17 ist keine hinreichend konkrete Mess- oder Schwellenquelle. Vollständige fünfstufige numerische Regel.</x:v>
      </x:c>
      <x:c r="U323" s="14" t="str">
        <x:v>≥0,8:+3; 0,7–0,79:+2; 0,6–0,69:0; 0,5–0,59:‑2; &lt;0,5:‑3</x:v>
      </x:c>
      <x:c r="V323" s="14" t="str">
        <x:v>SDG 16/17, WJP, V‑Dem</x:v>
      </x:c>
      <x:c r="W323" s="14" t="str">
        <x:f>'02_Benchmarks'!$P323</x:f>
        <x:v>Optional – kein aktiver Benchmark</x:v>
      </x:c>
      <x:c r="X323" s="14" t="str">
        <x:v>Platzhalter – fachliche Operationalisierung offen</x:v>
      </x:c>
      <x:c r="Y323" s="14" t="str">
        <x:v>Kritisch</x:v>
      </x:c>
      <x:c r="Z323" s="14" t="str">
        <x:v>Arbeitskalibrierung – fachlich zu validieren</x:v>
      </x:c>
      <x:c r="AA323" s="14" t="str">
        <x:v>Programm/Portfolio/Systemraum; Empfängergruppe, Region und Zeitraum explizit definieren</x:v>
      </x:c>
      <x:c r="AB323" s="14" t="str">
        <x:v>Primärdaten bevorzugt; Sekundärdaten nur transparent und versioniert; Methode und Systemgrenze dokumentieren</x:v>
      </x:c>
      <x:c r="AC323" s="14" t="str">
        <x:v>Limited Assurance; risikobasiert höhere Prüftiefe</x:v>
      </x:c>
    </x:row>
    <x:row r="324" ht="42" customHeight="1">
      <x:c r="A324" s="14" t="str">
        <x:v>WOK-SYS-135</x:v>
      </x:c>
      <x:c r="B324" s="14" t="str">
        <x:v>SDG 12 – Konsum/Produktion</x:v>
      </x:c>
      <x:c r="C324" s="14" t="str">
        <x:v>12.8</x:v>
      </x:c>
      <x:c r="D324" s="14" t="str">
        <x:v>Konsumententransparenz</x:v>
      </x:c>
      <x:c r="E324" s="14" t="str">
        <x:v>Konsumententransparenz – Exposure</x:v>
      </x:c>
      <x:c r="F324" s="14" t="str">
        <x:v>%</x:v>
      </x:c>
      <x:c r="G324" s="14" t="str">
        <x:v>lower_is_better</x:v>
      </x:c>
      <x:c r="H324" s="14" t="str">
        <x:v>R13</x:v>
      </x:c>
      <x:c r="I324" s="14" t="str">
        <x:v>NUM_LOW</x:v>
      </x:c>
      <x:c r="J324" s="51"/>
      <x:c r="K324" s="51"/>
      <x:c r="L324" s="51"/>
      <x:c r="M324" s="54"/>
      <x:c r="N324" s="58" t="str">
        <x:f>IF($J324="","",IF($J324&lt;=5,3,IF($J324&lt;=10,2,IF($J324&lt;=20,0,IF($J324&lt;=30,-2,-3)))))</x:f>
      </x:c>
      <x:c r="O324" s="58" t="str">
        <x:f>IF($J324="","",IF(OR('02_Benchmarks'!$P324&lt;&gt;"Aktiv",COUNT('02_Benchmarks'!$J324:$M324)&lt;4),"",IF($G324="lower_is_better",IF($J324&lt;='02_Benchmarks'!$J324,3,IF($J324&lt;'02_Benchmarks'!$K324,2,IF($J324&lt;='02_Benchmarks'!$L324,0,IF($J324&lt;='02_Benchmarks'!$M324,-2,-3)))),IF($J324&gt;='02_Benchmarks'!$J324,3,IF($J324&gt;'02_Benchmarks'!$K324,2,IF($J324&gt;='02_Benchmarks'!$L324,0,IF($J324&gt;='02_Benchmarks'!$M324,-2,-3)))))))</x:f>
      </x:c>
      <x:c r="P324" s="58" t="str">
        <x:f>IF(COUNT($N324:$O324)+IF(ISNUMBER($K324),1,0)=0,"",MIN($N324:$O324,$K324))</x:f>
      </x:c>
      <x:c r="Q324" s="58" t="str">
        <x:f>IF($P324="","",INDEX('04_Tarifmodell'!$B$6:$B$12,$P324+4))</x:f>
      </x:c>
      <x:c r="R324" s="64" t="str">
        <x:f>IF($P324="","",INDEX('04_Tarifmodell'!$C$6:$C$12,$P324+4))</x:f>
      </x:c>
      <x:c r="S324" s="14" t="str">
        <x:f>IF(OR($I324="QUALITATIVE",$I324="MANUAL_HYBRID"),IF($K324="","Assurance-Score fehlt","Assurance-bewertet"),IF($I324="BENCHMARK",IF($W324&lt;&gt;"Aktiv",IF($K324="","Benchmark fehlt","Assurance-bewertet"),IF($J324="","Messwert fehlt",IF($P324="","Nicht bewertbar","Berechnet"))),IF(AND($J324="",$K324&lt;&gt;""),"Nur Assurance-Score",IF($J324="","Messwert fehlt",IF($P324="","Nicht bewertbar",IF($P324&lt;=-2,"Kritische Wirkung / Prüfung","Berechnet"))))))</x:f>
        <x:v>Messwert fehlt</x:v>
      </x:c>
      <x:c r="T324" s="14" t="str">
        <x:v>SROI/SDG 17 ist keine hinreichend konkrete Mess- oder Schwellenquelle. Vollständige fünfstufige numerische Regel.</x:v>
      </x:c>
      <x:c r="U324" s="14" t="str">
        <x:v>≤5:+3; 6–10:+2; 11–20:0; 21–30:‑2; &gt;30:‑3</x:v>
      </x:c>
      <x:c r="V324" s="14" t="str">
        <x:v>SDG 16/17, WJP, V‑Dem</x:v>
      </x:c>
      <x:c r="W324" s="14" t="str">
        <x:f>'02_Benchmarks'!$P324</x:f>
        <x:v>Optional – kein aktiver Benchmark</x:v>
      </x:c>
      <x:c r="X324" s="14" t="str">
        <x:v>Platzhalter – fachliche Operationalisierung offen</x:v>
      </x:c>
      <x:c r="Y324" s="14" t="str">
        <x:v>Kritisch</x:v>
      </x:c>
      <x:c r="Z324" s="14" t="str">
        <x:v>Arbeitskalibrierung – fachlich zu validieren</x:v>
      </x:c>
      <x:c r="AA324" s="14" t="str">
        <x:v>Programm/Portfolio/Systemraum; Empfängergruppe, Region und Zeitraum explizit definieren</x:v>
      </x:c>
      <x:c r="AB324" s="14" t="str">
        <x:v>Primärdaten bevorzugt; Sekundärdaten nur transparent und versioniert; Methode und Systemgrenze dokumentieren</x:v>
      </x:c>
      <x:c r="AC324" s="14" t="str">
        <x:v>Limited Assurance; risikobasiert höhere Prüftiefe</x:v>
      </x:c>
    </x:row>
    <x:row r="325" ht="42" customHeight="1">
      <x:c r="A325" s="14" t="str">
        <x:v>WOK-SYS-136</x:v>
      </x:c>
      <x:c r="B325" s="14" t="str">
        <x:v>SDG 12 – Konsum/Produktion</x:v>
      </x:c>
      <x:c r="C325" s="14" t="str">
        <x:v>12.8</x:v>
      </x:c>
      <x:c r="D325" s="14" t="str">
        <x:v>Konsumententransparenz</x:v>
      </x:c>
      <x:c r="E325" s="14" t="str">
        <x:v>Konsumententransparenz – Kooperationen</x:v>
      </x:c>
      <x:c r="F325" s="14" t="str">
        <x:v>#/Jahr</x:v>
      </x:c>
      <x:c r="G325" s="14" t="str">
        <x:v>higher_is_better</x:v>
      </x:c>
      <x:c r="H325" s="14" t="str">
        <x:v>R20</x:v>
      </x:c>
      <x:c r="I325" s="14" t="str">
        <x:v>NUM_HIGH</x:v>
      </x:c>
      <x:c r="J325" s="51"/>
      <x:c r="K325" s="51"/>
      <x:c r="L325" s="51"/>
      <x:c r="M325" s="54"/>
      <x:c r="N325" s="58" t="str">
        <x:f>IF($J325="","",IF($J325&lt;0,-3,IF($J325&lt;1,-2,IF($J325&lt;3,0,IF($J325&lt;5,2,3)))))</x:f>
      </x:c>
      <x:c r="O325" s="58" t="str">
        <x:f>IF($J325="","",IF(OR('02_Benchmarks'!$P325&lt;&gt;"Aktiv",COUNT('02_Benchmarks'!$J325:$M325)&lt;4),"",IF($G325="lower_is_better",IF($J325&lt;='02_Benchmarks'!$J325,3,IF($J325&lt;'02_Benchmarks'!$K325,2,IF($J325&lt;='02_Benchmarks'!$L325,0,IF($J325&lt;='02_Benchmarks'!$M325,-2,-3)))),IF($J325&gt;='02_Benchmarks'!$J325,3,IF($J325&gt;'02_Benchmarks'!$K325,2,IF($J325&gt;='02_Benchmarks'!$L325,0,IF($J325&gt;='02_Benchmarks'!$M325,-2,-3)))))))</x:f>
      </x:c>
      <x:c r="P325" s="58" t="str">
        <x:f>IF(COUNT($N325:$O325)+IF(ISNUMBER($K325),1,0)=0,"",MIN($N325:$O325,$K325))</x:f>
      </x:c>
      <x:c r="Q325" s="58" t="str">
        <x:f>IF($P325="","",INDEX('04_Tarifmodell'!$B$6:$B$12,$P325+4))</x:f>
      </x:c>
      <x:c r="R325" s="64" t="str">
        <x:f>IF($P325="","",INDEX('04_Tarifmodell'!$C$6:$C$12,$P325+4))</x:f>
      </x:c>
      <x:c r="S325" s="14" t="str">
        <x:f>IF(OR($I325="QUALITATIVE",$I325="MANUAL_HYBRID"),IF($K325="","Assurance-Score fehlt","Assurance-bewertet"),IF($I325="BENCHMARK",IF($W325&lt;&gt;"Aktiv",IF($K325="","Benchmark fehlt","Assurance-bewertet"),IF($J325="","Messwert fehlt",IF($P325="","Nicht bewertbar","Berechnet"))),IF(AND($J325="",$K325&lt;&gt;""),"Nur Assurance-Score",IF($J325="","Messwert fehlt",IF($P325="","Nicht bewertbar",IF($P325&lt;=-2,"Kritische Wirkung / Prüfung","Berechnet"))))))</x:f>
        <x:v>Messwert fehlt</x:v>
      </x:c>
      <x:c r="T325" s="14" t="str">
        <x:v>SROI/SDG 17 ist keine hinreichend konkrete Mess- oder Schwellenquelle. Für sachlogisch nichtnegative Zählwerte ist 0 die schlechteste reguläre Klasse (−2).</x:v>
      </x:c>
      <x:c r="U325" s="14" t="str">
        <x:v>≥5:+3; 3–4:+2; 1–2:0; 0:‑2</x:v>
      </x:c>
      <x:c r="V325" s="14" t="str">
        <x:v>SDG 16/17, WJP, V‑Dem</x:v>
      </x:c>
      <x:c r="W325" s="14" t="str">
        <x:f>'02_Benchmarks'!$P325</x:f>
        <x:v>Optional – kein aktiver Benchmark</x:v>
      </x:c>
      <x:c r="X325" s="14" t="str">
        <x:v>Platzhalter – fachliche Operationalisierung offen</x:v>
      </x:c>
      <x:c r="Y325" s="14" t="str">
        <x:v>Kritisch</x:v>
      </x:c>
      <x:c r="Z325" s="14" t="str">
        <x:v>Klasse −3 nur für negative/unzulässige Werte ergänzt</x:v>
      </x:c>
      <x:c r="AA325" s="14" t="str">
        <x:v>Programm/Portfolio/Systemraum; Empfängergruppe, Region und Zeitraum explizit definieren</x:v>
      </x:c>
      <x:c r="AB325" s="14" t="str">
        <x:v>Primärdaten bevorzugt; Sekundärdaten nur transparent und versioniert; Methode und Systemgrenze dokumentieren</x:v>
      </x:c>
      <x:c r="AC325" s="14" t="str">
        <x:v>Limited Assurance; risikobasiert höhere Prüftiefe</x:v>
      </x:c>
    </x:row>
    <x:row r="326" ht="42" customHeight="1">
      <x:c r="A326" s="14" t="str">
        <x:v>WOK-POL-104</x:v>
      </x:c>
      <x:c r="B326" s="14" t="str">
        <x:v>SDG 12 – Konsum/Produktion</x:v>
      </x:c>
      <x:c r="C326" s="14" t="str">
        <x:v>12.6</x:v>
      </x:c>
      <x:c r="D326" s="14" t="str">
        <x:v>Taxonomie‑Konformität</x:v>
      </x:c>
      <x:c r="E326" s="14" t="str">
        <x:v>Taxonomie‑Konformität – Spezifische Emissionen</x:v>
      </x:c>
      <x:c r="F326" s="14" t="str">
        <x:v>g CO₂e/kWh</x:v>
      </x:c>
      <x:c r="G326" s="14" t="str">
        <x:v>lower_is_better</x:v>
      </x:c>
      <x:c r="H326" s="14" t="str">
        <x:v>R10</x:v>
      </x:c>
      <x:c r="I326" s="14" t="str">
        <x:v>NUM_LOW</x:v>
      </x:c>
      <x:c r="J326" s="51"/>
      <x:c r="K326" s="51"/>
      <x:c r="L326" s="51"/>
      <x:c r="M326" s="54"/>
      <x:c r="N326" s="58" t="str">
        <x:f>IF($J326="","",IF($J326&lt;=100,3,IF($J326&lt;=250,0,IF($J326&lt;=1E+99,-2,IF($J326&lt;=1E+99,-2,-2)))))</x:f>
      </x:c>
      <x:c r="O326" s="58" t="str">
        <x:f>IF($J326="","",IF(OR('02_Benchmarks'!$P326&lt;&gt;"Aktiv",COUNT('02_Benchmarks'!$J326:$M326)&lt;4),"",IF($G326="lower_is_better",IF($J326&lt;='02_Benchmarks'!$J326,3,IF($J326&lt;'02_Benchmarks'!$K326,2,IF($J326&lt;='02_Benchmarks'!$L326,0,IF($J326&lt;='02_Benchmarks'!$M326,-2,-3)))),IF($J326&gt;='02_Benchmarks'!$J326,3,IF($J326&gt;'02_Benchmarks'!$K326,2,IF($J326&gt;='02_Benchmarks'!$L326,0,IF($J326&gt;='02_Benchmarks'!$M326,-2,-3)))))))</x:f>
      </x:c>
      <x:c r="P326" s="58" t="str">
        <x:f>IF(COUNT($N326:$O326)+IF(ISNUMBER($K326),1,0)=0,"",MIN($N326:$O326,$K326))</x:f>
      </x:c>
      <x:c r="Q326" s="58" t="str">
        <x:f>IF($P326="","",INDEX('04_Tarifmodell'!$B$6:$B$12,$P326+4))</x:f>
      </x:c>
      <x:c r="R326" s="64" t="str">
        <x:f>IF($P326="","",INDEX('04_Tarifmodell'!$C$6:$C$12,$P326+4))</x:f>
      </x:c>
      <x:c r="S326" s="14" t="str">
        <x:f>IF(OR($I326="QUALITATIVE",$I326="MANUAL_HYBRID"),IF($K326="","Assurance-Score fehlt","Assurance-bewertet"),IF($I326="BENCHMARK",IF($W326&lt;&gt;"Aktiv",IF($K326="","Benchmark fehlt","Assurance-bewertet"),IF($J326="","Messwert fehlt",IF($P326="","Nicht bewertbar","Berechnet"))),IF(AND($J326="",$K326&lt;&gt;""),"Nur Assurance-Score",IF($J326="","Messwert fehlt",IF($P326="","Nicht bewertbar",IF($P326&lt;=-2,"Kritische Wirkung / Prüfung","Berechnet"))))))</x:f>
        <x:v>Messwert fehlt</x:v>
      </x:c>
      <x:c r="T326" s="14" t="str">
        <x:v>Automatik bildet nur die explizit vorhandenen Klassen ab.</x:v>
      </x:c>
      <x:c r="U326" s="14" t="str">
        <x:v>≤100:+3; 101–250:0; &gt;250:‑2</x:v>
      </x:c>
      <x:c r="V326" s="14" t="str">
        <x:v>ESRS E1, GHG Protocol (Corporate/Scope 1–3), ISO 14064/14067</x:v>
      </x:c>
      <x:c r="W326" s="14" t="str">
        <x:f>'02_Benchmarks'!$P326</x:f>
        <x:v>Optional – kein aktiver Benchmark</x:v>
      </x:c>
      <x:c r="X326" s="14" t="str">
        <x:v>Messgrundlage belegt; Schwellenkalibrierung offen</x:v>
      </x:c>
      <x:c r="Y326" s="14" t="str">
        <x:v>Mittel</x:v>
      </x:c>
      <x:c r="Z326" s="14" t="str">
        <x:v>Klassen +2 und −3 fehlen</x:v>
      </x:c>
      <x:c r="AA326" s="14" t="str">
        <x:v>Technologie-/Aktivitätsklasse; Anlagen-, Netz- oder Flottengrenze ausweisen</x:v>
      </x:c>
      <x:c r="AB326" s="14" t="str">
        <x:v>Primärdaten bevorzugt; Sekundärdaten nur transparent und versioniert; Methode und Systemgrenze dokumentieren</x:v>
      </x:c>
      <x:c r="AC326" s="14" t="str">
        <x:v>Limited Assurance; risikobasiert höhere Prüftiefe</x:v>
      </x:c>
    </x:row>
    <x:row r="327" ht="42" customHeight="1">
      <x:c r="A327" s="14" t="str">
        <x:v>WOK-POL-105</x:v>
      </x:c>
      <x:c r="B327" s="14" t="str">
        <x:v>SDG 12 – Konsum/Produktion</x:v>
      </x:c>
      <x:c r="C327" s="14" t="str">
        <x:v>12.6</x:v>
      </x:c>
      <x:c r="D327" s="14" t="str">
        <x:v>Taxonomie‑Konformität</x:v>
      </x:c>
      <x:c r="E327" s="14" t="str">
        <x:v>Taxonomie‑Konformität – DNSH‑Konformität</x:v>
      </x:c>
      <x:c r="F327" s="14" t="str">
        <x:v>% Aktivitäten</x:v>
      </x:c>
      <x:c r="G327" s="14" t="str">
        <x:v>higher_is_better</x:v>
      </x:c>
      <x:c r="H327" s="14" t="str">
        <x:v>R25</x:v>
      </x:c>
      <x:c r="I327" s="14" t="str">
        <x:v>NUM_HIGH</x:v>
      </x:c>
      <x:c r="J327" s="51"/>
      <x:c r="K327" s="51"/>
      <x:c r="L327" s="51"/>
      <x:c r="M327" s="54"/>
      <x:c r="N327" s="58" t="str">
        <x:f>IF($J327="","",IF($J327&lt;30,-3,IF($J327&lt;50,-2,IF($J327&lt;70,0,IF($J327&lt;90,2,3)))))</x:f>
      </x:c>
      <x:c r="O327" s="58" t="str">
        <x:f>IF($J327="","",IF(OR('02_Benchmarks'!$P327&lt;&gt;"Aktiv",COUNT('02_Benchmarks'!$J327:$M327)&lt;4),"",IF($G327="lower_is_better",IF($J327&lt;='02_Benchmarks'!$J327,3,IF($J327&lt;'02_Benchmarks'!$K327,2,IF($J327&lt;='02_Benchmarks'!$L327,0,IF($J327&lt;='02_Benchmarks'!$M327,-2,-3)))),IF($J327&gt;='02_Benchmarks'!$J327,3,IF($J327&gt;'02_Benchmarks'!$K327,2,IF($J327&gt;='02_Benchmarks'!$L327,0,IF($J327&gt;='02_Benchmarks'!$M327,-2,-3)))))))</x:f>
      </x:c>
      <x:c r="P327" s="58" t="str">
        <x:f>IF(COUNT($N327:$O327)+IF(ISNUMBER($K327),1,0)=0,"",MIN($N327:$O327,$K327))</x:f>
      </x:c>
      <x:c r="Q327" s="58" t="str">
        <x:f>IF($P327="","",INDEX('04_Tarifmodell'!$B$6:$B$12,$P327+4))</x:f>
      </x:c>
      <x:c r="R327" s="64" t="str">
        <x:f>IF($P327="","",INDEX('04_Tarifmodell'!$C$6:$C$12,$P327+4))</x:f>
      </x:c>
      <x:c r="S327" s="14" t="str">
        <x:f>IF(OR($I327="QUALITATIVE",$I327="MANUAL_HYBRID"),IF($K327="","Assurance-Score fehlt","Assurance-bewertet"),IF($I327="BENCHMARK",IF($W327&lt;&gt;"Aktiv",IF($K327="","Benchmark fehlt","Assurance-bewertet"),IF($J327="","Messwert fehlt",IF($P327="","Nicht bewertbar","Berechnet"))),IF(AND($J327="",$K327&lt;&gt;""),"Nur Assurance-Score",IF($J327="","Messwert fehlt",IF($P327="","Nicht bewertbar",IF($P327&lt;=-2,"Kritische Wirkung / Prüfung","Berechnet"))))))</x:f>
        <x:v>Messwert fehlt</x:v>
      </x:c>
      <x:c r="T327" s="14" t="str">
        <x:v>Vollständige fünfstufige Prozentregel.</x:v>
      </x:c>
      <x:c r="U327" s="14" t="str">
        <x:v>≥90%:+3; 70–89%:+2; 50–69%:0; 30–49%:‑2; &lt;30%:‑3</x:v>
      </x:c>
      <x:c r="V327" s="14" t="str">
        <x:v>EU‑Taxonomie (TSC &amp; DNSH)</x:v>
      </x:c>
      <x:c r="W327" s="14" t="str">
        <x:f>'02_Benchmarks'!$P327</x:f>
        <x:v>Optional – kein aktiver Benchmark</x:v>
      </x:c>
      <x:c r="X327" s="14" t="str">
        <x:v>Messgrundlage belegt; Schwellenkalibrierung offen</x:v>
      </x:c>
      <x:c r="Y327" s="14" t="str">
        <x:v>Mittel</x:v>
      </x:c>
      <x:c r="Z327" s="14" t="str">
        <x:v>Arbeitskalibrierung – fachlich zu validieren</x:v>
      </x:c>
      <x:c r="AA327" s="14" t="str">
        <x:v>Technologie-/Aktivitätsklasse; Anlagen-, Netz- oder Flottengrenze ausweisen</x:v>
      </x:c>
      <x:c r="AB327" s="14" t="str">
        <x:v>Primärdaten bevorzugt; Sekundärdaten nur transparent und versioniert; Methode und Systemgrenze dokumentieren</x:v>
      </x:c>
      <x:c r="AC327" s="14" t="str">
        <x:v>Limited Assurance; risikobasiert höhere Prüftiefe</x:v>
      </x:c>
    </x:row>
    <x:row r="328" ht="42" customHeight="1">
      <x:c r="A328" s="14" t="str">
        <x:v>WOK-POL-106</x:v>
      </x:c>
      <x:c r="B328" s="14" t="str">
        <x:v>SDG 12 – Konsum/Produktion</x:v>
      </x:c>
      <x:c r="C328" s="14" t="str">
        <x:v>12.6</x:v>
      </x:c>
      <x:c r="D328" s="14" t="str">
        <x:v>Taxonomie‑Konformität</x:v>
      </x:c>
      <x:c r="E328" s="14" t="str">
        <x:v>Taxonomie‑Konformität – TSC‑Schwellen</x:v>
      </x:c>
      <x:c r="F328" s="14" t="str">
        <x:v>% Aktivitäten</x:v>
      </x:c>
      <x:c r="G328" s="14" t="str">
        <x:v>higher_is_better</x:v>
      </x:c>
      <x:c r="H328" s="14" t="str">
        <x:v>R25</x:v>
      </x:c>
      <x:c r="I328" s="14" t="str">
        <x:v>NUM_HIGH</x:v>
      </x:c>
      <x:c r="J328" s="51"/>
      <x:c r="K328" s="51"/>
      <x:c r="L328" s="51"/>
      <x:c r="M328" s="54"/>
      <x:c r="N328" s="58" t="str">
        <x:f>IF($J328="","",IF($J328&lt;30,-3,IF($J328&lt;50,-2,IF($J328&lt;70,0,IF($J328&lt;90,2,3)))))</x:f>
      </x:c>
      <x:c r="O328" s="58" t="str">
        <x:f>IF($J328="","",IF(OR('02_Benchmarks'!$P328&lt;&gt;"Aktiv",COUNT('02_Benchmarks'!$J328:$M328)&lt;4),"",IF($G328="lower_is_better",IF($J328&lt;='02_Benchmarks'!$J328,3,IF($J328&lt;'02_Benchmarks'!$K328,2,IF($J328&lt;='02_Benchmarks'!$L328,0,IF($J328&lt;='02_Benchmarks'!$M328,-2,-3)))),IF($J328&gt;='02_Benchmarks'!$J328,3,IF($J328&gt;'02_Benchmarks'!$K328,2,IF($J328&gt;='02_Benchmarks'!$L328,0,IF($J328&gt;='02_Benchmarks'!$M328,-2,-3)))))))</x:f>
      </x:c>
      <x:c r="P328" s="58" t="str">
        <x:f>IF(COUNT($N328:$O328)+IF(ISNUMBER($K328),1,0)=0,"",MIN($N328:$O328,$K328))</x:f>
      </x:c>
      <x:c r="Q328" s="58" t="str">
        <x:f>IF($P328="","",INDEX('04_Tarifmodell'!$B$6:$B$12,$P328+4))</x:f>
      </x:c>
      <x:c r="R328" s="64" t="str">
        <x:f>IF($P328="","",INDEX('04_Tarifmodell'!$C$6:$C$12,$P328+4))</x:f>
      </x:c>
      <x:c r="S328" s="14" t="str">
        <x:f>IF(OR($I328="QUALITATIVE",$I328="MANUAL_HYBRID"),IF($K328="","Assurance-Score fehlt","Assurance-bewertet"),IF($I328="BENCHMARK",IF($W328&lt;&gt;"Aktiv",IF($K328="","Benchmark fehlt","Assurance-bewertet"),IF($J328="","Messwert fehlt",IF($P328="","Nicht bewertbar","Berechnet"))),IF(AND($J328="",$K328&lt;&gt;""),"Nur Assurance-Score",IF($J328="","Messwert fehlt",IF($P328="","Nicht bewertbar",IF($P328&lt;=-2,"Kritische Wirkung / Prüfung","Berechnet"))))))</x:f>
        <x:v>Messwert fehlt</x:v>
      </x:c>
      <x:c r="T328" s="14" t="str">
        <x:v>Vollständige fünfstufige Prozentregel.</x:v>
      </x:c>
      <x:c r="U328" s="14" t="str">
        <x:v>≥90%:+3; 70–89%:+2; 50–69%:0; 30–49%:‑2; &lt;30%:‑3</x:v>
      </x:c>
      <x:c r="V328" s="14" t="str">
        <x:v>EU‑Taxonomie (TSC &amp; DNSH)</x:v>
      </x:c>
      <x:c r="W328" s="14" t="str">
        <x:f>'02_Benchmarks'!$P328</x:f>
        <x:v>Optional – kein aktiver Benchmark</x:v>
      </x:c>
      <x:c r="X328" s="14" t="str">
        <x:v>Messgrundlage belegt; Schwellenkalibrierung offen</x:v>
      </x:c>
      <x:c r="Y328" s="14" t="str">
        <x:v>Mittel</x:v>
      </x:c>
      <x:c r="Z328" s="14" t="str">
        <x:v>Arbeitskalibrierung – fachlich zu validieren</x:v>
      </x:c>
      <x:c r="AA328" s="14" t="str">
        <x:v>Technologie-/Aktivitätsklasse; Anlagen-, Netz- oder Flottengrenze ausweisen</x:v>
      </x:c>
      <x:c r="AB328" s="14" t="str">
        <x:v>Primärdaten bevorzugt; Sekundärdaten nur transparent und versioniert; Methode und Systemgrenze dokumentieren</x:v>
      </x:c>
      <x:c r="AC328" s="14" t="str">
        <x:v>Limited Assurance; risikobasiert höhere Prüftiefe</x:v>
      </x:c>
    </x:row>
    <x:row r="329" ht="42" customHeight="1">
      <x:c r="A329" s="14" t="str">
        <x:v>WOK-E-179</x:v>
      </x:c>
      <x:c r="B329" s="14" t="str">
        <x:v>SDG 13 – Klima</x:v>
      </x:c>
      <x:c r="C329" s="14" t="str">
        <x:v>13.2</x:v>
      </x:c>
      <x:c r="D329" s="14" t="str">
        <x:v>THG‑Emissionen Scope 1/2/Intensität</x:v>
      </x:c>
      <x:c r="E329" s="14" t="str">
        <x:v>THG‑Emissionen Scope 1/2/Intensität – Scope 1</x:v>
      </x:c>
      <x:c r="F329" s="14" t="str">
        <x:v>t CO₂e/Jahr</x:v>
      </x:c>
      <x:c r="G329" s="14" t="str">
        <x:v>lower_is_better</x:v>
      </x:c>
      <x:c r="H329" s="14" t="str">
        <x:v>R04</x:v>
      </x:c>
      <x:c r="I329" s="14" t="str">
        <x:v>MANUAL_HYBRID</x:v>
      </x:c>
      <x:c r="J329" s="51"/>
      <x:c r="K329" s="51"/>
      <x:c r="L329" s="51"/>
      <x:c r="M329" s="54"/>
      <x:c r="N329" s="58" t="str">
        <x:f>""</x:f>
      </x:c>
      <x:c r="O329" s="58" t="str">
        <x:f>IF($J329="","",IF(OR('02_Benchmarks'!$P329&lt;&gt;"Aktiv",COUNT('02_Benchmarks'!$J329:$M329)&lt;4),"",IF($G329="lower_is_better",IF($J329&lt;='02_Benchmarks'!$J329,3,IF($J329&lt;'02_Benchmarks'!$K329,2,IF($J329&lt;='02_Benchmarks'!$L329,0,IF($J329&lt;='02_Benchmarks'!$M329,-2,-3)))),IF($J329&gt;='02_Benchmarks'!$J329,3,IF($J329&gt;'02_Benchmarks'!$K329,2,IF($J329&gt;='02_Benchmarks'!$L329,0,IF($J329&gt;='02_Benchmarks'!$M329,-2,-3)))))))</x:f>
      </x:c>
      <x:c r="P329" s="58" t="str">
        <x:f>IF(COUNT($N329:$O329)+IF(ISNUMBER($K329),1,0)=0,"",MIN($N329:$O329,$K329))</x:f>
      </x:c>
      <x:c r="Q329" s="58" t="str">
        <x:f>IF($P329="","",INDEX('04_Tarifmodell'!$B$6:$B$12,$P329+4))</x:f>
      </x:c>
      <x:c r="R329" s="64" t="str">
        <x:f>IF($P329="","",INDEX('04_Tarifmodell'!$C$6:$C$12,$P329+4))</x:f>
      </x:c>
      <x:c r="S329" s="14" t="str">
        <x:f>IF(OR($I329="QUALITATIVE",$I329="MANUAL_HYBRID"),IF($K329="","Assurance-Score fehlt","Assurance-bewertet"),IF($I329="BENCHMARK",IF($W329&lt;&gt;"Aktiv",IF($K329="","Benchmark fehlt","Assurance-bewertet"),IF($J329="","Messwert fehlt",IF($P329="","Nicht bewertbar","Berechnet"))),IF(AND($J329="",$K329&lt;&gt;""),"Nur Assurance-Score",IF($J329="","Messwert fehlt",IF($P329="","Nicht bewertbar",IF($P329&lt;=-2,"Kritische Wirkung / Prüfung","Berechnet"))))))</x:f>
        <x:v>Assurance-Score fehlt</x:v>
      </x:c>
      <x:c r="T329" s="14" t="str">
        <x:v>Zielstatus und tatsächliche Performance müssen getrennt geprüft werden.</x:v>
      </x:c>
      <x:c r="U329" s="14" t="str">
        <x:v>SBTi 1,5°C:+3; &lt;2°C:+2; Branchenmittel:0; &gt;150%:‑2; &gt;250%:‑3</x:v>
      </x:c>
      <x:c r="V329" s="14" t="str">
        <x:v>ESRS E1, GHG Protocol (Corporate/Scope 1–3), ISO 14064/14067</x:v>
      </x:c>
      <x:c r="W329" s="14" t="str">
        <x:f>'02_Benchmarks'!$P329</x:f>
        <x:v>Offen – SBTi/Benchmarkprüfung fehlt</x:v>
      </x:c>
      <x:c r="X329" s="14" t="str">
        <x:v>Teilbelegt – Benchmarkquelle fehlt</x:v>
      </x:c>
      <x:c r="Y329" s="14" t="str">
        <x:v>Hoch</x:v>
      </x:c>
      <x:c r="Z329" s="14" t="str">
        <x:v>SBTi-Validierung und Branchenbenchmark erforderlich</x:v>
      </x:c>
      <x:c r="AA329" s="14" t="str">
        <x:v>Standort/Prozess/Aktivität; Bezugsgröße und relevante Umweltmedien</x:v>
      </x:c>
      <x:c r="AB329" s="14" t="str">
        <x:v>Dokumentierter Kriterienkatalog; nachvollziehbare Evidenz; DQR A/B bevorzugt</x:v>
      </x:c>
      <x:c r="AC329" s="14" t="str">
        <x:v>Unabhängige Fachprüfung/Limited Assurance; bei roten Linien Reasonable Assurance</x:v>
      </x:c>
    </x:row>
    <x:row r="330" ht="42" customHeight="1">
      <x:c r="A330" s="14" t="str">
        <x:v>WOK-E-180</x:v>
      </x:c>
      <x:c r="B330" s="14" t="str">
        <x:v>SDG 13 – Klima</x:v>
      </x:c>
      <x:c r="C330" s="14" t="str">
        <x:v>13.2</x:v>
      </x:c>
      <x:c r="D330" s="14" t="str">
        <x:v>THG‑Emissionen Scope 1/2/Intensität</x:v>
      </x:c>
      <x:c r="E330" s="14" t="str">
        <x:v>THG‑Emissionen Scope 1/2/Intensität – Scope 2</x:v>
      </x:c>
      <x:c r="F330" s="14" t="str">
        <x:v>t CO₂e/Jahr</x:v>
      </x:c>
      <x:c r="G330" s="14" t="str">
        <x:v>lower_is_better</x:v>
      </x:c>
      <x:c r="H330" s="14" t="str">
        <x:v>R04</x:v>
      </x:c>
      <x:c r="I330" s="14" t="str">
        <x:v>MANUAL_HYBRID</x:v>
      </x:c>
      <x:c r="J330" s="51"/>
      <x:c r="K330" s="51"/>
      <x:c r="L330" s="51"/>
      <x:c r="M330" s="54"/>
      <x:c r="N330" s="58" t="str">
        <x:f>""</x:f>
      </x:c>
      <x:c r="O330" s="58" t="str">
        <x:f>IF($J330="","",IF(OR('02_Benchmarks'!$P330&lt;&gt;"Aktiv",COUNT('02_Benchmarks'!$J330:$M330)&lt;4),"",IF($G330="lower_is_better",IF($J330&lt;='02_Benchmarks'!$J330,3,IF($J330&lt;'02_Benchmarks'!$K330,2,IF($J330&lt;='02_Benchmarks'!$L330,0,IF($J330&lt;='02_Benchmarks'!$M330,-2,-3)))),IF($J330&gt;='02_Benchmarks'!$J330,3,IF($J330&gt;'02_Benchmarks'!$K330,2,IF($J330&gt;='02_Benchmarks'!$L330,0,IF($J330&gt;='02_Benchmarks'!$M330,-2,-3)))))))</x:f>
      </x:c>
      <x:c r="P330" s="58" t="str">
        <x:f>IF(COUNT($N330:$O330)+IF(ISNUMBER($K330),1,0)=0,"",MIN($N330:$O330,$K330))</x:f>
      </x:c>
      <x:c r="Q330" s="58" t="str">
        <x:f>IF($P330="","",INDEX('04_Tarifmodell'!$B$6:$B$12,$P330+4))</x:f>
      </x:c>
      <x:c r="R330" s="64" t="str">
        <x:f>IF($P330="","",INDEX('04_Tarifmodell'!$C$6:$C$12,$P330+4))</x:f>
      </x:c>
      <x:c r="S330" s="14" t="str">
        <x:f>IF(OR($I330="QUALITATIVE",$I330="MANUAL_HYBRID"),IF($K330="","Assurance-Score fehlt","Assurance-bewertet"),IF($I330="BENCHMARK",IF($W330&lt;&gt;"Aktiv",IF($K330="","Benchmark fehlt","Assurance-bewertet"),IF($J330="","Messwert fehlt",IF($P330="","Nicht bewertbar","Berechnet"))),IF(AND($J330="",$K330&lt;&gt;""),"Nur Assurance-Score",IF($J330="","Messwert fehlt",IF($P330="","Nicht bewertbar",IF($P330&lt;=-2,"Kritische Wirkung / Prüfung","Berechnet"))))))</x:f>
        <x:v>Assurance-Score fehlt</x:v>
      </x:c>
      <x:c r="T330" s="14" t="str">
        <x:v>Zielstatus und tatsächliche Performance müssen getrennt geprüft werden.</x:v>
      </x:c>
      <x:c r="U330" s="14" t="str">
        <x:v>SBTi 1,5°C:+3; &lt;2°C:+2; Branchenmittel:0; &gt;150%:‑2; &gt;250%:‑3</x:v>
      </x:c>
      <x:c r="V330" s="14" t="str">
        <x:v>ESRS E1, GHG Protocol (Corporate/Scope 1–3), ISO 14064/14067</x:v>
      </x:c>
      <x:c r="W330" s="14" t="str">
        <x:f>'02_Benchmarks'!$P330</x:f>
        <x:v>Offen – SBTi/Benchmarkprüfung fehlt</x:v>
      </x:c>
      <x:c r="X330" s="14" t="str">
        <x:v>Teilbelegt – Benchmarkquelle fehlt</x:v>
      </x:c>
      <x:c r="Y330" s="14" t="str">
        <x:v>Hoch</x:v>
      </x:c>
      <x:c r="Z330" s="14" t="str">
        <x:v>SBTi-Validierung und Branchenbenchmark erforderlich</x:v>
      </x:c>
      <x:c r="AA330" s="14" t="str">
        <x:v>Standort/Prozess/Aktivität; Bezugsgröße und relevante Umweltmedien</x:v>
      </x:c>
      <x:c r="AB330" s="14" t="str">
        <x:v>Dokumentierter Kriterienkatalog; nachvollziehbare Evidenz; DQR A/B bevorzugt</x:v>
      </x:c>
      <x:c r="AC330" s="14" t="str">
        <x:v>Unabhängige Fachprüfung/Limited Assurance; bei roten Linien Reasonable Assurance</x:v>
      </x:c>
    </x:row>
    <x:row r="331" ht="42" customHeight="1">
      <x:c r="A331" s="14" t="str">
        <x:v>WOK-E-181</x:v>
      </x:c>
      <x:c r="B331" s="14" t="str">
        <x:v>SDG 13 – Klima</x:v>
      </x:c>
      <x:c r="C331" s="14" t="str">
        <x:v>13.2</x:v>
      </x:c>
      <x:c r="D331" s="14" t="str">
        <x:v>THG‑Emissionen Scope 1/2/Intensität</x:v>
      </x:c>
      <x:c r="E331" s="14" t="str">
        <x:v>THG‑Emissionen Scope 1/2/Intensität – Intensität</x:v>
      </x:c>
      <x:c r="F331" s="14" t="str">
        <x:v>t CO₂e/€ Mio bzw. t</x:v>
      </x:c>
      <x:c r="G331" s="14" t="str">
        <x:v>lower_is_better</x:v>
      </x:c>
      <x:c r="H331" s="14" t="str">
        <x:v>R06</x:v>
      </x:c>
      <x:c r="I331" s="14" t="str">
        <x:v>BENCHMARK</x:v>
      </x:c>
      <x:c r="J331" s="51"/>
      <x:c r="K331" s="51"/>
      <x:c r="L331" s="51"/>
      <x:c r="M331" s="54"/>
      <x:c r="N331" s="58" t="str">
        <x:f>""</x:f>
      </x:c>
      <x:c r="O331" s="58" t="str">
        <x:f>IF($J331="","",IF(OR('02_Benchmarks'!$P331&lt;&gt;"Aktiv",COUNT('02_Benchmarks'!$J331:$M331)&lt;4),"",IF($G331="lower_is_better",IF($J331&lt;='02_Benchmarks'!$J331,3,IF($J331&lt;'02_Benchmarks'!$K331,2,IF($J331&lt;='02_Benchmarks'!$L331,0,IF($J331&lt;='02_Benchmarks'!$M331,-2,-3)))),IF($J331&gt;='02_Benchmarks'!$J331,3,IF($J331&gt;'02_Benchmarks'!$K331,2,IF($J331&gt;='02_Benchmarks'!$L331,0,IF($J331&gt;='02_Benchmarks'!$M331,-2,-3)))))))</x:f>
      </x:c>
      <x:c r="P331" s="58" t="str">
        <x:f>IF(COUNT($N331:$O331)+IF(ISNUMBER($K331),1,0)=0,"",MIN($N331:$O331,$K331))</x:f>
      </x:c>
      <x:c r="Q331" s="58" t="str">
        <x:f>IF($P331="","",INDEX('04_Tarifmodell'!$B$6:$B$12,$P331+4))</x:f>
      </x:c>
      <x:c r="R331" s="64" t="str">
        <x:f>IF($P331="","",INDEX('04_Tarifmodell'!$C$6:$C$12,$P331+4))</x:f>
      </x:c>
      <x:c r="S331" s="14" t="str">
        <x:f>IF(OR($I331="QUALITATIVE",$I331="MANUAL_HYBRID"),IF($K331="","Assurance-Score fehlt","Assurance-bewertet"),IF($I331="BENCHMARK",IF($W331&lt;&gt;"Aktiv",IF($K331="","Benchmark fehlt","Assurance-bewertet"),IF($J331="","Messwert fehlt",IF($P331="","Nicht bewertbar","Berechnet"))),IF(AND($J331="",$K331&lt;&gt;""),"Nur Assurance-Score",IF($J331="","Messwert fehlt",IF($P331="","Nicht bewertbar",IF($P331&lt;=-2,"Kritische Wirkung / Prüfung","Berechnet"))))))</x:f>
        <x:v>Benchmark fehlt</x:v>
      </x:c>
      <x:c r="T331" s="14" t="str">
        <x:v>Top-10-Prozent, Mittelwert, 150 % und 250 % müssen aus einer dokumentierten Grundgesamtheit stammen.</x:v>
      </x:c>
      <x:c r="U331" s="14" t="str">
        <x:v>Top‑10%:+3; Mittel:0; &gt;150%:‑2; &gt;250%:‑3</x:v>
      </x:c>
      <x:c r="V331" s="14" t="str">
        <x:v>ESRS E1, GHG Protocol (Corporate/Scope 1–3), ISO 14064/14067</x:v>
      </x:c>
      <x:c r="W331" s="14" t="str">
        <x:f>'02_Benchmarks'!$P331</x:f>
        <x:v>Offen – validierter Benchmark fehlt</x:v>
      </x:c>
      <x:c r="X331" s="14" t="str">
        <x:v>Teilbelegt – Benchmarkquelle fehlt</x:v>
      </x:c>
      <x:c r="Y331" s="14" t="str">
        <x:v>Hoch</x:v>
      </x:c>
      <x:c r="Z331" s="14" t="str">
        <x:v>Validierter Benchmark fehlt</x:v>
      </x:c>
      <x:c r="AA331" s="14" t="str">
        <x:v>Standort/Prozess/Aktivität; Bezugsgröße und relevante Umweltmedien</x:v>
      </x:c>
      <x:c r="AB331" s="14" t="str">
        <x:v>Primärdaten plus repräsentativer, versionierter Benchmarkdatensatz; Stichprobe und Population offenlegen</x:v>
      </x:c>
      <x:c r="AC331" s="14" t="str">
        <x:v>Messwert-Assurance und unabhängige Benchmark-Governance</x:v>
      </x:c>
    </x:row>
    <x:row r="332" ht="42" customHeight="1">
      <x:c r="A332" s="14" t="str">
        <x:v>WOK-SC-128</x:v>
      </x:c>
      <x:c r="B332" s="14" t="str">
        <x:v>SDG 13 – Klima</x:v>
      </x:c>
      <x:c r="C332" s="14" t="str">
        <x:v>13.3</x:v>
      </x:c>
      <x:c r="D332" s="14" t="str">
        <x:v>Scope‑3 Datenqualität</x:v>
      </x:c>
      <x:c r="E332" s="14" t="str">
        <x:v>Scope‑3 Datenqualität – ESG‑Spend‑Coverage</x:v>
      </x:c>
      <x:c r="F332" s="14" t="str">
        <x:v>%</x:v>
      </x:c>
      <x:c r="G332" s="14" t="str">
        <x:v>higher_is_better</x:v>
      </x:c>
      <x:c r="H332" s="14" t="str">
        <x:v>R26</x:v>
      </x:c>
      <x:c r="I332" s="14" t="str">
        <x:v>NUM_HIGH</x:v>
      </x:c>
      <x:c r="J332" s="51"/>
      <x:c r="K332" s="51"/>
      <x:c r="L332" s="51"/>
      <x:c r="M332" s="54"/>
      <x:c r="N332" s="58" t="str">
        <x:f>IF($J332="","",IF($J332&lt;30,-3,IF($J332&lt;50,-2,IF($J332&lt;70,0,IF($J332&lt;90,2,3)))))</x:f>
      </x:c>
      <x:c r="O332" s="58" t="str">
        <x:f>IF($J332="","",IF(OR('02_Benchmarks'!$P332&lt;&gt;"Aktiv",COUNT('02_Benchmarks'!$J332:$M332)&lt;4),"",IF($G332="lower_is_better",IF($J332&lt;='02_Benchmarks'!$J332,3,IF($J332&lt;'02_Benchmarks'!$K332,2,IF($J332&lt;='02_Benchmarks'!$L332,0,IF($J332&lt;='02_Benchmarks'!$M332,-2,-3)))),IF($J332&gt;='02_Benchmarks'!$J332,3,IF($J332&gt;'02_Benchmarks'!$K332,2,IF($J332&gt;='02_Benchmarks'!$L332,0,IF($J332&gt;='02_Benchmarks'!$M332,-2,-3)))))))</x:f>
      </x:c>
      <x:c r="P332" s="58" t="str">
        <x:f>IF(COUNT($N332:$O332)+IF(ISNUMBER($K332),1,0)=0,"",MIN($N332:$O332,$K332))</x:f>
      </x:c>
      <x:c r="Q332" s="58" t="str">
        <x:f>IF($P332="","",INDEX('04_Tarifmodell'!$B$6:$B$12,$P332+4))</x:f>
      </x:c>
      <x:c r="R332" s="64" t="str">
        <x:f>IF($P332="","",INDEX('04_Tarifmodell'!$C$6:$C$12,$P332+4))</x:f>
      </x:c>
      <x:c r="S332" s="14" t="str">
        <x:f>IF(OR($I332="QUALITATIVE",$I332="MANUAL_HYBRID"),IF($K332="","Assurance-Score fehlt","Assurance-bewertet"),IF($I332="BENCHMARK",IF($W332&lt;&gt;"Aktiv",IF($K332="","Benchmark fehlt","Assurance-bewertet"),IF($J332="","Messwert fehlt",IF($P332="","Nicht bewertbar","Berechnet"))),IF(AND($J332="",$K332&lt;&gt;""),"Nur Assurance-Score",IF($J332="","Messwert fehlt",IF($P332="","Nicht bewertbar",IF($P332&lt;=-2,"Kritische Wirkung / Prüfung","Berechnet"))))))</x:f>
        <x:v>Messwert fehlt</x:v>
      </x:c>
      <x:c r="T332" s="14" t="str">
        <x:v>Vollständige fünfstufige numerische Regel.</x:v>
      </x:c>
      <x:c r="U332" s="14" t="str">
        <x:v>≥90:+3; 70–89:+2; 50–69:0; 30–49:‑2; &lt;30:‑3</x:v>
      </x:c>
      <x:c r="V332" s="14" t="str">
        <x:v>ESRS E1, GHG Protocol (Corporate/Scope 1–3), ISO 14064/14067</x:v>
      </x:c>
      <x:c r="W332" s="14" t="str">
        <x:f>'02_Benchmarks'!$P332</x:f>
        <x:v>Optional – kein aktiver Benchmark</x:v>
      </x:c>
      <x:c r="X332" s="14" t="str">
        <x:v>Messgrundlage belegt; Schwellenkalibrierung offen</x:v>
      </x:c>
      <x:c r="Y332" s="14" t="str">
        <x:v>Mittel</x:v>
      </x:c>
      <x:c r="Z332" s="14" t="str">
        <x:v>Arbeitskalibrierung – fachlich zu validieren</x:v>
      </x:c>
      <x:c r="AA332" s="14" t="str">
        <x:v>Vorgelagerte Lieferkette; relevante Tier-Stufen und Beschaffungsvolumen</x:v>
      </x:c>
      <x:c r="AB332" s="14" t="str">
        <x:v>Primärdaten bevorzugt; Sekundärdaten nur transparent und versioniert; Methode und Systemgrenze dokumentieren</x:v>
      </x:c>
      <x:c r="AC332" s="14" t="str">
        <x:v>Limited Assurance; risikobasiert höhere Prüftiefe</x:v>
      </x:c>
    </x:row>
    <x:row r="333" ht="42" customHeight="1">
      <x:c r="A333" s="14" t="str">
        <x:v>WOK-SC-129</x:v>
      </x:c>
      <x:c r="B333" s="14" t="str">
        <x:v>SDG 13 – Klima</x:v>
      </x:c>
      <x:c r="C333" s="14" t="str">
        <x:v>13.3</x:v>
      </x:c>
      <x:c r="D333" s="14" t="str">
        <x:v>Scope‑3 Datenqualität</x:v>
      </x:c>
      <x:c r="E333" s="14" t="str">
        <x:v>Scope‑3 Datenqualität – Kinder/Zwangsarbeit</x:v>
      </x:c>
      <x:c r="F333" s="14" t="str">
        <x:v>% Lieferanten</x:v>
      </x:c>
      <x:c r="G333" s="14" t="str">
        <x:v>higher_is_better</x:v>
      </x:c>
      <x:c r="H333" s="14" t="str">
        <x:v>R28</x:v>
      </x:c>
      <x:c r="I333" s="14" t="str">
        <x:v>NUM_HIGH</x:v>
      </x:c>
      <x:c r="J333" s="51"/>
      <x:c r="K333" s="51"/>
      <x:c r="L333" s="51"/>
      <x:c r="M333" s="54"/>
      <x:c r="N333" s="58" t="str">
        <x:f>IF($J333="","",IF($J333&lt;50,-3,IF($J333&lt;75,-2,IF($J333&lt;90,0,IF($J333&lt;98,2,3)))))</x:f>
      </x:c>
      <x:c r="O333" s="58" t="str">
        <x:f>IF($J333="","",IF(OR('02_Benchmarks'!$P333&lt;&gt;"Aktiv",COUNT('02_Benchmarks'!$J333:$M333)&lt;4),"",IF($G333="lower_is_better",IF($J333&lt;='02_Benchmarks'!$J333,3,IF($J333&lt;'02_Benchmarks'!$K333,2,IF($J333&lt;='02_Benchmarks'!$L333,0,IF($J333&lt;='02_Benchmarks'!$M333,-2,-3)))),IF($J333&gt;='02_Benchmarks'!$J333,3,IF($J333&gt;'02_Benchmarks'!$K333,2,IF($J333&gt;='02_Benchmarks'!$L333,0,IF($J333&gt;='02_Benchmarks'!$M333,-2,-3)))))))</x:f>
      </x:c>
      <x:c r="P333" s="58" t="str">
        <x:f>IF(COUNT($N333:$O333)+IF(ISNUMBER($K333),1,0)=0,"",MIN($N333:$O333,$K333))</x:f>
      </x:c>
      <x:c r="Q333" s="58" t="str">
        <x:f>IF($P333="","",INDEX('04_Tarifmodell'!$B$6:$B$12,$P333+4))</x:f>
      </x:c>
      <x:c r="R333" s="64" t="str">
        <x:f>IF($P333="","",INDEX('04_Tarifmodell'!$C$6:$C$12,$P333+4))</x:f>
      </x:c>
      <x:c r="S333" s="14" t="str">
        <x:f>IF(OR($I333="QUALITATIVE",$I333="MANUAL_HYBRID"),IF($K333="","Assurance-Score fehlt","Assurance-bewertet"),IF($I333="BENCHMARK",IF($W333&lt;&gt;"Aktiv",IF($K333="","Benchmark fehlt","Assurance-bewertet"),IF($J333="","Messwert fehlt",IF($P333="","Nicht bewertbar","Berechnet"))),IF(AND($J333="",$K333&lt;&gt;""),"Nur Assurance-Score",IF($J333="","Messwert fehlt",IF($P333="","Nicht bewertbar",IF($P333&lt;=-2,"Kritische Wirkung / Prüfung","Berechnet"))))))</x:f>
        <x:v>Messwert fehlt</x:v>
      </x:c>
      <x:c r="T333" s="14" t="str">
        <x:v>Vollständige fünfstufige numerische Regel.</x:v>
      </x:c>
      <x:c r="U333" s="14" t="str">
        <x:v>≥98:+3; 90–97:+2; 75–89:0; 50–74:‑2; &lt;50:‑3</x:v>
      </x:c>
      <x:c r="V333" s="14" t="str">
        <x:v>ESRS E1, GHG Protocol (Corporate/Scope 1–3), ISO 14064/14067</x:v>
      </x:c>
      <x:c r="W333" s="14" t="str">
        <x:f>'02_Benchmarks'!$P333</x:f>
        <x:v>Optional – kein aktiver Benchmark</x:v>
      </x:c>
      <x:c r="X333" s="14" t="str">
        <x:v>Messgrundlage belegt; Schwellenkalibrierung offen</x:v>
      </x:c>
      <x:c r="Y333" s="14" t="str">
        <x:v>Mittel</x:v>
      </x:c>
      <x:c r="Z333" s="14" t="str">
        <x:v>Arbeitskalibrierung – fachlich zu validieren</x:v>
      </x:c>
      <x:c r="AA333" s="14" t="str">
        <x:v>Vorgelagerte Lieferkette; relevante Tier-Stufen und Beschaffungsvolumen</x:v>
      </x:c>
      <x:c r="AB333" s="14" t="str">
        <x:v>Primärdaten bevorzugt; Sekundärdaten nur transparent und versioniert; Methode und Systemgrenze dokumentieren</x:v>
      </x:c>
      <x:c r="AC333" s="14" t="str">
        <x:v>Limited Assurance; risikobasiert höhere Prüftiefe</x:v>
      </x:c>
    </x:row>
    <x:row r="334" ht="42" customHeight="1">
      <x:c r="A334" s="14" t="str">
        <x:v>WOK-SC-130</x:v>
      </x:c>
      <x:c r="B334" s="14" t="str">
        <x:v>SDG 13 – Klima</x:v>
      </x:c>
      <x:c r="C334" s="14" t="str">
        <x:v>13.3</x:v>
      </x:c>
      <x:c r="D334" s="14" t="str">
        <x:v>Scope‑3 Datenqualität</x:v>
      </x:c>
      <x:c r="E334" s="14" t="str">
        <x:v>Scope‑3 Datenqualität – Scope‑3 Daten</x:v>
      </x:c>
      <x:c r="F334" s="14" t="str">
        <x:v>% Kategorien</x:v>
      </x:c>
      <x:c r="G334" s="14" t="str">
        <x:v>higher_is_better</x:v>
      </x:c>
      <x:c r="H334" s="14" t="str">
        <x:v>R23</x:v>
      </x:c>
      <x:c r="I334" s="14" t="str">
        <x:v>NUM_HIGH</x:v>
      </x:c>
      <x:c r="J334" s="51"/>
      <x:c r="K334" s="51"/>
      <x:c r="L334" s="51"/>
      <x:c r="M334" s="54"/>
      <x:c r="N334" s="58" t="str">
        <x:f>IF($J334="","",IF($J334&lt;20,-3,IF($J334&lt;40,-2,IF($J334&lt;60,0,IF($J334&lt;80,2,3)))))</x:f>
      </x:c>
      <x:c r="O334" s="58" t="str">
        <x:f>IF($J334="","",IF(OR('02_Benchmarks'!$P334&lt;&gt;"Aktiv",COUNT('02_Benchmarks'!$J334:$M334)&lt;4),"",IF($G334="lower_is_better",IF($J334&lt;='02_Benchmarks'!$J334,3,IF($J334&lt;'02_Benchmarks'!$K334,2,IF($J334&lt;='02_Benchmarks'!$L334,0,IF($J334&lt;='02_Benchmarks'!$M334,-2,-3)))),IF($J334&gt;='02_Benchmarks'!$J334,3,IF($J334&gt;'02_Benchmarks'!$K334,2,IF($J334&gt;='02_Benchmarks'!$L334,0,IF($J334&gt;='02_Benchmarks'!$M334,-2,-3)))))))</x:f>
      </x:c>
      <x:c r="P334" s="58" t="str">
        <x:f>IF(COUNT($N334:$O334)+IF(ISNUMBER($K334),1,0)=0,"",MIN($N334:$O334,$K334))</x:f>
      </x:c>
      <x:c r="Q334" s="58" t="str">
        <x:f>IF($P334="","",INDEX('04_Tarifmodell'!$B$6:$B$12,$P334+4))</x:f>
      </x:c>
      <x:c r="R334" s="64" t="str">
        <x:f>IF($P334="","",INDEX('04_Tarifmodell'!$C$6:$C$12,$P334+4))</x:f>
      </x:c>
      <x:c r="S334" s="14" t="str">
        <x:f>IF(OR($I334="QUALITATIVE",$I334="MANUAL_HYBRID"),IF($K334="","Assurance-Score fehlt","Assurance-bewertet"),IF($I334="BENCHMARK",IF($W334&lt;&gt;"Aktiv",IF($K334="","Benchmark fehlt","Assurance-bewertet"),IF($J334="","Messwert fehlt",IF($P334="","Nicht bewertbar","Berechnet"))),IF(AND($J334="",$K334&lt;&gt;""),"Nur Assurance-Score",IF($J334="","Messwert fehlt",IF($P334="","Nicht bewertbar",IF($P334&lt;=-2,"Kritische Wirkung / Prüfung","Berechnet"))))))</x:f>
        <x:v>Messwert fehlt</x:v>
      </x:c>
      <x:c r="T334" s="14" t="str">
        <x:v>Vollständige fünfstufige numerische Regel.</x:v>
      </x:c>
      <x:c r="U334" s="14" t="str">
        <x:v>≥80:+3; 60–79:+2; 40–59:0; 20–39:‑2; &lt;20:‑3</x:v>
      </x:c>
      <x:c r="V334" s="14" t="str">
        <x:v>ESRS E1, GHG Protocol (Corporate/Scope 1–3), ISO 14064/14067</x:v>
      </x:c>
      <x:c r="W334" s="14" t="str">
        <x:f>'02_Benchmarks'!$P334</x:f>
        <x:v>Optional – kein aktiver Benchmark</x:v>
      </x:c>
      <x:c r="X334" s="14" t="str">
        <x:v>Messgrundlage belegt; Schwellenkalibrierung offen</x:v>
      </x:c>
      <x:c r="Y334" s="14" t="str">
        <x:v>Mittel</x:v>
      </x:c>
      <x:c r="Z334" s="14" t="str">
        <x:v>Arbeitskalibrierung – fachlich zu validieren</x:v>
      </x:c>
      <x:c r="AA334" s="14" t="str">
        <x:v>Vorgelagerte Lieferkette; relevante Tier-Stufen und Beschaffungsvolumen</x:v>
      </x:c>
      <x:c r="AB334" s="14" t="str">
        <x:v>Primärdaten bevorzugt; Sekundärdaten nur transparent und versioniert; Methode und Systemgrenze dokumentieren</x:v>
      </x:c>
      <x:c r="AC334" s="14" t="str">
        <x:v>Limited Assurance; risikobasiert höhere Prüftiefe</x:v>
      </x:c>
    </x:row>
    <x:row r="335" ht="42" customHeight="1">
      <x:c r="A335" s="14" t="str">
        <x:v>WOK-E-182</x:v>
      </x:c>
      <x:c r="B335" s="14" t="str">
        <x:v>SDG 13 – Klima</x:v>
      </x:c>
      <x:c r="C335" s="14" t="str">
        <x:v>13.2</x:v>
      </x:c>
      <x:c r="D335" s="14" t="str">
        <x:v>Interne CO₂‑Bepreisung</x:v>
      </x:c>
      <x:c r="E335" s="14" t="str">
        <x:v>Interne CO₂‑Bepreisung – Spezifische Emissionen</x:v>
      </x:c>
      <x:c r="F335" s="14" t="str">
        <x:v>g CO₂e/kWh</x:v>
      </x:c>
      <x:c r="G335" s="14" t="str">
        <x:v>lower_is_better</x:v>
      </x:c>
      <x:c r="H335" s="14" t="str">
        <x:v>R10</x:v>
      </x:c>
      <x:c r="I335" s="14" t="str">
        <x:v>NUM_LOW</x:v>
      </x:c>
      <x:c r="J335" s="51"/>
      <x:c r="K335" s="51"/>
      <x:c r="L335" s="51"/>
      <x:c r="M335" s="54"/>
      <x:c r="N335" s="58" t="str">
        <x:f>IF($J335="","",IF($J335&lt;=100,3,IF($J335&lt;=250,0,IF($J335&lt;=1E+99,-2,IF($J335&lt;=1E+99,-2,-2)))))</x:f>
      </x:c>
      <x:c r="O335" s="58" t="str">
        <x:f>IF($J335="","",IF(OR('02_Benchmarks'!$P335&lt;&gt;"Aktiv",COUNT('02_Benchmarks'!$J335:$M335)&lt;4),"",IF($G335="lower_is_better",IF($J335&lt;='02_Benchmarks'!$J335,3,IF($J335&lt;'02_Benchmarks'!$K335,2,IF($J335&lt;='02_Benchmarks'!$L335,0,IF($J335&lt;='02_Benchmarks'!$M335,-2,-3)))),IF($J335&gt;='02_Benchmarks'!$J335,3,IF($J335&gt;'02_Benchmarks'!$K335,2,IF($J335&gt;='02_Benchmarks'!$L335,0,IF($J335&gt;='02_Benchmarks'!$M335,-2,-3)))))))</x:f>
      </x:c>
      <x:c r="P335" s="58" t="str">
        <x:f>IF(COUNT($N335:$O335)+IF(ISNUMBER($K335),1,0)=0,"",MIN($N335:$O335,$K335))</x:f>
      </x:c>
      <x:c r="Q335" s="58" t="str">
        <x:f>IF($P335="","",INDEX('04_Tarifmodell'!$B$6:$B$12,$P335+4))</x:f>
      </x:c>
      <x:c r="R335" s="64" t="str">
        <x:f>IF($P335="","",INDEX('04_Tarifmodell'!$C$6:$C$12,$P335+4))</x:f>
      </x:c>
      <x:c r="S335" s="14" t="str">
        <x:f>IF(OR($I335="QUALITATIVE",$I335="MANUAL_HYBRID"),IF($K335="","Assurance-Score fehlt","Assurance-bewertet"),IF($I335="BENCHMARK",IF($W335&lt;&gt;"Aktiv",IF($K335="","Benchmark fehlt","Assurance-bewertet"),IF($J335="","Messwert fehlt",IF($P335="","Nicht bewertbar","Berechnet"))),IF(AND($J335="",$K335&lt;&gt;""),"Nur Assurance-Score",IF($J335="","Messwert fehlt",IF($P335="","Nicht bewertbar",IF($P335&lt;=-2,"Kritische Wirkung / Prüfung","Berechnet"))))))</x:f>
        <x:v>Messwert fehlt</x:v>
      </x:c>
      <x:c r="T335" s="14" t="str">
        <x:v>Automatik bildet nur die explizit vorhandenen Klassen ab.</x:v>
      </x:c>
      <x:c r="U335" s="14" t="str">
        <x:v>≤100:+3; 101–250:0; &gt;250:‑2</x:v>
      </x:c>
      <x:c r="V335" s="14" t="str">
        <x:v>ESRS E1, GHG Protocol (Corporate/Scope 1–3), ISO 14064/14067</x:v>
      </x:c>
      <x:c r="W335" s="14" t="str">
        <x:f>'02_Benchmarks'!$P335</x:f>
        <x:v>Optional – kein aktiver Benchmark</x:v>
      </x:c>
      <x:c r="X335" s="14" t="str">
        <x:v>Messgrundlage belegt; Schwellenkalibrierung offen</x:v>
      </x:c>
      <x:c r="Y335" s="14" t="str">
        <x:v>Mittel</x:v>
      </x:c>
      <x:c r="Z335" s="14" t="str">
        <x:v>Klassen +2 und −3 fehlen</x:v>
      </x:c>
      <x:c r="AA335" s="14" t="str">
        <x:v>Standort/Prozess/Aktivität; Bezugsgröße und relevante Umweltmedien</x:v>
      </x:c>
      <x:c r="AB335" s="14" t="str">
        <x:v>Primärdaten bevorzugt; Sekundärdaten nur transparent und versioniert; Methode und Systemgrenze dokumentieren</x:v>
      </x:c>
      <x:c r="AC335" s="14" t="str">
        <x:v>Limited Assurance; risikobasiert höhere Prüftiefe</x:v>
      </x:c>
    </x:row>
    <x:row r="336" ht="42" customHeight="1">
      <x:c r="A336" s="14" t="str">
        <x:v>WOK-E-183</x:v>
      </x:c>
      <x:c r="B336" s="14" t="str">
        <x:v>SDG 13 – Klima</x:v>
      </x:c>
      <x:c r="C336" s="14" t="str">
        <x:v>13.2</x:v>
      </x:c>
      <x:c r="D336" s="14" t="str">
        <x:v>Interne CO₂‑Bepreisung</x:v>
      </x:c>
      <x:c r="E336" s="14" t="str">
        <x:v>Interne CO₂‑Bepreisung – DNSH‑Konformität</x:v>
      </x:c>
      <x:c r="F336" s="14" t="str">
        <x:v>% Aktivitäten</x:v>
      </x:c>
      <x:c r="G336" s="14" t="str">
        <x:v>higher_is_better</x:v>
      </x:c>
      <x:c r="H336" s="14" t="str">
        <x:v>R25</x:v>
      </x:c>
      <x:c r="I336" s="14" t="str">
        <x:v>NUM_HIGH</x:v>
      </x:c>
      <x:c r="J336" s="51"/>
      <x:c r="K336" s="51"/>
      <x:c r="L336" s="51"/>
      <x:c r="M336" s="54"/>
      <x:c r="N336" s="58" t="str">
        <x:f>IF($J336="","",IF($J336&lt;30,-3,IF($J336&lt;50,-2,IF($J336&lt;70,0,IF($J336&lt;90,2,3)))))</x:f>
      </x:c>
      <x:c r="O336" s="58" t="str">
        <x:f>IF($J336="","",IF(OR('02_Benchmarks'!$P336&lt;&gt;"Aktiv",COUNT('02_Benchmarks'!$J336:$M336)&lt;4),"",IF($G336="lower_is_better",IF($J336&lt;='02_Benchmarks'!$J336,3,IF($J336&lt;'02_Benchmarks'!$K336,2,IF($J336&lt;='02_Benchmarks'!$L336,0,IF($J336&lt;='02_Benchmarks'!$M336,-2,-3)))),IF($J336&gt;='02_Benchmarks'!$J336,3,IF($J336&gt;'02_Benchmarks'!$K336,2,IF($J336&gt;='02_Benchmarks'!$L336,0,IF($J336&gt;='02_Benchmarks'!$M336,-2,-3)))))))</x:f>
      </x:c>
      <x:c r="P336" s="58" t="str">
        <x:f>IF(COUNT($N336:$O336)+IF(ISNUMBER($K336),1,0)=0,"",MIN($N336:$O336,$K336))</x:f>
      </x:c>
      <x:c r="Q336" s="58" t="str">
        <x:f>IF($P336="","",INDEX('04_Tarifmodell'!$B$6:$B$12,$P336+4))</x:f>
      </x:c>
      <x:c r="R336" s="64" t="str">
        <x:f>IF($P336="","",INDEX('04_Tarifmodell'!$C$6:$C$12,$P336+4))</x:f>
      </x:c>
      <x:c r="S336" s="14" t="str">
        <x:f>IF(OR($I336="QUALITATIVE",$I336="MANUAL_HYBRID"),IF($K336="","Assurance-Score fehlt","Assurance-bewertet"),IF($I336="BENCHMARK",IF($W336&lt;&gt;"Aktiv",IF($K336="","Benchmark fehlt","Assurance-bewertet"),IF($J336="","Messwert fehlt",IF($P336="","Nicht bewertbar","Berechnet"))),IF(AND($J336="",$K336&lt;&gt;""),"Nur Assurance-Score",IF($J336="","Messwert fehlt",IF($P336="","Nicht bewertbar",IF($P336&lt;=-2,"Kritische Wirkung / Prüfung","Berechnet"))))))</x:f>
        <x:v>Messwert fehlt</x:v>
      </x:c>
      <x:c r="T336" s="14" t="str">
        <x:v>Vollständige fünfstufige Prozentregel.</x:v>
      </x:c>
      <x:c r="U336" s="14" t="str">
        <x:v>≥90%:+3; 70–89%:+2; 50–69%:0; 30–49%:‑2; &lt;30%:‑3</x:v>
      </x:c>
      <x:c r="V336" s="14" t="str">
        <x:v>EU‑Taxonomie (TSC &amp; DNSH)</x:v>
      </x:c>
      <x:c r="W336" s="14" t="str">
        <x:f>'02_Benchmarks'!$P336</x:f>
        <x:v>Optional – kein aktiver Benchmark</x:v>
      </x:c>
      <x:c r="X336" s="14" t="str">
        <x:v>Messgrundlage belegt; Schwellenkalibrierung offen</x:v>
      </x:c>
      <x:c r="Y336" s="14" t="str">
        <x:v>Mittel</x:v>
      </x:c>
      <x:c r="Z336" s="14" t="str">
        <x:v>Arbeitskalibrierung – fachlich zu validieren</x:v>
      </x:c>
      <x:c r="AA336" s="14" t="str">
        <x:v>Standort/Prozess/Aktivität; Bezugsgröße und relevante Umweltmedien</x:v>
      </x:c>
      <x:c r="AB336" s="14" t="str">
        <x:v>Primärdaten bevorzugt; Sekundärdaten nur transparent und versioniert; Methode und Systemgrenze dokumentieren</x:v>
      </x:c>
      <x:c r="AC336" s="14" t="str">
        <x:v>Limited Assurance; risikobasiert höhere Prüftiefe</x:v>
      </x:c>
    </x:row>
    <x:row r="337" ht="42" customHeight="1">
      <x:c r="A337" s="14" t="str">
        <x:v>WOK-E-184</x:v>
      </x:c>
      <x:c r="B337" s="14" t="str">
        <x:v>SDG 13 – Klima</x:v>
      </x:c>
      <x:c r="C337" s="14" t="str">
        <x:v>13.2</x:v>
      </x:c>
      <x:c r="D337" s="14" t="str">
        <x:v>Interne CO₂‑Bepreisung</x:v>
      </x:c>
      <x:c r="E337" s="14" t="str">
        <x:v>Interne CO₂‑Bepreisung – TSC‑Schwellen</x:v>
      </x:c>
      <x:c r="F337" s="14" t="str">
        <x:v>% Aktivitäten</x:v>
      </x:c>
      <x:c r="G337" s="14" t="str">
        <x:v>higher_is_better</x:v>
      </x:c>
      <x:c r="H337" s="14" t="str">
        <x:v>R25</x:v>
      </x:c>
      <x:c r="I337" s="14" t="str">
        <x:v>NUM_HIGH</x:v>
      </x:c>
      <x:c r="J337" s="51"/>
      <x:c r="K337" s="51"/>
      <x:c r="L337" s="51"/>
      <x:c r="M337" s="54"/>
      <x:c r="N337" s="58" t="str">
        <x:f>IF($J337="","",IF($J337&lt;30,-3,IF($J337&lt;50,-2,IF($J337&lt;70,0,IF($J337&lt;90,2,3)))))</x:f>
      </x:c>
      <x:c r="O337" s="58" t="str">
        <x:f>IF($J337="","",IF(OR('02_Benchmarks'!$P337&lt;&gt;"Aktiv",COUNT('02_Benchmarks'!$J337:$M337)&lt;4),"",IF($G337="lower_is_better",IF($J337&lt;='02_Benchmarks'!$J337,3,IF($J337&lt;'02_Benchmarks'!$K337,2,IF($J337&lt;='02_Benchmarks'!$L337,0,IF($J337&lt;='02_Benchmarks'!$M337,-2,-3)))),IF($J337&gt;='02_Benchmarks'!$J337,3,IF($J337&gt;'02_Benchmarks'!$K337,2,IF($J337&gt;='02_Benchmarks'!$L337,0,IF($J337&gt;='02_Benchmarks'!$M337,-2,-3)))))))</x:f>
      </x:c>
      <x:c r="P337" s="58" t="str">
        <x:f>IF(COUNT($N337:$O337)+IF(ISNUMBER($K337),1,0)=0,"",MIN($N337:$O337,$K337))</x:f>
      </x:c>
      <x:c r="Q337" s="58" t="str">
        <x:f>IF($P337="","",INDEX('04_Tarifmodell'!$B$6:$B$12,$P337+4))</x:f>
      </x:c>
      <x:c r="R337" s="64" t="str">
        <x:f>IF($P337="","",INDEX('04_Tarifmodell'!$C$6:$C$12,$P337+4))</x:f>
      </x:c>
      <x:c r="S337" s="14" t="str">
        <x:f>IF(OR($I337="QUALITATIVE",$I337="MANUAL_HYBRID"),IF($K337="","Assurance-Score fehlt","Assurance-bewertet"),IF($I337="BENCHMARK",IF($W337&lt;&gt;"Aktiv",IF($K337="","Benchmark fehlt","Assurance-bewertet"),IF($J337="","Messwert fehlt",IF($P337="","Nicht bewertbar","Berechnet"))),IF(AND($J337="",$K337&lt;&gt;""),"Nur Assurance-Score",IF($J337="","Messwert fehlt",IF($P337="","Nicht bewertbar",IF($P337&lt;=-2,"Kritische Wirkung / Prüfung","Berechnet"))))))</x:f>
        <x:v>Messwert fehlt</x:v>
      </x:c>
      <x:c r="T337" s="14" t="str">
        <x:v>Vollständige fünfstufige Prozentregel.</x:v>
      </x:c>
      <x:c r="U337" s="14" t="str">
        <x:v>≥90%:+3; 70–89%:+2; 50–69%:0; 30–49%:‑2; &lt;30%:‑3</x:v>
      </x:c>
      <x:c r="V337" s="14" t="str">
        <x:v>EU‑Taxonomie (TSC &amp; DNSH)</x:v>
      </x:c>
      <x:c r="W337" s="14" t="str">
        <x:f>'02_Benchmarks'!$P337</x:f>
        <x:v>Optional – kein aktiver Benchmark</x:v>
      </x:c>
      <x:c r="X337" s="14" t="str">
        <x:v>Messgrundlage belegt; Schwellenkalibrierung offen</x:v>
      </x:c>
      <x:c r="Y337" s="14" t="str">
        <x:v>Mittel</x:v>
      </x:c>
      <x:c r="Z337" s="14" t="str">
        <x:v>Arbeitskalibrierung – fachlich zu validieren</x:v>
      </x:c>
      <x:c r="AA337" s="14" t="str">
        <x:v>Standort/Prozess/Aktivität; Bezugsgröße und relevante Umweltmedien</x:v>
      </x:c>
      <x:c r="AB337" s="14" t="str">
        <x:v>Primärdaten bevorzugt; Sekundärdaten nur transparent und versioniert; Methode und Systemgrenze dokumentieren</x:v>
      </x:c>
      <x:c r="AC337" s="14" t="str">
        <x:v>Limited Assurance; risikobasiert höhere Prüftiefe</x:v>
      </x:c>
    </x:row>
    <x:row r="338" ht="42" customHeight="1">
      <x:c r="A338" s="14" t="str">
        <x:v>WOK-E-185</x:v>
      </x:c>
      <x:c r="B338" s="14" t="str">
        <x:v>SDG 13 – Klima</x:v>
      </x:c>
      <x:c r="C338" s="14" t="str">
        <x:v>13.2</x:v>
      </x:c>
      <x:c r="D338" s="14" t="str">
        <x:v>Erneuerbarer Strom</x:v>
      </x:c>
      <x:c r="E338" s="14" t="str">
        <x:v>Erneuerbarer Strom – EE‑Anteil</x:v>
      </x:c>
      <x:c r="F338" s="14" t="str">
        <x:v>%</x:v>
      </x:c>
      <x:c r="G338" s="14" t="str">
        <x:v>higher_is_better</x:v>
      </x:c>
      <x:c r="H338" s="14" t="str">
        <x:v>R25</x:v>
      </x:c>
      <x:c r="I338" s="14" t="str">
        <x:v>NUM_HIGH</x:v>
      </x:c>
      <x:c r="J338" s="51"/>
      <x:c r="K338" s="51"/>
      <x:c r="L338" s="51"/>
      <x:c r="M338" s="54"/>
      <x:c r="N338" s="58" t="str">
        <x:f>IF($J338="","",IF($J338&lt;30,-3,IF($J338&lt;50,-2,IF($J338&lt;70,0,IF($J338&lt;90,2,3)))))</x:f>
      </x:c>
      <x:c r="O338" s="58" t="str">
        <x:f>IF($J338="","",IF(OR('02_Benchmarks'!$P338&lt;&gt;"Aktiv",COUNT('02_Benchmarks'!$J338:$M338)&lt;4),"",IF($G338="lower_is_better",IF($J338&lt;='02_Benchmarks'!$J338,3,IF($J338&lt;'02_Benchmarks'!$K338,2,IF($J338&lt;='02_Benchmarks'!$L338,0,IF($J338&lt;='02_Benchmarks'!$M338,-2,-3)))),IF($J338&gt;='02_Benchmarks'!$J338,3,IF($J338&gt;'02_Benchmarks'!$K338,2,IF($J338&gt;='02_Benchmarks'!$L338,0,IF($J338&gt;='02_Benchmarks'!$M338,-2,-3)))))))</x:f>
      </x:c>
      <x:c r="P338" s="58" t="str">
        <x:f>IF(COUNT($N338:$O338)+IF(ISNUMBER($K338),1,0)=0,"",MIN($N338:$O338,$K338))</x:f>
      </x:c>
      <x:c r="Q338" s="58" t="str">
        <x:f>IF($P338="","",INDEX('04_Tarifmodell'!$B$6:$B$12,$P338+4))</x:f>
      </x:c>
      <x:c r="R338" s="64" t="str">
        <x:f>IF($P338="","",INDEX('04_Tarifmodell'!$C$6:$C$12,$P338+4))</x:f>
      </x:c>
      <x:c r="S338" s="14" t="str">
        <x:f>IF(OR($I338="QUALITATIVE",$I338="MANUAL_HYBRID"),IF($K338="","Assurance-Score fehlt","Assurance-bewertet"),IF($I338="BENCHMARK",IF($W338&lt;&gt;"Aktiv",IF($K338="","Benchmark fehlt","Assurance-bewertet"),IF($J338="","Messwert fehlt",IF($P338="","Nicht bewertbar","Berechnet"))),IF(AND($J338="",$K338&lt;&gt;""),"Nur Assurance-Score",IF($J338="","Messwert fehlt",IF($P338="","Nicht bewertbar",IF($P338&lt;=-2,"Kritische Wirkung / Prüfung","Berechnet"))))))</x:f>
        <x:v>Messwert fehlt</x:v>
      </x:c>
      <x:c r="T338" s="14" t="str">
        <x:v>Vollständige fünfstufige Prozentregel.</x:v>
      </x:c>
      <x:c r="U338" s="14" t="str">
        <x:v>≥90%:+3; 70–89%:+2; 50–69%:0; 30–49%:‑2; &lt;30%:‑3</x:v>
      </x:c>
      <x:c r="V338" s="14" t="str">
        <x:v>ESRS E1, ISO 50001 (EnMS), ISO/IEC 30134‑2 (PUE), EU EPBD</x:v>
      </x:c>
      <x:c r="W338" s="14" t="str">
        <x:f>'02_Benchmarks'!$P338</x:f>
        <x:v>Optional – kein aktiver Benchmark</x:v>
      </x:c>
      <x:c r="X338" s="14" t="str">
        <x:v>Messgrundlage belegt; Schwellenkalibrierung offen</x:v>
      </x:c>
      <x:c r="Y338" s="14" t="str">
        <x:v>Mittel</x:v>
      </x:c>
      <x:c r="Z338" s="14" t="str">
        <x:v>Arbeitskalibrierung – fachlich zu validieren</x:v>
      </x:c>
      <x:c r="AA338" s="14" t="str">
        <x:v>Standort/Prozess/Aktivität; Bezugsgröße und relevante Umweltmedien</x:v>
      </x:c>
      <x:c r="AB338" s="14" t="str">
        <x:v>Primärdaten bevorzugt; Sekundärdaten nur transparent und versioniert; Methode und Systemgrenze dokumentieren</x:v>
      </x:c>
      <x:c r="AC338" s="14" t="str">
        <x:v>Limited Assurance; risikobasiert höhere Prüftiefe</x:v>
      </x:c>
    </x:row>
    <x:row r="339" ht="42" customHeight="1">
      <x:c r="A339" s="14" t="str">
        <x:v>WOK-E-186</x:v>
      </x:c>
      <x:c r="B339" s="14" t="str">
        <x:v>SDG 13 – Klima</x:v>
      </x:c>
      <x:c r="C339" s="14" t="str">
        <x:v>13.2</x:v>
      </x:c>
      <x:c r="D339" s="14" t="str">
        <x:v>Erneuerbarer Strom</x:v>
      </x:c>
      <x:c r="E339" s="14" t="str">
        <x:v>Erneuerbarer Strom – Intensität</x:v>
      </x:c>
      <x:c r="F339" s="14" t="str">
        <x:v>kWh/€ Mio bzw. kWh/t</x:v>
      </x:c>
      <x:c r="G339" s="14" t="str">
        <x:v>lower_is_better</x:v>
      </x:c>
      <x:c r="H339" s="14" t="str">
        <x:v>R06</x:v>
      </x:c>
      <x:c r="I339" s="14" t="str">
        <x:v>BENCHMARK</x:v>
      </x:c>
      <x:c r="J339" s="51"/>
      <x:c r="K339" s="51"/>
      <x:c r="L339" s="51"/>
      <x:c r="M339" s="54"/>
      <x:c r="N339" s="58" t="str">
        <x:f>""</x:f>
      </x:c>
      <x:c r="O339" s="58" t="str">
        <x:f>IF($J339="","",IF(OR('02_Benchmarks'!$P339&lt;&gt;"Aktiv",COUNT('02_Benchmarks'!$J339:$M339)&lt;4),"",IF($G339="lower_is_better",IF($J339&lt;='02_Benchmarks'!$J339,3,IF($J339&lt;'02_Benchmarks'!$K339,2,IF($J339&lt;='02_Benchmarks'!$L339,0,IF($J339&lt;='02_Benchmarks'!$M339,-2,-3)))),IF($J339&gt;='02_Benchmarks'!$J339,3,IF($J339&gt;'02_Benchmarks'!$K339,2,IF($J339&gt;='02_Benchmarks'!$L339,0,IF($J339&gt;='02_Benchmarks'!$M339,-2,-3)))))))</x:f>
      </x:c>
      <x:c r="P339" s="58" t="str">
        <x:f>IF(COUNT($N339:$O339)+IF(ISNUMBER($K339),1,0)=0,"",MIN($N339:$O339,$K339))</x:f>
      </x:c>
      <x:c r="Q339" s="58" t="str">
        <x:f>IF($P339="","",INDEX('04_Tarifmodell'!$B$6:$B$12,$P339+4))</x:f>
      </x:c>
      <x:c r="R339" s="64" t="str">
        <x:f>IF($P339="","",INDEX('04_Tarifmodell'!$C$6:$C$12,$P339+4))</x:f>
      </x:c>
      <x:c r="S339" s="14" t="str">
        <x:f>IF(OR($I339="QUALITATIVE",$I339="MANUAL_HYBRID"),IF($K339="","Assurance-Score fehlt","Assurance-bewertet"),IF($I339="BENCHMARK",IF($W339&lt;&gt;"Aktiv",IF($K339="","Benchmark fehlt","Assurance-bewertet"),IF($J339="","Messwert fehlt",IF($P339="","Nicht bewertbar","Berechnet"))),IF(AND($J339="",$K339&lt;&gt;""),"Nur Assurance-Score",IF($J339="","Messwert fehlt",IF($P339="","Nicht bewertbar",IF($P339&lt;=-2,"Kritische Wirkung / Prüfung","Berechnet"))))))</x:f>
        <x:v>Benchmark fehlt</x:v>
      </x:c>
      <x:c r="T339" s="14" t="str">
        <x:v>Top-10-Prozent, Mittelwert, 150 % und 250 % müssen aus einer dokumentierten Grundgesamtheit stammen.</x:v>
      </x:c>
      <x:c r="U339" s="14" t="str">
        <x:v>Top‑10%:+3; Mittel:0; &gt;150%:‑2; &gt;250%:‑3</x:v>
      </x:c>
      <x:c r="V339" s="14" t="str">
        <x:v>ESRS E1, ISO 50001 (EnMS), ISO/IEC 30134‑2 (PUE), EU EPBD</x:v>
      </x:c>
      <x:c r="W339" s="14" t="str">
        <x:f>'02_Benchmarks'!$P339</x:f>
        <x:v>Offen – validierter Benchmark fehlt</x:v>
      </x:c>
      <x:c r="X339" s="14" t="str">
        <x:v>Teilbelegt – Benchmarkquelle fehlt</x:v>
      </x:c>
      <x:c r="Y339" s="14" t="str">
        <x:v>Hoch</x:v>
      </x:c>
      <x:c r="Z339" s="14" t="str">
        <x:v>Validierter Benchmark fehlt</x:v>
      </x:c>
      <x:c r="AA339" s="14" t="str">
        <x:v>Standort/Prozess/Aktivität; Bezugsgröße und relevante Umweltmedien</x:v>
      </x:c>
      <x:c r="AB339" s="14" t="str">
        <x:v>Primärdaten plus repräsentativer, versionierter Benchmarkdatensatz; Stichprobe und Population offenlegen</x:v>
      </x:c>
      <x:c r="AC339" s="14" t="str">
        <x:v>Messwert-Assurance und unabhängige Benchmark-Governance</x:v>
      </x:c>
    </x:row>
    <x:row r="340" ht="42" customHeight="1">
      <x:c r="A340" s="14" t="str">
        <x:v>WOK-E-187</x:v>
      </x:c>
      <x:c r="B340" s="14" t="str">
        <x:v>SDG 13 – Klima</x:v>
      </x:c>
      <x:c r="C340" s="14" t="str">
        <x:v>13.2</x:v>
      </x:c>
      <x:c r="D340" s="14" t="str">
        <x:v>Erneuerbarer Strom</x:v>
      </x:c>
      <x:c r="E340" s="14" t="str">
        <x:v>Erneuerbarer Strom – Effizienz (PUE)*</x:v>
      </x:c>
      <x:c r="F340" s="14" t="str">
        <x:v>PUE</x:v>
      </x:c>
      <x:c r="G340" s="14" t="str">
        <x:v>lower_is_better</x:v>
      </x:c>
      <x:c r="H340" s="14" t="str">
        <x:v>R09</x:v>
      </x:c>
      <x:c r="I340" s="14" t="str">
        <x:v>NUM_LOW</x:v>
      </x:c>
      <x:c r="J340" s="51"/>
      <x:c r="K340" s="51"/>
      <x:c r="L340" s="51"/>
      <x:c r="M340" s="54"/>
      <x:c r="N340" s="58" t="str">
        <x:f>IF($J340="","",IF($J340&lt;=1.2,3,IF($J340&lt;=1.4,2,IF($J340&lt;=1.6,0,IF($J340&lt;=1.8,-2,-3)))))</x:f>
      </x:c>
      <x:c r="O340" s="58" t="str">
        <x:f>IF($J340="","",IF(OR('02_Benchmarks'!$P340&lt;&gt;"Aktiv",COUNT('02_Benchmarks'!$J340:$M340)&lt;4),"",IF($G340="lower_is_better",IF($J340&lt;='02_Benchmarks'!$J340,3,IF($J340&lt;'02_Benchmarks'!$K340,2,IF($J340&lt;='02_Benchmarks'!$L340,0,IF($J340&lt;='02_Benchmarks'!$M340,-2,-3)))),IF($J340&gt;='02_Benchmarks'!$J340,3,IF($J340&gt;'02_Benchmarks'!$K340,2,IF($J340&gt;='02_Benchmarks'!$L340,0,IF($J340&gt;='02_Benchmarks'!$M340,-2,-3)))))))</x:f>
      </x:c>
      <x:c r="P340" s="58" t="str">
        <x:f>IF(COUNT($N340:$O340)+IF(ISNUMBER($K340),1,0)=0,"",MIN($N340:$O340,$K340))</x:f>
      </x:c>
      <x:c r="Q340" s="58" t="str">
        <x:f>IF($P340="","",INDEX('04_Tarifmodell'!$B$6:$B$12,$P340+4))</x:f>
      </x:c>
      <x:c r="R340" s="64" t="str">
        <x:f>IF($P340="","",INDEX('04_Tarifmodell'!$C$6:$C$12,$P340+4))</x:f>
      </x:c>
      <x:c r="S340" s="14" t="str">
        <x:f>IF(OR($I340="QUALITATIVE",$I340="MANUAL_HYBRID"),IF($K340="","Assurance-Score fehlt","Assurance-bewertet"),IF($I340="BENCHMARK",IF($W340&lt;&gt;"Aktiv",IF($K340="","Benchmark fehlt","Assurance-bewertet"),IF($J340="","Messwert fehlt",IF($P340="","Nicht bewertbar","Berechnet"))),IF(AND($J340="",$K340&lt;&gt;""),"Nur Assurance-Score",IF($J340="","Messwert fehlt",IF($P340="","Nicht bewertbar",IF($P340&lt;=-2,"Kritische Wirkung / Prüfung","Berechnet"))))))</x:f>
        <x:v>Messwert fehlt</x:v>
      </x:c>
      <x:c r="T340" s="14" t="str">
        <x:v>Klimazone und Rechenzentrumstyp sind bei der Validierung zu berücksichtigen.</x:v>
      </x:c>
      <x:c r="U340" s="14" t="str">
        <x:v>≤1,2:+3; 1,21–1,4:+2; 1,41–1,6:0; 1,61–1,8:‑2; &gt;1,8:‑3</x:v>
      </x:c>
      <x:c r="V340" s="14" t="str">
        <x:v>ESRS E1, ISO 50001 (EnMS), ISO/IEC 30134‑2 (PUE), EU EPBD</x:v>
      </x:c>
      <x:c r="W340" s="14" t="str">
        <x:f>'02_Benchmarks'!$P340</x:f>
        <x:v>Optional – kein aktiver Benchmark</x:v>
      </x:c>
      <x:c r="X340" s="14" t="str">
        <x:v>Messgrundlage belegt; Schwellenkalibrierung offen</x:v>
      </x:c>
      <x:c r="Y340" s="14" t="str">
        <x:v>Mittel</x:v>
      </x:c>
      <x:c r="Z340" s="14" t="str">
        <x:v>Messstandard belegt; Klassen sind WÖk-Kalibrierung</x:v>
      </x:c>
      <x:c r="AA340" s="14" t="str">
        <x:v>Standort/Prozess/Aktivität; Bezugsgröße und relevante Umweltmedien</x:v>
      </x:c>
      <x:c r="AB340" s="14" t="str">
        <x:v>Primärdaten bevorzugt; Sekundärdaten nur transparent und versioniert; Methode und Systemgrenze dokumentieren</x:v>
      </x:c>
      <x:c r="AC340" s="14" t="str">
        <x:v>Limited Assurance; risikobasiert höhere Prüftiefe</x:v>
      </x:c>
    </x:row>
    <x:row r="341" ht="42" customHeight="1">
      <x:c r="A341" s="14" t="str">
        <x:v>WOK-P-125</x:v>
      </x:c>
      <x:c r="B341" s="14" t="str">
        <x:v>SDG 13 – Klima</x:v>
      </x:c>
      <x:c r="C341" s="14" t="str">
        <x:v>13.2</x:v>
      </x:c>
      <x:c r="D341" s="14" t="str">
        <x:v>Produktlebenszyklus CO₂</x:v>
      </x:c>
      <x:c r="E341" s="14" t="str">
        <x:v>Produktlebenszyklus CO₂ – PCF</x:v>
      </x:c>
      <x:c r="F341" s="14" t="str">
        <x:v>kg CO₂e/Einheit</x:v>
      </x:c>
      <x:c r="G341" s="14" t="str">
        <x:v>lower_is_better</x:v>
      </x:c>
      <x:c r="H341" s="14" t="str">
        <x:v>R07</x:v>
      </x:c>
      <x:c r="I341" s="14" t="str">
        <x:v>BENCHMARK</x:v>
      </x:c>
      <x:c r="J341" s="51"/>
      <x:c r="K341" s="51"/>
      <x:c r="L341" s="51"/>
      <x:c r="M341" s="54"/>
      <x:c r="N341" s="58" t="str">
        <x:f>""</x:f>
      </x:c>
      <x:c r="O341" s="58" t="str">
        <x:f>IF($J341="","",IF(OR('02_Benchmarks'!$P341&lt;&gt;"Aktiv",COUNT('02_Benchmarks'!$J341:$M341)&lt;4),"",IF($G341="lower_is_better",IF($J341&lt;='02_Benchmarks'!$J341,3,IF($J341&lt;'02_Benchmarks'!$K341,2,IF($J341&lt;='02_Benchmarks'!$L341,0,IF($J341&lt;='02_Benchmarks'!$M341,-2,-3)))),IF($J341&gt;='02_Benchmarks'!$J341,3,IF($J341&gt;'02_Benchmarks'!$K341,2,IF($J341&gt;='02_Benchmarks'!$L341,0,IF($J341&gt;='02_Benchmarks'!$M341,-2,-3)))))))</x:f>
      </x:c>
      <x:c r="P341" s="58" t="str">
        <x:f>IF(COUNT($N341:$O341)+IF(ISNUMBER($K341),1,0)=0,"",MIN($N341:$O341,$K341))</x:f>
      </x:c>
      <x:c r="Q341" s="58" t="str">
        <x:f>IF($P341="","",INDEX('04_Tarifmodell'!$B$6:$B$12,$P341+4))</x:f>
      </x:c>
      <x:c r="R341" s="64" t="str">
        <x:f>IF($P341="","",INDEX('04_Tarifmodell'!$C$6:$C$12,$P341+4))</x:f>
      </x:c>
      <x:c r="S341" s="14" t="str">
        <x:f>IF(OR($I341="QUALITATIVE",$I341="MANUAL_HYBRID"),IF($K341="","Assurance-Score fehlt","Assurance-bewertet"),IF($I341="BENCHMARK",IF($W341&lt;&gt;"Aktiv",IF($K341="","Benchmark fehlt","Assurance-bewertet"),IF($J341="","Messwert fehlt",IF($P341="","Nicht bewertbar","Berechnet"))),IF(AND($J341="",$K341&lt;&gt;""),"Nur Assurance-Score",IF($J341="","Messwert fehlt",IF($P341="","Nicht bewertbar",IF($P341&lt;=-2,"Kritische Wirkung / Prüfung","Berechnet"))))))</x:f>
        <x:v>Benchmark fehlt</x:v>
      </x:c>
      <x:c r="T341" s="14" t="str">
        <x:v>Produktspezifische Referenzpopulation erforderlich.</x:v>
      </x:c>
      <x:c r="U341" s="14" t="str">
        <x:v>Top‑10%:+3; ±Benchmark:0; &gt;150%:‑2; &gt;250%:‑3</x:v>
      </x:c>
      <x:c r="V341" s="14" t="str">
        <x:v>ISO 14067/14040/44 (LCA/PCF), PEF/EF 3.1, EU Reparierbarkeitsindex</x:v>
      </x:c>
      <x:c r="W341" s="14" t="str">
        <x:f>'02_Benchmarks'!$P341</x:f>
        <x:v>Offen – validierter Benchmark fehlt</x:v>
      </x:c>
      <x:c r="X341" s="14" t="str">
        <x:v>Teilbelegt – Benchmarkquelle fehlt</x:v>
      </x:c>
      <x:c r="Y341" s="14" t="str">
        <x:v>Hoch</x:v>
      </x:c>
      <x:c r="Z341" s="14" t="str">
        <x:v>Validierter Benchmark fehlt</x:v>
      </x:c>
      <x:c r="AA341" s="14" t="str">
        <x:v>Produkt/Funktionseinheit; Lebenszyklusgrenze mindestens cradle-to-gate, bei Nutzungs-/End-of-Life-Relevanz cradle-to-grave</x:v>
      </x:c>
      <x:c r="AB341" s="14" t="str">
        <x:v>Primärdaten plus repräsentativer, versionierter Benchmarkdatensatz; Stichprobe und Population offenlegen</x:v>
      </x:c>
      <x:c r="AC341" s="14" t="str">
        <x:v>Messwert-Assurance und unabhängige Benchmark-Governance</x:v>
      </x:c>
    </x:row>
    <x:row r="342" ht="42" customHeight="1">
      <x:c r="A342" s="14" t="str">
        <x:v>WOK-P-126</x:v>
      </x:c>
      <x:c r="B342" s="14" t="str">
        <x:v>SDG 13 – Klima</x:v>
      </x:c>
      <x:c r="C342" s="14" t="str">
        <x:v>13.2</x:v>
      </x:c>
      <x:c r="D342" s="14" t="str">
        <x:v>Produktlebenszyklus CO₂</x:v>
      </x:c>
      <x:c r="E342" s="14" t="str">
        <x:v>Produktlebenszyklus CO₂ – Reparierbarkeit</x:v>
      </x:c>
      <x:c r="F342" s="14" t="str">
        <x:v>Score 0–10</x:v>
      </x:c>
      <x:c r="G342" s="14" t="str">
        <x:v>higher_is_better</x:v>
      </x:c>
      <x:c r="H342" s="14" t="str">
        <x:v>R24</x:v>
      </x:c>
      <x:c r="I342" s="14" t="str">
        <x:v>NUM_HIGH</x:v>
      </x:c>
      <x:c r="J342" s="51"/>
      <x:c r="K342" s="51"/>
      <x:c r="L342" s="51"/>
      <x:c r="M342" s="54"/>
      <x:c r="N342" s="58" t="str">
        <x:f>IF($J342="","",IF($J342&lt;2,-3,IF($J342&lt;4,-2,IF($J342&lt;6,0,IF($J342&lt;8,2,3)))))</x:f>
      </x:c>
      <x:c r="O342" s="58" t="str">
        <x:f>IF($J342="","",IF(OR('02_Benchmarks'!$P342&lt;&gt;"Aktiv",COUNT('02_Benchmarks'!$J342:$M342)&lt;4),"",IF($G342="lower_is_better",IF($J342&lt;='02_Benchmarks'!$J342,3,IF($J342&lt;'02_Benchmarks'!$K342,2,IF($J342&lt;='02_Benchmarks'!$L342,0,IF($J342&lt;='02_Benchmarks'!$M342,-2,-3)))),IF($J342&gt;='02_Benchmarks'!$J342,3,IF($J342&gt;'02_Benchmarks'!$K342,2,IF($J342&gt;='02_Benchmarks'!$L342,0,IF($J342&gt;='02_Benchmarks'!$M342,-2,-3)))))))</x:f>
      </x:c>
      <x:c r="P342" s="58" t="str">
        <x:f>IF(COUNT($N342:$O342)+IF(ISNUMBER($K342),1,0)=0,"",MIN($N342:$O342,$K342))</x:f>
      </x:c>
      <x:c r="Q342" s="58" t="str">
        <x:f>IF($P342="","",INDEX('04_Tarifmodell'!$B$6:$B$12,$P342+4))</x:f>
      </x:c>
      <x:c r="R342" s="64" t="str">
        <x:f>IF($P342="","",INDEX('04_Tarifmodell'!$C$6:$C$12,$P342+4))</x:f>
      </x:c>
      <x:c r="S342" s="14" t="str">
        <x:f>IF(OR($I342="QUALITATIVE",$I342="MANUAL_HYBRID"),IF($K342="","Assurance-Score fehlt","Assurance-bewertet"),IF($I342="BENCHMARK",IF($W342&lt;&gt;"Aktiv",IF($K342="","Benchmark fehlt","Assurance-bewertet"),IF($J342="","Messwert fehlt",IF($P342="","Nicht bewertbar","Berechnet"))),IF(AND($J342="",$K342&lt;&gt;""),"Nur Assurance-Score",IF($J342="","Messwert fehlt",IF($P342="","Nicht bewertbar",IF($P342&lt;=-2,"Kritische Wirkung / Prüfung","Berechnet"))))))</x:f>
        <x:v>Messwert fehlt</x:v>
      </x:c>
      <x:c r="T342" s="14" t="str">
        <x:v>Indexsystem, Produktgruppe und Rechtsstand festlegen. Französischer Index und EU-Score sind nicht pauschal austauschbar.</x:v>
      </x:c>
      <x:c r="U342" s="14" t="str">
        <x:v>≥8:+3; 6–7,9:+2; 4–5,9:0; 2–3,9:‑2; &lt;2:‑3</x:v>
      </x:c>
      <x:c r="V342" s="14" t="str">
        <x:v>ISO 14067/14040/44 (LCA/PCF), PEF/EF 3.1, EU Reparierbarkeitsindex</x:v>
      </x:c>
      <x:c r="W342" s="14" t="str">
        <x:f>'02_Benchmarks'!$P342</x:f>
        <x:v>Optional – kein aktiver Benchmark</x:v>
      </x:c>
      <x:c r="X342" s="14" t="str">
        <x:v>Teilbelegt – produktspezifisch zu validieren</x:v>
      </x:c>
      <x:c r="Y342" s="14" t="str">
        <x:v>Hoch</x:v>
      </x:c>
      <x:c r="Z342" s="14" t="str">
        <x:v>Indexsystem und Produktgruppe müssen ausgewiesen werden</x:v>
      </x:c>
      <x:c r="AA342" s="14" t="str">
        <x:v>Produkt/Funktionseinheit; Lebenszyklusgrenze mindestens cradle-to-gate, bei Nutzungs-/End-of-Life-Relevanz cradle-to-grave</x:v>
      </x:c>
      <x:c r="AB342" s="14" t="str">
        <x:v>Primärdaten oder qualitätsgesicherte Sekundärdaten; Methode, Zeitraum und Systemgrenze dokumentieren</x:v>
      </x:c>
      <x:c r="AC342" s="14" t="str">
        <x:v>Limited Assurance; bei materieller Steuerwirkung risikobasiert vertiefen</x:v>
      </x:c>
    </x:row>
    <x:row r="343" ht="42" customHeight="1">
      <x:c r="A343" s="14" t="str">
        <x:v>WOK-P-127</x:v>
      </x:c>
      <x:c r="B343" s="14" t="str">
        <x:v>SDG 13 – Klima</x:v>
      </x:c>
      <x:c r="C343" s="14" t="str">
        <x:v>13.2</x:v>
      </x:c>
      <x:c r="D343" s="14" t="str">
        <x:v>Produktlebenszyklus CO₂</x:v>
      </x:c>
      <x:c r="E343" s="14" t="str">
        <x:v>Produktlebenszyklus CO₂ – Rücknahme/Recycling</x:v>
      </x:c>
      <x:c r="F343" s="14" t="str">
        <x:v>%</x:v>
      </x:c>
      <x:c r="G343" s="14" t="str">
        <x:v>higher_is_better</x:v>
      </x:c>
      <x:c r="H343" s="14" t="str">
        <x:v>R22</x:v>
      </x:c>
      <x:c r="I343" s="14" t="str">
        <x:v>NUM_HIGH</x:v>
      </x:c>
      <x:c r="J343" s="51"/>
      <x:c r="K343" s="51"/>
      <x:c r="L343" s="51"/>
      <x:c r="M343" s="54"/>
      <x:c r="N343" s="58" t="str">
        <x:f>IF($J343="","",IF($J343&lt;15,-3,IF($J343&lt;30,-2,IF($J343&lt;50,0,IF($J343&lt;70,2,3)))))</x:f>
      </x:c>
      <x:c r="O343" s="58" t="str">
        <x:f>IF($J343="","",IF(OR('02_Benchmarks'!$P343&lt;&gt;"Aktiv",COUNT('02_Benchmarks'!$J343:$M343)&lt;4),"",IF($G343="lower_is_better",IF($J343&lt;='02_Benchmarks'!$J343,3,IF($J343&lt;'02_Benchmarks'!$K343,2,IF($J343&lt;='02_Benchmarks'!$L343,0,IF($J343&lt;='02_Benchmarks'!$M343,-2,-3)))),IF($J343&gt;='02_Benchmarks'!$J343,3,IF($J343&gt;'02_Benchmarks'!$K343,2,IF($J343&gt;='02_Benchmarks'!$L343,0,IF($J343&gt;='02_Benchmarks'!$M343,-2,-3)))))))</x:f>
      </x:c>
      <x:c r="P343" s="58" t="str">
        <x:f>IF(COUNT($N343:$O343)+IF(ISNUMBER($K343),1,0)=0,"",MIN($N343:$O343,$K343))</x:f>
      </x:c>
      <x:c r="Q343" s="58" t="str">
        <x:f>IF($P343="","",INDEX('04_Tarifmodell'!$B$6:$B$12,$P343+4))</x:f>
      </x:c>
      <x:c r="R343" s="64" t="str">
        <x:f>IF($P343="","",INDEX('04_Tarifmodell'!$C$6:$C$12,$P343+4))</x:f>
      </x:c>
      <x:c r="S343" s="14" t="str">
        <x:f>IF(OR($I343="QUALITATIVE",$I343="MANUAL_HYBRID"),IF($K343="","Assurance-Score fehlt","Assurance-bewertet"),IF($I343="BENCHMARK",IF($W343&lt;&gt;"Aktiv",IF($K343="","Benchmark fehlt","Assurance-bewertet"),IF($J343="","Messwert fehlt",IF($P343="","Nicht bewertbar","Berechnet"))),IF(AND($J343="",$K343&lt;&gt;""),"Nur Assurance-Score",IF($J343="","Messwert fehlt",IF($P343="","Nicht bewertbar",IF($P343&lt;=-2,"Kritische Wirkung / Prüfung","Berechnet"))))))</x:f>
        <x:v>Messwert fehlt</x:v>
      </x:c>
      <x:c r="T343" s="14" t="str">
        <x:v>Vollständige fünfstufige numerische Regel.</x:v>
      </x:c>
      <x:c r="U343" s="14" t="str">
        <x:v>≥70:+3; 50–69:+2; 30–49:0; 15–29:‑2; &lt;15:‑3</x:v>
      </x:c>
      <x:c r="V343" s="14" t="str">
        <x:v>ESRS E5, GRI 306, WEEE/VerpackG</x:v>
      </x:c>
      <x:c r="W343" s="14" t="str">
        <x:f>'02_Benchmarks'!$P343</x:f>
        <x:v>Optional – kein aktiver Benchmark</x:v>
      </x:c>
      <x:c r="X343" s="14" t="str">
        <x:v>Messgrundlage belegt; Schwellenkalibrierung offen</x:v>
      </x:c>
      <x:c r="Y343" s="14" t="str">
        <x:v>Mittel</x:v>
      </x:c>
      <x:c r="Z343" s="14" t="str">
        <x:v>Arbeitskalibrierung – fachlich zu validieren</x:v>
      </x:c>
      <x:c r="AA343" s="14" t="str">
        <x:v>Produkt/Funktionseinheit; Lebenszyklusgrenze mindestens cradle-to-gate, bei Nutzungs-/End-of-Life-Relevanz cradle-to-grave</x:v>
      </x:c>
      <x:c r="AB343" s="14" t="str">
        <x:v>Primärdaten bevorzugt; Sekundärdaten nur transparent und versioniert; Methode und Systemgrenze dokumentieren</x:v>
      </x:c>
      <x:c r="AC343" s="14" t="str">
        <x:v>Limited Assurance; risikobasiert höhere Prüftiefe</x:v>
      </x:c>
    </x:row>
    <x:row r="344" ht="42" customHeight="1">
      <x:c r="A344" s="14" t="str">
        <x:v>WOK-G-164</x:v>
      </x:c>
      <x:c r="B344" s="14" t="str">
        <x:v>SDG 13 – Klima</x:v>
      </x:c>
      <x:c r="C344" s="14" t="str">
        <x:v>13.2</x:v>
      </x:c>
      <x:c r="D344" s="14" t="str">
        <x:v>Klimagovernance/TCFD</x:v>
      </x:c>
      <x:c r="E344" s="14" t="str">
        <x:v>Klimagovernance/TCFD – Antikorruption</x:v>
      </x:c>
      <x:c r="F344" s="14" t="str">
        <x:v>Fälle/1.000 FTE</x:v>
      </x:c>
      <x:c r="G344" s="14" t="str">
        <x:v>lower_is_better</x:v>
      </x:c>
      <x:c r="H344" s="14" t="str">
        <x:v>R01</x:v>
      </x:c>
      <x:c r="I344" s="14" t="str">
        <x:v>NUM_LOW</x:v>
      </x:c>
      <x:c r="J344" s="51"/>
      <x:c r="K344" s="51"/>
      <x:c r="L344" s="51"/>
      <x:c r="M344" s="54"/>
      <x:c r="N344" s="58" t="str">
        <x:f>IF($J344="","",IF($J344&lt;=0,3,IF($J344&lt;=0.2,2,IF($J344&lt;=0.5,0,IF($J344&lt;=1,-2,-3)))))</x:f>
      </x:c>
      <x:c r="O344" s="58" t="str">
        <x:f>IF($J344="","",IF(OR('02_Benchmarks'!$P344&lt;&gt;"Aktiv",COUNT('02_Benchmarks'!$J344:$M344)&lt;4),"",IF($G344="lower_is_better",IF($J344&lt;='02_Benchmarks'!$J344,3,IF($J344&lt;'02_Benchmarks'!$K344,2,IF($J344&lt;='02_Benchmarks'!$L344,0,IF($J344&lt;='02_Benchmarks'!$M344,-2,-3)))),IF($J344&gt;='02_Benchmarks'!$J344,3,IF($J344&gt;'02_Benchmarks'!$K344,2,IF($J344&gt;='02_Benchmarks'!$L344,0,IF($J344&gt;='02_Benchmarks'!$M344,-2,-3)))))))</x:f>
      </x:c>
      <x:c r="P344" s="58" t="str">
        <x:f>IF(COUNT($N344:$O344)+IF(ISNUMBER($K344),1,0)=0,"",MIN($N344:$O344,$K344))</x:f>
      </x:c>
      <x:c r="Q344" s="58" t="str">
        <x:f>IF($P344="","",INDEX('04_Tarifmodell'!$B$6:$B$12,$P344+4))</x:f>
      </x:c>
      <x:c r="R344" s="64" t="str">
        <x:f>IF($P344="","",INDEX('04_Tarifmodell'!$C$6:$C$12,$P344+4))</x:f>
      </x:c>
      <x:c r="S344" s="14" t="str">
        <x:f>IF(OR($I344="QUALITATIVE",$I344="MANUAL_HYBRID"),IF($K344="","Assurance-Score fehlt","Assurance-bewertet"),IF($I344="BENCHMARK",IF($W344&lt;&gt;"Aktiv",IF($K344="","Benchmark fehlt","Assurance-bewertet"),IF($J344="","Messwert fehlt",IF($P344="","Nicht bewertbar","Berechnet"))),IF(AND($J344="",$K344&lt;&gt;""),"Nur Assurance-Score",IF($J344="","Messwert fehlt",IF($P344="","Nicht bewertbar",IF($P344&lt;=-2,"Kritische Wirkung / Prüfung","Berechnet"))))))</x:f>
        <x:v>Messwert fehlt</x:v>
      </x:c>
      <x:c r="T344" s="14" t="str">
        <x:v>Vollständige fünfstufige numerische Regel.</x:v>
      </x:c>
      <x:c r="U344" s="14" t="str">
        <x:v>0:+3; ≤0,2:+2; ≤0,5:0; ≤1:‑2; &gt;1:‑3</x:v>
      </x:c>
      <x:c r="V344" s="14" t="str">
        <x:v>ESRS G1, GRI 205/207, OECD Anti‑Bribery</x:v>
      </x:c>
      <x:c r="W344" s="14" t="str">
        <x:f>'02_Benchmarks'!$P344</x:f>
        <x:v>Optional – kein aktiver Benchmark</x:v>
      </x:c>
      <x:c r="X344" s="14" t="str">
        <x:v>Messgrundlage belegt; Schwellenkalibrierung offen</x:v>
      </x:c>
      <x:c r="Y344" s="14" t="str">
        <x:v>Mittel</x:v>
      </x:c>
      <x:c r="Z344" s="14" t="str">
        <x:v>Arbeitskalibrierung – fachlich zu validieren</x:v>
      </x:c>
      <x:c r="AA344" s="14" t="str">
        <x:v>Organisation/Governance; konsolidierter Kreis und relevante Rechtseinheiten</x:v>
      </x:c>
      <x:c r="AB344" s="14" t="str">
        <x:v>Primärdaten bevorzugt; Sekundärdaten nur transparent und versioniert; Methode und Systemgrenze dokumentieren</x:v>
      </x:c>
      <x:c r="AC344" s="14" t="str">
        <x:v>Limited Assurance; risikobasiert höhere Prüftiefe</x:v>
      </x:c>
    </x:row>
    <x:row r="345" ht="42" customHeight="1">
      <x:c r="A345" s="14" t="str">
        <x:v>WOK-G-165</x:v>
      </x:c>
      <x:c r="B345" s="14" t="str">
        <x:v>SDG 13 – Klima</x:v>
      </x:c>
      <x:c r="C345" s="14" t="str">
        <x:v>13.2</x:v>
      </x:c>
      <x:c r="D345" s="14" t="str">
        <x:v>Klimagovernance/TCFD</x:v>
      </x:c>
      <x:c r="E345" s="14" t="str">
        <x:v>Klimagovernance/TCFD – Whistleblowing</x:v>
      </x:c>
      <x:c r="F345" s="14" t="str">
        <x:v>0–1</x:v>
      </x:c>
      <x:c r="G345" s="14" t="str">
        <x:v>higher_is_better</x:v>
      </x:c>
      <x:c r="H345" s="14" t="str">
        <x:v>R16</x:v>
      </x:c>
      <x:c r="I345" s="14" t="str">
        <x:v>NUM_HIGH</x:v>
      </x:c>
      <x:c r="J345" s="51"/>
      <x:c r="K345" s="51"/>
      <x:c r="L345" s="51"/>
      <x:c r="M345" s="54"/>
      <x:c r="N345" s="58" t="str">
        <x:f>IF($J345="","",IF($J345&lt;0.4,-3,IF($J345&lt;0.6,-2,IF($J345&lt;0.75,0,IF($J345&lt;0.9,2,3)))))</x:f>
      </x:c>
      <x:c r="O345" s="58" t="str">
        <x:f>IF($J345="","",IF(OR('02_Benchmarks'!$P345&lt;&gt;"Aktiv",COUNT('02_Benchmarks'!$J345:$M345)&lt;4),"",IF($G345="lower_is_better",IF($J345&lt;='02_Benchmarks'!$J345,3,IF($J345&lt;'02_Benchmarks'!$K345,2,IF($J345&lt;='02_Benchmarks'!$L345,0,IF($J345&lt;='02_Benchmarks'!$M345,-2,-3)))),IF($J345&gt;='02_Benchmarks'!$J345,3,IF($J345&gt;'02_Benchmarks'!$K345,2,IF($J345&gt;='02_Benchmarks'!$L345,0,IF($J345&gt;='02_Benchmarks'!$M345,-2,-3)))))))</x:f>
      </x:c>
      <x:c r="P345" s="58" t="str">
        <x:f>IF(COUNT($N345:$O345)+IF(ISNUMBER($K345),1,0)=0,"",MIN($N345:$O345,$K345))</x:f>
      </x:c>
      <x:c r="Q345" s="58" t="str">
        <x:f>IF($P345="","",INDEX('04_Tarifmodell'!$B$6:$B$12,$P345+4))</x:f>
      </x:c>
      <x:c r="R345" s="64" t="str">
        <x:f>IF($P345="","",INDEX('04_Tarifmodell'!$C$6:$C$12,$P345+4))</x:f>
      </x:c>
      <x:c r="S345" s="14" t="str">
        <x:f>IF(OR($I345="QUALITATIVE",$I345="MANUAL_HYBRID"),IF($K345="","Assurance-Score fehlt","Assurance-bewertet"),IF($I345="BENCHMARK",IF($W345&lt;&gt;"Aktiv",IF($K345="","Benchmark fehlt","Assurance-bewertet"),IF($J345="","Messwert fehlt",IF($P345="","Nicht bewertbar","Berechnet"))),IF(AND($J345="",$K345&lt;&gt;""),"Nur Assurance-Score",IF($J345="","Messwert fehlt",IF($P345="","Nicht bewertbar",IF($P345&lt;=-2,"Kritische Wirkung / Prüfung","Berechnet"))))))</x:f>
        <x:v>Messwert fehlt</x:v>
      </x:c>
      <x:c r="T345" s="14" t="str">
        <x:v>Vollständige fünfstufige numerische Regel.</x:v>
      </x:c>
      <x:c r="U345" s="14" t="str">
        <x:v>≥0,9:+3; 0,75–0,89:+2; 0,6–0,74:0; 0,4–0,59:‑2; &lt;0,4:‑3</x:v>
      </x:c>
      <x:c r="V345" s="14" t="str">
        <x:v>ESRS G1, GRI 205/207, OECD Anti‑Bribery</x:v>
      </x:c>
      <x:c r="W345" s="14" t="str">
        <x:f>'02_Benchmarks'!$P345</x:f>
        <x:v>Optional – kein aktiver Benchmark</x:v>
      </x:c>
      <x:c r="X345" s="14" t="str">
        <x:v>Messgrundlage belegt; Schwellenkalibrierung offen</x:v>
      </x:c>
      <x:c r="Y345" s="14" t="str">
        <x:v>Mittel</x:v>
      </x:c>
      <x:c r="Z345" s="14" t="str">
        <x:v>Arbeitskalibrierung – fachlich zu validieren</x:v>
      </x:c>
      <x:c r="AA345" s="14" t="str">
        <x:v>Organisation/Governance; konsolidierter Kreis und relevante Rechtseinheiten</x:v>
      </x:c>
      <x:c r="AB345" s="14" t="str">
        <x:v>Primärdaten bevorzugt; Sekundärdaten nur transparent und versioniert; Methode und Systemgrenze dokumentieren</x:v>
      </x:c>
      <x:c r="AC345" s="14" t="str">
        <x:v>Limited Assurance; risikobasiert höhere Prüftiefe</x:v>
      </x:c>
    </x:row>
    <x:row r="346" ht="42" customHeight="1">
      <x:c r="A346" s="14" t="str">
        <x:v>WOK-G-166</x:v>
      </x:c>
      <x:c r="B346" s="14" t="str">
        <x:v>SDG 13 – Klima</x:v>
      </x:c>
      <x:c r="C346" s="14" t="str">
        <x:v>13.2</x:v>
      </x:c>
      <x:c r="D346" s="14" t="str">
        <x:v>Klimagovernance/TCFD</x:v>
      </x:c>
      <x:c r="E346" s="14" t="str">
        <x:v>Klimagovernance/TCFD – Steuertransparenz</x:v>
      </x:c>
      <x:c r="F346" s="14" t="str">
        <x:v>0–1</x:v>
      </x:c>
      <x:c r="G346" s="14" t="str">
        <x:v>higher_is_better</x:v>
      </x:c>
      <x:c r="H346" s="14" t="str">
        <x:v>R08</x:v>
      </x:c>
      <x:c r="I346" s="14" t="str">
        <x:v>QUALITATIVE</x:v>
      </x:c>
      <x:c r="J346" s="51"/>
      <x:c r="K346" s="51"/>
      <x:c r="L346" s="51"/>
      <x:c r="M346" s="54"/>
      <x:c r="N346" s="58" t="str">
        <x:f>""</x:f>
      </x:c>
      <x:c r="O346" s="58" t="str">
        <x:f>IF($J346="","",IF(OR('02_Benchmarks'!$P346&lt;&gt;"Aktiv",COUNT('02_Benchmarks'!$J346:$M346)&lt;4),"",IF($G346="lower_is_better",IF($J346&lt;='02_Benchmarks'!$J346,3,IF($J346&lt;'02_Benchmarks'!$K346,2,IF($J346&lt;='02_Benchmarks'!$L346,0,IF($J346&lt;='02_Benchmarks'!$M346,-2,-3)))),IF($J346&gt;='02_Benchmarks'!$J346,3,IF($J346&gt;'02_Benchmarks'!$K346,2,IF($J346&gt;='02_Benchmarks'!$L346,0,IF($J346&gt;='02_Benchmarks'!$M346,-2,-3)))))))</x:f>
      </x:c>
      <x:c r="P346" s="58" t="str">
        <x:f>IF(COUNT($N346:$O346)+IF(ISNUMBER($K346),1,0)=0,"",MIN($N346:$O346,$K346))</x:f>
      </x:c>
      <x:c r="Q346" s="58" t="str">
        <x:f>IF($P346="","",INDEX('04_Tarifmodell'!$B$6:$B$12,$P346+4))</x:f>
      </x:c>
      <x:c r="R346" s="64" t="str">
        <x:f>IF($P346="","",INDEX('04_Tarifmodell'!$C$6:$C$12,$P346+4))</x:f>
      </x:c>
      <x:c r="S346" s="14" t="str">
        <x:f>IF(OR($I346="QUALITATIVE",$I346="MANUAL_HYBRID"),IF($K346="","Assurance-Score fehlt","Assurance-bewertet"),IF($I346="BENCHMARK",IF($W346&lt;&gt;"Aktiv",IF($K346="","Benchmark fehlt","Assurance-bewertet"),IF($J346="","Messwert fehlt",IF($P346="","Nicht bewertbar","Berechnet"))),IF(AND($J346="",$K346&lt;&gt;""),"Nur Assurance-Score",IF($J346="","Messwert fehlt",IF($P346="","Nicht bewertbar",IF($P346&lt;=-2,"Kritische Wirkung / Prüfung","Berechnet"))))))</x:f>
        <x:v>Assurance-Score fehlt</x:v>
      </x:c>
      <x:c r="T346" s="14" t="str">
        <x:v>Die Kategorie −3 fehlt; Vollständigkeit und Wirksamkeit sind feldspezifisch zu definieren.</x:v>
      </x:c>
      <x:c r="U346" s="14" t="str">
        <x:v>vollständig:+3; teilweise:+2; minimal:0; schlecht:‑2</x:v>
      </x:c>
      <x:c r="V346" s="14" t="str">
        <x:v>ESRS G1, GRI 205/207, OECD Anti‑Bribery</x:v>
      </x:c>
      <x:c r="W346" s="14" t="str">
        <x:f>'02_Benchmarks'!$P346</x:f>
        <x:v>Optional – kein aktiver Benchmark</x:v>
      </x:c>
      <x:c r="X346" s="14" t="str">
        <x:v>Messgrundlage belegt; Schwellenkalibrierung offen</x:v>
      </x:c>
      <x:c r="Y346" s="14" t="str">
        <x:v>Hoch</x:v>
      </x:c>
      <x:c r="Z346" s="14" t="str">
        <x:v>Assurance und Kriterienkatalog erforderlich</x:v>
      </x:c>
      <x:c r="AA346" s="14" t="str">
        <x:v>Organisation/Governance; konsolidierter Kreis und relevante Rechtseinheiten</x:v>
      </x:c>
      <x:c r="AB346" s="14" t="str">
        <x:v>Dokumentierter Kriterienkatalog; nachvollziehbare Evidenz; DQR A/B bevorzugt</x:v>
      </x:c>
      <x:c r="AC346" s="14" t="str">
        <x:v>Unabhängige Fachprüfung/Limited Assurance; bei roten Linien Reasonable Assurance</x:v>
      </x:c>
    </x:row>
    <x:row r="347" ht="42" customHeight="1">
      <x:c r="A347" s="14" t="str">
        <x:v>WOK-SYS-137</x:v>
      </x:c>
      <x:c r="B347" s="14" t="str">
        <x:v>SDG 13 – Klima</x:v>
      </x:c>
      <x:c r="C347" s="14" t="str">
        <x:v>13.3</x:v>
      </x:c>
      <x:c r="D347" s="14" t="str">
        <x:v>Klimapartnerschaften</x:v>
      </x:c>
      <x:c r="E347" s="14" t="str">
        <x:v>Klimapartnerschaften – Index</x:v>
      </x:c>
      <x:c r="F347" s="14" t="str">
        <x:v>0–1</x:v>
      </x:c>
      <x:c r="G347" s="14" t="str">
        <x:v>higher_is_better</x:v>
      </x:c>
      <x:c r="H347" s="14" t="str">
        <x:v>R15</x:v>
      </x:c>
      <x:c r="I347" s="14" t="str">
        <x:v>NUM_HIGH</x:v>
      </x:c>
      <x:c r="J347" s="51"/>
      <x:c r="K347" s="51"/>
      <x:c r="L347" s="51"/>
      <x:c r="M347" s="54"/>
      <x:c r="N347" s="58" t="str">
        <x:f>IF($J347="","",IF($J347&lt;0.5,-3,IF($J347&lt;0.6,-2,IF($J347&lt;0.7,0,IF($J347&lt;0.8,2,3)))))</x:f>
      </x:c>
      <x:c r="O347" s="58" t="str">
        <x:f>IF($J347="","",IF(OR('02_Benchmarks'!$P347&lt;&gt;"Aktiv",COUNT('02_Benchmarks'!$J347:$M347)&lt;4),"",IF($G347="lower_is_better",IF($J347&lt;='02_Benchmarks'!$J347,3,IF($J347&lt;'02_Benchmarks'!$K347,2,IF($J347&lt;='02_Benchmarks'!$L347,0,IF($J347&lt;='02_Benchmarks'!$M347,-2,-3)))),IF($J347&gt;='02_Benchmarks'!$J347,3,IF($J347&gt;'02_Benchmarks'!$K347,2,IF($J347&gt;='02_Benchmarks'!$L347,0,IF($J347&gt;='02_Benchmarks'!$M347,-2,-3)))))))</x:f>
      </x:c>
      <x:c r="P347" s="58" t="str">
        <x:f>IF(COUNT($N347:$O347)+IF(ISNUMBER($K347),1,0)=0,"",MIN($N347:$O347,$K347))</x:f>
      </x:c>
      <x:c r="Q347" s="58" t="str">
        <x:f>IF($P347="","",INDEX('04_Tarifmodell'!$B$6:$B$12,$P347+4))</x:f>
      </x:c>
      <x:c r="R347" s="64" t="str">
        <x:f>IF($P347="","",INDEX('04_Tarifmodell'!$C$6:$C$12,$P347+4))</x:f>
      </x:c>
      <x:c r="S347" s="14" t="str">
        <x:f>IF(OR($I347="QUALITATIVE",$I347="MANUAL_HYBRID"),IF($K347="","Assurance-Score fehlt","Assurance-bewertet"),IF($I347="BENCHMARK",IF($W347&lt;&gt;"Aktiv",IF($K347="","Benchmark fehlt","Assurance-bewertet"),IF($J347="","Messwert fehlt",IF($P347="","Nicht bewertbar","Berechnet"))),IF(AND($J347="",$K347&lt;&gt;""),"Nur Assurance-Score",IF($J347="","Messwert fehlt",IF($P347="","Nicht bewertbar",IF($P347&lt;=-2,"Kritische Wirkung / Prüfung","Berechnet"))))))</x:f>
        <x:v>Messwert fehlt</x:v>
      </x:c>
      <x:c r="T347" s="14" t="str">
        <x:v>SROI/SDG 17 ist keine hinreichend konkrete Mess- oder Schwellenquelle. Vollständige fünfstufige numerische Regel.</x:v>
      </x:c>
      <x:c r="U347" s="14" t="str">
        <x:v>≥0,8:+3; 0,7–0,79:+2; 0,6–0,69:0; 0,5–0,59:‑2; &lt;0,5:‑3</x:v>
      </x:c>
      <x:c r="V347" s="14" t="str">
        <x:v>SDG 16/17, WJP, V‑Dem</x:v>
      </x:c>
      <x:c r="W347" s="14" t="str">
        <x:f>'02_Benchmarks'!$P347</x:f>
        <x:v>Optional – kein aktiver Benchmark</x:v>
      </x:c>
      <x:c r="X347" s="14" t="str">
        <x:v>Platzhalter – fachliche Operationalisierung offen</x:v>
      </x:c>
      <x:c r="Y347" s="14" t="str">
        <x:v>Kritisch</x:v>
      </x:c>
      <x:c r="Z347" s="14" t="str">
        <x:v>Arbeitskalibrierung – fachlich zu validieren</x:v>
      </x:c>
      <x:c r="AA347" s="14" t="str">
        <x:v>Programm/Portfolio/Systemraum; Empfängergruppe, Region und Zeitraum explizit definieren</x:v>
      </x:c>
      <x:c r="AB347" s="14" t="str">
        <x:v>Primärdaten bevorzugt; Sekundärdaten nur transparent und versioniert; Methode und Systemgrenze dokumentieren</x:v>
      </x:c>
      <x:c r="AC347" s="14" t="str">
        <x:v>Limited Assurance; risikobasiert höhere Prüftiefe</x:v>
      </x:c>
    </x:row>
    <x:row r="348" ht="42" customHeight="1">
      <x:c r="A348" s="14" t="str">
        <x:v>WOK-SYS-138</x:v>
      </x:c>
      <x:c r="B348" s="14" t="str">
        <x:v>SDG 13 – Klima</x:v>
      </x:c>
      <x:c r="C348" s="14" t="str">
        <x:v>13.3</x:v>
      </x:c>
      <x:c r="D348" s="14" t="str">
        <x:v>Klimapartnerschaften</x:v>
      </x:c>
      <x:c r="E348" s="14" t="str">
        <x:v>Klimapartnerschaften – Exposure</x:v>
      </x:c>
      <x:c r="F348" s="14" t="str">
        <x:v>%</x:v>
      </x:c>
      <x:c r="G348" s="14" t="str">
        <x:v>lower_is_better</x:v>
      </x:c>
      <x:c r="H348" s="14" t="str">
        <x:v>R13</x:v>
      </x:c>
      <x:c r="I348" s="14" t="str">
        <x:v>NUM_LOW</x:v>
      </x:c>
      <x:c r="J348" s="51"/>
      <x:c r="K348" s="51"/>
      <x:c r="L348" s="51"/>
      <x:c r="M348" s="54"/>
      <x:c r="N348" s="58" t="str">
        <x:f>IF($J348="","",IF($J348&lt;=5,3,IF($J348&lt;=10,2,IF($J348&lt;=20,0,IF($J348&lt;=30,-2,-3)))))</x:f>
      </x:c>
      <x:c r="O348" s="58" t="str">
        <x:f>IF($J348="","",IF(OR('02_Benchmarks'!$P348&lt;&gt;"Aktiv",COUNT('02_Benchmarks'!$J348:$M348)&lt;4),"",IF($G348="lower_is_better",IF($J348&lt;='02_Benchmarks'!$J348,3,IF($J348&lt;'02_Benchmarks'!$K348,2,IF($J348&lt;='02_Benchmarks'!$L348,0,IF($J348&lt;='02_Benchmarks'!$M348,-2,-3)))),IF($J348&gt;='02_Benchmarks'!$J348,3,IF($J348&gt;'02_Benchmarks'!$K348,2,IF($J348&gt;='02_Benchmarks'!$L348,0,IF($J348&gt;='02_Benchmarks'!$M348,-2,-3)))))))</x:f>
      </x:c>
      <x:c r="P348" s="58" t="str">
        <x:f>IF(COUNT($N348:$O348)+IF(ISNUMBER($K348),1,0)=0,"",MIN($N348:$O348,$K348))</x:f>
      </x:c>
      <x:c r="Q348" s="58" t="str">
        <x:f>IF($P348="","",INDEX('04_Tarifmodell'!$B$6:$B$12,$P348+4))</x:f>
      </x:c>
      <x:c r="R348" s="64" t="str">
        <x:f>IF($P348="","",INDEX('04_Tarifmodell'!$C$6:$C$12,$P348+4))</x:f>
      </x:c>
      <x:c r="S348" s="14" t="str">
        <x:f>IF(OR($I348="QUALITATIVE",$I348="MANUAL_HYBRID"),IF($K348="","Assurance-Score fehlt","Assurance-bewertet"),IF($I348="BENCHMARK",IF($W348&lt;&gt;"Aktiv",IF($K348="","Benchmark fehlt","Assurance-bewertet"),IF($J348="","Messwert fehlt",IF($P348="","Nicht bewertbar","Berechnet"))),IF(AND($J348="",$K348&lt;&gt;""),"Nur Assurance-Score",IF($J348="","Messwert fehlt",IF($P348="","Nicht bewertbar",IF($P348&lt;=-2,"Kritische Wirkung / Prüfung","Berechnet"))))))</x:f>
        <x:v>Messwert fehlt</x:v>
      </x:c>
      <x:c r="T348" s="14" t="str">
        <x:v>SROI/SDG 17 ist keine hinreichend konkrete Mess- oder Schwellenquelle. Vollständige fünfstufige numerische Regel.</x:v>
      </x:c>
      <x:c r="U348" s="14" t="str">
        <x:v>≤5:+3; 6–10:+2; 11–20:0; 21–30:‑2; &gt;30:‑3</x:v>
      </x:c>
      <x:c r="V348" s="14" t="str">
        <x:v>SDG 16/17, WJP, V‑Dem</x:v>
      </x:c>
      <x:c r="W348" s="14" t="str">
        <x:f>'02_Benchmarks'!$P348</x:f>
        <x:v>Optional – kein aktiver Benchmark</x:v>
      </x:c>
      <x:c r="X348" s="14" t="str">
        <x:v>Platzhalter – fachliche Operationalisierung offen</x:v>
      </x:c>
      <x:c r="Y348" s="14" t="str">
        <x:v>Kritisch</x:v>
      </x:c>
      <x:c r="Z348" s="14" t="str">
        <x:v>Arbeitskalibrierung – fachlich zu validieren</x:v>
      </x:c>
      <x:c r="AA348" s="14" t="str">
        <x:v>Programm/Portfolio/Systemraum; Empfängergruppe, Region und Zeitraum explizit definieren</x:v>
      </x:c>
      <x:c r="AB348" s="14" t="str">
        <x:v>Primärdaten bevorzugt; Sekundärdaten nur transparent und versioniert; Methode und Systemgrenze dokumentieren</x:v>
      </x:c>
      <x:c r="AC348" s="14" t="str">
        <x:v>Limited Assurance; risikobasiert höhere Prüftiefe</x:v>
      </x:c>
    </x:row>
    <x:row r="349" ht="42" customHeight="1">
      <x:c r="A349" s="14" t="str">
        <x:v>WOK-SYS-139</x:v>
      </x:c>
      <x:c r="B349" s="14" t="str">
        <x:v>SDG 13 – Klima</x:v>
      </x:c>
      <x:c r="C349" s="14" t="str">
        <x:v>13.3</x:v>
      </x:c>
      <x:c r="D349" s="14" t="str">
        <x:v>Klimapartnerschaften</x:v>
      </x:c>
      <x:c r="E349" s="14" t="str">
        <x:v>Klimapartnerschaften – Kooperationen</x:v>
      </x:c>
      <x:c r="F349" s="14" t="str">
        <x:v>#/Jahr</x:v>
      </x:c>
      <x:c r="G349" s="14" t="str">
        <x:v>higher_is_better</x:v>
      </x:c>
      <x:c r="H349" s="14" t="str">
        <x:v>R20</x:v>
      </x:c>
      <x:c r="I349" s="14" t="str">
        <x:v>NUM_HIGH</x:v>
      </x:c>
      <x:c r="J349" s="51"/>
      <x:c r="K349" s="51"/>
      <x:c r="L349" s="51"/>
      <x:c r="M349" s="54"/>
      <x:c r="N349" s="58" t="str">
        <x:f>IF($J349="","",IF($J349&lt;0,-3,IF($J349&lt;1,-2,IF($J349&lt;3,0,IF($J349&lt;5,2,3)))))</x:f>
      </x:c>
      <x:c r="O349" s="58" t="str">
        <x:f>IF($J349="","",IF(OR('02_Benchmarks'!$P349&lt;&gt;"Aktiv",COUNT('02_Benchmarks'!$J349:$M349)&lt;4),"",IF($G349="lower_is_better",IF($J349&lt;='02_Benchmarks'!$J349,3,IF($J349&lt;'02_Benchmarks'!$K349,2,IF($J349&lt;='02_Benchmarks'!$L349,0,IF($J349&lt;='02_Benchmarks'!$M349,-2,-3)))),IF($J349&gt;='02_Benchmarks'!$J349,3,IF($J349&gt;'02_Benchmarks'!$K349,2,IF($J349&gt;='02_Benchmarks'!$L349,0,IF($J349&gt;='02_Benchmarks'!$M349,-2,-3)))))))</x:f>
      </x:c>
      <x:c r="P349" s="58" t="str">
        <x:f>IF(COUNT($N349:$O349)+IF(ISNUMBER($K349),1,0)=0,"",MIN($N349:$O349,$K349))</x:f>
      </x:c>
      <x:c r="Q349" s="58" t="str">
        <x:f>IF($P349="","",INDEX('04_Tarifmodell'!$B$6:$B$12,$P349+4))</x:f>
      </x:c>
      <x:c r="R349" s="64" t="str">
        <x:f>IF($P349="","",INDEX('04_Tarifmodell'!$C$6:$C$12,$P349+4))</x:f>
      </x:c>
      <x:c r="S349" s="14" t="str">
        <x:f>IF(OR($I349="QUALITATIVE",$I349="MANUAL_HYBRID"),IF($K349="","Assurance-Score fehlt","Assurance-bewertet"),IF($I349="BENCHMARK",IF($W349&lt;&gt;"Aktiv",IF($K349="","Benchmark fehlt","Assurance-bewertet"),IF($J349="","Messwert fehlt",IF($P349="","Nicht bewertbar","Berechnet"))),IF(AND($J349="",$K349&lt;&gt;""),"Nur Assurance-Score",IF($J349="","Messwert fehlt",IF($P349="","Nicht bewertbar",IF($P349&lt;=-2,"Kritische Wirkung / Prüfung","Berechnet"))))))</x:f>
        <x:v>Messwert fehlt</x:v>
      </x:c>
      <x:c r="T349" s="14" t="str">
        <x:v>SROI/SDG 17 ist keine hinreichend konkrete Mess- oder Schwellenquelle. Für sachlogisch nichtnegative Zählwerte ist 0 die schlechteste reguläre Klasse (−2).</x:v>
      </x:c>
      <x:c r="U349" s="14" t="str">
        <x:v>≥5:+3; 3–4:+2; 1–2:0; 0:‑2</x:v>
      </x:c>
      <x:c r="V349" s="14" t="str">
        <x:v>SDG 16/17, WJP, V‑Dem</x:v>
      </x:c>
      <x:c r="W349" s="14" t="str">
        <x:f>'02_Benchmarks'!$P349</x:f>
        <x:v>Optional – kein aktiver Benchmark</x:v>
      </x:c>
      <x:c r="X349" s="14" t="str">
        <x:v>Platzhalter – fachliche Operationalisierung offen</x:v>
      </x:c>
      <x:c r="Y349" s="14" t="str">
        <x:v>Kritisch</x:v>
      </x:c>
      <x:c r="Z349" s="14" t="str">
        <x:v>Klasse −3 nur für negative/unzulässige Werte ergänzt</x:v>
      </x:c>
      <x:c r="AA349" s="14" t="str">
        <x:v>Programm/Portfolio/Systemraum; Empfängergruppe, Region und Zeitraum explizit definieren</x:v>
      </x:c>
      <x:c r="AB349" s="14" t="str">
        <x:v>Primärdaten bevorzugt; Sekundärdaten nur transparent und versioniert; Methode und Systemgrenze dokumentieren</x:v>
      </x:c>
      <x:c r="AC349" s="14" t="str">
        <x:v>Limited Assurance; risikobasiert höhere Prüftiefe</x:v>
      </x:c>
    </x:row>
    <x:row r="350" ht="42" customHeight="1">
      <x:c r="A350" s="14" t="str">
        <x:v>WOK-E-188</x:v>
      </x:c>
      <x:c r="B350" s="14" t="str">
        <x:v>SDG 13 – Klima</x:v>
      </x:c>
      <x:c r="C350" s="14" t="str">
        <x:v>13.1</x:v>
      </x:c>
      <x:c r="D350" s="14" t="str">
        <x:v>Physisches Klimarisiko</x:v>
      </x:c>
      <x:c r="E350" s="14" t="str">
        <x:v>Physisches Klimarisiko – Green R&amp;D</x:v>
      </x:c>
      <x:c r="F350" s="14" t="str">
        <x:v>% Umsatz</x:v>
      </x:c>
      <x:c r="G350" s="14" t="str">
        <x:v>higher_is_better</x:v>
      </x:c>
      <x:c r="H350" s="14" t="str">
        <x:v>R19</x:v>
      </x:c>
      <x:c r="I350" s="14" t="str">
        <x:v>NUM_HIGH</x:v>
      </x:c>
      <x:c r="J350" s="51"/>
      <x:c r="K350" s="51"/>
      <x:c r="L350" s="51"/>
      <x:c r="M350" s="54"/>
      <x:c r="N350" s="58" t="str">
        <x:f>IF($J350="","",IF($J350&lt;0.5,-3,IF($J350&lt;1,-2,IF($J350&lt;3,0,IF($J350&lt;5,2,3)))))</x:f>
      </x:c>
      <x:c r="O350" s="58" t="str">
        <x:f>IF($J350="","",IF(OR('02_Benchmarks'!$P350&lt;&gt;"Aktiv",COUNT('02_Benchmarks'!$J350:$M350)&lt;4),"",IF($G350="lower_is_better",IF($J350&lt;='02_Benchmarks'!$J350,3,IF($J350&lt;'02_Benchmarks'!$K350,2,IF($J350&lt;='02_Benchmarks'!$L350,0,IF($J350&lt;='02_Benchmarks'!$M350,-2,-3)))),IF($J350&gt;='02_Benchmarks'!$J350,3,IF($J350&gt;'02_Benchmarks'!$K350,2,IF($J350&gt;='02_Benchmarks'!$L350,0,IF($J350&gt;='02_Benchmarks'!$M350,-2,-3)))))))</x:f>
      </x:c>
      <x:c r="P350" s="58" t="str">
        <x:f>IF(COUNT($N350:$O350)+IF(ISNUMBER($K350),1,0)=0,"",MIN($N350:$O350,$K350))</x:f>
      </x:c>
      <x:c r="Q350" s="58" t="str">
        <x:f>IF($P350="","",INDEX('04_Tarifmodell'!$B$6:$B$12,$P350+4))</x:f>
      </x:c>
      <x:c r="R350" s="64" t="str">
        <x:f>IF($P350="","",INDEX('04_Tarifmodell'!$C$6:$C$12,$P350+4))</x:f>
      </x:c>
      <x:c r="S350" s="14" t="str">
        <x:f>IF(OR($I350="QUALITATIVE",$I350="MANUAL_HYBRID"),IF($K350="","Assurance-Score fehlt","Assurance-bewertet"),IF($I350="BENCHMARK",IF($W350&lt;&gt;"Aktiv",IF($K350="","Benchmark fehlt","Assurance-bewertet"),IF($J350="","Messwert fehlt",IF($P350="","Nicht bewertbar","Berechnet"))),IF(AND($J350="",$K350&lt;&gt;""),"Nur Assurance-Score",IF($J350="","Messwert fehlt",IF($P350="","Nicht bewertbar",IF($P350&lt;=-2,"Kritische Wirkung / Prüfung","Berechnet"))))))</x:f>
        <x:v>Messwert fehlt</x:v>
      </x:c>
      <x:c r="T350" s="14" t="str">
        <x:v>Vollständige fünfstufige numerische Regel.</x:v>
      </x:c>
      <x:c r="U350" s="14" t="str">
        <x:v>≥5:+3; 3–4,9:+2; 1–2,9:0; 0,5–0,9:‑2; &lt;0,5:‑3</x:v>
      </x:c>
      <x:c r="V350" s="14" t="str">
        <x:v>OECD Frascati, PATSTAT</x:v>
      </x:c>
      <x:c r="W350" s="14" t="str">
        <x:f>'02_Benchmarks'!$P350</x:f>
        <x:v>Optional – kein aktiver Benchmark</x:v>
      </x:c>
      <x:c r="X350" s="14" t="str">
        <x:v>Messgrundlage belegt; Schwellenkalibrierung offen</x:v>
      </x:c>
      <x:c r="Y350" s="14" t="str">
        <x:v>Mittel</x:v>
      </x:c>
      <x:c r="Z350" s="14" t="str">
        <x:v>Arbeitskalibrierung – fachlich zu validieren</x:v>
      </x:c>
      <x:c r="AA350" s="14" t="str">
        <x:v>Standort/Prozess/Aktivität; Bezugsgröße und relevante Umweltmedien</x:v>
      </x:c>
      <x:c r="AB350" s="14" t="str">
        <x:v>Primärdaten bevorzugt; Sekundärdaten nur transparent und versioniert; Methode und Systemgrenze dokumentieren</x:v>
      </x:c>
      <x:c r="AC350" s="14" t="str">
        <x:v>Limited Assurance; risikobasiert höhere Prüftiefe</x:v>
      </x:c>
    </x:row>
    <x:row r="351" ht="42" customHeight="1">
      <x:c r="A351" s="14" t="str">
        <x:v>WOK-E-189</x:v>
      </x:c>
      <x:c r="B351" s="14" t="str">
        <x:v>SDG 13 – Klima</x:v>
      </x:c>
      <x:c r="C351" s="14" t="str">
        <x:v>13.1</x:v>
      </x:c>
      <x:c r="D351" s="14" t="str">
        <x:v>Physisches Klimarisiko</x:v>
      </x:c>
      <x:c r="E351" s="14" t="str">
        <x:v>Physisches Klimarisiko – SDG‑Patente</x:v>
      </x:c>
      <x:c r="F351" s="14" t="str">
        <x:v>%</x:v>
      </x:c>
      <x:c r="G351" s="14" t="str">
        <x:v>higher_is_better</x:v>
      </x:c>
      <x:c r="H351" s="14" t="str">
        <x:v>R17</x:v>
      </x:c>
      <x:c r="I351" s="14" t="str">
        <x:v>NUM_HIGH</x:v>
      </x:c>
      <x:c r="J351" s="51"/>
      <x:c r="K351" s="51"/>
      <x:c r="L351" s="51"/>
      <x:c r="M351" s="54"/>
      <x:c r="N351" s="58" t="str">
        <x:f>IF($J351="","",IF($J351&lt;5,-3,IF($J351&lt;10,-2,IF($J351&lt;25,0,IF($J351&lt;40,2,3)))))</x:f>
      </x:c>
      <x:c r="O351" s="58" t="str">
        <x:f>IF($J351="","",IF(OR('02_Benchmarks'!$P351&lt;&gt;"Aktiv",COUNT('02_Benchmarks'!$J351:$M351)&lt;4),"",IF($G351="lower_is_better",IF($J351&lt;='02_Benchmarks'!$J351,3,IF($J351&lt;'02_Benchmarks'!$K351,2,IF($J351&lt;='02_Benchmarks'!$L351,0,IF($J351&lt;='02_Benchmarks'!$M351,-2,-3)))),IF($J351&gt;='02_Benchmarks'!$J351,3,IF($J351&gt;'02_Benchmarks'!$K351,2,IF($J351&gt;='02_Benchmarks'!$L351,0,IF($J351&gt;='02_Benchmarks'!$M351,-2,-3)))))))</x:f>
      </x:c>
      <x:c r="P351" s="58" t="str">
        <x:f>IF(COUNT($N351:$O351)+IF(ISNUMBER($K351),1,0)=0,"",MIN($N351:$O351,$K351))</x:f>
      </x:c>
      <x:c r="Q351" s="58" t="str">
        <x:f>IF($P351="","",INDEX('04_Tarifmodell'!$B$6:$B$12,$P351+4))</x:f>
      </x:c>
      <x:c r="R351" s="64" t="str">
        <x:f>IF($P351="","",INDEX('04_Tarifmodell'!$C$6:$C$12,$P351+4))</x:f>
      </x:c>
      <x:c r="S351" s="14" t="str">
        <x:f>IF(OR($I351="QUALITATIVE",$I351="MANUAL_HYBRID"),IF($K351="","Assurance-Score fehlt","Assurance-bewertet"),IF($I351="BENCHMARK",IF($W351&lt;&gt;"Aktiv",IF($K351="","Benchmark fehlt","Assurance-bewertet"),IF($J351="","Messwert fehlt",IF($P351="","Nicht bewertbar","Berechnet"))),IF(AND($J351="",$K351&lt;&gt;""),"Nur Assurance-Score",IF($J351="","Messwert fehlt",IF($P351="","Nicht bewertbar",IF($P351&lt;=-2,"Kritische Wirkung / Prüfung","Berechnet"))))))</x:f>
        <x:v>Messwert fehlt</x:v>
      </x:c>
      <x:c r="T351" s="14" t="str">
        <x:v>Patentmenge nicht mit Wirkung gleichsetzen; Qualität und Nutzung ergänzen. Vollständige fünfstufige numerische Regel.</x:v>
      </x:c>
      <x:c r="U351" s="14" t="str">
        <x:v>≥40:+3; 25–39:+2; 10–24:0; 5–9:‑2; &lt;5:‑3</x:v>
      </x:c>
      <x:c r="V351" s="14" t="str">
        <x:v>OECD Frascati, PATSTAT</x:v>
      </x:c>
      <x:c r="W351" s="14" t="str">
        <x:f>'02_Benchmarks'!$P351</x:f>
        <x:v>Optional – kein aktiver Benchmark</x:v>
      </x:c>
      <x:c r="X351" s="14" t="str">
        <x:v>Teilbelegt – Wirkungslogik ergänzen</x:v>
      </x:c>
      <x:c r="Y351" s="14" t="str">
        <x:v>Hoch</x:v>
      </x:c>
      <x:c r="Z351" s="14" t="str">
        <x:v>Arbeitskalibrierung – fachlich zu validieren</x:v>
      </x:c>
      <x:c r="AA351" s="14" t="str">
        <x:v>Standort/Prozess/Aktivität; Bezugsgröße und relevante Umweltmedien</x:v>
      </x:c>
      <x:c r="AB351" s="14" t="str">
        <x:v>Primärdaten oder qualitätsgesicherte Sekundärdaten; Methode, Zeitraum und Systemgrenze dokumentieren</x:v>
      </x:c>
      <x:c r="AC351" s="14" t="str">
        <x:v>Limited Assurance; bei materieller Steuerwirkung risikobasiert vertiefen</x:v>
      </x:c>
    </x:row>
    <x:row r="352" ht="42" customHeight="1">
      <x:c r="A352" s="14" t="str">
        <x:v>WOK-E-190</x:v>
      </x:c>
      <x:c r="B352" s="14" t="str">
        <x:v>SDG 13 – Klima</x:v>
      </x:c>
      <x:c r="C352" s="14" t="str">
        <x:v>13.1</x:v>
      </x:c>
      <x:c r="D352" s="14" t="str">
        <x:v>Physisches Klimarisiko</x:v>
      </x:c>
      <x:c r="E352" s="14" t="str">
        <x:v>Physisches Klimarisiko – Prozess‑Effizienz</x:v>
      </x:c>
      <x:c r="F352" s="14" t="str">
        <x:v>kWh/t bzw. t CO₂e/t</x:v>
      </x:c>
      <x:c r="G352" s="14" t="str">
        <x:v>lower_is_better</x:v>
      </x:c>
      <x:c r="H352" s="14" t="str">
        <x:v>R06</x:v>
      </x:c>
      <x:c r="I352" s="14" t="str">
        <x:v>BENCHMARK</x:v>
      </x:c>
      <x:c r="J352" s="51"/>
      <x:c r="K352" s="51"/>
      <x:c r="L352" s="51"/>
      <x:c r="M352" s="54"/>
      <x:c r="N352" s="58" t="str">
        <x:f>""</x:f>
      </x:c>
      <x:c r="O352" s="58" t="str">
        <x:f>IF($J352="","",IF(OR('02_Benchmarks'!$P352&lt;&gt;"Aktiv",COUNT('02_Benchmarks'!$J352:$M352)&lt;4),"",IF($G352="lower_is_better",IF($J352&lt;='02_Benchmarks'!$J352,3,IF($J352&lt;'02_Benchmarks'!$K352,2,IF($J352&lt;='02_Benchmarks'!$L352,0,IF($J352&lt;='02_Benchmarks'!$M352,-2,-3)))),IF($J352&gt;='02_Benchmarks'!$J352,3,IF($J352&gt;'02_Benchmarks'!$K352,2,IF($J352&gt;='02_Benchmarks'!$L352,0,IF($J352&gt;='02_Benchmarks'!$M352,-2,-3)))))))</x:f>
      </x:c>
      <x:c r="P352" s="58" t="str">
        <x:f>IF(COUNT($N352:$O352)+IF(ISNUMBER($K352),1,0)=0,"",MIN($N352:$O352,$K352))</x:f>
      </x:c>
      <x:c r="Q352" s="58" t="str">
        <x:f>IF($P352="","",INDEX('04_Tarifmodell'!$B$6:$B$12,$P352+4))</x:f>
      </x:c>
      <x:c r="R352" s="64" t="str">
        <x:f>IF($P352="","",INDEX('04_Tarifmodell'!$C$6:$C$12,$P352+4))</x:f>
      </x:c>
      <x:c r="S352" s="14" t="str">
        <x:f>IF(OR($I352="QUALITATIVE",$I352="MANUAL_HYBRID"),IF($K352="","Assurance-Score fehlt","Assurance-bewertet"),IF($I352="BENCHMARK",IF($W352&lt;&gt;"Aktiv",IF($K352="","Benchmark fehlt","Assurance-bewertet"),IF($J352="","Messwert fehlt",IF($P352="","Nicht bewertbar","Berechnet"))),IF(AND($J352="",$K352&lt;&gt;""),"Nur Assurance-Score",IF($J352="","Messwert fehlt",IF($P352="","Nicht bewertbar",IF($P352&lt;=-2,"Kritische Wirkung / Prüfung","Berechnet"))))))</x:f>
        <x:v>Benchmark fehlt</x:v>
      </x:c>
      <x:c r="T352" s="14" t="str">
        <x:v>Top-10-Prozent, Mittelwert, 150 % und 250 % müssen aus einer dokumentierten Grundgesamtheit stammen.</x:v>
      </x:c>
      <x:c r="U352" s="14" t="str">
        <x:v>Top‑10%:+3; Mittel:0; &gt;150%:‑2; &gt;250%:‑3</x:v>
      </x:c>
      <x:c r="V352" s="14" t="str">
        <x:v>ESRS E1, GHG Protocol (Corporate/Scope 1–3), ISO 14064/14067</x:v>
      </x:c>
      <x:c r="W352" s="14" t="str">
        <x:f>'02_Benchmarks'!$P352</x:f>
        <x:v>Offen – validierter Benchmark fehlt</x:v>
      </x:c>
      <x:c r="X352" s="14" t="str">
        <x:v>Teilbelegt – Benchmarkquelle fehlt</x:v>
      </x:c>
      <x:c r="Y352" s="14" t="str">
        <x:v>Hoch</x:v>
      </x:c>
      <x:c r="Z352" s="14" t="str">
        <x:v>Validierter Benchmark fehlt</x:v>
      </x:c>
      <x:c r="AA352" s="14" t="str">
        <x:v>Standort/Prozess/Aktivität; Bezugsgröße und relevante Umweltmedien</x:v>
      </x:c>
      <x:c r="AB352" s="14" t="str">
        <x:v>Primärdaten plus repräsentativer, versionierter Benchmarkdatensatz; Stichprobe und Population offenlegen</x:v>
      </x:c>
      <x:c r="AC352" s="14" t="str">
        <x:v>Messwert-Assurance und unabhängige Benchmark-Governance</x:v>
      </x:c>
    </x:row>
    <x:row r="353" ht="42" customHeight="1">
      <x:c r="A353" s="14" t="str">
        <x:v>WOK-POL-107</x:v>
      </x:c>
      <x:c r="B353" s="14" t="str">
        <x:v>SDG 13 – Klima</x:v>
      </x:c>
      <x:c r="C353" s="14" t="str">
        <x:v>13.2</x:v>
      </x:c>
      <x:c r="D353" s="14" t="str">
        <x:v>TSC‑Grenzen (Klima)</x:v>
      </x:c>
      <x:c r="E353" s="14" t="str">
        <x:v>TSC‑Grenzen (Klima) – Spezifische Emissionen</x:v>
      </x:c>
      <x:c r="F353" s="14" t="str">
        <x:v>g CO₂e/kWh</x:v>
      </x:c>
      <x:c r="G353" s="14" t="str">
        <x:v>lower_is_better</x:v>
      </x:c>
      <x:c r="H353" s="14" t="str">
        <x:v>R10</x:v>
      </x:c>
      <x:c r="I353" s="14" t="str">
        <x:v>NUM_LOW</x:v>
      </x:c>
      <x:c r="J353" s="51"/>
      <x:c r="K353" s="51"/>
      <x:c r="L353" s="51"/>
      <x:c r="M353" s="54"/>
      <x:c r="N353" s="58" t="str">
        <x:f>IF($J353="","",IF($J353&lt;=100,3,IF($J353&lt;=250,0,IF($J353&lt;=1E+99,-2,IF($J353&lt;=1E+99,-2,-2)))))</x:f>
      </x:c>
      <x:c r="O353" s="58" t="str">
        <x:f>IF($J353="","",IF(OR('02_Benchmarks'!$P353&lt;&gt;"Aktiv",COUNT('02_Benchmarks'!$J353:$M353)&lt;4),"",IF($G353="lower_is_better",IF($J353&lt;='02_Benchmarks'!$J353,3,IF($J353&lt;'02_Benchmarks'!$K353,2,IF($J353&lt;='02_Benchmarks'!$L353,0,IF($J353&lt;='02_Benchmarks'!$M353,-2,-3)))),IF($J353&gt;='02_Benchmarks'!$J353,3,IF($J353&gt;'02_Benchmarks'!$K353,2,IF($J353&gt;='02_Benchmarks'!$L353,0,IF($J353&gt;='02_Benchmarks'!$M353,-2,-3)))))))</x:f>
      </x:c>
      <x:c r="P353" s="58" t="str">
        <x:f>IF(COUNT($N353:$O353)+IF(ISNUMBER($K353),1,0)=0,"",MIN($N353:$O353,$K353))</x:f>
      </x:c>
      <x:c r="Q353" s="58" t="str">
        <x:f>IF($P353="","",INDEX('04_Tarifmodell'!$B$6:$B$12,$P353+4))</x:f>
      </x:c>
      <x:c r="R353" s="64" t="str">
        <x:f>IF($P353="","",INDEX('04_Tarifmodell'!$C$6:$C$12,$P353+4))</x:f>
      </x:c>
      <x:c r="S353" s="14" t="str">
        <x:f>IF(OR($I353="QUALITATIVE",$I353="MANUAL_HYBRID"),IF($K353="","Assurance-Score fehlt","Assurance-bewertet"),IF($I353="BENCHMARK",IF($W353&lt;&gt;"Aktiv",IF($K353="","Benchmark fehlt","Assurance-bewertet"),IF($J353="","Messwert fehlt",IF($P353="","Nicht bewertbar","Berechnet"))),IF(AND($J353="",$K353&lt;&gt;""),"Nur Assurance-Score",IF($J353="","Messwert fehlt",IF($P353="","Nicht bewertbar",IF($P353&lt;=-2,"Kritische Wirkung / Prüfung","Berechnet"))))))</x:f>
        <x:v>Messwert fehlt</x:v>
      </x:c>
      <x:c r="T353" s="14" t="str">
        <x:v>Automatik bildet nur die explizit vorhandenen Klassen ab.</x:v>
      </x:c>
      <x:c r="U353" s="14" t="str">
        <x:v>≤100:+3; 101–250:0; &gt;250:‑2</x:v>
      </x:c>
      <x:c r="V353" s="14" t="str">
        <x:v>ESRS E1, GHG Protocol (Corporate/Scope 1–3), ISO 14064/14067</x:v>
      </x:c>
      <x:c r="W353" s="14" t="str">
        <x:f>'02_Benchmarks'!$P353</x:f>
        <x:v>Optional – kein aktiver Benchmark</x:v>
      </x:c>
      <x:c r="X353" s="14" t="str">
        <x:v>Messgrundlage belegt; Schwellenkalibrierung offen</x:v>
      </x:c>
      <x:c r="Y353" s="14" t="str">
        <x:v>Mittel</x:v>
      </x:c>
      <x:c r="Z353" s="14" t="str">
        <x:v>Klassen +2 und −3 fehlen</x:v>
      </x:c>
      <x:c r="AA353" s="14" t="str">
        <x:v>Technologie-/Aktivitätsklasse; Anlagen-, Netz- oder Flottengrenze ausweisen</x:v>
      </x:c>
      <x:c r="AB353" s="14" t="str">
        <x:v>Primärdaten bevorzugt; Sekundärdaten nur transparent und versioniert; Methode und Systemgrenze dokumentieren</x:v>
      </x:c>
      <x:c r="AC353" s="14" t="str">
        <x:v>Limited Assurance; risikobasiert höhere Prüftiefe</x:v>
      </x:c>
    </x:row>
    <x:row r="354" ht="42" customHeight="1">
      <x:c r="A354" s="14" t="str">
        <x:v>WOK-POL-108</x:v>
      </x:c>
      <x:c r="B354" s="14" t="str">
        <x:v>SDG 13 – Klima</x:v>
      </x:c>
      <x:c r="C354" s="14" t="str">
        <x:v>13.2</x:v>
      </x:c>
      <x:c r="D354" s="14" t="str">
        <x:v>TSC‑Grenzen (Klima)</x:v>
      </x:c>
      <x:c r="E354" s="14" t="str">
        <x:v>TSC‑Grenzen (Klima) – DNSH‑Konformität</x:v>
      </x:c>
      <x:c r="F354" s="14" t="str">
        <x:v>% Aktivitäten</x:v>
      </x:c>
      <x:c r="G354" s="14" t="str">
        <x:v>higher_is_better</x:v>
      </x:c>
      <x:c r="H354" s="14" t="str">
        <x:v>R25</x:v>
      </x:c>
      <x:c r="I354" s="14" t="str">
        <x:v>NUM_HIGH</x:v>
      </x:c>
      <x:c r="J354" s="51"/>
      <x:c r="K354" s="51"/>
      <x:c r="L354" s="51"/>
      <x:c r="M354" s="54"/>
      <x:c r="N354" s="58" t="str">
        <x:f>IF($J354="","",IF($J354&lt;30,-3,IF($J354&lt;50,-2,IF($J354&lt;70,0,IF($J354&lt;90,2,3)))))</x:f>
      </x:c>
      <x:c r="O354" s="58" t="str">
        <x:f>IF($J354="","",IF(OR('02_Benchmarks'!$P354&lt;&gt;"Aktiv",COUNT('02_Benchmarks'!$J354:$M354)&lt;4),"",IF($G354="lower_is_better",IF($J354&lt;='02_Benchmarks'!$J354,3,IF($J354&lt;'02_Benchmarks'!$K354,2,IF($J354&lt;='02_Benchmarks'!$L354,0,IF($J354&lt;='02_Benchmarks'!$M354,-2,-3)))),IF($J354&gt;='02_Benchmarks'!$J354,3,IF($J354&gt;'02_Benchmarks'!$K354,2,IF($J354&gt;='02_Benchmarks'!$L354,0,IF($J354&gt;='02_Benchmarks'!$M354,-2,-3)))))))</x:f>
      </x:c>
      <x:c r="P354" s="58" t="str">
        <x:f>IF(COUNT($N354:$O354)+IF(ISNUMBER($K354),1,0)=0,"",MIN($N354:$O354,$K354))</x:f>
      </x:c>
      <x:c r="Q354" s="58" t="str">
        <x:f>IF($P354="","",INDEX('04_Tarifmodell'!$B$6:$B$12,$P354+4))</x:f>
      </x:c>
      <x:c r="R354" s="64" t="str">
        <x:f>IF($P354="","",INDEX('04_Tarifmodell'!$C$6:$C$12,$P354+4))</x:f>
      </x:c>
      <x:c r="S354" s="14" t="str">
        <x:f>IF(OR($I354="QUALITATIVE",$I354="MANUAL_HYBRID"),IF($K354="","Assurance-Score fehlt","Assurance-bewertet"),IF($I354="BENCHMARK",IF($W354&lt;&gt;"Aktiv",IF($K354="","Benchmark fehlt","Assurance-bewertet"),IF($J354="","Messwert fehlt",IF($P354="","Nicht bewertbar","Berechnet"))),IF(AND($J354="",$K354&lt;&gt;""),"Nur Assurance-Score",IF($J354="","Messwert fehlt",IF($P354="","Nicht bewertbar",IF($P354&lt;=-2,"Kritische Wirkung / Prüfung","Berechnet"))))))</x:f>
        <x:v>Messwert fehlt</x:v>
      </x:c>
      <x:c r="T354" s="14" t="str">
        <x:v>Vollständige fünfstufige Prozentregel.</x:v>
      </x:c>
      <x:c r="U354" s="14" t="str">
        <x:v>≥90%:+3; 70–89%:+2; 50–69%:0; 30–49%:‑2; &lt;30%:‑3</x:v>
      </x:c>
      <x:c r="V354" s="14" t="str">
        <x:v>EU‑Taxonomie (TSC &amp; DNSH)</x:v>
      </x:c>
      <x:c r="W354" s="14" t="str">
        <x:f>'02_Benchmarks'!$P354</x:f>
        <x:v>Optional – kein aktiver Benchmark</x:v>
      </x:c>
      <x:c r="X354" s="14" t="str">
        <x:v>Messgrundlage belegt; Schwellenkalibrierung offen</x:v>
      </x:c>
      <x:c r="Y354" s="14" t="str">
        <x:v>Mittel</x:v>
      </x:c>
      <x:c r="Z354" s="14" t="str">
        <x:v>Arbeitskalibrierung – fachlich zu validieren</x:v>
      </x:c>
      <x:c r="AA354" s="14" t="str">
        <x:v>Technologie-/Aktivitätsklasse; Anlagen-, Netz- oder Flottengrenze ausweisen</x:v>
      </x:c>
      <x:c r="AB354" s="14" t="str">
        <x:v>Primärdaten bevorzugt; Sekundärdaten nur transparent und versioniert; Methode und Systemgrenze dokumentieren</x:v>
      </x:c>
      <x:c r="AC354" s="14" t="str">
        <x:v>Limited Assurance; risikobasiert höhere Prüftiefe</x:v>
      </x:c>
    </x:row>
    <x:row r="355" ht="42" customHeight="1">
      <x:c r="A355" s="14" t="str">
        <x:v>WOK-POL-109</x:v>
      </x:c>
      <x:c r="B355" s="14" t="str">
        <x:v>SDG 13 – Klima</x:v>
      </x:c>
      <x:c r="C355" s="14" t="str">
        <x:v>13.2</x:v>
      </x:c>
      <x:c r="D355" s="14" t="str">
        <x:v>TSC‑Grenzen (Klima)</x:v>
      </x:c>
      <x:c r="E355" s="14" t="str">
        <x:v>TSC‑Grenzen (Klima) – TSC‑Schwellen</x:v>
      </x:c>
      <x:c r="F355" s="14" t="str">
        <x:v>% Aktivitäten</x:v>
      </x:c>
      <x:c r="G355" s="14" t="str">
        <x:v>higher_is_better</x:v>
      </x:c>
      <x:c r="H355" s="14" t="str">
        <x:v>R25</x:v>
      </x:c>
      <x:c r="I355" s="14" t="str">
        <x:v>NUM_HIGH</x:v>
      </x:c>
      <x:c r="J355" s="51"/>
      <x:c r="K355" s="51"/>
      <x:c r="L355" s="51"/>
      <x:c r="M355" s="54"/>
      <x:c r="N355" s="58" t="str">
        <x:f>IF($J355="","",IF($J355&lt;30,-3,IF($J355&lt;50,-2,IF($J355&lt;70,0,IF($J355&lt;90,2,3)))))</x:f>
      </x:c>
      <x:c r="O355" s="58" t="str">
        <x:f>IF($J355="","",IF(OR('02_Benchmarks'!$P355&lt;&gt;"Aktiv",COUNT('02_Benchmarks'!$J355:$M355)&lt;4),"",IF($G355="lower_is_better",IF($J355&lt;='02_Benchmarks'!$J355,3,IF($J355&lt;'02_Benchmarks'!$K355,2,IF($J355&lt;='02_Benchmarks'!$L355,0,IF($J355&lt;='02_Benchmarks'!$M355,-2,-3)))),IF($J355&gt;='02_Benchmarks'!$J355,3,IF($J355&gt;'02_Benchmarks'!$K355,2,IF($J355&gt;='02_Benchmarks'!$L355,0,IF($J355&gt;='02_Benchmarks'!$M355,-2,-3)))))))</x:f>
      </x:c>
      <x:c r="P355" s="58" t="str">
        <x:f>IF(COUNT($N355:$O355)+IF(ISNUMBER($K355),1,0)=0,"",MIN($N355:$O355,$K355))</x:f>
      </x:c>
      <x:c r="Q355" s="58" t="str">
        <x:f>IF($P355="","",INDEX('04_Tarifmodell'!$B$6:$B$12,$P355+4))</x:f>
      </x:c>
      <x:c r="R355" s="64" t="str">
        <x:f>IF($P355="","",INDEX('04_Tarifmodell'!$C$6:$C$12,$P355+4))</x:f>
      </x:c>
      <x:c r="S355" s="14" t="str">
        <x:f>IF(OR($I355="QUALITATIVE",$I355="MANUAL_HYBRID"),IF($K355="","Assurance-Score fehlt","Assurance-bewertet"),IF($I355="BENCHMARK",IF($W355&lt;&gt;"Aktiv",IF($K355="","Benchmark fehlt","Assurance-bewertet"),IF($J355="","Messwert fehlt",IF($P355="","Nicht bewertbar","Berechnet"))),IF(AND($J355="",$K355&lt;&gt;""),"Nur Assurance-Score",IF($J355="","Messwert fehlt",IF($P355="","Nicht bewertbar",IF($P355&lt;=-2,"Kritische Wirkung / Prüfung","Berechnet"))))))</x:f>
        <x:v>Messwert fehlt</x:v>
      </x:c>
      <x:c r="T355" s="14" t="str">
        <x:v>Vollständige fünfstufige Prozentregel.</x:v>
      </x:c>
      <x:c r="U355" s="14" t="str">
        <x:v>≥90%:+3; 70–89%:+2; 50–69%:0; 30–49%:‑2; &lt;30%:‑3</x:v>
      </x:c>
      <x:c r="V355" s="14" t="str">
        <x:v>EU‑Taxonomie (TSC &amp; DNSH)</x:v>
      </x:c>
      <x:c r="W355" s="14" t="str">
        <x:f>'02_Benchmarks'!$P355</x:f>
        <x:v>Optional – kein aktiver Benchmark</x:v>
      </x:c>
      <x:c r="X355" s="14" t="str">
        <x:v>Messgrundlage belegt; Schwellenkalibrierung offen</x:v>
      </x:c>
      <x:c r="Y355" s="14" t="str">
        <x:v>Mittel</x:v>
      </x:c>
      <x:c r="Z355" s="14" t="str">
        <x:v>Arbeitskalibrierung – fachlich zu validieren</x:v>
      </x:c>
      <x:c r="AA355" s="14" t="str">
        <x:v>Technologie-/Aktivitätsklasse; Anlagen-, Netz- oder Flottengrenze ausweisen</x:v>
      </x:c>
      <x:c r="AB355" s="14" t="str">
        <x:v>Primärdaten bevorzugt; Sekundärdaten nur transparent und versioniert; Methode und Systemgrenze dokumentieren</x:v>
      </x:c>
      <x:c r="AC355" s="14" t="str">
        <x:v>Limited Assurance; risikobasiert höhere Prüftiefe</x:v>
      </x:c>
    </x:row>
    <x:row r="356" ht="42" customHeight="1">
      <x:c r="A356" s="14" t="str">
        <x:v>WOK-E-191</x:v>
      </x:c>
      <x:c r="B356" s="14" t="str">
        <x:v>SDG 14 – Unter Wasser</x:v>
      </x:c>
      <x:c r="C356" s="14" t="str">
        <x:v>14.1</x:v>
      </x:c>
      <x:c r="D356" s="14" t="str">
        <x:v>Nährstoffeintrag</x:v>
      </x:c>
      <x:c r="E356" s="14" t="str">
        <x:v>Nährstoffeintrag – Entnahme (WSI)</x:v>
      </x:c>
      <x:c r="F356" s="14" t="str">
        <x:v>m³*WSI</x:v>
      </x:c>
      <x:c r="G356" s="14" t="str">
        <x:v>lower_is_better</x:v>
      </x:c>
      <x:c r="H356" s="14" t="str">
        <x:v>R06</x:v>
      </x:c>
      <x:c r="I356" s="14" t="str">
        <x:v>BENCHMARK</x:v>
      </x:c>
      <x:c r="J356" s="51"/>
      <x:c r="K356" s="51"/>
      <x:c r="L356" s="51"/>
      <x:c r="M356" s="54"/>
      <x:c r="N356" s="58" t="str">
        <x:f>""</x:f>
      </x:c>
      <x:c r="O356" s="58" t="str">
        <x:f>IF($J356="","",IF(OR('02_Benchmarks'!$P356&lt;&gt;"Aktiv",COUNT('02_Benchmarks'!$J356:$M356)&lt;4),"",IF($G356="lower_is_better",IF($J356&lt;='02_Benchmarks'!$J356,3,IF($J356&lt;'02_Benchmarks'!$K356,2,IF($J356&lt;='02_Benchmarks'!$L356,0,IF($J356&lt;='02_Benchmarks'!$M356,-2,-3)))),IF($J356&gt;='02_Benchmarks'!$J356,3,IF($J356&gt;'02_Benchmarks'!$K356,2,IF($J356&gt;='02_Benchmarks'!$L356,0,IF($J356&gt;='02_Benchmarks'!$M356,-2,-3)))))))</x:f>
      </x:c>
      <x:c r="P356" s="58" t="str">
        <x:f>IF(COUNT($N356:$O356)+IF(ISNUMBER($K356),1,0)=0,"",MIN($N356:$O356,$K356))</x:f>
      </x:c>
      <x:c r="Q356" s="58" t="str">
        <x:f>IF($P356="","",INDEX('04_Tarifmodell'!$B$6:$B$12,$P356+4))</x:f>
      </x:c>
      <x:c r="R356" s="64" t="str">
        <x:f>IF($P356="","",INDEX('04_Tarifmodell'!$C$6:$C$12,$P356+4))</x:f>
      </x:c>
      <x:c r="S356" s="14" t="str">
        <x:f>IF(OR($I356="QUALITATIVE",$I356="MANUAL_HYBRID"),IF($K356="","Assurance-Score fehlt","Assurance-bewertet"),IF($I356="BENCHMARK",IF($W356&lt;&gt;"Aktiv",IF($K356="","Benchmark fehlt","Assurance-bewertet"),IF($J356="","Messwert fehlt",IF($P356="","Nicht bewertbar","Berechnet"))),IF(AND($J356="",$K356&lt;&gt;""),"Nur Assurance-Score",IF($J356="","Messwert fehlt",IF($P356="","Nicht bewertbar",IF($P356&lt;=-2,"Kritische Wirkung / Prüfung","Berechnet"))))))</x:f>
        <x:v>Benchmark fehlt</x:v>
      </x:c>
      <x:c r="T356" s="14" t="str">
        <x:v>Top-10-Prozent, Mittelwert, 150 % und 250 % müssen aus einer dokumentierten Grundgesamtheit stammen.</x:v>
      </x:c>
      <x:c r="U356" s="14" t="str">
        <x:v>Top‑10%:+3; Mittel:0; &gt;150%:‑2; &gt;250%:‑3</x:v>
      </x:c>
      <x:c r="V356" s="14" t="str">
        <x:v>ESRS E3, WRI Aqueduct, ISO 14046 (Water Footprint)</x:v>
      </x:c>
      <x:c r="W356" s="14" t="str">
        <x:f>'02_Benchmarks'!$P356</x:f>
        <x:v>Offen – validierter Benchmark fehlt</x:v>
      </x:c>
      <x:c r="X356" s="14" t="str">
        <x:v>Teilbelegt – Benchmarkquelle fehlt</x:v>
      </x:c>
      <x:c r="Y356" s="14" t="str">
        <x:v>Hoch</x:v>
      </x:c>
      <x:c r="Z356" s="14" t="str">
        <x:v>Validierter Benchmark fehlt</x:v>
      </x:c>
      <x:c r="AA356" s="14" t="str">
        <x:v>Standort/Prozess/Aktivität; Bezugsgröße und relevante Umweltmedien</x:v>
      </x:c>
      <x:c r="AB356" s="14" t="str">
        <x:v>Primärdaten plus repräsentativer, versionierter Benchmarkdatensatz; Stichprobe und Population offenlegen</x:v>
      </x:c>
      <x:c r="AC356" s="14" t="str">
        <x:v>Messwert-Assurance und unabhängige Benchmark-Governance</x:v>
      </x:c>
    </x:row>
    <x:row r="357" ht="42" customHeight="1">
      <x:c r="A357" s="14" t="str">
        <x:v>WOK-E-192</x:v>
      </x:c>
      <x:c r="B357" s="14" t="str">
        <x:v>SDG 14 – Unter Wasser</x:v>
      </x:c>
      <x:c r="C357" s="14" t="str">
        <x:v>14.1</x:v>
      </x:c>
      <x:c r="D357" s="14" t="str">
        <x:v>Nährstoffeintrag</x:v>
      </x:c>
      <x:c r="E357" s="14" t="str">
        <x:v>Nährstoffeintrag – Reuse</x:v>
      </x:c>
      <x:c r="F357" s="14" t="str">
        <x:v>%</x:v>
      </x:c>
      <x:c r="G357" s="14" t="str">
        <x:v>higher_is_better</x:v>
      </x:c>
      <x:c r="H357" s="14" t="str">
        <x:v>R25</x:v>
      </x:c>
      <x:c r="I357" s="14" t="str">
        <x:v>NUM_HIGH</x:v>
      </x:c>
      <x:c r="J357" s="51"/>
      <x:c r="K357" s="51"/>
      <x:c r="L357" s="51"/>
      <x:c r="M357" s="54"/>
      <x:c r="N357" s="58" t="str">
        <x:f>IF($J357="","",IF($J357&lt;30,-3,IF($J357&lt;50,-2,IF($J357&lt;70,0,IF($J357&lt;90,2,3)))))</x:f>
      </x:c>
      <x:c r="O357" s="58" t="str">
        <x:f>IF($J357="","",IF(OR('02_Benchmarks'!$P357&lt;&gt;"Aktiv",COUNT('02_Benchmarks'!$J357:$M357)&lt;4),"",IF($G357="lower_is_better",IF($J357&lt;='02_Benchmarks'!$J357,3,IF($J357&lt;'02_Benchmarks'!$K357,2,IF($J357&lt;='02_Benchmarks'!$L357,0,IF($J357&lt;='02_Benchmarks'!$M357,-2,-3)))),IF($J357&gt;='02_Benchmarks'!$J357,3,IF($J357&gt;'02_Benchmarks'!$K357,2,IF($J357&gt;='02_Benchmarks'!$L357,0,IF($J357&gt;='02_Benchmarks'!$M357,-2,-3)))))))</x:f>
      </x:c>
      <x:c r="P357" s="58" t="str">
        <x:f>IF(COUNT($N357:$O357)+IF(ISNUMBER($K357),1,0)=0,"",MIN($N357:$O357,$K357))</x:f>
      </x:c>
      <x:c r="Q357" s="58" t="str">
        <x:f>IF($P357="","",INDEX('04_Tarifmodell'!$B$6:$B$12,$P357+4))</x:f>
      </x:c>
      <x:c r="R357" s="64" t="str">
        <x:f>IF($P357="","",INDEX('04_Tarifmodell'!$C$6:$C$12,$P357+4))</x:f>
      </x:c>
      <x:c r="S357" s="14" t="str">
        <x:f>IF(OR($I357="QUALITATIVE",$I357="MANUAL_HYBRID"),IF($K357="","Assurance-Score fehlt","Assurance-bewertet"),IF($I357="BENCHMARK",IF($W357&lt;&gt;"Aktiv",IF($K357="","Benchmark fehlt","Assurance-bewertet"),IF($J357="","Messwert fehlt",IF($P357="","Nicht bewertbar","Berechnet"))),IF(AND($J357="",$K357&lt;&gt;""),"Nur Assurance-Score",IF($J357="","Messwert fehlt",IF($P357="","Nicht bewertbar",IF($P357&lt;=-2,"Kritische Wirkung / Prüfung","Berechnet"))))))</x:f>
        <x:v>Messwert fehlt</x:v>
      </x:c>
      <x:c r="T357" s="14" t="str">
        <x:v>Vollständige fünfstufige Prozentregel.</x:v>
      </x:c>
      <x:c r="U357" s="14" t="str">
        <x:v>≥90%:+3; 70–89%:+2; 50–69%:0; 30–49%:‑2; &lt;30%:‑3</x:v>
      </x:c>
      <x:c r="V357" s="14" t="str">
        <x:v>ESRS E3, WRI Aqueduct, ISO 14046 (Water Footprint)</x:v>
      </x:c>
      <x:c r="W357" s="14" t="str">
        <x:f>'02_Benchmarks'!$P357</x:f>
        <x:v>Optional – kein aktiver Benchmark</x:v>
      </x:c>
      <x:c r="X357" s="14" t="str">
        <x:v>Messgrundlage belegt; Schwellenkalibrierung offen</x:v>
      </x:c>
      <x:c r="Y357" s="14" t="str">
        <x:v>Mittel</x:v>
      </x:c>
      <x:c r="Z357" s="14" t="str">
        <x:v>Arbeitskalibrierung – fachlich zu validieren</x:v>
      </x:c>
      <x:c r="AA357" s="14" t="str">
        <x:v>Standort/Prozess/Aktivität; Bezugsgröße und relevante Umweltmedien</x:v>
      </x:c>
      <x:c r="AB357" s="14" t="str">
        <x:v>Primärdaten bevorzugt; Sekundärdaten nur transparent und versioniert; Methode und Systemgrenze dokumentieren</x:v>
      </x:c>
      <x:c r="AC357" s="14" t="str">
        <x:v>Limited Assurance; risikobasiert höhere Prüftiefe</x:v>
      </x:c>
    </x:row>
    <x:row r="358" ht="42" customHeight="1">
      <x:c r="A358" s="14" t="str">
        <x:v>WOK-E-193</x:v>
      </x:c>
      <x:c r="B358" s="14" t="str">
        <x:v>SDG 14 – Unter Wasser</x:v>
      </x:c>
      <x:c r="C358" s="14" t="str">
        <x:v>14.1</x:v>
      </x:c>
      <x:c r="D358" s="14" t="str">
        <x:v>Nährstoffeintrag</x:v>
      </x:c>
      <x:c r="E358" s="14" t="str">
        <x:v>Nährstoffeintrag – Abwasserqualität</x:v>
      </x:c>
      <x:c r="F358" s="14" t="str">
        <x:v>% des Grenzwerts</x:v>
      </x:c>
      <x:c r="G358" s="14" t="str">
        <x:v>lower_is_better</x:v>
      </x:c>
      <x:c r="H358" s="14" t="str">
        <x:v>R12</x:v>
      </x:c>
      <x:c r="I358" s="14" t="str">
        <x:v>LEGAL_RATIO</x:v>
      </x:c>
      <x:c r="J358" s="51"/>
      <x:c r="K358" s="51"/>
      <x:c r="L358" s="51"/>
      <x:c r="M358" s="54"/>
      <x:c r="N358" s="58" t="str">
        <x:f>IF($J358="","",IF($J358&lt;=50,3,IF($J358&lt;=75,2,IF($J358&lt;=100,0,IF($J358&lt;=120,-2,-3)))))</x:f>
      </x:c>
      <x:c r="O358" s="58" t="str">
        <x:f>IF($J358="","",IF(OR('02_Benchmarks'!$P358&lt;&gt;"Aktiv",COUNT('02_Benchmarks'!$J358:$M358)&lt;4),"",IF($G358="lower_is_better",IF($J358&lt;='02_Benchmarks'!$J358,3,IF($J358&lt;'02_Benchmarks'!$K358,2,IF($J358&lt;='02_Benchmarks'!$L358,0,IF($J358&lt;='02_Benchmarks'!$M358,-2,-3)))),IF($J358&gt;='02_Benchmarks'!$J358,3,IF($J358&gt;'02_Benchmarks'!$K358,2,IF($J358&gt;='02_Benchmarks'!$L358,0,IF($J358&gt;='02_Benchmarks'!$M358,-2,-3)))))))</x:f>
      </x:c>
      <x:c r="P358" s="58" t="str">
        <x:f>IF(COUNT($N358:$O358)+IF(ISNUMBER($K358),1,0)=0,"",MIN($N358:$O358,$K358))</x:f>
      </x:c>
      <x:c r="Q358" s="58" t="str">
        <x:f>IF($P358="","",INDEX('04_Tarifmodell'!$B$6:$B$12,$P358+4))</x:f>
      </x:c>
      <x:c r="R358" s="64" t="str">
        <x:f>IF($P358="","",INDEX('04_Tarifmodell'!$C$6:$C$12,$P358+4))</x:f>
      </x:c>
      <x:c r="S358" s="14" t="str">
        <x:f>IF(OR($I358="QUALITATIVE",$I358="MANUAL_HYBRID"),IF($K358="","Assurance-Score fehlt","Assurance-bewertet"),IF($I358="BENCHMARK",IF($W358&lt;&gt;"Aktiv",IF($K358="","Benchmark fehlt","Assurance-bewertet"),IF($J358="","Messwert fehlt",IF($P358="","Nicht bewertbar","Berechnet"))),IF(AND($J358="",$K358&lt;&gt;""),"Nur Assurance-Score",IF($J358="","Messwert fehlt",IF($P358="","Nicht bewertbar",IF($P358&lt;=-2,"Kritische Wirkung / Prüfung","Berechnet"))))))</x:f>
        <x:v>Messwert fehlt</x:v>
      </x:c>
      <x:c r="T358" s="14" t="str">
        <x:v>Nicht der absolute Messwert, sondern Messwert ÷ Grenzwert × 100 wird bewertet.</x:v>
      </x:c>
      <x:c r="U358" s="14" t="str">
        <x:v>≤50% Grenzwert:+3; ≤75%:+2; ≤100%:0; 101–120%:‑2; &gt;120%:‑3</x:v>
      </x:c>
      <x:c r="V358" s="14" t="str">
        <x:v>ESRS E3, WRI Aqueduct, ISO 14046 (Water Footprint)</x:v>
      </x:c>
      <x:c r="W358" s="14" t="str">
        <x:f>'02_Benchmarks'!$P358</x:f>
        <x:v>Optional – kein aktiver Benchmark</x:v>
      </x:c>
      <x:c r="X358" s="14" t="str">
        <x:v>Teilbelegt – Rechtsfundstelle je Messung fehlt</x:v>
      </x:c>
      <x:c r="Y358" s="14" t="str">
        <x:v>Hoch</x:v>
      </x:c>
      <x:c r="Z358" s="14" t="str">
        <x:v>Rechtsfundstelle je Fall erforderlich</x:v>
      </x:c>
      <x:c r="AA358" s="14" t="str">
        <x:v>Standort/Prozess/Aktivität; Bezugsgröße und relevante Umweltmedien</x:v>
      </x:c>
      <x:c r="AB358" s="14" t="str">
        <x:v>Kalibrierter Messwert; Rechtsfundstelle, Grenzwert, Einheit, Messpunkt und Zeitraum</x:v>
      </x:c>
      <x:c r="AC358" s="14" t="str">
        <x:v>Behördlicher/akkreditierter Nachweis oder unabhängige Prüfung</x:v>
      </x:c>
    </x:row>
    <x:row r="359" ht="42" customHeight="1">
      <x:c r="A359" s="14" t="str">
        <x:v>WOK-E-194</x:v>
      </x:c>
      <x:c r="B359" s="14" t="str">
        <x:v>SDG 14 – Unter Wasser</x:v>
      </x:c>
      <x:c r="C359" s="14" t="str">
        <x:v>14.1</x:v>
      </x:c>
      <x:c r="D359" s="14" t="str">
        <x:v>Plastikgranulat‑Verlust</x:v>
      </x:c>
      <x:c r="E359" s="14" t="str">
        <x:v>Plastikgranulat‑Verlust – Abfallintensität</x:v>
      </x:c>
      <x:c r="F359" s="14" t="str">
        <x:v>kg/t</x:v>
      </x:c>
      <x:c r="G359" s="14" t="str">
        <x:v>lower_is_better</x:v>
      </x:c>
      <x:c r="H359" s="14" t="str">
        <x:v>R06</x:v>
      </x:c>
      <x:c r="I359" s="14" t="str">
        <x:v>BENCHMARK</x:v>
      </x:c>
      <x:c r="J359" s="51"/>
      <x:c r="K359" s="51"/>
      <x:c r="L359" s="51"/>
      <x:c r="M359" s="54"/>
      <x:c r="N359" s="58" t="str">
        <x:f>""</x:f>
      </x:c>
      <x:c r="O359" s="58" t="str">
        <x:f>IF($J359="","",IF(OR('02_Benchmarks'!$P359&lt;&gt;"Aktiv",COUNT('02_Benchmarks'!$J359:$M359)&lt;4),"",IF($G359="lower_is_better",IF($J359&lt;='02_Benchmarks'!$J359,3,IF($J359&lt;'02_Benchmarks'!$K359,2,IF($J359&lt;='02_Benchmarks'!$L359,0,IF($J359&lt;='02_Benchmarks'!$M359,-2,-3)))),IF($J359&gt;='02_Benchmarks'!$J359,3,IF($J359&gt;'02_Benchmarks'!$K359,2,IF($J359&gt;='02_Benchmarks'!$L359,0,IF($J359&gt;='02_Benchmarks'!$M359,-2,-3)))))))</x:f>
      </x:c>
      <x:c r="P359" s="58" t="str">
        <x:f>IF(COUNT($N359:$O359)+IF(ISNUMBER($K359),1,0)=0,"",MIN($N359:$O359,$K359))</x:f>
      </x:c>
      <x:c r="Q359" s="58" t="str">
        <x:f>IF($P359="","",INDEX('04_Tarifmodell'!$B$6:$B$12,$P359+4))</x:f>
      </x:c>
      <x:c r="R359" s="64" t="str">
        <x:f>IF($P359="","",INDEX('04_Tarifmodell'!$C$6:$C$12,$P359+4))</x:f>
      </x:c>
      <x:c r="S359" s="14" t="str">
        <x:f>IF(OR($I359="QUALITATIVE",$I359="MANUAL_HYBRID"),IF($K359="","Assurance-Score fehlt","Assurance-bewertet"),IF($I359="BENCHMARK",IF($W359&lt;&gt;"Aktiv",IF($K359="","Benchmark fehlt","Assurance-bewertet"),IF($J359="","Messwert fehlt",IF($P359="","Nicht bewertbar","Berechnet"))),IF(AND($J359="",$K359&lt;&gt;""),"Nur Assurance-Score",IF($J359="","Messwert fehlt",IF($P359="","Nicht bewertbar",IF($P359&lt;=-2,"Kritische Wirkung / Prüfung","Berechnet"))))))</x:f>
        <x:v>Benchmark fehlt</x:v>
      </x:c>
      <x:c r="T359" s="14" t="str">
        <x:v>Top-10-Prozent, Mittelwert, 150 % und 250 % müssen aus einer dokumentierten Grundgesamtheit stammen.</x:v>
      </x:c>
      <x:c r="U359" s="14" t="str">
        <x:v>Top‑10%:+3; Mittel:0; &gt;150%:‑2; &gt;250%:‑3</x:v>
      </x:c>
      <x:c r="V359" s="14" t="str">
        <x:v>ESRS E5, GRI 306, WEEE/VerpackG</x:v>
      </x:c>
      <x:c r="W359" s="14" t="str">
        <x:f>'02_Benchmarks'!$P359</x:f>
        <x:v>Offen – validierter Benchmark fehlt</x:v>
      </x:c>
      <x:c r="X359" s="14" t="str">
        <x:v>Teilbelegt – Benchmarkquelle fehlt</x:v>
      </x:c>
      <x:c r="Y359" s="14" t="str">
        <x:v>Hoch</x:v>
      </x:c>
      <x:c r="Z359" s="14" t="str">
        <x:v>Validierter Benchmark fehlt</x:v>
      </x:c>
      <x:c r="AA359" s="14" t="str">
        <x:v>Standort/Prozess/Aktivität; Bezugsgröße und relevante Umweltmedien</x:v>
      </x:c>
      <x:c r="AB359" s="14" t="str">
        <x:v>Primärdaten plus repräsentativer, versionierter Benchmarkdatensatz; Stichprobe und Population offenlegen</x:v>
      </x:c>
      <x:c r="AC359" s="14" t="str">
        <x:v>Messwert-Assurance und unabhängige Benchmark-Governance</x:v>
      </x:c>
    </x:row>
    <x:row r="360" ht="42" customHeight="1">
      <x:c r="A360" s="14" t="str">
        <x:v>WOK-E-195</x:v>
      </x:c>
      <x:c r="B360" s="14" t="str">
        <x:v>SDG 14 – Unter Wasser</x:v>
      </x:c>
      <x:c r="C360" s="14" t="str">
        <x:v>14.1</x:v>
      </x:c>
      <x:c r="D360" s="14" t="str">
        <x:v>Plastikgranulat‑Verlust</x:v>
      </x:c>
      <x:c r="E360" s="14" t="str">
        <x:v>Plastikgranulat‑Verlust – Recyclingquote</x:v>
      </x:c>
      <x:c r="F360" s="14" t="str">
        <x:v>%</x:v>
      </x:c>
      <x:c r="G360" s="14" t="str">
        <x:v>higher_is_better</x:v>
      </x:c>
      <x:c r="H360" s="14" t="str">
        <x:v>R25</x:v>
      </x:c>
      <x:c r="I360" s="14" t="str">
        <x:v>NUM_HIGH</x:v>
      </x:c>
      <x:c r="J360" s="51"/>
      <x:c r="K360" s="51"/>
      <x:c r="L360" s="51"/>
      <x:c r="M360" s="54"/>
      <x:c r="N360" s="58" t="str">
        <x:f>IF($J360="","",IF($J360&lt;30,-3,IF($J360&lt;50,-2,IF($J360&lt;70,0,IF($J360&lt;90,2,3)))))</x:f>
      </x:c>
      <x:c r="O360" s="58" t="str">
        <x:f>IF($J360="","",IF(OR('02_Benchmarks'!$P360&lt;&gt;"Aktiv",COUNT('02_Benchmarks'!$J360:$M360)&lt;4),"",IF($G360="lower_is_better",IF($J360&lt;='02_Benchmarks'!$J360,3,IF($J360&lt;'02_Benchmarks'!$K360,2,IF($J360&lt;='02_Benchmarks'!$L360,0,IF($J360&lt;='02_Benchmarks'!$M360,-2,-3)))),IF($J360&gt;='02_Benchmarks'!$J360,3,IF($J360&gt;'02_Benchmarks'!$K360,2,IF($J360&gt;='02_Benchmarks'!$L360,0,IF($J360&gt;='02_Benchmarks'!$M360,-2,-3)))))))</x:f>
      </x:c>
      <x:c r="P360" s="58" t="str">
        <x:f>IF(COUNT($N360:$O360)+IF(ISNUMBER($K360),1,0)=0,"",MIN($N360:$O360,$K360))</x:f>
      </x:c>
      <x:c r="Q360" s="58" t="str">
        <x:f>IF($P360="","",INDEX('04_Tarifmodell'!$B$6:$B$12,$P360+4))</x:f>
      </x:c>
      <x:c r="R360" s="64" t="str">
        <x:f>IF($P360="","",INDEX('04_Tarifmodell'!$C$6:$C$12,$P360+4))</x:f>
      </x:c>
      <x:c r="S360" s="14" t="str">
        <x:f>IF(OR($I360="QUALITATIVE",$I360="MANUAL_HYBRID"),IF($K360="","Assurance-Score fehlt","Assurance-bewertet"),IF($I360="BENCHMARK",IF($W360&lt;&gt;"Aktiv",IF($K360="","Benchmark fehlt","Assurance-bewertet"),IF($J360="","Messwert fehlt",IF($P360="","Nicht bewertbar","Berechnet"))),IF(AND($J360="",$K360&lt;&gt;""),"Nur Assurance-Score",IF($J360="","Messwert fehlt",IF($P360="","Nicht bewertbar",IF($P360&lt;=-2,"Kritische Wirkung / Prüfung","Berechnet"))))))</x:f>
        <x:v>Messwert fehlt</x:v>
      </x:c>
      <x:c r="T360" s="14" t="str">
        <x:v>Vollständige fünfstufige Prozentregel.</x:v>
      </x:c>
      <x:c r="U360" s="14" t="str">
        <x:v>≥90%:+3; 70–89%:+2; 50–69%:0; 30–49%:‑2; &lt;30%:‑3</x:v>
      </x:c>
      <x:c r="V360" s="14" t="str">
        <x:v>ESRS E5, GRI 306, WEEE/VerpackG</x:v>
      </x:c>
      <x:c r="W360" s="14" t="str">
        <x:f>'02_Benchmarks'!$P360</x:f>
        <x:v>Optional – kein aktiver Benchmark</x:v>
      </x:c>
      <x:c r="X360" s="14" t="str">
        <x:v>Messgrundlage belegt; Schwellenkalibrierung offen</x:v>
      </x:c>
      <x:c r="Y360" s="14" t="str">
        <x:v>Mittel</x:v>
      </x:c>
      <x:c r="Z360" s="14" t="str">
        <x:v>Arbeitskalibrierung – fachlich zu validieren</x:v>
      </x:c>
      <x:c r="AA360" s="14" t="str">
        <x:v>Standort/Prozess/Aktivität; Bezugsgröße und relevante Umweltmedien</x:v>
      </x:c>
      <x:c r="AB360" s="14" t="str">
        <x:v>Primärdaten bevorzugt; Sekundärdaten nur transparent und versioniert; Methode und Systemgrenze dokumentieren</x:v>
      </x:c>
      <x:c r="AC360" s="14" t="str">
        <x:v>Limited Assurance; risikobasiert höhere Prüftiefe</x:v>
      </x:c>
    </x:row>
    <x:row r="361" ht="42" customHeight="1">
      <x:c r="A361" s="14" t="str">
        <x:v>WOK-E-196</x:v>
      </x:c>
      <x:c r="B361" s="14" t="str">
        <x:v>SDG 14 – Unter Wasser</x:v>
      </x:c>
      <x:c r="C361" s="14" t="str">
        <x:v>14.1</x:v>
      </x:c>
      <x:c r="D361" s="14" t="str">
        <x:v>Plastikgranulat‑Verlust</x:v>
      </x:c>
      <x:c r="E361" s="14" t="str">
        <x:v>Plastikgranulat‑Verlust – Gefährlicher Abfall</x:v>
      </x:c>
      <x:c r="F361" s="14" t="str">
        <x:v>kg/t</x:v>
      </x:c>
      <x:c r="G361" s="14" t="str">
        <x:v>lower_is_better</x:v>
      </x:c>
      <x:c r="H361" s="14" t="str">
        <x:v>R06</x:v>
      </x:c>
      <x:c r="I361" s="14" t="str">
        <x:v>BENCHMARK</x:v>
      </x:c>
      <x:c r="J361" s="51"/>
      <x:c r="K361" s="51"/>
      <x:c r="L361" s="51"/>
      <x:c r="M361" s="54"/>
      <x:c r="N361" s="58" t="str">
        <x:f>""</x:f>
      </x:c>
      <x:c r="O361" s="58" t="str">
        <x:f>IF($J361="","",IF(OR('02_Benchmarks'!$P361&lt;&gt;"Aktiv",COUNT('02_Benchmarks'!$J361:$M361)&lt;4),"",IF($G361="lower_is_better",IF($J361&lt;='02_Benchmarks'!$J361,3,IF($J361&lt;'02_Benchmarks'!$K361,2,IF($J361&lt;='02_Benchmarks'!$L361,0,IF($J361&lt;='02_Benchmarks'!$M361,-2,-3)))),IF($J361&gt;='02_Benchmarks'!$J361,3,IF($J361&gt;'02_Benchmarks'!$K361,2,IF($J361&gt;='02_Benchmarks'!$L361,0,IF($J361&gt;='02_Benchmarks'!$M361,-2,-3)))))))</x:f>
      </x:c>
      <x:c r="P361" s="58" t="str">
        <x:f>IF(COUNT($N361:$O361)+IF(ISNUMBER($K361),1,0)=0,"",MIN($N361:$O361,$K361))</x:f>
      </x:c>
      <x:c r="Q361" s="58" t="str">
        <x:f>IF($P361="","",INDEX('04_Tarifmodell'!$B$6:$B$12,$P361+4))</x:f>
      </x:c>
      <x:c r="R361" s="64" t="str">
        <x:f>IF($P361="","",INDEX('04_Tarifmodell'!$C$6:$C$12,$P361+4))</x:f>
      </x:c>
      <x:c r="S361" s="14" t="str">
        <x:f>IF(OR($I361="QUALITATIVE",$I361="MANUAL_HYBRID"),IF($K361="","Assurance-Score fehlt","Assurance-bewertet"),IF($I361="BENCHMARK",IF($W361&lt;&gt;"Aktiv",IF($K361="","Benchmark fehlt","Assurance-bewertet"),IF($J361="","Messwert fehlt",IF($P361="","Nicht bewertbar","Berechnet"))),IF(AND($J361="",$K361&lt;&gt;""),"Nur Assurance-Score",IF($J361="","Messwert fehlt",IF($P361="","Nicht bewertbar",IF($P361&lt;=-2,"Kritische Wirkung / Prüfung","Berechnet"))))))</x:f>
        <x:v>Benchmark fehlt</x:v>
      </x:c>
      <x:c r="T361" s="14" t="str">
        <x:v>Top-10-Prozent, Mittelwert, 150 % und 250 % müssen aus einer dokumentierten Grundgesamtheit stammen.</x:v>
      </x:c>
      <x:c r="U361" s="14" t="str">
        <x:v>Top‑10%:+3; Mittel:0; &gt;150%:‑2; &gt;250%:‑3</x:v>
      </x:c>
      <x:c r="V361" s="14" t="str">
        <x:v>ESRS E5, GRI 306, WEEE/VerpackG</x:v>
      </x:c>
      <x:c r="W361" s="14" t="str">
        <x:f>'02_Benchmarks'!$P361</x:f>
        <x:v>Offen – validierter Benchmark fehlt</x:v>
      </x:c>
      <x:c r="X361" s="14" t="str">
        <x:v>Teilbelegt – Benchmarkquelle fehlt</x:v>
      </x:c>
      <x:c r="Y361" s="14" t="str">
        <x:v>Hoch</x:v>
      </x:c>
      <x:c r="Z361" s="14" t="str">
        <x:v>Validierter Benchmark fehlt</x:v>
      </x:c>
      <x:c r="AA361" s="14" t="str">
        <x:v>Standort/Prozess/Aktivität; Bezugsgröße und relevante Umweltmedien</x:v>
      </x:c>
      <x:c r="AB361" s="14" t="str">
        <x:v>Primärdaten plus repräsentativer, versionierter Benchmarkdatensatz; Stichprobe und Population offenlegen</x:v>
      </x:c>
      <x:c r="AC361" s="14" t="str">
        <x:v>Messwert-Assurance und unabhängige Benchmark-Governance</x:v>
      </x:c>
    </x:row>
    <x:row r="362" ht="42" customHeight="1">
      <x:c r="A362" s="14" t="str">
        <x:v>WOK-E-197</x:v>
      </x:c>
      <x:c r="B362" s="14" t="str">
        <x:v>SDG 14 – Unter Wasser</x:v>
      </x:c>
      <x:c r="C362" s="14" t="str">
        <x:v>14.2</x:v>
      </x:c>
      <x:c r="D362" s="14" t="str">
        <x:v>Meeresschutz‑Net Gain</x:v>
      </x:c>
      <x:c r="E362" s="14" t="str">
        <x:v>Meeresschutz‑Net Gain – Nettoeffekt</x:v>
      </x:c>
      <x:c r="F362" s="14" t="str">
        <x:v>Qualitativ → Klasse</x:v>
      </x:c>
      <x:c r="G362" s="14" t="str">
        <x:v>higher_is_better</x:v>
      </x:c>
      <x:c r="H362" s="14" t="str">
        <x:v>R03</x:v>
      </x:c>
      <x:c r="I362" s="14" t="str">
        <x:v>QUALITATIVE</x:v>
      </x:c>
      <x:c r="J362" s="51"/>
      <x:c r="K362" s="51"/>
      <x:c r="L362" s="51"/>
      <x:c r="M362" s="54"/>
      <x:c r="N362" s="58" t="str">
        <x:f>""</x:f>
      </x:c>
      <x:c r="O362" s="58" t="str">
        <x:f>IF($J362="","",IF(OR('02_Benchmarks'!$P362&lt;&gt;"Aktiv",COUNT('02_Benchmarks'!$J362:$M362)&lt;4),"",IF($G362="lower_is_better",IF($J362&lt;='02_Benchmarks'!$J362,3,IF($J362&lt;'02_Benchmarks'!$K362,2,IF($J362&lt;='02_Benchmarks'!$L362,0,IF($J362&lt;='02_Benchmarks'!$M362,-2,-3)))),IF($J362&gt;='02_Benchmarks'!$J362,3,IF($J362&gt;'02_Benchmarks'!$K362,2,IF($J362&gt;='02_Benchmarks'!$L362,0,IF($J362&gt;='02_Benchmarks'!$M362,-2,-3)))))))</x:f>
      </x:c>
      <x:c r="P362" s="58" t="str">
        <x:f>IF(COUNT($N362:$O362)+IF(ISNUMBER($K362),1,0)=0,"",MIN($N362:$O362,$K362))</x:f>
      </x:c>
      <x:c r="Q362" s="58" t="str">
        <x:f>IF($P362="","",INDEX('04_Tarifmodell'!$B$6:$B$12,$P362+4))</x:f>
      </x:c>
      <x:c r="R362" s="64" t="str">
        <x:f>IF($P362="","",INDEX('04_Tarifmodell'!$C$6:$C$12,$P362+4))</x:f>
      </x:c>
      <x:c r="S362" s="14" t="str">
        <x:f>IF(OR($I362="QUALITATIVE",$I362="MANUAL_HYBRID"),IF($K362="","Assurance-Score fehlt","Assurance-bewertet"),IF($I362="BENCHMARK",IF($W362&lt;&gt;"Aktiv",IF($K362="","Benchmark fehlt","Assurance-bewertet"),IF($J362="","Messwert fehlt",IF($P362="","Nicht bewertbar","Berechnet"))),IF(AND($J362="",$K362&lt;&gt;""),"Nur Assurance-Score",IF($J362="","Messwert fehlt",IF($P362="","Nicht bewertbar",IF($P362&lt;=-2,"Kritische Wirkung / Prüfung","Berechnet"))))))</x:f>
        <x:v>Assurance-Score fehlt</x:v>
      </x:c>
      <x:c r="T362" s="14" t="str">
        <x:v>Net Gain/No Net Loss/Net Loss ist ohne feldspezifischen Nachweis nicht automatisierbar.</x:v>
      </x:c>
      <x:c r="U362" s="14" t="str">
        <x:v>Net Gain:+3; No Net Loss:0; Net Loss:‑2/‑3</x:v>
      </x:c>
      <x:c r="V362" s="14" t="str">
        <x:v>ESRS E4, CBD/GBF, EN 15978 (Bau)</x:v>
      </x:c>
      <x:c r="W362" s="14" t="str">
        <x:f>'02_Benchmarks'!$P362</x:f>
        <x:v>Optional – kein aktiver Benchmark</x:v>
      </x:c>
      <x:c r="X362" s="14" t="str">
        <x:v>Messgrundlage belegt; Schwellenkalibrierung offen</x:v>
      </x:c>
      <x:c r="Y362" s="14" t="str">
        <x:v>Hoch</x:v>
      </x:c>
      <x:c r="Z362" s="14" t="str">
        <x:v>Assurance und Kriterienkatalog erforderlich</x:v>
      </x:c>
      <x:c r="AA362" s="14" t="str">
        <x:v>Standort/Prozess/Aktivität; Bezugsgröße und relevante Umweltmedien</x:v>
      </x:c>
      <x:c r="AB362" s="14" t="str">
        <x:v>Dokumentierter Kriterienkatalog; nachvollziehbare Evidenz; DQR A/B bevorzugt</x:v>
      </x:c>
      <x:c r="AC362" s="14" t="str">
        <x:v>Unabhängige Fachprüfung/Limited Assurance; bei roten Linien Reasonable Assurance</x:v>
      </x:c>
    </x:row>
    <x:row r="363" ht="42" customHeight="1">
      <x:c r="A363" s="14" t="str">
        <x:v>WOK-E-198</x:v>
      </x:c>
      <x:c r="B363" s="14" t="str">
        <x:v>SDG 14 – Unter Wasser</x:v>
      </x:c>
      <x:c r="C363" s="14" t="str">
        <x:v>14.2</x:v>
      </x:c>
      <x:c r="D363" s="14" t="str">
        <x:v>Meeresschutz‑Net Gain</x:v>
      </x:c>
      <x:c r="E363" s="14" t="str">
        <x:v>Meeresschutz‑Net Gain – Landumwandlung</x:v>
      </x:c>
      <x:c r="F363" s="14" t="str">
        <x:v>ha/Jahr</x:v>
      </x:c>
      <x:c r="G363" s="14" t="str">
        <x:v>lower_is_better</x:v>
      </x:c>
      <x:c r="H363" s="14" t="str">
        <x:v>R02</x:v>
      </x:c>
      <x:c r="I363" s="14" t="str">
        <x:v>NUM_LOW</x:v>
      </x:c>
      <x:c r="J363" s="51"/>
      <x:c r="K363" s="51"/>
      <x:c r="L363" s="51"/>
      <x:c r="M363" s="54"/>
      <x:c r="N363" s="58" t="str">
        <x:f>IF($J363="","",IF($J363&lt;=0,3,IF($J363&lt;=1,2,IF($J363&lt;=3,0,IF($J363&lt;=5,-2,-3)))))</x:f>
      </x:c>
      <x:c r="O363" s="58" t="str">
        <x:f>IF($J363="","",IF(OR('02_Benchmarks'!$P363&lt;&gt;"Aktiv",COUNT('02_Benchmarks'!$J363:$M363)&lt;4),"",IF($G363="lower_is_better",IF($J363&lt;='02_Benchmarks'!$J363,3,IF($J363&lt;'02_Benchmarks'!$K363,2,IF($J363&lt;='02_Benchmarks'!$L363,0,IF($J363&lt;='02_Benchmarks'!$M363,-2,-3)))),IF($J363&gt;='02_Benchmarks'!$J363,3,IF($J363&gt;'02_Benchmarks'!$K363,2,IF($J363&gt;='02_Benchmarks'!$L363,0,IF($J363&gt;='02_Benchmarks'!$M363,-2,-3)))))))</x:f>
      </x:c>
      <x:c r="P363" s="58" t="str">
        <x:f>IF(COUNT($N363:$O363)+IF(ISNUMBER($K363),1,0)=0,"",MIN($N363:$O363,$K363))</x:f>
      </x:c>
      <x:c r="Q363" s="58" t="str">
        <x:f>IF($P363="","",INDEX('04_Tarifmodell'!$B$6:$B$12,$P363+4))</x:f>
      </x:c>
      <x:c r="R363" s="64" t="str">
        <x:f>IF($P363="","",INDEX('04_Tarifmodell'!$C$6:$C$12,$P363+4))</x:f>
      </x:c>
      <x:c r="S363" s="14" t="str">
        <x:f>IF(OR($I363="QUALITATIVE",$I363="MANUAL_HYBRID"),IF($K363="","Assurance-Score fehlt","Assurance-bewertet"),IF($I363="BENCHMARK",IF($W363&lt;&gt;"Aktiv",IF($K363="","Benchmark fehlt","Assurance-bewertet"),IF($J363="","Messwert fehlt",IF($P363="","Nicht bewertbar","Berechnet"))),IF(AND($J363="",$K363&lt;&gt;""),"Nur Assurance-Score",IF($J363="","Messwert fehlt",IF($P363="","Nicht bewertbar",IF($P363&lt;=-2,"Kritische Wirkung / Prüfung","Berechnet"))))))</x:f>
        <x:v>Messwert fehlt</x:v>
      </x:c>
      <x:c r="T363" s="14" t="str">
        <x:v>Vollständige fünfstufige numerische Regel.</x:v>
      </x:c>
      <x:c r="U363" s="14" t="str">
        <x:v>0:+3; ≤1:+2; ≤3:0; ≤5:‑2; &gt;5:‑3</x:v>
      </x:c>
      <x:c r="V363" s="14" t="str">
        <x:v>ESRS E4, CBD/GBF, EN 15978 (Bau)</x:v>
      </x:c>
      <x:c r="W363" s="14" t="str">
        <x:f>'02_Benchmarks'!$P363</x:f>
        <x:v>Optional – kein aktiver Benchmark</x:v>
      </x:c>
      <x:c r="X363" s="14" t="str">
        <x:v>Messgrundlage belegt; Schwellenkalibrierung offen</x:v>
      </x:c>
      <x:c r="Y363" s="14" t="str">
        <x:v>Mittel</x:v>
      </x:c>
      <x:c r="Z363" s="14" t="str">
        <x:v>Arbeitskalibrierung – fachlich zu validieren</x:v>
      </x:c>
      <x:c r="AA363" s="14" t="str">
        <x:v>Standort/Prozess/Aktivität; Bezugsgröße und relevante Umweltmedien</x:v>
      </x:c>
      <x:c r="AB363" s="14" t="str">
        <x:v>Primärdaten bevorzugt; Sekundärdaten nur transparent und versioniert; Methode und Systemgrenze dokumentieren</x:v>
      </x:c>
      <x:c r="AC363" s="14" t="str">
        <x:v>Limited Assurance; risikobasiert höhere Prüftiefe</x:v>
      </x:c>
    </x:row>
    <x:row r="364" ht="42" customHeight="1">
      <x:c r="A364" s="14" t="str">
        <x:v>WOK-E-199</x:v>
      </x:c>
      <x:c r="B364" s="14" t="str">
        <x:v>SDG 14 – Unter Wasser</x:v>
      </x:c>
      <x:c r="C364" s="14" t="str">
        <x:v>14.2</x:v>
      </x:c>
      <x:c r="D364" s="14" t="str">
        <x:v>Meeresschutz‑Net Gain</x:v>
      </x:c>
      <x:c r="E364" s="14" t="str">
        <x:v>Meeresschutz‑Net Gain – Deforestationsfrei</x:v>
      </x:c>
      <x:c r="F364" s="14" t="str">
        <x:v>%</x:v>
      </x:c>
      <x:c r="G364" s="14" t="str">
        <x:v>higher_is_better</x:v>
      </x:c>
      <x:c r="H364" s="14" t="str">
        <x:v>R28</x:v>
      </x:c>
      <x:c r="I364" s="14" t="str">
        <x:v>NUM_HIGH</x:v>
      </x:c>
      <x:c r="J364" s="51"/>
      <x:c r="K364" s="51"/>
      <x:c r="L364" s="51"/>
      <x:c r="M364" s="54"/>
      <x:c r="N364" s="58" t="str">
        <x:f>IF($J364="","",IF($J364&lt;50,-3,IF($J364&lt;75,-2,IF($J364&lt;90,0,IF($J364&lt;98,2,3)))))</x:f>
      </x:c>
      <x:c r="O364" s="58" t="str">
        <x:f>IF($J364="","",IF(OR('02_Benchmarks'!$P364&lt;&gt;"Aktiv",COUNT('02_Benchmarks'!$J364:$M364)&lt;4),"",IF($G364="lower_is_better",IF($J364&lt;='02_Benchmarks'!$J364,3,IF($J364&lt;'02_Benchmarks'!$K364,2,IF($J364&lt;='02_Benchmarks'!$L364,0,IF($J364&lt;='02_Benchmarks'!$M364,-2,-3)))),IF($J364&gt;='02_Benchmarks'!$J364,3,IF($J364&gt;'02_Benchmarks'!$K364,2,IF($J364&gt;='02_Benchmarks'!$L364,0,IF($J364&gt;='02_Benchmarks'!$M364,-2,-3)))))))</x:f>
      </x:c>
      <x:c r="P364" s="58" t="str">
        <x:f>IF(COUNT($N364:$O364)+IF(ISNUMBER($K364),1,0)=0,"",MIN($N364:$O364,$K364))</x:f>
      </x:c>
      <x:c r="Q364" s="58" t="str">
        <x:f>IF($P364="","",INDEX('04_Tarifmodell'!$B$6:$B$12,$P364+4))</x:f>
      </x:c>
      <x:c r="R364" s="64" t="str">
        <x:f>IF($P364="","",INDEX('04_Tarifmodell'!$C$6:$C$12,$P364+4))</x:f>
      </x:c>
      <x:c r="S364" s="14" t="str">
        <x:f>IF(OR($I364="QUALITATIVE",$I364="MANUAL_HYBRID"),IF($K364="","Assurance-Score fehlt","Assurance-bewertet"),IF($I364="BENCHMARK",IF($W364&lt;&gt;"Aktiv",IF($K364="","Benchmark fehlt","Assurance-bewertet"),IF($J364="","Messwert fehlt",IF($P364="","Nicht bewertbar","Berechnet"))),IF(AND($J364="",$K364&lt;&gt;""),"Nur Assurance-Score",IF($J364="","Messwert fehlt",IF($P364="","Nicht bewertbar",IF($P364&lt;=-2,"Kritische Wirkung / Prüfung","Berechnet"))))))</x:f>
        <x:v>Messwert fehlt</x:v>
      </x:c>
      <x:c r="T364" s="14" t="str">
        <x:v>Vollständige fünfstufige numerische Regel.</x:v>
      </x:c>
      <x:c r="U364" s="14" t="str">
        <x:v>≥98:+3; 90–97:+2; 75–89:0; 50–74:‑2; &lt;50:‑3</x:v>
      </x:c>
      <x:c r="V364" s="14" t="str">
        <x:v>ESRS E4, CBD/GBF, EN 15978 (Bau)</x:v>
      </x:c>
      <x:c r="W364" s="14" t="str">
        <x:f>'02_Benchmarks'!$P364</x:f>
        <x:v>Optional – kein aktiver Benchmark</x:v>
      </x:c>
      <x:c r="X364" s="14" t="str">
        <x:v>Messgrundlage belegt; Schwellenkalibrierung offen</x:v>
      </x:c>
      <x:c r="Y364" s="14" t="str">
        <x:v>Mittel</x:v>
      </x:c>
      <x:c r="Z364" s="14" t="str">
        <x:v>Arbeitskalibrierung – fachlich zu validieren</x:v>
      </x:c>
      <x:c r="AA364" s="14" t="str">
        <x:v>Standort/Prozess/Aktivität; Bezugsgröße und relevante Umweltmedien</x:v>
      </x:c>
      <x:c r="AB364" s="14" t="str">
        <x:v>Primärdaten bevorzugt; Sekundärdaten nur transparent und versioniert; Methode und Systemgrenze dokumentieren</x:v>
      </x:c>
      <x:c r="AC364" s="14" t="str">
        <x:v>Limited Assurance; risikobasiert höhere Prüftiefe</x:v>
      </x:c>
    </x:row>
    <x:row r="365" ht="42" customHeight="1">
      <x:c r="A365" s="14" t="str">
        <x:v>WOK-SC-131</x:v>
      </x:c>
      <x:c r="B365" s="14" t="str">
        <x:v>SDG 14 – Unter Wasser</x:v>
      </x:c>
      <x:c r="C365" s="14" t="str">
        <x:v>14.4</x:v>
      </x:c>
      <x:c r="D365" s="14" t="str">
        <x:v>Fischerei‑Lieferketten</x:v>
      </x:c>
      <x:c r="E365" s="14" t="str">
        <x:v>Fischerei‑Lieferketten – ESG‑Spend‑Coverage</x:v>
      </x:c>
      <x:c r="F365" s="14" t="str">
        <x:v>%</x:v>
      </x:c>
      <x:c r="G365" s="14" t="str">
        <x:v>higher_is_better</x:v>
      </x:c>
      <x:c r="H365" s="14" t="str">
        <x:v>R26</x:v>
      </x:c>
      <x:c r="I365" s="14" t="str">
        <x:v>NUM_HIGH</x:v>
      </x:c>
      <x:c r="J365" s="51"/>
      <x:c r="K365" s="51"/>
      <x:c r="L365" s="51"/>
      <x:c r="M365" s="54"/>
      <x:c r="N365" s="58" t="str">
        <x:f>IF($J365="","",IF($J365&lt;30,-3,IF($J365&lt;50,-2,IF($J365&lt;70,0,IF($J365&lt;90,2,3)))))</x:f>
      </x:c>
      <x:c r="O365" s="58" t="str">
        <x:f>IF($J365="","",IF(OR('02_Benchmarks'!$P365&lt;&gt;"Aktiv",COUNT('02_Benchmarks'!$J365:$M365)&lt;4),"",IF($G365="lower_is_better",IF($J365&lt;='02_Benchmarks'!$J365,3,IF($J365&lt;'02_Benchmarks'!$K365,2,IF($J365&lt;='02_Benchmarks'!$L365,0,IF($J365&lt;='02_Benchmarks'!$M365,-2,-3)))),IF($J365&gt;='02_Benchmarks'!$J365,3,IF($J365&gt;'02_Benchmarks'!$K365,2,IF($J365&gt;='02_Benchmarks'!$L365,0,IF($J365&gt;='02_Benchmarks'!$M365,-2,-3)))))))</x:f>
      </x:c>
      <x:c r="P365" s="58" t="str">
        <x:f>IF(COUNT($N365:$O365)+IF(ISNUMBER($K365),1,0)=0,"",MIN($N365:$O365,$K365))</x:f>
      </x:c>
      <x:c r="Q365" s="58" t="str">
        <x:f>IF($P365="","",INDEX('04_Tarifmodell'!$B$6:$B$12,$P365+4))</x:f>
      </x:c>
      <x:c r="R365" s="64" t="str">
        <x:f>IF($P365="","",INDEX('04_Tarifmodell'!$C$6:$C$12,$P365+4))</x:f>
      </x:c>
      <x:c r="S365" s="14" t="str">
        <x:f>IF(OR($I365="QUALITATIVE",$I365="MANUAL_HYBRID"),IF($K365="","Assurance-Score fehlt","Assurance-bewertet"),IF($I365="BENCHMARK",IF($W365&lt;&gt;"Aktiv",IF($K365="","Benchmark fehlt","Assurance-bewertet"),IF($J365="","Messwert fehlt",IF($P365="","Nicht bewertbar","Berechnet"))),IF(AND($J365="",$K365&lt;&gt;""),"Nur Assurance-Score",IF($J365="","Messwert fehlt",IF($P365="","Nicht bewertbar",IF($P365&lt;=-2,"Kritische Wirkung / Prüfung","Berechnet"))))))</x:f>
        <x:v>Messwert fehlt</x:v>
      </x:c>
      <x:c r="T365" s="14" t="str">
        <x:v>Vollständige fünfstufige numerische Regel.</x:v>
      </x:c>
      <x:c r="U365" s="14" t="str">
        <x:v>≥90:+3; 70–89:+2; 50–69:0; 30–49:‑2; &lt;30:‑3</x:v>
      </x:c>
      <x:c r="V365" s="14" t="str">
        <x:v>ESRS S2, GRI 308/414, OECD Due Diligence</x:v>
      </x:c>
      <x:c r="W365" s="14" t="str">
        <x:f>'02_Benchmarks'!$P365</x:f>
        <x:v>Optional – kein aktiver Benchmark</x:v>
      </x:c>
      <x:c r="X365" s="14" t="str">
        <x:v>Messgrundlage belegt; Schwellenkalibrierung offen</x:v>
      </x:c>
      <x:c r="Y365" s="14" t="str">
        <x:v>Mittel</x:v>
      </x:c>
      <x:c r="Z365" s="14" t="str">
        <x:v>Arbeitskalibrierung – fachlich zu validieren</x:v>
      </x:c>
      <x:c r="AA365" s="14" t="str">
        <x:v>Vorgelagerte Lieferkette; relevante Tier-Stufen und Beschaffungsvolumen</x:v>
      </x:c>
      <x:c r="AB365" s="14" t="str">
        <x:v>Primärdaten bevorzugt; Sekundärdaten nur transparent und versioniert; Methode und Systemgrenze dokumentieren</x:v>
      </x:c>
      <x:c r="AC365" s="14" t="str">
        <x:v>Limited Assurance; risikobasiert höhere Prüftiefe</x:v>
      </x:c>
    </x:row>
    <x:row r="366" ht="42" customHeight="1">
      <x:c r="A366" s="14" t="str">
        <x:v>WOK-SC-132</x:v>
      </x:c>
      <x:c r="B366" s="14" t="str">
        <x:v>SDG 14 – Unter Wasser</x:v>
      </x:c>
      <x:c r="C366" s="14" t="str">
        <x:v>14.4</x:v>
      </x:c>
      <x:c r="D366" s="14" t="str">
        <x:v>Fischerei‑Lieferketten</x:v>
      </x:c>
      <x:c r="E366" s="14" t="str">
        <x:v>Fischerei‑Lieferketten – Kinder/Zwangsarbeit</x:v>
      </x:c>
      <x:c r="F366" s="14" t="str">
        <x:v>% Lieferanten</x:v>
      </x:c>
      <x:c r="G366" s="14" t="str">
        <x:v>higher_is_better</x:v>
      </x:c>
      <x:c r="H366" s="14" t="str">
        <x:v>R28</x:v>
      </x:c>
      <x:c r="I366" s="14" t="str">
        <x:v>NUM_HIGH</x:v>
      </x:c>
      <x:c r="J366" s="51"/>
      <x:c r="K366" s="51"/>
      <x:c r="L366" s="51"/>
      <x:c r="M366" s="54"/>
      <x:c r="N366" s="58" t="str">
        <x:f>IF($J366="","",IF($J366&lt;50,-3,IF($J366&lt;75,-2,IF($J366&lt;90,0,IF($J366&lt;98,2,3)))))</x:f>
      </x:c>
      <x:c r="O366" s="58" t="str">
        <x:f>IF($J366="","",IF(OR('02_Benchmarks'!$P366&lt;&gt;"Aktiv",COUNT('02_Benchmarks'!$J366:$M366)&lt;4),"",IF($G366="lower_is_better",IF($J366&lt;='02_Benchmarks'!$J366,3,IF($J366&lt;'02_Benchmarks'!$K366,2,IF($J366&lt;='02_Benchmarks'!$L366,0,IF($J366&lt;='02_Benchmarks'!$M366,-2,-3)))),IF($J366&gt;='02_Benchmarks'!$J366,3,IF($J366&gt;'02_Benchmarks'!$K366,2,IF($J366&gt;='02_Benchmarks'!$L366,0,IF($J366&gt;='02_Benchmarks'!$M366,-2,-3)))))))</x:f>
      </x:c>
      <x:c r="P366" s="58" t="str">
        <x:f>IF(COUNT($N366:$O366)+IF(ISNUMBER($K366),1,0)=0,"",MIN($N366:$O366,$K366))</x:f>
      </x:c>
      <x:c r="Q366" s="58" t="str">
        <x:f>IF($P366="","",INDEX('04_Tarifmodell'!$B$6:$B$12,$P366+4))</x:f>
      </x:c>
      <x:c r="R366" s="64" t="str">
        <x:f>IF($P366="","",INDEX('04_Tarifmodell'!$C$6:$C$12,$P366+4))</x:f>
      </x:c>
      <x:c r="S366" s="14" t="str">
        <x:f>IF(OR($I366="QUALITATIVE",$I366="MANUAL_HYBRID"),IF($K366="","Assurance-Score fehlt","Assurance-bewertet"),IF($I366="BENCHMARK",IF($W366&lt;&gt;"Aktiv",IF($K366="","Benchmark fehlt","Assurance-bewertet"),IF($J366="","Messwert fehlt",IF($P366="","Nicht bewertbar","Berechnet"))),IF(AND($J366="",$K366&lt;&gt;""),"Nur Assurance-Score",IF($J366="","Messwert fehlt",IF($P366="","Nicht bewertbar",IF($P366&lt;=-2,"Kritische Wirkung / Prüfung","Berechnet"))))))</x:f>
        <x:v>Messwert fehlt</x:v>
      </x:c>
      <x:c r="T366" s="14" t="str">
        <x:v>Vollständige fünfstufige numerische Regel.</x:v>
      </x:c>
      <x:c r="U366" s="14" t="str">
        <x:v>≥98:+3; 90–97:+2; 75–89:0; 50–74:‑2; &lt;50:‑3</x:v>
      </x:c>
      <x:c r="V366" s="14" t="str">
        <x:v>ESRS S2, GRI 308/414, OECD Due Diligence</x:v>
      </x:c>
      <x:c r="W366" s="14" t="str">
        <x:f>'02_Benchmarks'!$P366</x:f>
        <x:v>Optional – kein aktiver Benchmark</x:v>
      </x:c>
      <x:c r="X366" s="14" t="str">
        <x:v>Messgrundlage belegt; Schwellenkalibrierung offen</x:v>
      </x:c>
      <x:c r="Y366" s="14" t="str">
        <x:v>Mittel</x:v>
      </x:c>
      <x:c r="Z366" s="14" t="str">
        <x:v>Arbeitskalibrierung – fachlich zu validieren</x:v>
      </x:c>
      <x:c r="AA366" s="14" t="str">
        <x:v>Vorgelagerte Lieferkette; relevante Tier-Stufen und Beschaffungsvolumen</x:v>
      </x:c>
      <x:c r="AB366" s="14" t="str">
        <x:v>Primärdaten bevorzugt; Sekundärdaten nur transparent und versioniert; Methode und Systemgrenze dokumentieren</x:v>
      </x:c>
      <x:c r="AC366" s="14" t="str">
        <x:v>Limited Assurance; risikobasiert höhere Prüftiefe</x:v>
      </x:c>
    </x:row>
    <x:row r="367" ht="42" customHeight="1">
      <x:c r="A367" s="14" t="str">
        <x:v>WOK-SC-133</x:v>
      </x:c>
      <x:c r="B367" s="14" t="str">
        <x:v>SDG 14 – Unter Wasser</x:v>
      </x:c>
      <x:c r="C367" s="14" t="str">
        <x:v>14.4</x:v>
      </x:c>
      <x:c r="D367" s="14" t="str">
        <x:v>Fischerei‑Lieferketten</x:v>
      </x:c>
      <x:c r="E367" s="14" t="str">
        <x:v>Fischerei‑Lieferketten – Scope‑3 Daten</x:v>
      </x:c>
      <x:c r="F367" s="14" t="str">
        <x:v>% Kategorien</x:v>
      </x:c>
      <x:c r="G367" s="14" t="str">
        <x:v>higher_is_better</x:v>
      </x:c>
      <x:c r="H367" s="14" t="str">
        <x:v>R23</x:v>
      </x:c>
      <x:c r="I367" s="14" t="str">
        <x:v>NUM_HIGH</x:v>
      </x:c>
      <x:c r="J367" s="51"/>
      <x:c r="K367" s="51"/>
      <x:c r="L367" s="51"/>
      <x:c r="M367" s="54"/>
      <x:c r="N367" s="58" t="str">
        <x:f>IF($J367="","",IF($J367&lt;20,-3,IF($J367&lt;40,-2,IF($J367&lt;60,0,IF($J367&lt;80,2,3)))))</x:f>
      </x:c>
      <x:c r="O367" s="58" t="str">
        <x:f>IF($J367="","",IF(OR('02_Benchmarks'!$P367&lt;&gt;"Aktiv",COUNT('02_Benchmarks'!$J367:$M367)&lt;4),"",IF($G367="lower_is_better",IF($J367&lt;='02_Benchmarks'!$J367,3,IF($J367&lt;'02_Benchmarks'!$K367,2,IF($J367&lt;='02_Benchmarks'!$L367,0,IF($J367&lt;='02_Benchmarks'!$M367,-2,-3)))),IF($J367&gt;='02_Benchmarks'!$J367,3,IF($J367&gt;'02_Benchmarks'!$K367,2,IF($J367&gt;='02_Benchmarks'!$L367,0,IF($J367&gt;='02_Benchmarks'!$M367,-2,-3)))))))</x:f>
      </x:c>
      <x:c r="P367" s="58" t="str">
        <x:f>IF(COUNT($N367:$O367)+IF(ISNUMBER($K367),1,0)=0,"",MIN($N367:$O367,$K367))</x:f>
      </x:c>
      <x:c r="Q367" s="58" t="str">
        <x:f>IF($P367="","",INDEX('04_Tarifmodell'!$B$6:$B$12,$P367+4))</x:f>
      </x:c>
      <x:c r="R367" s="64" t="str">
        <x:f>IF($P367="","",INDEX('04_Tarifmodell'!$C$6:$C$12,$P367+4))</x:f>
      </x:c>
      <x:c r="S367" s="14" t="str">
        <x:f>IF(OR($I367="QUALITATIVE",$I367="MANUAL_HYBRID"),IF($K367="","Assurance-Score fehlt","Assurance-bewertet"),IF($I367="BENCHMARK",IF($W367&lt;&gt;"Aktiv",IF($K367="","Benchmark fehlt","Assurance-bewertet"),IF($J367="","Messwert fehlt",IF($P367="","Nicht bewertbar","Berechnet"))),IF(AND($J367="",$K367&lt;&gt;""),"Nur Assurance-Score",IF($J367="","Messwert fehlt",IF($P367="","Nicht bewertbar",IF($P367&lt;=-2,"Kritische Wirkung / Prüfung","Berechnet"))))))</x:f>
        <x:v>Messwert fehlt</x:v>
      </x:c>
      <x:c r="T367" s="14" t="str">
        <x:v>Vollständige fünfstufige numerische Regel.</x:v>
      </x:c>
      <x:c r="U367" s="14" t="str">
        <x:v>≥80:+3; 60–79:+2; 40–59:0; 20–39:‑2; &lt;20:‑3</x:v>
      </x:c>
      <x:c r="V367" s="14" t="str">
        <x:v>ESRS E1, GHG Protocol (Corporate/Scope 1–3), ISO 14064/14067</x:v>
      </x:c>
      <x:c r="W367" s="14" t="str">
        <x:f>'02_Benchmarks'!$P367</x:f>
        <x:v>Optional – kein aktiver Benchmark</x:v>
      </x:c>
      <x:c r="X367" s="14" t="str">
        <x:v>Messgrundlage belegt; Schwellenkalibrierung offen</x:v>
      </x:c>
      <x:c r="Y367" s="14" t="str">
        <x:v>Mittel</x:v>
      </x:c>
      <x:c r="Z367" s="14" t="str">
        <x:v>Arbeitskalibrierung – fachlich zu validieren</x:v>
      </x:c>
      <x:c r="AA367" s="14" t="str">
        <x:v>Vorgelagerte Lieferkette; relevante Tier-Stufen und Beschaffungsvolumen</x:v>
      </x:c>
      <x:c r="AB367" s="14" t="str">
        <x:v>Primärdaten bevorzugt; Sekundärdaten nur transparent und versioniert; Methode und Systemgrenze dokumentieren</x:v>
      </x:c>
      <x:c r="AC367" s="14" t="str">
        <x:v>Limited Assurance; risikobasiert höhere Prüftiefe</x:v>
      </x:c>
    </x:row>
    <x:row r="368" ht="42" customHeight="1">
      <x:c r="A368" s="14" t="str">
        <x:v>WOK-G-167</x:v>
      </x:c>
      <x:c r="B368" s="14" t="str">
        <x:v>SDG 14 – Unter Wasser</x:v>
      </x:c>
      <x:c r="C368" s="14" t="str">
        <x:v>14.1</x:v>
      </x:c>
      <x:c r="D368" s="14" t="str">
        <x:v>Abwasser Compliance Küsten</x:v>
      </x:c>
      <x:c r="E368" s="14" t="str">
        <x:v>Abwasser Compliance Küsten – Antikorruption</x:v>
      </x:c>
      <x:c r="F368" s="14" t="str">
        <x:v>Fälle/1.000 FTE</x:v>
      </x:c>
      <x:c r="G368" s="14" t="str">
        <x:v>lower_is_better</x:v>
      </x:c>
      <x:c r="H368" s="14" t="str">
        <x:v>R01</x:v>
      </x:c>
      <x:c r="I368" s="14" t="str">
        <x:v>NUM_LOW</x:v>
      </x:c>
      <x:c r="J368" s="51"/>
      <x:c r="K368" s="51"/>
      <x:c r="L368" s="51"/>
      <x:c r="M368" s="54"/>
      <x:c r="N368" s="58" t="str">
        <x:f>IF($J368="","",IF($J368&lt;=0,3,IF($J368&lt;=0.2,2,IF($J368&lt;=0.5,0,IF($J368&lt;=1,-2,-3)))))</x:f>
      </x:c>
      <x:c r="O368" s="58" t="str">
        <x:f>IF($J368="","",IF(OR('02_Benchmarks'!$P368&lt;&gt;"Aktiv",COUNT('02_Benchmarks'!$J368:$M368)&lt;4),"",IF($G368="lower_is_better",IF($J368&lt;='02_Benchmarks'!$J368,3,IF($J368&lt;'02_Benchmarks'!$K368,2,IF($J368&lt;='02_Benchmarks'!$L368,0,IF($J368&lt;='02_Benchmarks'!$M368,-2,-3)))),IF($J368&gt;='02_Benchmarks'!$J368,3,IF($J368&gt;'02_Benchmarks'!$K368,2,IF($J368&gt;='02_Benchmarks'!$L368,0,IF($J368&gt;='02_Benchmarks'!$M368,-2,-3)))))))</x:f>
      </x:c>
      <x:c r="P368" s="58" t="str">
        <x:f>IF(COUNT($N368:$O368)+IF(ISNUMBER($K368),1,0)=0,"",MIN($N368:$O368,$K368))</x:f>
      </x:c>
      <x:c r="Q368" s="58" t="str">
        <x:f>IF($P368="","",INDEX('04_Tarifmodell'!$B$6:$B$12,$P368+4))</x:f>
      </x:c>
      <x:c r="R368" s="64" t="str">
        <x:f>IF($P368="","",INDEX('04_Tarifmodell'!$C$6:$C$12,$P368+4))</x:f>
      </x:c>
      <x:c r="S368" s="14" t="str">
        <x:f>IF(OR($I368="QUALITATIVE",$I368="MANUAL_HYBRID"),IF($K368="","Assurance-Score fehlt","Assurance-bewertet"),IF($I368="BENCHMARK",IF($W368&lt;&gt;"Aktiv",IF($K368="","Benchmark fehlt","Assurance-bewertet"),IF($J368="","Messwert fehlt",IF($P368="","Nicht bewertbar","Berechnet"))),IF(AND($J368="",$K368&lt;&gt;""),"Nur Assurance-Score",IF($J368="","Messwert fehlt",IF($P368="","Nicht bewertbar",IF($P368&lt;=-2,"Kritische Wirkung / Prüfung","Berechnet"))))))</x:f>
        <x:v>Messwert fehlt</x:v>
      </x:c>
      <x:c r="T368" s="14" t="str">
        <x:v>Vollständige fünfstufige numerische Regel.</x:v>
      </x:c>
      <x:c r="U368" s="14" t="str">
        <x:v>0:+3; ≤0,2:+2; ≤0,5:0; ≤1:‑2; &gt;1:‑3</x:v>
      </x:c>
      <x:c r="V368" s="14" t="str">
        <x:v>ESRS E3, WRI Aqueduct, ISO 14046 (Water Footprint)</x:v>
      </x:c>
      <x:c r="W368" s="14" t="str">
        <x:f>'02_Benchmarks'!$P368</x:f>
        <x:v>Optional – kein aktiver Benchmark</x:v>
      </x:c>
      <x:c r="X368" s="14" t="str">
        <x:v>Messgrundlage belegt; Schwellenkalibrierung offen</x:v>
      </x:c>
      <x:c r="Y368" s="14" t="str">
        <x:v>Mittel</x:v>
      </x:c>
      <x:c r="Z368" s="14" t="str">
        <x:v>Arbeitskalibrierung – fachlich zu validieren</x:v>
      </x:c>
      <x:c r="AA368" s="14" t="str">
        <x:v>Organisation/Governance; konsolidierter Kreis und relevante Rechtseinheiten</x:v>
      </x:c>
      <x:c r="AB368" s="14" t="str">
        <x:v>Primärdaten bevorzugt; Sekundärdaten nur transparent und versioniert; Methode und Systemgrenze dokumentieren</x:v>
      </x:c>
      <x:c r="AC368" s="14" t="str">
        <x:v>Limited Assurance; risikobasiert höhere Prüftiefe</x:v>
      </x:c>
    </x:row>
    <x:row r="369" ht="42" customHeight="1">
      <x:c r="A369" s="14" t="str">
        <x:v>WOK-G-168</x:v>
      </x:c>
      <x:c r="B369" s="14" t="str">
        <x:v>SDG 14 – Unter Wasser</x:v>
      </x:c>
      <x:c r="C369" s="14" t="str">
        <x:v>14.1</x:v>
      </x:c>
      <x:c r="D369" s="14" t="str">
        <x:v>Abwasser Compliance Küsten</x:v>
      </x:c>
      <x:c r="E369" s="14" t="str">
        <x:v>Abwasser Compliance Küsten – Whistleblowing</x:v>
      </x:c>
      <x:c r="F369" s="14" t="str">
        <x:v>0–1</x:v>
      </x:c>
      <x:c r="G369" s="14" t="str">
        <x:v>higher_is_better</x:v>
      </x:c>
      <x:c r="H369" s="14" t="str">
        <x:v>R16</x:v>
      </x:c>
      <x:c r="I369" s="14" t="str">
        <x:v>NUM_HIGH</x:v>
      </x:c>
      <x:c r="J369" s="51"/>
      <x:c r="K369" s="51"/>
      <x:c r="L369" s="51"/>
      <x:c r="M369" s="54"/>
      <x:c r="N369" s="58" t="str">
        <x:f>IF($J369="","",IF($J369&lt;0.4,-3,IF($J369&lt;0.6,-2,IF($J369&lt;0.75,0,IF($J369&lt;0.9,2,3)))))</x:f>
      </x:c>
      <x:c r="O369" s="58" t="str">
        <x:f>IF($J369="","",IF(OR('02_Benchmarks'!$P369&lt;&gt;"Aktiv",COUNT('02_Benchmarks'!$J369:$M369)&lt;4),"",IF($G369="lower_is_better",IF($J369&lt;='02_Benchmarks'!$J369,3,IF($J369&lt;'02_Benchmarks'!$K369,2,IF($J369&lt;='02_Benchmarks'!$L369,0,IF($J369&lt;='02_Benchmarks'!$M369,-2,-3)))),IF($J369&gt;='02_Benchmarks'!$J369,3,IF($J369&gt;'02_Benchmarks'!$K369,2,IF($J369&gt;='02_Benchmarks'!$L369,0,IF($J369&gt;='02_Benchmarks'!$M369,-2,-3)))))))</x:f>
      </x:c>
      <x:c r="P369" s="58" t="str">
        <x:f>IF(COUNT($N369:$O369)+IF(ISNUMBER($K369),1,0)=0,"",MIN($N369:$O369,$K369))</x:f>
      </x:c>
      <x:c r="Q369" s="58" t="str">
        <x:f>IF($P369="","",INDEX('04_Tarifmodell'!$B$6:$B$12,$P369+4))</x:f>
      </x:c>
      <x:c r="R369" s="64" t="str">
        <x:f>IF($P369="","",INDEX('04_Tarifmodell'!$C$6:$C$12,$P369+4))</x:f>
      </x:c>
      <x:c r="S369" s="14" t="str">
        <x:f>IF(OR($I369="QUALITATIVE",$I369="MANUAL_HYBRID"),IF($K369="","Assurance-Score fehlt","Assurance-bewertet"),IF($I369="BENCHMARK",IF($W369&lt;&gt;"Aktiv",IF($K369="","Benchmark fehlt","Assurance-bewertet"),IF($J369="","Messwert fehlt",IF($P369="","Nicht bewertbar","Berechnet"))),IF(AND($J369="",$K369&lt;&gt;""),"Nur Assurance-Score",IF($J369="","Messwert fehlt",IF($P369="","Nicht bewertbar",IF($P369&lt;=-2,"Kritische Wirkung / Prüfung","Berechnet"))))))</x:f>
        <x:v>Messwert fehlt</x:v>
      </x:c>
      <x:c r="T369" s="14" t="str">
        <x:v>Vollständige fünfstufige numerische Regel.</x:v>
      </x:c>
      <x:c r="U369" s="14" t="str">
        <x:v>≥0,9:+3; 0,75–0,89:+2; 0,6–0,74:0; 0,4–0,59:‑2; &lt;0,4:‑3</x:v>
      </x:c>
      <x:c r="V369" s="14" t="str">
        <x:v>ESRS E3, WRI Aqueduct, ISO 14046 (Water Footprint)</x:v>
      </x:c>
      <x:c r="W369" s="14" t="str">
        <x:f>'02_Benchmarks'!$P369</x:f>
        <x:v>Optional – kein aktiver Benchmark</x:v>
      </x:c>
      <x:c r="X369" s="14" t="str">
        <x:v>Messgrundlage belegt; Schwellenkalibrierung offen</x:v>
      </x:c>
      <x:c r="Y369" s="14" t="str">
        <x:v>Mittel</x:v>
      </x:c>
      <x:c r="Z369" s="14" t="str">
        <x:v>Arbeitskalibrierung – fachlich zu validieren</x:v>
      </x:c>
      <x:c r="AA369" s="14" t="str">
        <x:v>Organisation/Governance; konsolidierter Kreis und relevante Rechtseinheiten</x:v>
      </x:c>
      <x:c r="AB369" s="14" t="str">
        <x:v>Primärdaten bevorzugt; Sekundärdaten nur transparent und versioniert; Methode und Systemgrenze dokumentieren</x:v>
      </x:c>
      <x:c r="AC369" s="14" t="str">
        <x:v>Limited Assurance; risikobasiert höhere Prüftiefe</x:v>
      </x:c>
    </x:row>
    <x:row r="370" ht="42" customHeight="1">
      <x:c r="A370" s="14" t="str">
        <x:v>WOK-G-169</x:v>
      </x:c>
      <x:c r="B370" s="14" t="str">
        <x:v>SDG 14 – Unter Wasser</x:v>
      </x:c>
      <x:c r="C370" s="14" t="str">
        <x:v>14.1</x:v>
      </x:c>
      <x:c r="D370" s="14" t="str">
        <x:v>Abwasser Compliance Küsten</x:v>
      </x:c>
      <x:c r="E370" s="14" t="str">
        <x:v>Abwasser Compliance Küsten – Steuertransparenz</x:v>
      </x:c>
      <x:c r="F370" s="14" t="str">
        <x:v>0–1</x:v>
      </x:c>
      <x:c r="G370" s="14" t="str">
        <x:v>higher_is_better</x:v>
      </x:c>
      <x:c r="H370" s="14" t="str">
        <x:v>R08</x:v>
      </x:c>
      <x:c r="I370" s="14" t="str">
        <x:v>QUALITATIVE</x:v>
      </x:c>
      <x:c r="J370" s="51"/>
      <x:c r="K370" s="51"/>
      <x:c r="L370" s="51"/>
      <x:c r="M370" s="54"/>
      <x:c r="N370" s="58" t="str">
        <x:f>""</x:f>
      </x:c>
      <x:c r="O370" s="58" t="str">
        <x:f>IF($J370="","",IF(OR('02_Benchmarks'!$P370&lt;&gt;"Aktiv",COUNT('02_Benchmarks'!$J370:$M370)&lt;4),"",IF($G370="lower_is_better",IF($J370&lt;='02_Benchmarks'!$J370,3,IF($J370&lt;'02_Benchmarks'!$K370,2,IF($J370&lt;='02_Benchmarks'!$L370,0,IF($J370&lt;='02_Benchmarks'!$M370,-2,-3)))),IF($J370&gt;='02_Benchmarks'!$J370,3,IF($J370&gt;'02_Benchmarks'!$K370,2,IF($J370&gt;='02_Benchmarks'!$L370,0,IF($J370&gt;='02_Benchmarks'!$M370,-2,-3)))))))</x:f>
      </x:c>
      <x:c r="P370" s="58" t="str">
        <x:f>IF(COUNT($N370:$O370)+IF(ISNUMBER($K370),1,0)=0,"",MIN($N370:$O370,$K370))</x:f>
      </x:c>
      <x:c r="Q370" s="58" t="str">
        <x:f>IF($P370="","",INDEX('04_Tarifmodell'!$B$6:$B$12,$P370+4))</x:f>
      </x:c>
      <x:c r="R370" s="64" t="str">
        <x:f>IF($P370="","",INDEX('04_Tarifmodell'!$C$6:$C$12,$P370+4))</x:f>
      </x:c>
      <x:c r="S370" s="14" t="str">
        <x:f>IF(OR($I370="QUALITATIVE",$I370="MANUAL_HYBRID"),IF($K370="","Assurance-Score fehlt","Assurance-bewertet"),IF($I370="BENCHMARK",IF($W370&lt;&gt;"Aktiv",IF($K370="","Benchmark fehlt","Assurance-bewertet"),IF($J370="","Messwert fehlt",IF($P370="","Nicht bewertbar","Berechnet"))),IF(AND($J370="",$K370&lt;&gt;""),"Nur Assurance-Score",IF($J370="","Messwert fehlt",IF($P370="","Nicht bewertbar",IF($P370&lt;=-2,"Kritische Wirkung / Prüfung","Berechnet"))))))</x:f>
        <x:v>Assurance-Score fehlt</x:v>
      </x:c>
      <x:c r="T370" s="14" t="str">
        <x:v>Die Kategorie −3 fehlt; Vollständigkeit und Wirksamkeit sind feldspezifisch zu definieren.</x:v>
      </x:c>
      <x:c r="U370" s="14" t="str">
        <x:v>vollständig:+3; teilweise:+2; minimal:0; schlecht:‑2</x:v>
      </x:c>
      <x:c r="V370" s="14" t="str">
        <x:v>ESRS E3, WRI Aqueduct, ISO 14046 (Water Footprint)</x:v>
      </x:c>
      <x:c r="W370" s="14" t="str">
        <x:f>'02_Benchmarks'!$P370</x:f>
        <x:v>Optional – kein aktiver Benchmark</x:v>
      </x:c>
      <x:c r="X370" s="14" t="str">
        <x:v>Messgrundlage belegt; Schwellenkalibrierung offen</x:v>
      </x:c>
      <x:c r="Y370" s="14" t="str">
        <x:v>Hoch</x:v>
      </x:c>
      <x:c r="Z370" s="14" t="str">
        <x:v>Assurance und Kriterienkatalog erforderlich</x:v>
      </x:c>
      <x:c r="AA370" s="14" t="str">
        <x:v>Organisation/Governance; konsolidierter Kreis und relevante Rechtseinheiten</x:v>
      </x:c>
      <x:c r="AB370" s="14" t="str">
        <x:v>Dokumentierter Kriterienkatalog; nachvollziehbare Evidenz; DQR A/B bevorzugt</x:v>
      </x:c>
      <x:c r="AC370" s="14" t="str">
        <x:v>Unabhängige Fachprüfung/Limited Assurance; bei roten Linien Reasonable Assurance</x:v>
      </x:c>
    </x:row>
    <x:row r="371" ht="42" customHeight="1">
      <x:c r="A371" s="14" t="str">
        <x:v>WOK-SYS-140</x:v>
      </x:c>
      <x:c r="B371" s="14" t="str">
        <x:v>SDG 14 – Unter Wasser</x:v>
      </x:c>
      <x:c r="C371" s="14" t="str">
        <x:v>14.a</x:v>
      </x:c>
      <x:c r="D371" s="14" t="str">
        <x:v>Meeres‑Kooperationen</x:v>
      </x:c>
      <x:c r="E371" s="14" t="str">
        <x:v>Meeres‑Kooperationen – Index</x:v>
      </x:c>
      <x:c r="F371" s="14" t="str">
        <x:v>0–1</x:v>
      </x:c>
      <x:c r="G371" s="14" t="str">
        <x:v>higher_is_better</x:v>
      </x:c>
      <x:c r="H371" s="14" t="str">
        <x:v>R15</x:v>
      </x:c>
      <x:c r="I371" s="14" t="str">
        <x:v>NUM_HIGH</x:v>
      </x:c>
      <x:c r="J371" s="51"/>
      <x:c r="K371" s="51"/>
      <x:c r="L371" s="51"/>
      <x:c r="M371" s="54"/>
      <x:c r="N371" s="58" t="str">
        <x:f>IF($J371="","",IF($J371&lt;0.5,-3,IF($J371&lt;0.6,-2,IF($J371&lt;0.7,0,IF($J371&lt;0.8,2,3)))))</x:f>
      </x:c>
      <x:c r="O371" s="58" t="str">
        <x:f>IF($J371="","",IF(OR('02_Benchmarks'!$P371&lt;&gt;"Aktiv",COUNT('02_Benchmarks'!$J371:$M371)&lt;4),"",IF($G371="lower_is_better",IF($J371&lt;='02_Benchmarks'!$J371,3,IF($J371&lt;'02_Benchmarks'!$K371,2,IF($J371&lt;='02_Benchmarks'!$L371,0,IF($J371&lt;='02_Benchmarks'!$M371,-2,-3)))),IF($J371&gt;='02_Benchmarks'!$J371,3,IF($J371&gt;'02_Benchmarks'!$K371,2,IF($J371&gt;='02_Benchmarks'!$L371,0,IF($J371&gt;='02_Benchmarks'!$M371,-2,-3)))))))</x:f>
      </x:c>
      <x:c r="P371" s="58" t="str">
        <x:f>IF(COUNT($N371:$O371)+IF(ISNUMBER($K371),1,0)=0,"",MIN($N371:$O371,$K371))</x:f>
      </x:c>
      <x:c r="Q371" s="58" t="str">
        <x:f>IF($P371="","",INDEX('04_Tarifmodell'!$B$6:$B$12,$P371+4))</x:f>
      </x:c>
      <x:c r="R371" s="64" t="str">
        <x:f>IF($P371="","",INDEX('04_Tarifmodell'!$C$6:$C$12,$P371+4))</x:f>
      </x:c>
      <x:c r="S371" s="14" t="str">
        <x:f>IF(OR($I371="QUALITATIVE",$I371="MANUAL_HYBRID"),IF($K371="","Assurance-Score fehlt","Assurance-bewertet"),IF($I371="BENCHMARK",IF($W371&lt;&gt;"Aktiv",IF($K371="","Benchmark fehlt","Assurance-bewertet"),IF($J371="","Messwert fehlt",IF($P371="","Nicht bewertbar","Berechnet"))),IF(AND($J371="",$K371&lt;&gt;""),"Nur Assurance-Score",IF($J371="","Messwert fehlt",IF($P371="","Nicht bewertbar",IF($P371&lt;=-2,"Kritische Wirkung / Prüfung","Berechnet"))))))</x:f>
        <x:v>Messwert fehlt</x:v>
      </x:c>
      <x:c r="T371" s="14" t="str">
        <x:v>SROI/SDG 17 ist keine hinreichend konkrete Mess- oder Schwellenquelle. Vollständige fünfstufige numerische Regel.</x:v>
      </x:c>
      <x:c r="U371" s="14" t="str">
        <x:v>≥0,8:+3; 0,7–0,79:+2; 0,6–0,69:0; 0,5–0,59:‑2; &lt;0,5:‑3</x:v>
      </x:c>
      <x:c r="V371" s="14" t="str">
        <x:v>SDG 16/17, WJP, V‑Dem</x:v>
      </x:c>
      <x:c r="W371" s="14" t="str">
        <x:f>'02_Benchmarks'!$P371</x:f>
        <x:v>Optional – kein aktiver Benchmark</x:v>
      </x:c>
      <x:c r="X371" s="14" t="str">
        <x:v>Platzhalter – fachliche Operationalisierung offen</x:v>
      </x:c>
      <x:c r="Y371" s="14" t="str">
        <x:v>Kritisch</x:v>
      </x:c>
      <x:c r="Z371" s="14" t="str">
        <x:v>Arbeitskalibrierung – fachlich zu validieren</x:v>
      </x:c>
      <x:c r="AA371" s="14" t="str">
        <x:v>Programm/Portfolio/Systemraum; Empfängergruppe, Region und Zeitraum explizit definieren</x:v>
      </x:c>
      <x:c r="AB371" s="14" t="str">
        <x:v>Primärdaten bevorzugt; Sekundärdaten nur transparent und versioniert; Methode und Systemgrenze dokumentieren</x:v>
      </x:c>
      <x:c r="AC371" s="14" t="str">
        <x:v>Limited Assurance; risikobasiert höhere Prüftiefe</x:v>
      </x:c>
    </x:row>
    <x:row r="372" ht="42" customHeight="1">
      <x:c r="A372" s="14" t="str">
        <x:v>WOK-SYS-141</x:v>
      </x:c>
      <x:c r="B372" s="14" t="str">
        <x:v>SDG 14 – Unter Wasser</x:v>
      </x:c>
      <x:c r="C372" s="14" t="str">
        <x:v>14.a</x:v>
      </x:c>
      <x:c r="D372" s="14" t="str">
        <x:v>Meeres‑Kooperationen</x:v>
      </x:c>
      <x:c r="E372" s="14" t="str">
        <x:v>Meeres‑Kooperationen – Exposure</x:v>
      </x:c>
      <x:c r="F372" s="14" t="str">
        <x:v>%</x:v>
      </x:c>
      <x:c r="G372" s="14" t="str">
        <x:v>lower_is_better</x:v>
      </x:c>
      <x:c r="H372" s="14" t="str">
        <x:v>R13</x:v>
      </x:c>
      <x:c r="I372" s="14" t="str">
        <x:v>NUM_LOW</x:v>
      </x:c>
      <x:c r="J372" s="51"/>
      <x:c r="K372" s="51"/>
      <x:c r="L372" s="51"/>
      <x:c r="M372" s="54"/>
      <x:c r="N372" s="58" t="str">
        <x:f>IF($J372="","",IF($J372&lt;=5,3,IF($J372&lt;=10,2,IF($J372&lt;=20,0,IF($J372&lt;=30,-2,-3)))))</x:f>
      </x:c>
      <x:c r="O372" s="58" t="str">
        <x:f>IF($J372="","",IF(OR('02_Benchmarks'!$P372&lt;&gt;"Aktiv",COUNT('02_Benchmarks'!$J372:$M372)&lt;4),"",IF($G372="lower_is_better",IF($J372&lt;='02_Benchmarks'!$J372,3,IF($J372&lt;'02_Benchmarks'!$K372,2,IF($J372&lt;='02_Benchmarks'!$L372,0,IF($J372&lt;='02_Benchmarks'!$M372,-2,-3)))),IF($J372&gt;='02_Benchmarks'!$J372,3,IF($J372&gt;'02_Benchmarks'!$K372,2,IF($J372&gt;='02_Benchmarks'!$L372,0,IF($J372&gt;='02_Benchmarks'!$M372,-2,-3)))))))</x:f>
      </x:c>
      <x:c r="P372" s="58" t="str">
        <x:f>IF(COUNT($N372:$O372)+IF(ISNUMBER($K372),1,0)=0,"",MIN($N372:$O372,$K372))</x:f>
      </x:c>
      <x:c r="Q372" s="58" t="str">
        <x:f>IF($P372="","",INDEX('04_Tarifmodell'!$B$6:$B$12,$P372+4))</x:f>
      </x:c>
      <x:c r="R372" s="64" t="str">
        <x:f>IF($P372="","",INDEX('04_Tarifmodell'!$C$6:$C$12,$P372+4))</x:f>
      </x:c>
      <x:c r="S372" s="14" t="str">
        <x:f>IF(OR($I372="QUALITATIVE",$I372="MANUAL_HYBRID"),IF($K372="","Assurance-Score fehlt","Assurance-bewertet"),IF($I372="BENCHMARK",IF($W372&lt;&gt;"Aktiv",IF($K372="","Benchmark fehlt","Assurance-bewertet"),IF($J372="","Messwert fehlt",IF($P372="","Nicht bewertbar","Berechnet"))),IF(AND($J372="",$K372&lt;&gt;""),"Nur Assurance-Score",IF($J372="","Messwert fehlt",IF($P372="","Nicht bewertbar",IF($P372&lt;=-2,"Kritische Wirkung / Prüfung","Berechnet"))))))</x:f>
        <x:v>Messwert fehlt</x:v>
      </x:c>
      <x:c r="T372" s="14" t="str">
        <x:v>SROI/SDG 17 ist keine hinreichend konkrete Mess- oder Schwellenquelle. Vollständige fünfstufige numerische Regel.</x:v>
      </x:c>
      <x:c r="U372" s="14" t="str">
        <x:v>≤5:+3; 6–10:+2; 11–20:0; 21–30:‑2; &gt;30:‑3</x:v>
      </x:c>
      <x:c r="V372" s="14" t="str">
        <x:v>SROI/SDG17</x:v>
      </x:c>
      <x:c r="W372" s="14" t="str">
        <x:f>'02_Benchmarks'!$P372</x:f>
        <x:v>Optional – kein aktiver Benchmark</x:v>
      </x:c>
      <x:c r="X372" s="14" t="str">
        <x:v>Platzhalter – fachliche Operationalisierung offen</x:v>
      </x:c>
      <x:c r="Y372" s="14" t="str">
        <x:v>Kritisch</x:v>
      </x:c>
      <x:c r="Z372" s="14" t="str">
        <x:v>Arbeitskalibrierung – fachlich zu validieren</x:v>
      </x:c>
      <x:c r="AA372" s="14" t="str">
        <x:v>Programm/Portfolio/Systemraum; Empfängergruppe, Region und Zeitraum explizit definieren</x:v>
      </x:c>
      <x:c r="AB372" s="14" t="str">
        <x:v>Primärdaten bevorzugt; Sekundärdaten nur transparent und versioniert; Methode und Systemgrenze dokumentieren</x:v>
      </x:c>
      <x:c r="AC372" s="14" t="str">
        <x:v>Limited Assurance; risikobasiert höhere Prüftiefe</x:v>
      </x:c>
    </x:row>
    <x:row r="373" ht="42" customHeight="1">
      <x:c r="A373" s="14" t="str">
        <x:v>WOK-SYS-142</x:v>
      </x:c>
      <x:c r="B373" s="14" t="str">
        <x:v>SDG 14 – Unter Wasser</x:v>
      </x:c>
      <x:c r="C373" s="14" t="str">
        <x:v>14.a</x:v>
      </x:c>
      <x:c r="D373" s="14" t="str">
        <x:v>Meeres‑Kooperationen</x:v>
      </x:c>
      <x:c r="E373" s="14" t="str">
        <x:v>Meeres‑Kooperationen – Kooperationen</x:v>
      </x:c>
      <x:c r="F373" s="14" t="str">
        <x:v>#/Jahr</x:v>
      </x:c>
      <x:c r="G373" s="14" t="str">
        <x:v>higher_is_better</x:v>
      </x:c>
      <x:c r="H373" s="14" t="str">
        <x:v>R20</x:v>
      </x:c>
      <x:c r="I373" s="14" t="str">
        <x:v>NUM_HIGH</x:v>
      </x:c>
      <x:c r="J373" s="51"/>
      <x:c r="K373" s="51"/>
      <x:c r="L373" s="51"/>
      <x:c r="M373" s="54"/>
      <x:c r="N373" s="58" t="str">
        <x:f>IF($J373="","",IF($J373&lt;0,-3,IF($J373&lt;1,-2,IF($J373&lt;3,0,IF($J373&lt;5,2,3)))))</x:f>
      </x:c>
      <x:c r="O373" s="58" t="str">
        <x:f>IF($J373="","",IF(OR('02_Benchmarks'!$P373&lt;&gt;"Aktiv",COUNT('02_Benchmarks'!$J373:$M373)&lt;4),"",IF($G373="lower_is_better",IF($J373&lt;='02_Benchmarks'!$J373,3,IF($J373&lt;'02_Benchmarks'!$K373,2,IF($J373&lt;='02_Benchmarks'!$L373,0,IF($J373&lt;='02_Benchmarks'!$M373,-2,-3)))),IF($J373&gt;='02_Benchmarks'!$J373,3,IF($J373&gt;'02_Benchmarks'!$K373,2,IF($J373&gt;='02_Benchmarks'!$L373,0,IF($J373&gt;='02_Benchmarks'!$M373,-2,-3)))))))</x:f>
      </x:c>
      <x:c r="P373" s="58" t="str">
        <x:f>IF(COUNT($N373:$O373)+IF(ISNUMBER($K373),1,0)=0,"",MIN($N373:$O373,$K373))</x:f>
      </x:c>
      <x:c r="Q373" s="58" t="str">
        <x:f>IF($P373="","",INDEX('04_Tarifmodell'!$B$6:$B$12,$P373+4))</x:f>
      </x:c>
      <x:c r="R373" s="64" t="str">
        <x:f>IF($P373="","",INDEX('04_Tarifmodell'!$C$6:$C$12,$P373+4))</x:f>
      </x:c>
      <x:c r="S373" s="14" t="str">
        <x:f>IF(OR($I373="QUALITATIVE",$I373="MANUAL_HYBRID"),IF($K373="","Assurance-Score fehlt","Assurance-bewertet"),IF($I373="BENCHMARK",IF($W373&lt;&gt;"Aktiv",IF($K373="","Benchmark fehlt","Assurance-bewertet"),IF($J373="","Messwert fehlt",IF($P373="","Nicht bewertbar","Berechnet"))),IF(AND($J373="",$K373&lt;&gt;""),"Nur Assurance-Score",IF($J373="","Messwert fehlt",IF($P373="","Nicht bewertbar",IF($P373&lt;=-2,"Kritische Wirkung / Prüfung","Berechnet"))))))</x:f>
        <x:v>Messwert fehlt</x:v>
      </x:c>
      <x:c r="T373" s="14" t="str">
        <x:v>SROI/SDG 17 ist keine hinreichend konkrete Mess- oder Schwellenquelle. Für sachlogisch nichtnegative Zählwerte ist 0 die schlechteste reguläre Klasse (−2).</x:v>
      </x:c>
      <x:c r="U373" s="14" t="str">
        <x:v>≥5:+3; 3–4:+2; 1–2:0; 0:‑2</x:v>
      </x:c>
      <x:c r="V373" s="14" t="str">
        <x:v>SDG 16/17, WJP, V‑Dem</x:v>
      </x:c>
      <x:c r="W373" s="14" t="str">
        <x:f>'02_Benchmarks'!$P373</x:f>
        <x:v>Optional – kein aktiver Benchmark</x:v>
      </x:c>
      <x:c r="X373" s="14" t="str">
        <x:v>Platzhalter – fachliche Operationalisierung offen</x:v>
      </x:c>
      <x:c r="Y373" s="14" t="str">
        <x:v>Kritisch</x:v>
      </x:c>
      <x:c r="Z373" s="14" t="str">
        <x:v>Klasse −3 nur für negative/unzulässige Werte ergänzt</x:v>
      </x:c>
      <x:c r="AA373" s="14" t="str">
        <x:v>Programm/Portfolio/Systemraum; Empfängergruppe, Region und Zeitraum explizit definieren</x:v>
      </x:c>
      <x:c r="AB373" s="14" t="str">
        <x:v>Primärdaten bevorzugt; Sekundärdaten nur transparent und versioniert; Methode und Systemgrenze dokumentieren</x:v>
      </x:c>
      <x:c r="AC373" s="14" t="str">
        <x:v>Limited Assurance; risikobasiert höhere Prüftiefe</x:v>
      </x:c>
    </x:row>
    <x:row r="374" ht="42" customHeight="1">
      <x:c r="A374" s="14" t="str">
        <x:v>WOK-E-200</x:v>
      </x:c>
      <x:c r="B374" s="14" t="str">
        <x:v>SDG 14 – Unter Wasser</x:v>
      </x:c>
      <x:c r="C374" s="14" t="str">
        <x:v>14.1</x:v>
      </x:c>
      <x:c r="D374" s="14" t="str">
        <x:v>Mikroplastik in Abwasser</x:v>
      </x:c>
      <x:c r="E374" s="14" t="str">
        <x:v>Mikroplastik in Abwasser – Entnahme (WSI)</x:v>
      </x:c>
      <x:c r="F374" s="14" t="str">
        <x:v>m³*WSI</x:v>
      </x:c>
      <x:c r="G374" s="14" t="str">
        <x:v>lower_is_better</x:v>
      </x:c>
      <x:c r="H374" s="14" t="str">
        <x:v>R06</x:v>
      </x:c>
      <x:c r="I374" s="14" t="str">
        <x:v>BENCHMARK</x:v>
      </x:c>
      <x:c r="J374" s="51"/>
      <x:c r="K374" s="51"/>
      <x:c r="L374" s="51"/>
      <x:c r="M374" s="54"/>
      <x:c r="N374" s="58" t="str">
        <x:f>""</x:f>
      </x:c>
      <x:c r="O374" s="58" t="str">
        <x:f>IF($J374="","",IF(OR('02_Benchmarks'!$P374&lt;&gt;"Aktiv",COUNT('02_Benchmarks'!$J374:$M374)&lt;4),"",IF($G374="lower_is_better",IF($J374&lt;='02_Benchmarks'!$J374,3,IF($J374&lt;'02_Benchmarks'!$K374,2,IF($J374&lt;='02_Benchmarks'!$L374,0,IF($J374&lt;='02_Benchmarks'!$M374,-2,-3)))),IF($J374&gt;='02_Benchmarks'!$J374,3,IF($J374&gt;'02_Benchmarks'!$K374,2,IF($J374&gt;='02_Benchmarks'!$L374,0,IF($J374&gt;='02_Benchmarks'!$M374,-2,-3)))))))</x:f>
      </x:c>
      <x:c r="P374" s="58" t="str">
        <x:f>IF(COUNT($N374:$O374)+IF(ISNUMBER($K374),1,0)=0,"",MIN($N374:$O374,$K374))</x:f>
      </x:c>
      <x:c r="Q374" s="58" t="str">
        <x:f>IF($P374="","",INDEX('04_Tarifmodell'!$B$6:$B$12,$P374+4))</x:f>
      </x:c>
      <x:c r="R374" s="64" t="str">
        <x:f>IF($P374="","",INDEX('04_Tarifmodell'!$C$6:$C$12,$P374+4))</x:f>
      </x:c>
      <x:c r="S374" s="14" t="str">
        <x:f>IF(OR($I374="QUALITATIVE",$I374="MANUAL_HYBRID"),IF($K374="","Assurance-Score fehlt","Assurance-bewertet"),IF($I374="BENCHMARK",IF($W374&lt;&gt;"Aktiv",IF($K374="","Benchmark fehlt","Assurance-bewertet"),IF($J374="","Messwert fehlt",IF($P374="","Nicht bewertbar","Berechnet"))),IF(AND($J374="",$K374&lt;&gt;""),"Nur Assurance-Score",IF($J374="","Messwert fehlt",IF($P374="","Nicht bewertbar",IF($P374&lt;=-2,"Kritische Wirkung / Prüfung","Berechnet"))))))</x:f>
        <x:v>Benchmark fehlt</x:v>
      </x:c>
      <x:c r="T374" s="14" t="str">
        <x:v>Top-10-Prozent, Mittelwert, 150 % und 250 % müssen aus einer dokumentierten Grundgesamtheit stammen.</x:v>
      </x:c>
      <x:c r="U374" s="14" t="str">
        <x:v>Top‑10%:+3; Mittel:0; &gt;150%:‑2; &gt;250%:‑3</x:v>
      </x:c>
      <x:c r="V374" s="14" t="str">
        <x:v>ESRS E3, WRI Aqueduct, ISO 14046 (Water Footprint)</x:v>
      </x:c>
      <x:c r="W374" s="14" t="str">
        <x:f>'02_Benchmarks'!$P374</x:f>
        <x:v>Offen – validierter Benchmark fehlt</x:v>
      </x:c>
      <x:c r="X374" s="14" t="str">
        <x:v>Teilbelegt – Benchmarkquelle fehlt</x:v>
      </x:c>
      <x:c r="Y374" s="14" t="str">
        <x:v>Hoch</x:v>
      </x:c>
      <x:c r="Z374" s="14" t="str">
        <x:v>Validierter Benchmark fehlt</x:v>
      </x:c>
      <x:c r="AA374" s="14" t="str">
        <x:v>Standort/Prozess/Aktivität; Bezugsgröße und relevante Umweltmedien</x:v>
      </x:c>
      <x:c r="AB374" s="14" t="str">
        <x:v>Primärdaten plus repräsentativer, versionierter Benchmarkdatensatz; Stichprobe und Population offenlegen</x:v>
      </x:c>
      <x:c r="AC374" s="14" t="str">
        <x:v>Messwert-Assurance und unabhängige Benchmark-Governance</x:v>
      </x:c>
    </x:row>
    <x:row r="375" ht="42" customHeight="1">
      <x:c r="A375" s="14" t="str">
        <x:v>WOK-E-201</x:v>
      </x:c>
      <x:c r="B375" s="14" t="str">
        <x:v>SDG 14 – Unter Wasser</x:v>
      </x:c>
      <x:c r="C375" s="14" t="str">
        <x:v>14.1</x:v>
      </x:c>
      <x:c r="D375" s="14" t="str">
        <x:v>Mikroplastik in Abwasser</x:v>
      </x:c>
      <x:c r="E375" s="14" t="str">
        <x:v>Mikroplastik in Abwasser – Reuse</x:v>
      </x:c>
      <x:c r="F375" s="14" t="str">
        <x:v>%</x:v>
      </x:c>
      <x:c r="G375" s="14" t="str">
        <x:v>higher_is_better</x:v>
      </x:c>
      <x:c r="H375" s="14" t="str">
        <x:v>R25</x:v>
      </x:c>
      <x:c r="I375" s="14" t="str">
        <x:v>NUM_HIGH</x:v>
      </x:c>
      <x:c r="J375" s="51"/>
      <x:c r="K375" s="51"/>
      <x:c r="L375" s="51"/>
      <x:c r="M375" s="54"/>
      <x:c r="N375" s="58" t="str">
        <x:f>IF($J375="","",IF($J375&lt;30,-3,IF($J375&lt;50,-2,IF($J375&lt;70,0,IF($J375&lt;90,2,3)))))</x:f>
      </x:c>
      <x:c r="O375" s="58" t="str">
        <x:f>IF($J375="","",IF(OR('02_Benchmarks'!$P375&lt;&gt;"Aktiv",COUNT('02_Benchmarks'!$J375:$M375)&lt;4),"",IF($G375="lower_is_better",IF($J375&lt;='02_Benchmarks'!$J375,3,IF($J375&lt;'02_Benchmarks'!$K375,2,IF($J375&lt;='02_Benchmarks'!$L375,0,IF($J375&lt;='02_Benchmarks'!$M375,-2,-3)))),IF($J375&gt;='02_Benchmarks'!$J375,3,IF($J375&gt;'02_Benchmarks'!$K375,2,IF($J375&gt;='02_Benchmarks'!$L375,0,IF($J375&gt;='02_Benchmarks'!$M375,-2,-3)))))))</x:f>
      </x:c>
      <x:c r="P375" s="58" t="str">
        <x:f>IF(COUNT($N375:$O375)+IF(ISNUMBER($K375),1,0)=0,"",MIN($N375:$O375,$K375))</x:f>
      </x:c>
      <x:c r="Q375" s="58" t="str">
        <x:f>IF($P375="","",INDEX('04_Tarifmodell'!$B$6:$B$12,$P375+4))</x:f>
      </x:c>
      <x:c r="R375" s="64" t="str">
        <x:f>IF($P375="","",INDEX('04_Tarifmodell'!$C$6:$C$12,$P375+4))</x:f>
      </x:c>
      <x:c r="S375" s="14" t="str">
        <x:f>IF(OR($I375="QUALITATIVE",$I375="MANUAL_HYBRID"),IF($K375="","Assurance-Score fehlt","Assurance-bewertet"),IF($I375="BENCHMARK",IF($W375&lt;&gt;"Aktiv",IF($K375="","Benchmark fehlt","Assurance-bewertet"),IF($J375="","Messwert fehlt",IF($P375="","Nicht bewertbar","Berechnet"))),IF(AND($J375="",$K375&lt;&gt;""),"Nur Assurance-Score",IF($J375="","Messwert fehlt",IF($P375="","Nicht bewertbar",IF($P375&lt;=-2,"Kritische Wirkung / Prüfung","Berechnet"))))))</x:f>
        <x:v>Messwert fehlt</x:v>
      </x:c>
      <x:c r="T375" s="14" t="str">
        <x:v>Vollständige fünfstufige Prozentregel.</x:v>
      </x:c>
      <x:c r="U375" s="14" t="str">
        <x:v>≥90%:+3; 70–89%:+2; 50–69%:0; 30–49%:‑2; &lt;30%:‑3</x:v>
      </x:c>
      <x:c r="V375" s="14" t="str">
        <x:v>ESRS E3, WRI Aqueduct, ISO 14046 (Water Footprint)</x:v>
      </x:c>
      <x:c r="W375" s="14" t="str">
        <x:f>'02_Benchmarks'!$P375</x:f>
        <x:v>Optional – kein aktiver Benchmark</x:v>
      </x:c>
      <x:c r="X375" s="14" t="str">
        <x:v>Messgrundlage belegt; Schwellenkalibrierung offen</x:v>
      </x:c>
      <x:c r="Y375" s="14" t="str">
        <x:v>Mittel</x:v>
      </x:c>
      <x:c r="Z375" s="14" t="str">
        <x:v>Arbeitskalibrierung – fachlich zu validieren</x:v>
      </x:c>
      <x:c r="AA375" s="14" t="str">
        <x:v>Standort/Prozess/Aktivität; Bezugsgröße und relevante Umweltmedien</x:v>
      </x:c>
      <x:c r="AB375" s="14" t="str">
        <x:v>Primärdaten bevorzugt; Sekundärdaten nur transparent und versioniert; Methode und Systemgrenze dokumentieren</x:v>
      </x:c>
      <x:c r="AC375" s="14" t="str">
        <x:v>Limited Assurance; risikobasiert höhere Prüftiefe</x:v>
      </x:c>
    </x:row>
    <x:row r="376" ht="42" customHeight="1">
      <x:c r="A376" s="14" t="str">
        <x:v>WOK-E-202</x:v>
      </x:c>
      <x:c r="B376" s="14" t="str">
        <x:v>SDG 14 – Unter Wasser</x:v>
      </x:c>
      <x:c r="C376" s="14" t="str">
        <x:v>14.1</x:v>
      </x:c>
      <x:c r="D376" s="14" t="str">
        <x:v>Mikroplastik in Abwasser</x:v>
      </x:c>
      <x:c r="E376" s="14" t="str">
        <x:v>Mikroplastik in Abwasser – Abwasserqualität</x:v>
      </x:c>
      <x:c r="F376" s="14" t="str">
        <x:v>% des Grenzwerts</x:v>
      </x:c>
      <x:c r="G376" s="14" t="str">
        <x:v>lower_is_better</x:v>
      </x:c>
      <x:c r="H376" s="14" t="str">
        <x:v>R12</x:v>
      </x:c>
      <x:c r="I376" s="14" t="str">
        <x:v>LEGAL_RATIO</x:v>
      </x:c>
      <x:c r="J376" s="51"/>
      <x:c r="K376" s="51"/>
      <x:c r="L376" s="51"/>
      <x:c r="M376" s="54"/>
      <x:c r="N376" s="58" t="str">
        <x:f>IF($J376="","",IF($J376&lt;=50,3,IF($J376&lt;=75,2,IF($J376&lt;=100,0,IF($J376&lt;=120,-2,-3)))))</x:f>
      </x:c>
      <x:c r="O376" s="58" t="str">
        <x:f>IF($J376="","",IF(OR('02_Benchmarks'!$P376&lt;&gt;"Aktiv",COUNT('02_Benchmarks'!$J376:$M376)&lt;4),"",IF($G376="lower_is_better",IF($J376&lt;='02_Benchmarks'!$J376,3,IF($J376&lt;'02_Benchmarks'!$K376,2,IF($J376&lt;='02_Benchmarks'!$L376,0,IF($J376&lt;='02_Benchmarks'!$M376,-2,-3)))),IF($J376&gt;='02_Benchmarks'!$J376,3,IF($J376&gt;'02_Benchmarks'!$K376,2,IF($J376&gt;='02_Benchmarks'!$L376,0,IF($J376&gt;='02_Benchmarks'!$M376,-2,-3)))))))</x:f>
      </x:c>
      <x:c r="P376" s="58" t="str">
        <x:f>IF(COUNT($N376:$O376)+IF(ISNUMBER($K376),1,0)=0,"",MIN($N376:$O376,$K376))</x:f>
      </x:c>
      <x:c r="Q376" s="58" t="str">
        <x:f>IF($P376="","",INDEX('04_Tarifmodell'!$B$6:$B$12,$P376+4))</x:f>
      </x:c>
      <x:c r="R376" s="64" t="str">
        <x:f>IF($P376="","",INDEX('04_Tarifmodell'!$C$6:$C$12,$P376+4))</x:f>
      </x:c>
      <x:c r="S376" s="14" t="str">
        <x:f>IF(OR($I376="QUALITATIVE",$I376="MANUAL_HYBRID"),IF($K376="","Assurance-Score fehlt","Assurance-bewertet"),IF($I376="BENCHMARK",IF($W376&lt;&gt;"Aktiv",IF($K376="","Benchmark fehlt","Assurance-bewertet"),IF($J376="","Messwert fehlt",IF($P376="","Nicht bewertbar","Berechnet"))),IF(AND($J376="",$K376&lt;&gt;""),"Nur Assurance-Score",IF($J376="","Messwert fehlt",IF($P376="","Nicht bewertbar",IF($P376&lt;=-2,"Kritische Wirkung / Prüfung","Berechnet"))))))</x:f>
        <x:v>Messwert fehlt</x:v>
      </x:c>
      <x:c r="T376" s="14" t="str">
        <x:v>Nicht der absolute Messwert, sondern Messwert ÷ Grenzwert × 100 wird bewertet.</x:v>
      </x:c>
      <x:c r="U376" s="14" t="str">
        <x:v>≤50% Grenzwert:+3; ≤75%:+2; ≤100%:0; 101–120%:‑2; &gt;120%:‑3</x:v>
      </x:c>
      <x:c r="V376" s="14" t="str">
        <x:v>ESRS E3, WRI Aqueduct, ISO 14046 (Water Footprint)</x:v>
      </x:c>
      <x:c r="W376" s="14" t="str">
        <x:f>'02_Benchmarks'!$P376</x:f>
        <x:v>Optional – kein aktiver Benchmark</x:v>
      </x:c>
      <x:c r="X376" s="14" t="str">
        <x:v>Teilbelegt – Rechtsfundstelle je Messung fehlt</x:v>
      </x:c>
      <x:c r="Y376" s="14" t="str">
        <x:v>Hoch</x:v>
      </x:c>
      <x:c r="Z376" s="14" t="str">
        <x:v>Rechtsfundstelle je Fall erforderlich</x:v>
      </x:c>
      <x:c r="AA376" s="14" t="str">
        <x:v>Standort/Prozess/Aktivität; Bezugsgröße und relevante Umweltmedien</x:v>
      </x:c>
      <x:c r="AB376" s="14" t="str">
        <x:v>Kalibrierter Messwert; Rechtsfundstelle, Grenzwert, Einheit, Messpunkt und Zeitraum</x:v>
      </x:c>
      <x:c r="AC376" s="14" t="str">
        <x:v>Behördlicher/akkreditierter Nachweis oder unabhängige Prüfung</x:v>
      </x:c>
    </x:row>
    <x:row r="377" ht="42" customHeight="1">
      <x:c r="A377" s="14" t="str">
        <x:v>WOK-POL-110</x:v>
      </x:c>
      <x:c r="B377" s="14" t="str">
        <x:v>SDG 14 – Unter Wasser</x:v>
      </x:c>
      <x:c r="C377" s="14" t="str">
        <x:v>14.1</x:v>
      </x:c>
      <x:c r="D377" s="14" t="str">
        <x:v>DNSH Wasser</x:v>
      </x:c>
      <x:c r="E377" s="14" t="str">
        <x:v>DNSH Wasser – Spezifische Emissionen</x:v>
      </x:c>
      <x:c r="F377" s="14" t="str">
        <x:v>g CO₂e/kWh</x:v>
      </x:c>
      <x:c r="G377" s="14" t="str">
        <x:v>lower_is_better</x:v>
      </x:c>
      <x:c r="H377" s="14" t="str">
        <x:v>R10</x:v>
      </x:c>
      <x:c r="I377" s="14" t="str">
        <x:v>NUM_LOW</x:v>
      </x:c>
      <x:c r="J377" s="51"/>
      <x:c r="K377" s="51"/>
      <x:c r="L377" s="51"/>
      <x:c r="M377" s="54"/>
      <x:c r="N377" s="58" t="str">
        <x:f>IF($J377="","",IF($J377&lt;=100,3,IF($J377&lt;=250,0,IF($J377&lt;=1E+99,-2,IF($J377&lt;=1E+99,-2,-2)))))</x:f>
      </x:c>
      <x:c r="O377" s="58" t="str">
        <x:f>IF($J377="","",IF(OR('02_Benchmarks'!$P377&lt;&gt;"Aktiv",COUNT('02_Benchmarks'!$J377:$M377)&lt;4),"",IF($G377="lower_is_better",IF($J377&lt;='02_Benchmarks'!$J377,3,IF($J377&lt;'02_Benchmarks'!$K377,2,IF($J377&lt;='02_Benchmarks'!$L377,0,IF($J377&lt;='02_Benchmarks'!$M377,-2,-3)))),IF($J377&gt;='02_Benchmarks'!$J377,3,IF($J377&gt;'02_Benchmarks'!$K377,2,IF($J377&gt;='02_Benchmarks'!$L377,0,IF($J377&gt;='02_Benchmarks'!$M377,-2,-3)))))))</x:f>
      </x:c>
      <x:c r="P377" s="58" t="str">
        <x:f>IF(COUNT($N377:$O377)+IF(ISNUMBER($K377),1,0)=0,"",MIN($N377:$O377,$K377))</x:f>
      </x:c>
      <x:c r="Q377" s="58" t="str">
        <x:f>IF($P377="","",INDEX('04_Tarifmodell'!$B$6:$B$12,$P377+4))</x:f>
      </x:c>
      <x:c r="R377" s="64" t="str">
        <x:f>IF($P377="","",INDEX('04_Tarifmodell'!$C$6:$C$12,$P377+4))</x:f>
      </x:c>
      <x:c r="S377" s="14" t="str">
        <x:f>IF(OR($I377="QUALITATIVE",$I377="MANUAL_HYBRID"),IF($K377="","Assurance-Score fehlt","Assurance-bewertet"),IF($I377="BENCHMARK",IF($W377&lt;&gt;"Aktiv",IF($K377="","Benchmark fehlt","Assurance-bewertet"),IF($J377="","Messwert fehlt",IF($P377="","Nicht bewertbar","Berechnet"))),IF(AND($J377="",$K377&lt;&gt;""),"Nur Assurance-Score",IF($J377="","Messwert fehlt",IF($P377="","Nicht bewertbar",IF($P377&lt;=-2,"Kritische Wirkung / Prüfung","Berechnet"))))))</x:f>
        <x:v>Messwert fehlt</x:v>
      </x:c>
      <x:c r="T377" s="14" t="str">
        <x:v>Automatik bildet nur die explizit vorhandenen Klassen ab.</x:v>
      </x:c>
      <x:c r="U377" s="14" t="str">
        <x:v>≤100:+3; 101–250:0; &gt;250:‑2</x:v>
      </x:c>
      <x:c r="V377" s="14" t="str">
        <x:v>ESRS E1, GHG Protocol (Corporate/Scope 1–3), ISO 14064/14067</x:v>
      </x:c>
      <x:c r="W377" s="14" t="str">
        <x:f>'02_Benchmarks'!$P377</x:f>
        <x:v>Optional – kein aktiver Benchmark</x:v>
      </x:c>
      <x:c r="X377" s="14" t="str">
        <x:v>Messgrundlage belegt; Schwellenkalibrierung offen</x:v>
      </x:c>
      <x:c r="Y377" s="14" t="str">
        <x:v>Mittel</x:v>
      </x:c>
      <x:c r="Z377" s="14" t="str">
        <x:v>Klassen +2 und −3 fehlen</x:v>
      </x:c>
      <x:c r="AA377" s="14" t="str">
        <x:v>Technologie-/Aktivitätsklasse; Anlagen-, Netz- oder Flottengrenze ausweisen</x:v>
      </x:c>
      <x:c r="AB377" s="14" t="str">
        <x:v>Primärdaten bevorzugt; Sekundärdaten nur transparent und versioniert; Methode und Systemgrenze dokumentieren</x:v>
      </x:c>
      <x:c r="AC377" s="14" t="str">
        <x:v>Limited Assurance; risikobasiert höhere Prüftiefe</x:v>
      </x:c>
    </x:row>
    <x:row r="378" ht="42" customHeight="1">
      <x:c r="A378" s="14" t="str">
        <x:v>WOK-POL-111</x:v>
      </x:c>
      <x:c r="B378" s="14" t="str">
        <x:v>SDG 14 – Unter Wasser</x:v>
      </x:c>
      <x:c r="C378" s="14" t="str">
        <x:v>14.1</x:v>
      </x:c>
      <x:c r="D378" s="14" t="str">
        <x:v>DNSH Wasser</x:v>
      </x:c>
      <x:c r="E378" s="14" t="str">
        <x:v>DNSH Wasser – DNSH‑Konformität</x:v>
      </x:c>
      <x:c r="F378" s="14" t="str">
        <x:v>% Aktivitäten</x:v>
      </x:c>
      <x:c r="G378" s="14" t="str">
        <x:v>higher_is_better</x:v>
      </x:c>
      <x:c r="H378" s="14" t="str">
        <x:v>R25</x:v>
      </x:c>
      <x:c r="I378" s="14" t="str">
        <x:v>NUM_HIGH</x:v>
      </x:c>
      <x:c r="J378" s="51"/>
      <x:c r="K378" s="51"/>
      <x:c r="L378" s="51"/>
      <x:c r="M378" s="54"/>
      <x:c r="N378" s="58" t="str">
        <x:f>IF($J378="","",IF($J378&lt;30,-3,IF($J378&lt;50,-2,IF($J378&lt;70,0,IF($J378&lt;90,2,3)))))</x:f>
      </x:c>
      <x:c r="O378" s="58" t="str">
        <x:f>IF($J378="","",IF(OR('02_Benchmarks'!$P378&lt;&gt;"Aktiv",COUNT('02_Benchmarks'!$J378:$M378)&lt;4),"",IF($G378="lower_is_better",IF($J378&lt;='02_Benchmarks'!$J378,3,IF($J378&lt;'02_Benchmarks'!$K378,2,IF($J378&lt;='02_Benchmarks'!$L378,0,IF($J378&lt;='02_Benchmarks'!$M378,-2,-3)))),IF($J378&gt;='02_Benchmarks'!$J378,3,IF($J378&gt;'02_Benchmarks'!$K378,2,IF($J378&gt;='02_Benchmarks'!$L378,0,IF($J378&gt;='02_Benchmarks'!$M378,-2,-3)))))))</x:f>
      </x:c>
      <x:c r="P378" s="58" t="str">
        <x:f>IF(COUNT($N378:$O378)+IF(ISNUMBER($K378),1,0)=0,"",MIN($N378:$O378,$K378))</x:f>
      </x:c>
      <x:c r="Q378" s="58" t="str">
        <x:f>IF($P378="","",INDEX('04_Tarifmodell'!$B$6:$B$12,$P378+4))</x:f>
      </x:c>
      <x:c r="R378" s="64" t="str">
        <x:f>IF($P378="","",INDEX('04_Tarifmodell'!$C$6:$C$12,$P378+4))</x:f>
      </x:c>
      <x:c r="S378" s="14" t="str">
        <x:f>IF(OR($I378="QUALITATIVE",$I378="MANUAL_HYBRID"),IF($K378="","Assurance-Score fehlt","Assurance-bewertet"),IF($I378="BENCHMARK",IF($W378&lt;&gt;"Aktiv",IF($K378="","Benchmark fehlt","Assurance-bewertet"),IF($J378="","Messwert fehlt",IF($P378="","Nicht bewertbar","Berechnet"))),IF(AND($J378="",$K378&lt;&gt;""),"Nur Assurance-Score",IF($J378="","Messwert fehlt",IF($P378="","Nicht bewertbar",IF($P378&lt;=-2,"Kritische Wirkung / Prüfung","Berechnet"))))))</x:f>
        <x:v>Messwert fehlt</x:v>
      </x:c>
      <x:c r="T378" s="14" t="str">
        <x:v>Vollständige fünfstufige Prozentregel.</x:v>
      </x:c>
      <x:c r="U378" s="14" t="str">
        <x:v>≥90%:+3; 70–89%:+2; 50–69%:0; 30–49%:‑2; &lt;30%:‑3</x:v>
      </x:c>
      <x:c r="V378" s="14" t="str">
        <x:v>ESRS E3, WRI Aqueduct, ISO 14046 (Water Footprint)</x:v>
      </x:c>
      <x:c r="W378" s="14" t="str">
        <x:f>'02_Benchmarks'!$P378</x:f>
        <x:v>Optional – kein aktiver Benchmark</x:v>
      </x:c>
      <x:c r="X378" s="14" t="str">
        <x:v>Messgrundlage belegt; Schwellenkalibrierung offen</x:v>
      </x:c>
      <x:c r="Y378" s="14" t="str">
        <x:v>Mittel</x:v>
      </x:c>
      <x:c r="Z378" s="14" t="str">
        <x:v>Arbeitskalibrierung – fachlich zu validieren</x:v>
      </x:c>
      <x:c r="AA378" s="14" t="str">
        <x:v>Technologie-/Aktivitätsklasse; Anlagen-, Netz- oder Flottengrenze ausweisen</x:v>
      </x:c>
      <x:c r="AB378" s="14" t="str">
        <x:v>Primärdaten bevorzugt; Sekundärdaten nur transparent und versioniert; Methode und Systemgrenze dokumentieren</x:v>
      </x:c>
      <x:c r="AC378" s="14" t="str">
        <x:v>Limited Assurance; risikobasiert höhere Prüftiefe</x:v>
      </x:c>
    </x:row>
    <x:row r="379" ht="42" customHeight="1">
      <x:c r="A379" s="14" t="str">
        <x:v>WOK-POL-112</x:v>
      </x:c>
      <x:c r="B379" s="14" t="str">
        <x:v>SDG 14 – Unter Wasser</x:v>
      </x:c>
      <x:c r="C379" s="14" t="str">
        <x:v>14.1</x:v>
      </x:c>
      <x:c r="D379" s="14" t="str">
        <x:v>DNSH Wasser</x:v>
      </x:c>
      <x:c r="E379" s="14" t="str">
        <x:v>DNSH Wasser – TSC‑Schwellen</x:v>
      </x:c>
      <x:c r="F379" s="14" t="str">
        <x:v>% Aktivitäten</x:v>
      </x:c>
      <x:c r="G379" s="14" t="str">
        <x:v>higher_is_better</x:v>
      </x:c>
      <x:c r="H379" s="14" t="str">
        <x:v>R25</x:v>
      </x:c>
      <x:c r="I379" s="14" t="str">
        <x:v>NUM_HIGH</x:v>
      </x:c>
      <x:c r="J379" s="51"/>
      <x:c r="K379" s="51"/>
      <x:c r="L379" s="51"/>
      <x:c r="M379" s="54"/>
      <x:c r="N379" s="58" t="str">
        <x:f>IF($J379="","",IF($J379&lt;30,-3,IF($J379&lt;50,-2,IF($J379&lt;70,0,IF($J379&lt;90,2,3)))))</x:f>
      </x:c>
      <x:c r="O379" s="58" t="str">
        <x:f>IF($J379="","",IF(OR('02_Benchmarks'!$P379&lt;&gt;"Aktiv",COUNT('02_Benchmarks'!$J379:$M379)&lt;4),"",IF($G379="lower_is_better",IF($J379&lt;='02_Benchmarks'!$J379,3,IF($J379&lt;'02_Benchmarks'!$K379,2,IF($J379&lt;='02_Benchmarks'!$L379,0,IF($J379&lt;='02_Benchmarks'!$M379,-2,-3)))),IF($J379&gt;='02_Benchmarks'!$J379,3,IF($J379&gt;'02_Benchmarks'!$K379,2,IF($J379&gt;='02_Benchmarks'!$L379,0,IF($J379&gt;='02_Benchmarks'!$M379,-2,-3)))))))</x:f>
      </x:c>
      <x:c r="P379" s="58" t="str">
        <x:f>IF(COUNT($N379:$O379)+IF(ISNUMBER($K379),1,0)=0,"",MIN($N379:$O379,$K379))</x:f>
      </x:c>
      <x:c r="Q379" s="58" t="str">
        <x:f>IF($P379="","",INDEX('04_Tarifmodell'!$B$6:$B$12,$P379+4))</x:f>
      </x:c>
      <x:c r="R379" s="64" t="str">
        <x:f>IF($P379="","",INDEX('04_Tarifmodell'!$C$6:$C$12,$P379+4))</x:f>
      </x:c>
      <x:c r="S379" s="14" t="str">
        <x:f>IF(OR($I379="QUALITATIVE",$I379="MANUAL_HYBRID"),IF($K379="","Assurance-Score fehlt","Assurance-bewertet"),IF($I379="BENCHMARK",IF($W379&lt;&gt;"Aktiv",IF($K379="","Benchmark fehlt","Assurance-bewertet"),IF($J379="","Messwert fehlt",IF($P379="","Nicht bewertbar","Berechnet"))),IF(AND($J379="",$K379&lt;&gt;""),"Nur Assurance-Score",IF($J379="","Messwert fehlt",IF($P379="","Nicht bewertbar",IF($P379&lt;=-2,"Kritische Wirkung / Prüfung","Berechnet"))))))</x:f>
        <x:v>Messwert fehlt</x:v>
      </x:c>
      <x:c r="T379" s="14" t="str">
        <x:v>Vollständige fünfstufige Prozentregel.</x:v>
      </x:c>
      <x:c r="U379" s="14" t="str">
        <x:v>≥90%:+3; 70–89%:+2; 50–69%:0; 30–49%:‑2; &lt;30%:‑3</x:v>
      </x:c>
      <x:c r="V379" s="14" t="str">
        <x:v>ESRS E3, WRI Aqueduct, ISO 14046 (Water Footprint)</x:v>
      </x:c>
      <x:c r="W379" s="14" t="str">
        <x:f>'02_Benchmarks'!$P379</x:f>
        <x:v>Optional – kein aktiver Benchmark</x:v>
      </x:c>
      <x:c r="X379" s="14" t="str">
        <x:v>Messgrundlage belegt; Schwellenkalibrierung offen</x:v>
      </x:c>
      <x:c r="Y379" s="14" t="str">
        <x:v>Mittel</x:v>
      </x:c>
      <x:c r="Z379" s="14" t="str">
        <x:v>Arbeitskalibrierung – fachlich zu validieren</x:v>
      </x:c>
      <x:c r="AA379" s="14" t="str">
        <x:v>Technologie-/Aktivitätsklasse; Anlagen-, Netz- oder Flottengrenze ausweisen</x:v>
      </x:c>
      <x:c r="AB379" s="14" t="str">
        <x:v>Primärdaten bevorzugt; Sekundärdaten nur transparent und versioniert; Methode und Systemgrenze dokumentieren</x:v>
      </x:c>
      <x:c r="AC379" s="14" t="str">
        <x:v>Limited Assurance; risikobasiert höhere Prüftiefe</x:v>
      </x:c>
    </x:row>
    <x:row r="380" ht="42" customHeight="1">
      <x:c r="A380" s="14" t="str">
        <x:v>WOK-E-203</x:v>
      </x:c>
      <x:c r="B380" s="14" t="str">
        <x:v>SDG 14 – Unter Wasser</x:v>
      </x:c>
      <x:c r="C380" s="14" t="str">
        <x:v>14.c</x:v>
      </x:c>
      <x:c r="D380" s="14" t="str">
        <x:v>Schifffahrt Emissionen/Spill</x:v>
      </x:c>
      <x:c r="E380" s="14" t="str">
        <x:v>Schifffahrt Emissionen/Spill – EE‑Anteil</x:v>
      </x:c>
      <x:c r="F380" s="14" t="str">
        <x:v>%</x:v>
      </x:c>
      <x:c r="G380" s="14" t="str">
        <x:v>higher_is_better</x:v>
      </x:c>
      <x:c r="H380" s="14" t="str">
        <x:v>R25</x:v>
      </x:c>
      <x:c r="I380" s="14" t="str">
        <x:v>NUM_HIGH</x:v>
      </x:c>
      <x:c r="J380" s="51"/>
      <x:c r="K380" s="51"/>
      <x:c r="L380" s="51"/>
      <x:c r="M380" s="54"/>
      <x:c r="N380" s="58" t="str">
        <x:f>IF($J380="","",IF($J380&lt;30,-3,IF($J380&lt;50,-2,IF($J380&lt;70,0,IF($J380&lt;90,2,3)))))</x:f>
      </x:c>
      <x:c r="O380" s="58" t="str">
        <x:f>IF($J380="","",IF(OR('02_Benchmarks'!$P380&lt;&gt;"Aktiv",COUNT('02_Benchmarks'!$J380:$M380)&lt;4),"",IF($G380="lower_is_better",IF($J380&lt;='02_Benchmarks'!$J380,3,IF($J380&lt;'02_Benchmarks'!$K380,2,IF($J380&lt;='02_Benchmarks'!$L380,0,IF($J380&lt;='02_Benchmarks'!$M380,-2,-3)))),IF($J380&gt;='02_Benchmarks'!$J380,3,IF($J380&gt;'02_Benchmarks'!$K380,2,IF($J380&gt;='02_Benchmarks'!$L380,0,IF($J380&gt;='02_Benchmarks'!$M380,-2,-3)))))))</x:f>
      </x:c>
      <x:c r="P380" s="58" t="str">
        <x:f>IF(COUNT($N380:$O380)+IF(ISNUMBER($K380),1,0)=0,"",MIN($N380:$O380,$K380))</x:f>
      </x:c>
      <x:c r="Q380" s="58" t="str">
        <x:f>IF($P380="","",INDEX('04_Tarifmodell'!$B$6:$B$12,$P380+4))</x:f>
      </x:c>
      <x:c r="R380" s="64" t="str">
        <x:f>IF($P380="","",INDEX('04_Tarifmodell'!$C$6:$C$12,$P380+4))</x:f>
      </x:c>
      <x:c r="S380" s="14" t="str">
        <x:f>IF(OR($I380="QUALITATIVE",$I380="MANUAL_HYBRID"),IF($K380="","Assurance-Score fehlt","Assurance-bewertet"),IF($I380="BENCHMARK",IF($W380&lt;&gt;"Aktiv",IF($K380="","Benchmark fehlt","Assurance-bewertet"),IF($J380="","Messwert fehlt",IF($P380="","Nicht bewertbar","Berechnet"))),IF(AND($J380="",$K380&lt;&gt;""),"Nur Assurance-Score",IF($J380="","Messwert fehlt",IF($P380="","Nicht bewertbar",IF($P380&lt;=-2,"Kritische Wirkung / Prüfung","Berechnet"))))))</x:f>
        <x:v>Messwert fehlt</x:v>
      </x:c>
      <x:c r="T380" s="14" t="str">
        <x:v>Vollständige fünfstufige Prozentregel.</x:v>
      </x:c>
      <x:c r="U380" s="14" t="str">
        <x:v>≥90%:+3; 70–89%:+2; 50–69%:0; 30–49%:‑2; &lt;30%:‑3</x:v>
      </x:c>
      <x:c r="V380" s="14" t="str">
        <x:v>ESRS E1, GHG Protocol (Corporate/Scope 1–3), ISO 14064/14067</x:v>
      </x:c>
      <x:c r="W380" s="14" t="str">
        <x:f>'02_Benchmarks'!$P380</x:f>
        <x:v>Optional – kein aktiver Benchmark</x:v>
      </x:c>
      <x:c r="X380" s="14" t="str">
        <x:v>Messgrundlage belegt; Schwellenkalibrierung offen</x:v>
      </x:c>
      <x:c r="Y380" s="14" t="str">
        <x:v>Mittel</x:v>
      </x:c>
      <x:c r="Z380" s="14" t="str">
        <x:v>Arbeitskalibrierung – fachlich zu validieren</x:v>
      </x:c>
      <x:c r="AA380" s="14" t="str">
        <x:v>Standort/Prozess/Aktivität; Bezugsgröße und relevante Umweltmedien</x:v>
      </x:c>
      <x:c r="AB380" s="14" t="str">
        <x:v>Primärdaten bevorzugt; Sekundärdaten nur transparent und versioniert; Methode und Systemgrenze dokumentieren</x:v>
      </x:c>
      <x:c r="AC380" s="14" t="str">
        <x:v>Limited Assurance; risikobasiert höhere Prüftiefe</x:v>
      </x:c>
    </x:row>
    <x:row r="381" ht="42" customHeight="1">
      <x:c r="A381" s="14" t="str">
        <x:v>WOK-E-204</x:v>
      </x:c>
      <x:c r="B381" s="14" t="str">
        <x:v>SDG 14 – Unter Wasser</x:v>
      </x:c>
      <x:c r="C381" s="14" t="str">
        <x:v>14.c</x:v>
      </x:c>
      <x:c r="D381" s="14" t="str">
        <x:v>Schifffahrt Emissionen/Spill</x:v>
      </x:c>
      <x:c r="E381" s="14" t="str">
        <x:v>Schifffahrt Emissionen/Spill – Intensität</x:v>
      </x:c>
      <x:c r="F381" s="14" t="str">
        <x:v>kWh/€ Mio bzw. kWh/t</x:v>
      </x:c>
      <x:c r="G381" s="14" t="str">
        <x:v>lower_is_better</x:v>
      </x:c>
      <x:c r="H381" s="14" t="str">
        <x:v>R06</x:v>
      </x:c>
      <x:c r="I381" s="14" t="str">
        <x:v>BENCHMARK</x:v>
      </x:c>
      <x:c r="J381" s="51"/>
      <x:c r="K381" s="51"/>
      <x:c r="L381" s="51"/>
      <x:c r="M381" s="54"/>
      <x:c r="N381" s="58" t="str">
        <x:f>""</x:f>
      </x:c>
      <x:c r="O381" s="58" t="str">
        <x:f>IF($J381="","",IF(OR('02_Benchmarks'!$P381&lt;&gt;"Aktiv",COUNT('02_Benchmarks'!$J381:$M381)&lt;4),"",IF($G381="lower_is_better",IF($J381&lt;='02_Benchmarks'!$J381,3,IF($J381&lt;'02_Benchmarks'!$K381,2,IF($J381&lt;='02_Benchmarks'!$L381,0,IF($J381&lt;='02_Benchmarks'!$M381,-2,-3)))),IF($J381&gt;='02_Benchmarks'!$J381,3,IF($J381&gt;'02_Benchmarks'!$K381,2,IF($J381&gt;='02_Benchmarks'!$L381,0,IF($J381&gt;='02_Benchmarks'!$M381,-2,-3)))))))</x:f>
      </x:c>
      <x:c r="P381" s="58" t="str">
        <x:f>IF(COUNT($N381:$O381)+IF(ISNUMBER($K381),1,0)=0,"",MIN($N381:$O381,$K381))</x:f>
      </x:c>
      <x:c r="Q381" s="58" t="str">
        <x:f>IF($P381="","",INDEX('04_Tarifmodell'!$B$6:$B$12,$P381+4))</x:f>
      </x:c>
      <x:c r="R381" s="64" t="str">
        <x:f>IF($P381="","",INDEX('04_Tarifmodell'!$C$6:$C$12,$P381+4))</x:f>
      </x:c>
      <x:c r="S381" s="14" t="str">
        <x:f>IF(OR($I381="QUALITATIVE",$I381="MANUAL_HYBRID"),IF($K381="","Assurance-Score fehlt","Assurance-bewertet"),IF($I381="BENCHMARK",IF($W381&lt;&gt;"Aktiv",IF($K381="","Benchmark fehlt","Assurance-bewertet"),IF($J381="","Messwert fehlt",IF($P381="","Nicht bewertbar","Berechnet"))),IF(AND($J381="",$K381&lt;&gt;""),"Nur Assurance-Score",IF($J381="","Messwert fehlt",IF($P381="","Nicht bewertbar",IF($P381&lt;=-2,"Kritische Wirkung / Prüfung","Berechnet"))))))</x:f>
        <x:v>Benchmark fehlt</x:v>
      </x:c>
      <x:c r="T381" s="14" t="str">
        <x:v>Top-10-Prozent, Mittelwert, 150 % und 250 % müssen aus einer dokumentierten Grundgesamtheit stammen.</x:v>
      </x:c>
      <x:c r="U381" s="14" t="str">
        <x:v>Top‑10%:+3; Mittel:0; &gt;150%:‑2; &gt;250%:‑3</x:v>
      </x:c>
      <x:c r="V381" s="14" t="str">
        <x:v>ESRS E1, GHG Protocol (Corporate/Scope 1–3), ISO 14064/14067</x:v>
      </x:c>
      <x:c r="W381" s="14" t="str">
        <x:f>'02_Benchmarks'!$P381</x:f>
        <x:v>Offen – validierter Benchmark fehlt</x:v>
      </x:c>
      <x:c r="X381" s="14" t="str">
        <x:v>Teilbelegt – Benchmarkquelle fehlt</x:v>
      </x:c>
      <x:c r="Y381" s="14" t="str">
        <x:v>Hoch</x:v>
      </x:c>
      <x:c r="Z381" s="14" t="str">
        <x:v>Validierter Benchmark fehlt</x:v>
      </x:c>
      <x:c r="AA381" s="14" t="str">
        <x:v>Standort/Prozess/Aktivität; Bezugsgröße und relevante Umweltmedien</x:v>
      </x:c>
      <x:c r="AB381" s="14" t="str">
        <x:v>Primärdaten plus repräsentativer, versionierter Benchmarkdatensatz; Stichprobe und Population offenlegen</x:v>
      </x:c>
      <x:c r="AC381" s="14" t="str">
        <x:v>Messwert-Assurance und unabhängige Benchmark-Governance</x:v>
      </x:c>
    </x:row>
    <x:row r="382" ht="42" customHeight="1">
      <x:c r="A382" s="14" t="str">
        <x:v>WOK-E-205</x:v>
      </x:c>
      <x:c r="B382" s="14" t="str">
        <x:v>SDG 14 – Unter Wasser</x:v>
      </x:c>
      <x:c r="C382" s="14" t="str">
        <x:v>14.c</x:v>
      </x:c>
      <x:c r="D382" s="14" t="str">
        <x:v>Schifffahrt Emissionen/Spill</x:v>
      </x:c>
      <x:c r="E382" s="14" t="str">
        <x:v>Schifffahrt Emissionen/Spill – Effizienz (PUE)*</x:v>
      </x:c>
      <x:c r="F382" s="14" t="str">
        <x:v>PUE</x:v>
      </x:c>
      <x:c r="G382" s="14" t="str">
        <x:v>lower_is_better</x:v>
      </x:c>
      <x:c r="H382" s="14" t="str">
        <x:v>R09</x:v>
      </x:c>
      <x:c r="I382" s="14" t="str">
        <x:v>NUM_LOW</x:v>
      </x:c>
      <x:c r="J382" s="51"/>
      <x:c r="K382" s="51"/>
      <x:c r="L382" s="51"/>
      <x:c r="M382" s="54"/>
      <x:c r="N382" s="58" t="str">
        <x:f>IF($J382="","",IF($J382&lt;=1.2,3,IF($J382&lt;=1.4,2,IF($J382&lt;=1.6,0,IF($J382&lt;=1.8,-2,-3)))))</x:f>
      </x:c>
      <x:c r="O382" s="58" t="str">
        <x:f>IF($J382="","",IF(OR('02_Benchmarks'!$P382&lt;&gt;"Aktiv",COUNT('02_Benchmarks'!$J382:$M382)&lt;4),"",IF($G382="lower_is_better",IF($J382&lt;='02_Benchmarks'!$J382,3,IF($J382&lt;'02_Benchmarks'!$K382,2,IF($J382&lt;='02_Benchmarks'!$L382,0,IF($J382&lt;='02_Benchmarks'!$M382,-2,-3)))),IF($J382&gt;='02_Benchmarks'!$J382,3,IF($J382&gt;'02_Benchmarks'!$K382,2,IF($J382&gt;='02_Benchmarks'!$L382,0,IF($J382&gt;='02_Benchmarks'!$M382,-2,-3)))))))</x:f>
      </x:c>
      <x:c r="P382" s="58" t="str">
        <x:f>IF(COUNT($N382:$O382)+IF(ISNUMBER($K382),1,0)=0,"",MIN($N382:$O382,$K382))</x:f>
      </x:c>
      <x:c r="Q382" s="58" t="str">
        <x:f>IF($P382="","",INDEX('04_Tarifmodell'!$B$6:$B$12,$P382+4))</x:f>
      </x:c>
      <x:c r="R382" s="64" t="str">
        <x:f>IF($P382="","",INDEX('04_Tarifmodell'!$C$6:$C$12,$P382+4))</x:f>
      </x:c>
      <x:c r="S382" s="14" t="str">
        <x:f>IF(OR($I382="QUALITATIVE",$I382="MANUAL_HYBRID"),IF($K382="","Assurance-Score fehlt","Assurance-bewertet"),IF($I382="BENCHMARK",IF($W382&lt;&gt;"Aktiv",IF($K382="","Benchmark fehlt","Assurance-bewertet"),IF($J382="","Messwert fehlt",IF($P382="","Nicht bewertbar","Berechnet"))),IF(AND($J382="",$K382&lt;&gt;""),"Nur Assurance-Score",IF($J382="","Messwert fehlt",IF($P382="","Nicht bewertbar",IF($P382&lt;=-2,"Kritische Wirkung / Prüfung","Berechnet"))))))</x:f>
        <x:v>Messwert fehlt</x:v>
      </x:c>
      <x:c r="T382" s="14" t="str">
        <x:v>Klimazone und Rechenzentrumstyp sind bei der Validierung zu berücksichtigen.</x:v>
      </x:c>
      <x:c r="U382" s="14" t="str">
        <x:v>≤1,2:+3; 1,21–1,4:+2; 1,41–1,6:0; 1,61–1,8:‑2; &gt;1,8:‑3</x:v>
      </x:c>
      <x:c r="V382" s="14" t="str">
        <x:v>ESRS E1, GHG Protocol (Corporate/Scope 1–3), ISO 14064/14067</x:v>
      </x:c>
      <x:c r="W382" s="14" t="str">
        <x:f>'02_Benchmarks'!$P382</x:f>
        <x:v>Optional – kein aktiver Benchmark</x:v>
      </x:c>
      <x:c r="X382" s="14" t="str">
        <x:v>Messgrundlage belegt; Schwellenkalibrierung offen</x:v>
      </x:c>
      <x:c r="Y382" s="14" t="str">
        <x:v>Mittel</x:v>
      </x:c>
      <x:c r="Z382" s="14" t="str">
        <x:v>Messstandard belegt; Klassen sind WÖk-Kalibrierung</x:v>
      </x:c>
      <x:c r="AA382" s="14" t="str">
        <x:v>Standort/Prozess/Aktivität; Bezugsgröße und relevante Umweltmedien</x:v>
      </x:c>
      <x:c r="AB382" s="14" t="str">
        <x:v>Primärdaten bevorzugt; Sekundärdaten nur transparent und versioniert; Methode und Systemgrenze dokumentieren</x:v>
      </x:c>
      <x:c r="AC382" s="14" t="str">
        <x:v>Limited Assurance; risikobasiert höhere Prüftiefe</x:v>
      </x:c>
    </x:row>
    <x:row r="383" ht="42" customHeight="1">
      <x:c r="A383" s="14" t="str">
        <x:v>WOK-E-206</x:v>
      </x:c>
      <x:c r="B383" s="14" t="str">
        <x:v>SDG 15 – An Land</x:v>
      </x:c>
      <x:c r="C383" s="14" t="str">
        <x:v>15.5</x:v>
      </x:c>
      <x:c r="D383" s="14" t="str">
        <x:v>Biodiversität Nettoeffekt</x:v>
      </x:c>
      <x:c r="E383" s="14" t="str">
        <x:v>Biodiversität Nettoeffekt – Nettoeffekt</x:v>
      </x:c>
      <x:c r="F383" s="14" t="str">
        <x:v>Qualitativ → Klasse</x:v>
      </x:c>
      <x:c r="G383" s="14" t="str">
        <x:v>higher_is_better</x:v>
      </x:c>
      <x:c r="H383" s="14" t="str">
        <x:v>R03</x:v>
      </x:c>
      <x:c r="I383" s="14" t="str">
        <x:v>QUALITATIVE</x:v>
      </x:c>
      <x:c r="J383" s="51"/>
      <x:c r="K383" s="51"/>
      <x:c r="L383" s="51"/>
      <x:c r="M383" s="54"/>
      <x:c r="N383" s="58" t="str">
        <x:f>""</x:f>
      </x:c>
      <x:c r="O383" s="58" t="str">
        <x:f>IF($J383="","",IF(OR('02_Benchmarks'!$P383&lt;&gt;"Aktiv",COUNT('02_Benchmarks'!$J383:$M383)&lt;4),"",IF($G383="lower_is_better",IF($J383&lt;='02_Benchmarks'!$J383,3,IF($J383&lt;'02_Benchmarks'!$K383,2,IF($J383&lt;='02_Benchmarks'!$L383,0,IF($J383&lt;='02_Benchmarks'!$M383,-2,-3)))),IF($J383&gt;='02_Benchmarks'!$J383,3,IF($J383&gt;'02_Benchmarks'!$K383,2,IF($J383&gt;='02_Benchmarks'!$L383,0,IF($J383&gt;='02_Benchmarks'!$M383,-2,-3)))))))</x:f>
      </x:c>
      <x:c r="P383" s="58" t="str">
        <x:f>IF(COUNT($N383:$O383)+IF(ISNUMBER($K383),1,0)=0,"",MIN($N383:$O383,$K383))</x:f>
      </x:c>
      <x:c r="Q383" s="58" t="str">
        <x:f>IF($P383="","",INDEX('04_Tarifmodell'!$B$6:$B$12,$P383+4))</x:f>
      </x:c>
      <x:c r="R383" s="64" t="str">
        <x:f>IF($P383="","",INDEX('04_Tarifmodell'!$C$6:$C$12,$P383+4))</x:f>
      </x:c>
      <x:c r="S383" s="14" t="str">
        <x:f>IF(OR($I383="QUALITATIVE",$I383="MANUAL_HYBRID"),IF($K383="","Assurance-Score fehlt","Assurance-bewertet"),IF($I383="BENCHMARK",IF($W383&lt;&gt;"Aktiv",IF($K383="","Benchmark fehlt","Assurance-bewertet"),IF($J383="","Messwert fehlt",IF($P383="","Nicht bewertbar","Berechnet"))),IF(AND($J383="",$K383&lt;&gt;""),"Nur Assurance-Score",IF($J383="","Messwert fehlt",IF($P383="","Nicht bewertbar",IF($P383&lt;=-2,"Kritische Wirkung / Prüfung","Berechnet"))))))</x:f>
        <x:v>Assurance-Score fehlt</x:v>
      </x:c>
      <x:c r="T383" s="14" t="str">
        <x:v>Net Gain/No Net Loss/Net Loss ist ohne feldspezifischen Nachweis nicht automatisierbar.</x:v>
      </x:c>
      <x:c r="U383" s="14" t="str">
        <x:v>Net Gain:+3; No Net Loss:0; Net Loss:‑2/‑3</x:v>
      </x:c>
      <x:c r="V383" s="14" t="str">
        <x:v>ESRS E4, CBD/GBF, EN 15978 (Bau)</x:v>
      </x:c>
      <x:c r="W383" s="14" t="str">
        <x:f>'02_Benchmarks'!$P383</x:f>
        <x:v>Optional – kein aktiver Benchmark</x:v>
      </x:c>
      <x:c r="X383" s="14" t="str">
        <x:v>Messgrundlage belegt; Schwellenkalibrierung offen</x:v>
      </x:c>
      <x:c r="Y383" s="14" t="str">
        <x:v>Hoch</x:v>
      </x:c>
      <x:c r="Z383" s="14" t="str">
        <x:v>Assurance und Kriterienkatalog erforderlich</x:v>
      </x:c>
      <x:c r="AA383" s="14" t="str">
        <x:v>Standort/Prozess/Aktivität; Bezugsgröße und relevante Umweltmedien</x:v>
      </x:c>
      <x:c r="AB383" s="14" t="str">
        <x:v>Dokumentierter Kriterienkatalog; nachvollziehbare Evidenz; DQR A/B bevorzugt</x:v>
      </x:c>
      <x:c r="AC383" s="14" t="str">
        <x:v>Unabhängige Fachprüfung/Limited Assurance; bei roten Linien Reasonable Assurance</x:v>
      </x:c>
    </x:row>
    <x:row r="384" ht="42" customHeight="1">
      <x:c r="A384" s="14" t="str">
        <x:v>WOK-E-207</x:v>
      </x:c>
      <x:c r="B384" s="14" t="str">
        <x:v>SDG 15 – An Land</x:v>
      </x:c>
      <x:c r="C384" s="14" t="str">
        <x:v>15.5</x:v>
      </x:c>
      <x:c r="D384" s="14" t="str">
        <x:v>Biodiversität Nettoeffekt</x:v>
      </x:c>
      <x:c r="E384" s="14" t="str">
        <x:v>Biodiversität Nettoeffekt – Landumwandlung</x:v>
      </x:c>
      <x:c r="F384" s="14" t="str">
        <x:v>ha/Jahr</x:v>
      </x:c>
      <x:c r="G384" s="14" t="str">
        <x:v>lower_is_better</x:v>
      </x:c>
      <x:c r="H384" s="14" t="str">
        <x:v>R02</x:v>
      </x:c>
      <x:c r="I384" s="14" t="str">
        <x:v>NUM_LOW</x:v>
      </x:c>
      <x:c r="J384" s="51"/>
      <x:c r="K384" s="51"/>
      <x:c r="L384" s="51"/>
      <x:c r="M384" s="54"/>
      <x:c r="N384" s="58" t="str">
        <x:f>IF($J384="","",IF($J384&lt;=0,3,IF($J384&lt;=1,2,IF($J384&lt;=3,0,IF($J384&lt;=5,-2,-3)))))</x:f>
      </x:c>
      <x:c r="O384" s="58" t="str">
        <x:f>IF($J384="","",IF(OR('02_Benchmarks'!$P384&lt;&gt;"Aktiv",COUNT('02_Benchmarks'!$J384:$M384)&lt;4),"",IF($G384="lower_is_better",IF($J384&lt;='02_Benchmarks'!$J384,3,IF($J384&lt;'02_Benchmarks'!$K384,2,IF($J384&lt;='02_Benchmarks'!$L384,0,IF($J384&lt;='02_Benchmarks'!$M384,-2,-3)))),IF($J384&gt;='02_Benchmarks'!$J384,3,IF($J384&gt;'02_Benchmarks'!$K384,2,IF($J384&gt;='02_Benchmarks'!$L384,0,IF($J384&gt;='02_Benchmarks'!$M384,-2,-3)))))))</x:f>
      </x:c>
      <x:c r="P384" s="58" t="str">
        <x:f>IF(COUNT($N384:$O384)+IF(ISNUMBER($K384),1,0)=0,"",MIN($N384:$O384,$K384))</x:f>
      </x:c>
      <x:c r="Q384" s="58" t="str">
        <x:f>IF($P384="","",INDEX('04_Tarifmodell'!$B$6:$B$12,$P384+4))</x:f>
      </x:c>
      <x:c r="R384" s="64" t="str">
        <x:f>IF($P384="","",INDEX('04_Tarifmodell'!$C$6:$C$12,$P384+4))</x:f>
      </x:c>
      <x:c r="S384" s="14" t="str">
        <x:f>IF(OR($I384="QUALITATIVE",$I384="MANUAL_HYBRID"),IF($K384="","Assurance-Score fehlt","Assurance-bewertet"),IF($I384="BENCHMARK",IF($W384&lt;&gt;"Aktiv",IF($K384="","Benchmark fehlt","Assurance-bewertet"),IF($J384="","Messwert fehlt",IF($P384="","Nicht bewertbar","Berechnet"))),IF(AND($J384="",$K384&lt;&gt;""),"Nur Assurance-Score",IF($J384="","Messwert fehlt",IF($P384="","Nicht bewertbar",IF($P384&lt;=-2,"Kritische Wirkung / Prüfung","Berechnet"))))))</x:f>
        <x:v>Messwert fehlt</x:v>
      </x:c>
      <x:c r="T384" s="14" t="str">
        <x:v>Vollständige fünfstufige numerische Regel.</x:v>
      </x:c>
      <x:c r="U384" s="14" t="str">
        <x:v>0:+3; ≤1:+2; ≤3:0; ≤5:‑2; &gt;5:‑3</x:v>
      </x:c>
      <x:c r="V384" s="14" t="str">
        <x:v>ESRS E4, CBD/GBF, EN 15978 (Bau)</x:v>
      </x:c>
      <x:c r="W384" s="14" t="str">
        <x:f>'02_Benchmarks'!$P384</x:f>
        <x:v>Optional – kein aktiver Benchmark</x:v>
      </x:c>
      <x:c r="X384" s="14" t="str">
        <x:v>Messgrundlage belegt; Schwellenkalibrierung offen</x:v>
      </x:c>
      <x:c r="Y384" s="14" t="str">
        <x:v>Mittel</x:v>
      </x:c>
      <x:c r="Z384" s="14" t="str">
        <x:v>Arbeitskalibrierung – fachlich zu validieren</x:v>
      </x:c>
      <x:c r="AA384" s="14" t="str">
        <x:v>Standort/Prozess/Aktivität; Bezugsgröße und relevante Umweltmedien</x:v>
      </x:c>
      <x:c r="AB384" s="14" t="str">
        <x:v>Primärdaten bevorzugt; Sekundärdaten nur transparent und versioniert; Methode und Systemgrenze dokumentieren</x:v>
      </x:c>
      <x:c r="AC384" s="14" t="str">
        <x:v>Limited Assurance; risikobasiert höhere Prüftiefe</x:v>
      </x:c>
    </x:row>
    <x:row r="385" ht="42" customHeight="1">
      <x:c r="A385" s="14" t="str">
        <x:v>WOK-E-208</x:v>
      </x:c>
      <x:c r="B385" s="14" t="str">
        <x:v>SDG 15 – An Land</x:v>
      </x:c>
      <x:c r="C385" s="14" t="str">
        <x:v>15.5</x:v>
      </x:c>
      <x:c r="D385" s="14" t="str">
        <x:v>Biodiversität Nettoeffekt</x:v>
      </x:c>
      <x:c r="E385" s="14" t="str">
        <x:v>Biodiversität Nettoeffekt – Deforestationsfrei</x:v>
      </x:c>
      <x:c r="F385" s="14" t="str">
        <x:v>%</x:v>
      </x:c>
      <x:c r="G385" s="14" t="str">
        <x:v>higher_is_better</x:v>
      </x:c>
      <x:c r="H385" s="14" t="str">
        <x:v>R28</x:v>
      </x:c>
      <x:c r="I385" s="14" t="str">
        <x:v>NUM_HIGH</x:v>
      </x:c>
      <x:c r="J385" s="51"/>
      <x:c r="K385" s="51"/>
      <x:c r="L385" s="51"/>
      <x:c r="M385" s="54"/>
      <x:c r="N385" s="58" t="str">
        <x:f>IF($J385="","",IF($J385&lt;50,-3,IF($J385&lt;75,-2,IF($J385&lt;90,0,IF($J385&lt;98,2,3)))))</x:f>
      </x:c>
      <x:c r="O385" s="58" t="str">
        <x:f>IF($J385="","",IF(OR('02_Benchmarks'!$P385&lt;&gt;"Aktiv",COUNT('02_Benchmarks'!$J385:$M385)&lt;4),"",IF($G385="lower_is_better",IF($J385&lt;='02_Benchmarks'!$J385,3,IF($J385&lt;'02_Benchmarks'!$K385,2,IF($J385&lt;='02_Benchmarks'!$L385,0,IF($J385&lt;='02_Benchmarks'!$M385,-2,-3)))),IF($J385&gt;='02_Benchmarks'!$J385,3,IF($J385&gt;'02_Benchmarks'!$K385,2,IF($J385&gt;='02_Benchmarks'!$L385,0,IF($J385&gt;='02_Benchmarks'!$M385,-2,-3)))))))</x:f>
      </x:c>
      <x:c r="P385" s="58" t="str">
        <x:f>IF(COUNT($N385:$O385)+IF(ISNUMBER($K385),1,0)=0,"",MIN($N385:$O385,$K385))</x:f>
      </x:c>
      <x:c r="Q385" s="58" t="str">
        <x:f>IF($P385="","",INDEX('04_Tarifmodell'!$B$6:$B$12,$P385+4))</x:f>
      </x:c>
      <x:c r="R385" s="64" t="str">
        <x:f>IF($P385="","",INDEX('04_Tarifmodell'!$C$6:$C$12,$P385+4))</x:f>
      </x:c>
      <x:c r="S385" s="14" t="str">
        <x:f>IF(OR($I385="QUALITATIVE",$I385="MANUAL_HYBRID"),IF($K385="","Assurance-Score fehlt","Assurance-bewertet"),IF($I385="BENCHMARK",IF($W385&lt;&gt;"Aktiv",IF($K385="","Benchmark fehlt","Assurance-bewertet"),IF($J385="","Messwert fehlt",IF($P385="","Nicht bewertbar","Berechnet"))),IF(AND($J385="",$K385&lt;&gt;""),"Nur Assurance-Score",IF($J385="","Messwert fehlt",IF($P385="","Nicht bewertbar",IF($P385&lt;=-2,"Kritische Wirkung / Prüfung","Berechnet"))))))</x:f>
        <x:v>Messwert fehlt</x:v>
      </x:c>
      <x:c r="T385" s="14" t="str">
        <x:v>Vollständige fünfstufige numerische Regel.</x:v>
      </x:c>
      <x:c r="U385" s="14" t="str">
        <x:v>≥98:+3; 90–97:+2; 75–89:0; 50–74:‑2; &lt;50:‑3</x:v>
      </x:c>
      <x:c r="V385" s="14" t="str">
        <x:v>ESRS E4, CBD/GBF, EN 15978 (Bau)</x:v>
      </x:c>
      <x:c r="W385" s="14" t="str">
        <x:f>'02_Benchmarks'!$P385</x:f>
        <x:v>Optional – kein aktiver Benchmark</x:v>
      </x:c>
      <x:c r="X385" s="14" t="str">
        <x:v>Messgrundlage belegt; Schwellenkalibrierung offen</x:v>
      </x:c>
      <x:c r="Y385" s="14" t="str">
        <x:v>Mittel</x:v>
      </x:c>
      <x:c r="Z385" s="14" t="str">
        <x:v>Arbeitskalibrierung – fachlich zu validieren</x:v>
      </x:c>
      <x:c r="AA385" s="14" t="str">
        <x:v>Standort/Prozess/Aktivität; Bezugsgröße und relevante Umweltmedien</x:v>
      </x:c>
      <x:c r="AB385" s="14" t="str">
        <x:v>Primärdaten bevorzugt; Sekundärdaten nur transparent und versioniert; Methode und Systemgrenze dokumentieren</x:v>
      </x:c>
      <x:c r="AC385" s="14" t="str">
        <x:v>Limited Assurance; risikobasiert höhere Prüftiefe</x:v>
      </x:c>
    </x:row>
    <x:row r="386" ht="42" customHeight="1">
      <x:c r="A386" s="14" t="str">
        <x:v>WOK-SC-134</x:v>
      </x:c>
      <x:c r="B386" s="14" t="str">
        <x:v>SDG 15 – An Land</x:v>
      </x:c>
      <x:c r="C386" s="14" t="str">
        <x:v>15.2</x:v>
      </x:c>
      <x:c r="D386" s="14" t="str">
        <x:v>Entwaldungsfrei</x:v>
      </x:c>
      <x:c r="E386" s="14" t="str">
        <x:v>Entwaldungsfrei – ESG‑Spend‑Coverage</x:v>
      </x:c>
      <x:c r="F386" s="14" t="str">
        <x:v>%</x:v>
      </x:c>
      <x:c r="G386" s="14" t="str">
        <x:v>higher_is_better</x:v>
      </x:c>
      <x:c r="H386" s="14" t="str">
        <x:v>R26</x:v>
      </x:c>
      <x:c r="I386" s="14" t="str">
        <x:v>NUM_HIGH</x:v>
      </x:c>
      <x:c r="J386" s="51"/>
      <x:c r="K386" s="51"/>
      <x:c r="L386" s="51"/>
      <x:c r="M386" s="54"/>
      <x:c r="N386" s="58" t="str">
        <x:f>IF($J386="","",IF($J386&lt;30,-3,IF($J386&lt;50,-2,IF($J386&lt;70,0,IF($J386&lt;90,2,3)))))</x:f>
      </x:c>
      <x:c r="O386" s="58" t="str">
        <x:f>IF($J386="","",IF(OR('02_Benchmarks'!$P386&lt;&gt;"Aktiv",COUNT('02_Benchmarks'!$J386:$M386)&lt;4),"",IF($G386="lower_is_better",IF($J386&lt;='02_Benchmarks'!$J386,3,IF($J386&lt;'02_Benchmarks'!$K386,2,IF($J386&lt;='02_Benchmarks'!$L386,0,IF($J386&lt;='02_Benchmarks'!$M386,-2,-3)))),IF($J386&gt;='02_Benchmarks'!$J386,3,IF($J386&gt;'02_Benchmarks'!$K386,2,IF($J386&gt;='02_Benchmarks'!$L386,0,IF($J386&gt;='02_Benchmarks'!$M386,-2,-3)))))))</x:f>
      </x:c>
      <x:c r="P386" s="58" t="str">
        <x:f>IF(COUNT($N386:$O386)+IF(ISNUMBER($K386),1,0)=0,"",MIN($N386:$O386,$K386))</x:f>
      </x:c>
      <x:c r="Q386" s="58" t="str">
        <x:f>IF($P386="","",INDEX('04_Tarifmodell'!$B$6:$B$12,$P386+4))</x:f>
      </x:c>
      <x:c r="R386" s="64" t="str">
        <x:f>IF($P386="","",INDEX('04_Tarifmodell'!$C$6:$C$12,$P386+4))</x:f>
      </x:c>
      <x:c r="S386" s="14" t="str">
        <x:f>IF(OR($I386="QUALITATIVE",$I386="MANUAL_HYBRID"),IF($K386="","Assurance-Score fehlt","Assurance-bewertet"),IF($I386="BENCHMARK",IF($W386&lt;&gt;"Aktiv",IF($K386="","Benchmark fehlt","Assurance-bewertet"),IF($J386="","Messwert fehlt",IF($P386="","Nicht bewertbar","Berechnet"))),IF(AND($J386="",$K386&lt;&gt;""),"Nur Assurance-Score",IF($J386="","Messwert fehlt",IF($P386="","Nicht bewertbar",IF($P386&lt;=-2,"Kritische Wirkung / Prüfung","Berechnet"))))))</x:f>
        <x:v>Messwert fehlt</x:v>
      </x:c>
      <x:c r="T386" s="14" t="str">
        <x:v>Vollständige fünfstufige numerische Regel.</x:v>
      </x:c>
      <x:c r="U386" s="14" t="str">
        <x:v>≥90:+3; 70–89:+2; 50–69:0; 30–49:‑2; &lt;30:‑3</x:v>
      </x:c>
      <x:c r="V386" s="14" t="str">
        <x:v>ESRS S2; GRI 308/414/408/409</x:v>
      </x:c>
      <x:c r="W386" s="14" t="str">
        <x:f>'02_Benchmarks'!$P386</x:f>
        <x:v>Optional – kein aktiver Benchmark</x:v>
      </x:c>
      <x:c r="X386" s="14" t="str">
        <x:v>Messgrundlage belegt; Schwellenkalibrierung offen</x:v>
      </x:c>
      <x:c r="Y386" s="14" t="str">
        <x:v>Mittel</x:v>
      </x:c>
      <x:c r="Z386" s="14" t="str">
        <x:v>Arbeitskalibrierung – fachlich zu validieren</x:v>
      </x:c>
      <x:c r="AA386" s="14" t="str">
        <x:v>Vorgelagerte Lieferkette; relevante Tier-Stufen und Beschaffungsvolumen</x:v>
      </x:c>
      <x:c r="AB386" s="14" t="str">
        <x:v>Primärdaten bevorzugt; Sekundärdaten nur transparent und versioniert; Methode und Systemgrenze dokumentieren</x:v>
      </x:c>
      <x:c r="AC386" s="14" t="str">
        <x:v>Limited Assurance; risikobasiert höhere Prüftiefe</x:v>
      </x:c>
    </x:row>
    <x:row r="387" ht="42" customHeight="1">
      <x:c r="A387" s="14" t="str">
        <x:v>WOK-SC-135</x:v>
      </x:c>
      <x:c r="B387" s="14" t="str">
        <x:v>SDG 15 – An Land</x:v>
      </x:c>
      <x:c r="C387" s="14" t="str">
        <x:v>15.2</x:v>
      </x:c>
      <x:c r="D387" s="14" t="str">
        <x:v>Entwaldungsfrei</x:v>
      </x:c>
      <x:c r="E387" s="14" t="str">
        <x:v>Entwaldungsfrei – Kinder/Zwangsarbeit</x:v>
      </x:c>
      <x:c r="F387" s="14" t="str">
        <x:v>% Lieferanten</x:v>
      </x:c>
      <x:c r="G387" s="14" t="str">
        <x:v>higher_is_better</x:v>
      </x:c>
      <x:c r="H387" s="14" t="str">
        <x:v>R28</x:v>
      </x:c>
      <x:c r="I387" s="14" t="str">
        <x:v>NUM_HIGH</x:v>
      </x:c>
      <x:c r="J387" s="51"/>
      <x:c r="K387" s="51"/>
      <x:c r="L387" s="51"/>
      <x:c r="M387" s="54"/>
      <x:c r="N387" s="58" t="str">
        <x:f>IF($J387="","",IF($J387&lt;50,-3,IF($J387&lt;75,-2,IF($J387&lt;90,0,IF($J387&lt;98,2,3)))))</x:f>
      </x:c>
      <x:c r="O387" s="58" t="str">
        <x:f>IF($J387="","",IF(OR('02_Benchmarks'!$P387&lt;&gt;"Aktiv",COUNT('02_Benchmarks'!$J387:$M387)&lt;4),"",IF($G387="lower_is_better",IF($J387&lt;='02_Benchmarks'!$J387,3,IF($J387&lt;'02_Benchmarks'!$K387,2,IF($J387&lt;='02_Benchmarks'!$L387,0,IF($J387&lt;='02_Benchmarks'!$M387,-2,-3)))),IF($J387&gt;='02_Benchmarks'!$J387,3,IF($J387&gt;'02_Benchmarks'!$K387,2,IF($J387&gt;='02_Benchmarks'!$L387,0,IF($J387&gt;='02_Benchmarks'!$M387,-2,-3)))))))</x:f>
      </x:c>
      <x:c r="P387" s="58" t="str">
        <x:f>IF(COUNT($N387:$O387)+IF(ISNUMBER($K387),1,0)=0,"",MIN($N387:$O387,$K387))</x:f>
      </x:c>
      <x:c r="Q387" s="58" t="str">
        <x:f>IF($P387="","",INDEX('04_Tarifmodell'!$B$6:$B$12,$P387+4))</x:f>
      </x:c>
      <x:c r="R387" s="64" t="str">
        <x:f>IF($P387="","",INDEX('04_Tarifmodell'!$C$6:$C$12,$P387+4))</x:f>
      </x:c>
      <x:c r="S387" s="14" t="str">
        <x:f>IF(OR($I387="QUALITATIVE",$I387="MANUAL_HYBRID"),IF($K387="","Assurance-Score fehlt","Assurance-bewertet"),IF($I387="BENCHMARK",IF($W387&lt;&gt;"Aktiv",IF($K387="","Benchmark fehlt","Assurance-bewertet"),IF($J387="","Messwert fehlt",IF($P387="","Nicht bewertbar","Berechnet"))),IF(AND($J387="",$K387&lt;&gt;""),"Nur Assurance-Score",IF($J387="","Messwert fehlt",IF($P387="","Nicht bewertbar",IF($P387&lt;=-2,"Kritische Wirkung / Prüfung","Berechnet"))))))</x:f>
        <x:v>Messwert fehlt</x:v>
      </x:c>
      <x:c r="T387" s="14" t="str">
        <x:v>Vollständige fünfstufige numerische Regel.</x:v>
      </x:c>
      <x:c r="U387" s="14" t="str">
        <x:v>≥98:+3; 90–97:+2; 75–89:0; 50–74:‑2; &lt;50:‑3</x:v>
      </x:c>
      <x:c r="V387" s="14" t="str">
        <x:v>ESRS S2, GRI 308/414, OECD Due Diligence</x:v>
      </x:c>
      <x:c r="W387" s="14" t="str">
        <x:f>'02_Benchmarks'!$P387</x:f>
        <x:v>Optional – kein aktiver Benchmark</x:v>
      </x:c>
      <x:c r="X387" s="14" t="str">
        <x:v>Messgrundlage belegt; Schwellenkalibrierung offen</x:v>
      </x:c>
      <x:c r="Y387" s="14" t="str">
        <x:v>Mittel</x:v>
      </x:c>
      <x:c r="Z387" s="14" t="str">
        <x:v>Arbeitskalibrierung – fachlich zu validieren</x:v>
      </x:c>
      <x:c r="AA387" s="14" t="str">
        <x:v>Vorgelagerte Lieferkette; relevante Tier-Stufen und Beschaffungsvolumen</x:v>
      </x:c>
      <x:c r="AB387" s="14" t="str">
        <x:v>Primärdaten bevorzugt; Sekundärdaten nur transparent und versioniert; Methode und Systemgrenze dokumentieren</x:v>
      </x:c>
      <x:c r="AC387" s="14" t="str">
        <x:v>Limited Assurance; risikobasiert höhere Prüftiefe</x:v>
      </x:c>
    </x:row>
    <x:row r="388" ht="42" customHeight="1">
      <x:c r="A388" s="14" t="str">
        <x:v>WOK-SC-136</x:v>
      </x:c>
      <x:c r="B388" s="14" t="str">
        <x:v>SDG 15 – An Land</x:v>
      </x:c>
      <x:c r="C388" s="14" t="str">
        <x:v>15.2</x:v>
      </x:c>
      <x:c r="D388" s="14" t="str">
        <x:v>Entwaldungsfrei</x:v>
      </x:c>
      <x:c r="E388" s="14" t="str">
        <x:v>Entwaldungsfrei – Scope‑3 Daten</x:v>
      </x:c>
      <x:c r="F388" s="14" t="str">
        <x:v>% Kategorien</x:v>
      </x:c>
      <x:c r="G388" s="14" t="str">
        <x:v>higher_is_better</x:v>
      </x:c>
      <x:c r="H388" s="14" t="str">
        <x:v>R23</x:v>
      </x:c>
      <x:c r="I388" s="14" t="str">
        <x:v>NUM_HIGH</x:v>
      </x:c>
      <x:c r="J388" s="51"/>
      <x:c r="K388" s="51"/>
      <x:c r="L388" s="51"/>
      <x:c r="M388" s="54"/>
      <x:c r="N388" s="58" t="str">
        <x:f>IF($J388="","",IF($J388&lt;20,-3,IF($J388&lt;40,-2,IF($J388&lt;60,0,IF($J388&lt;80,2,3)))))</x:f>
      </x:c>
      <x:c r="O388" s="58" t="str">
        <x:f>IF($J388="","",IF(OR('02_Benchmarks'!$P388&lt;&gt;"Aktiv",COUNT('02_Benchmarks'!$J388:$M388)&lt;4),"",IF($G388="lower_is_better",IF($J388&lt;='02_Benchmarks'!$J388,3,IF($J388&lt;'02_Benchmarks'!$K388,2,IF($J388&lt;='02_Benchmarks'!$L388,0,IF($J388&lt;='02_Benchmarks'!$M388,-2,-3)))),IF($J388&gt;='02_Benchmarks'!$J388,3,IF($J388&gt;'02_Benchmarks'!$K388,2,IF($J388&gt;='02_Benchmarks'!$L388,0,IF($J388&gt;='02_Benchmarks'!$M388,-2,-3)))))))</x:f>
      </x:c>
      <x:c r="P388" s="58" t="str">
        <x:f>IF(COUNT($N388:$O388)+IF(ISNUMBER($K388),1,0)=0,"",MIN($N388:$O388,$K388))</x:f>
      </x:c>
      <x:c r="Q388" s="58" t="str">
        <x:f>IF($P388="","",INDEX('04_Tarifmodell'!$B$6:$B$12,$P388+4))</x:f>
      </x:c>
      <x:c r="R388" s="64" t="str">
        <x:f>IF($P388="","",INDEX('04_Tarifmodell'!$C$6:$C$12,$P388+4))</x:f>
      </x:c>
      <x:c r="S388" s="14" t="str">
        <x:f>IF(OR($I388="QUALITATIVE",$I388="MANUAL_HYBRID"),IF($K388="","Assurance-Score fehlt","Assurance-bewertet"),IF($I388="BENCHMARK",IF($W388&lt;&gt;"Aktiv",IF($K388="","Benchmark fehlt","Assurance-bewertet"),IF($J388="","Messwert fehlt",IF($P388="","Nicht bewertbar","Berechnet"))),IF(AND($J388="",$K388&lt;&gt;""),"Nur Assurance-Score",IF($J388="","Messwert fehlt",IF($P388="","Nicht bewertbar",IF($P388&lt;=-2,"Kritische Wirkung / Prüfung","Berechnet"))))))</x:f>
        <x:v>Messwert fehlt</x:v>
      </x:c>
      <x:c r="T388" s="14" t="str">
        <x:v>Vollständige fünfstufige numerische Regel.</x:v>
      </x:c>
      <x:c r="U388" s="14" t="str">
        <x:v>≥80:+3; 60–79:+2; 40–59:0; 20–39:‑2; &lt;20:‑3</x:v>
      </x:c>
      <x:c r="V388" s="14" t="str">
        <x:v>ESRS E1, GHG Protocol (Corporate/Scope 1–3), ISO 14064/14067</x:v>
      </x:c>
      <x:c r="W388" s="14" t="str">
        <x:f>'02_Benchmarks'!$P388</x:f>
        <x:v>Optional – kein aktiver Benchmark</x:v>
      </x:c>
      <x:c r="X388" s="14" t="str">
        <x:v>Messgrundlage belegt; Schwellenkalibrierung offen</x:v>
      </x:c>
      <x:c r="Y388" s="14" t="str">
        <x:v>Mittel</x:v>
      </x:c>
      <x:c r="Z388" s="14" t="str">
        <x:v>Arbeitskalibrierung – fachlich zu validieren</x:v>
      </x:c>
      <x:c r="AA388" s="14" t="str">
        <x:v>Vorgelagerte Lieferkette; relevante Tier-Stufen und Beschaffungsvolumen</x:v>
      </x:c>
      <x:c r="AB388" s="14" t="str">
        <x:v>Primärdaten bevorzugt; Sekundärdaten nur transparent und versioniert; Methode und Systemgrenze dokumentieren</x:v>
      </x:c>
      <x:c r="AC388" s="14" t="str">
        <x:v>Limited Assurance; risikobasiert höhere Prüftiefe</x:v>
      </x:c>
    </x:row>
    <x:row r="389" ht="42" customHeight="1">
      <x:c r="A389" s="14" t="str">
        <x:v>WOK-E-209</x:v>
      </x:c>
      <x:c r="B389" s="14" t="str">
        <x:v>SDG 15 – An Land</x:v>
      </x:c>
      <x:c r="C389" s="14" t="str">
        <x:v>15.1</x:v>
      </x:c>
      <x:c r="D389" s="14" t="str">
        <x:v>Landumwandlung</x:v>
      </x:c>
      <x:c r="E389" s="14" t="str">
        <x:v>Landumwandlung – Nettoeffekt</x:v>
      </x:c>
      <x:c r="F389" s="14" t="str">
        <x:v>Qualitativ → Klasse</x:v>
      </x:c>
      <x:c r="G389" s="14" t="str">
        <x:v>higher_is_better</x:v>
      </x:c>
      <x:c r="H389" s="14" t="str">
        <x:v>R03</x:v>
      </x:c>
      <x:c r="I389" s="14" t="str">
        <x:v>QUALITATIVE</x:v>
      </x:c>
      <x:c r="J389" s="51"/>
      <x:c r="K389" s="51"/>
      <x:c r="L389" s="51"/>
      <x:c r="M389" s="54"/>
      <x:c r="N389" s="58" t="str">
        <x:f>""</x:f>
      </x:c>
      <x:c r="O389" s="58" t="str">
        <x:f>IF($J389="","",IF(OR('02_Benchmarks'!$P389&lt;&gt;"Aktiv",COUNT('02_Benchmarks'!$J389:$M389)&lt;4),"",IF($G389="lower_is_better",IF($J389&lt;='02_Benchmarks'!$J389,3,IF($J389&lt;'02_Benchmarks'!$K389,2,IF($J389&lt;='02_Benchmarks'!$L389,0,IF($J389&lt;='02_Benchmarks'!$M389,-2,-3)))),IF($J389&gt;='02_Benchmarks'!$J389,3,IF($J389&gt;'02_Benchmarks'!$K389,2,IF($J389&gt;='02_Benchmarks'!$L389,0,IF($J389&gt;='02_Benchmarks'!$M389,-2,-3)))))))</x:f>
      </x:c>
      <x:c r="P389" s="58" t="str">
        <x:f>IF(COUNT($N389:$O389)+IF(ISNUMBER($K389),1,0)=0,"",MIN($N389:$O389,$K389))</x:f>
      </x:c>
      <x:c r="Q389" s="58" t="str">
        <x:f>IF($P389="","",INDEX('04_Tarifmodell'!$B$6:$B$12,$P389+4))</x:f>
      </x:c>
      <x:c r="R389" s="64" t="str">
        <x:f>IF($P389="","",INDEX('04_Tarifmodell'!$C$6:$C$12,$P389+4))</x:f>
      </x:c>
      <x:c r="S389" s="14" t="str">
        <x:f>IF(OR($I389="QUALITATIVE",$I389="MANUAL_HYBRID"),IF($K389="","Assurance-Score fehlt","Assurance-bewertet"),IF($I389="BENCHMARK",IF($W389&lt;&gt;"Aktiv",IF($K389="","Benchmark fehlt","Assurance-bewertet"),IF($J389="","Messwert fehlt",IF($P389="","Nicht bewertbar","Berechnet"))),IF(AND($J389="",$K389&lt;&gt;""),"Nur Assurance-Score",IF($J389="","Messwert fehlt",IF($P389="","Nicht bewertbar",IF($P389&lt;=-2,"Kritische Wirkung / Prüfung","Berechnet"))))))</x:f>
        <x:v>Assurance-Score fehlt</x:v>
      </x:c>
      <x:c r="T389" s="14" t="str">
        <x:v>Net Gain/No Net Loss/Net Loss ist ohne feldspezifischen Nachweis nicht automatisierbar.</x:v>
      </x:c>
      <x:c r="U389" s="14" t="str">
        <x:v>Net Gain:+3; No Net Loss:0; Net Loss:‑2/‑3</x:v>
      </x:c>
      <x:c r="V389" s="14" t="str">
        <x:v>ESRS E4, CBD/GBF, EN 15978 (Bau)</x:v>
      </x:c>
      <x:c r="W389" s="14" t="str">
        <x:f>'02_Benchmarks'!$P389</x:f>
        <x:v>Optional – kein aktiver Benchmark</x:v>
      </x:c>
      <x:c r="X389" s="14" t="str">
        <x:v>Messgrundlage belegt; Schwellenkalibrierung offen</x:v>
      </x:c>
      <x:c r="Y389" s="14" t="str">
        <x:v>Hoch</x:v>
      </x:c>
      <x:c r="Z389" s="14" t="str">
        <x:v>Assurance und Kriterienkatalog erforderlich</x:v>
      </x:c>
      <x:c r="AA389" s="14" t="str">
        <x:v>Standort/Prozess/Aktivität; Bezugsgröße und relevante Umweltmedien</x:v>
      </x:c>
      <x:c r="AB389" s="14" t="str">
        <x:v>Dokumentierter Kriterienkatalog; nachvollziehbare Evidenz; DQR A/B bevorzugt</x:v>
      </x:c>
      <x:c r="AC389" s="14" t="str">
        <x:v>Unabhängige Fachprüfung/Limited Assurance; bei roten Linien Reasonable Assurance</x:v>
      </x:c>
    </x:row>
    <x:row r="390" ht="42" customHeight="1">
      <x:c r="A390" s="14" t="str">
        <x:v>WOK-E-210</x:v>
      </x:c>
      <x:c r="B390" s="14" t="str">
        <x:v>SDG 15 – An Land</x:v>
      </x:c>
      <x:c r="C390" s="14" t="str">
        <x:v>15.1</x:v>
      </x:c>
      <x:c r="D390" s="14" t="str">
        <x:v>Landumwandlung</x:v>
      </x:c>
      <x:c r="E390" s="14" t="str">
        <x:v>Landumwandlung – Landumwandlung</x:v>
      </x:c>
      <x:c r="F390" s="14" t="str">
        <x:v>ha/Jahr</x:v>
      </x:c>
      <x:c r="G390" s="14" t="str">
        <x:v>lower_is_better</x:v>
      </x:c>
      <x:c r="H390" s="14" t="str">
        <x:v>R02</x:v>
      </x:c>
      <x:c r="I390" s="14" t="str">
        <x:v>NUM_LOW</x:v>
      </x:c>
      <x:c r="J390" s="51"/>
      <x:c r="K390" s="51"/>
      <x:c r="L390" s="51"/>
      <x:c r="M390" s="54"/>
      <x:c r="N390" s="58" t="str">
        <x:f>IF($J390="","",IF($J390&lt;=0,3,IF($J390&lt;=1,2,IF($J390&lt;=3,0,IF($J390&lt;=5,-2,-3)))))</x:f>
      </x:c>
      <x:c r="O390" s="58" t="str">
        <x:f>IF($J390="","",IF(OR('02_Benchmarks'!$P390&lt;&gt;"Aktiv",COUNT('02_Benchmarks'!$J390:$M390)&lt;4),"",IF($G390="lower_is_better",IF($J390&lt;='02_Benchmarks'!$J390,3,IF($J390&lt;'02_Benchmarks'!$K390,2,IF($J390&lt;='02_Benchmarks'!$L390,0,IF($J390&lt;='02_Benchmarks'!$M390,-2,-3)))),IF($J390&gt;='02_Benchmarks'!$J390,3,IF($J390&gt;'02_Benchmarks'!$K390,2,IF($J390&gt;='02_Benchmarks'!$L390,0,IF($J390&gt;='02_Benchmarks'!$M390,-2,-3)))))))</x:f>
      </x:c>
      <x:c r="P390" s="58" t="str">
        <x:f>IF(COUNT($N390:$O390)+IF(ISNUMBER($K390),1,0)=0,"",MIN($N390:$O390,$K390))</x:f>
      </x:c>
      <x:c r="Q390" s="58" t="str">
        <x:f>IF($P390="","",INDEX('04_Tarifmodell'!$B$6:$B$12,$P390+4))</x:f>
      </x:c>
      <x:c r="R390" s="64" t="str">
        <x:f>IF($P390="","",INDEX('04_Tarifmodell'!$C$6:$C$12,$P390+4))</x:f>
      </x:c>
      <x:c r="S390" s="14" t="str">
        <x:f>IF(OR($I390="QUALITATIVE",$I390="MANUAL_HYBRID"),IF($K390="","Assurance-Score fehlt","Assurance-bewertet"),IF($I390="BENCHMARK",IF($W390&lt;&gt;"Aktiv",IF($K390="","Benchmark fehlt","Assurance-bewertet"),IF($J390="","Messwert fehlt",IF($P390="","Nicht bewertbar","Berechnet"))),IF(AND($J390="",$K390&lt;&gt;""),"Nur Assurance-Score",IF($J390="","Messwert fehlt",IF($P390="","Nicht bewertbar",IF($P390&lt;=-2,"Kritische Wirkung / Prüfung","Berechnet"))))))</x:f>
        <x:v>Messwert fehlt</x:v>
      </x:c>
      <x:c r="T390" s="14" t="str">
        <x:v>Vollständige fünfstufige numerische Regel.</x:v>
      </x:c>
      <x:c r="U390" s="14" t="str">
        <x:v>0:+3; ≤1:+2; ≤3:0; ≤5:‑2; &gt;5:‑3</x:v>
      </x:c>
      <x:c r="V390" s="14" t="str">
        <x:v>ESRS E4, CBD/GBF, EN 15978 (Bau)</x:v>
      </x:c>
      <x:c r="W390" s="14" t="str">
        <x:f>'02_Benchmarks'!$P390</x:f>
        <x:v>Optional – kein aktiver Benchmark</x:v>
      </x:c>
      <x:c r="X390" s="14" t="str">
        <x:v>Messgrundlage belegt; Schwellenkalibrierung offen</x:v>
      </x:c>
      <x:c r="Y390" s="14" t="str">
        <x:v>Mittel</x:v>
      </x:c>
      <x:c r="Z390" s="14" t="str">
        <x:v>Arbeitskalibrierung – fachlich zu validieren</x:v>
      </x:c>
      <x:c r="AA390" s="14" t="str">
        <x:v>Standort/Prozess/Aktivität; Bezugsgröße und relevante Umweltmedien</x:v>
      </x:c>
      <x:c r="AB390" s="14" t="str">
        <x:v>Primärdaten bevorzugt; Sekundärdaten nur transparent und versioniert; Methode und Systemgrenze dokumentieren</x:v>
      </x:c>
      <x:c r="AC390" s="14" t="str">
        <x:v>Limited Assurance; risikobasiert höhere Prüftiefe</x:v>
      </x:c>
    </x:row>
    <x:row r="391" ht="42" customHeight="1">
      <x:c r="A391" s="14" t="str">
        <x:v>WOK-E-211</x:v>
      </x:c>
      <x:c r="B391" s="14" t="str">
        <x:v>SDG 15 – An Land</x:v>
      </x:c>
      <x:c r="C391" s="14" t="str">
        <x:v>15.1</x:v>
      </x:c>
      <x:c r="D391" s="14" t="str">
        <x:v>Landumwandlung</x:v>
      </x:c>
      <x:c r="E391" s="14" t="str">
        <x:v>Landumwandlung – Deforestationsfrei</x:v>
      </x:c>
      <x:c r="F391" s="14" t="str">
        <x:v>%</x:v>
      </x:c>
      <x:c r="G391" s="14" t="str">
        <x:v>higher_is_better</x:v>
      </x:c>
      <x:c r="H391" s="14" t="str">
        <x:v>R28</x:v>
      </x:c>
      <x:c r="I391" s="14" t="str">
        <x:v>NUM_HIGH</x:v>
      </x:c>
      <x:c r="J391" s="51"/>
      <x:c r="K391" s="51"/>
      <x:c r="L391" s="51"/>
      <x:c r="M391" s="54"/>
      <x:c r="N391" s="58" t="str">
        <x:f>IF($J391="","",IF($J391&lt;50,-3,IF($J391&lt;75,-2,IF($J391&lt;90,0,IF($J391&lt;98,2,3)))))</x:f>
      </x:c>
      <x:c r="O391" s="58" t="str">
        <x:f>IF($J391="","",IF(OR('02_Benchmarks'!$P391&lt;&gt;"Aktiv",COUNT('02_Benchmarks'!$J391:$M391)&lt;4),"",IF($G391="lower_is_better",IF($J391&lt;='02_Benchmarks'!$J391,3,IF($J391&lt;'02_Benchmarks'!$K391,2,IF($J391&lt;='02_Benchmarks'!$L391,0,IF($J391&lt;='02_Benchmarks'!$M391,-2,-3)))),IF($J391&gt;='02_Benchmarks'!$J391,3,IF($J391&gt;'02_Benchmarks'!$K391,2,IF($J391&gt;='02_Benchmarks'!$L391,0,IF($J391&gt;='02_Benchmarks'!$M391,-2,-3)))))))</x:f>
      </x:c>
      <x:c r="P391" s="58" t="str">
        <x:f>IF(COUNT($N391:$O391)+IF(ISNUMBER($K391),1,0)=0,"",MIN($N391:$O391,$K391))</x:f>
      </x:c>
      <x:c r="Q391" s="58" t="str">
        <x:f>IF($P391="","",INDEX('04_Tarifmodell'!$B$6:$B$12,$P391+4))</x:f>
      </x:c>
      <x:c r="R391" s="64" t="str">
        <x:f>IF($P391="","",INDEX('04_Tarifmodell'!$C$6:$C$12,$P391+4))</x:f>
      </x:c>
      <x:c r="S391" s="14" t="str">
        <x:f>IF(OR($I391="QUALITATIVE",$I391="MANUAL_HYBRID"),IF($K391="","Assurance-Score fehlt","Assurance-bewertet"),IF($I391="BENCHMARK",IF($W391&lt;&gt;"Aktiv",IF($K391="","Benchmark fehlt","Assurance-bewertet"),IF($J391="","Messwert fehlt",IF($P391="","Nicht bewertbar","Berechnet"))),IF(AND($J391="",$K391&lt;&gt;""),"Nur Assurance-Score",IF($J391="","Messwert fehlt",IF($P391="","Nicht bewertbar",IF($P391&lt;=-2,"Kritische Wirkung / Prüfung","Berechnet"))))))</x:f>
        <x:v>Messwert fehlt</x:v>
      </x:c>
      <x:c r="T391" s="14" t="str">
        <x:v>Vollständige fünfstufige numerische Regel.</x:v>
      </x:c>
      <x:c r="U391" s="14" t="str">
        <x:v>≥98:+3; 90–97:+2; 75–89:0; 50–74:‑2; &lt;50:‑3</x:v>
      </x:c>
      <x:c r="V391" s="14" t="str">
        <x:v>ESRS E4, CBD/GBF, EN 15978 (Bau)</x:v>
      </x:c>
      <x:c r="W391" s="14" t="str">
        <x:f>'02_Benchmarks'!$P391</x:f>
        <x:v>Optional – kein aktiver Benchmark</x:v>
      </x:c>
      <x:c r="X391" s="14" t="str">
        <x:v>Messgrundlage belegt; Schwellenkalibrierung offen</x:v>
      </x:c>
      <x:c r="Y391" s="14" t="str">
        <x:v>Mittel</x:v>
      </x:c>
      <x:c r="Z391" s="14" t="str">
        <x:v>Arbeitskalibrierung – fachlich zu validieren</x:v>
      </x:c>
      <x:c r="AA391" s="14" t="str">
        <x:v>Standort/Prozess/Aktivität; Bezugsgröße und relevante Umweltmedien</x:v>
      </x:c>
      <x:c r="AB391" s="14" t="str">
        <x:v>Primärdaten bevorzugt; Sekundärdaten nur transparent und versioniert; Methode und Systemgrenze dokumentieren</x:v>
      </x:c>
      <x:c r="AC391" s="14" t="str">
        <x:v>Limited Assurance; risikobasiert höhere Prüftiefe</x:v>
      </x:c>
    </x:row>
    <x:row r="392" ht="42" customHeight="1">
      <x:c r="A392" s="14" t="str">
        <x:v>WOK-G-170</x:v>
      </x:c>
      <x:c r="B392" s="14" t="str">
        <x:v>SDG 15 – An Land</x:v>
      </x:c>
      <x:c r="C392" s="14" t="str">
        <x:v>15.5</x:v>
      </x:c>
      <x:c r="D392" s="14" t="str">
        <x:v>Naturschutz‑Compliance</x:v>
      </x:c>
      <x:c r="E392" s="14" t="str">
        <x:v>Naturschutz‑Compliance – Antikorruption</x:v>
      </x:c>
      <x:c r="F392" s="14" t="str">
        <x:v>Fälle/1.000 FTE</x:v>
      </x:c>
      <x:c r="G392" s="14" t="str">
        <x:v>lower_is_better</x:v>
      </x:c>
      <x:c r="H392" s="14" t="str">
        <x:v>R01</x:v>
      </x:c>
      <x:c r="I392" s="14" t="str">
        <x:v>NUM_LOW</x:v>
      </x:c>
      <x:c r="J392" s="51"/>
      <x:c r="K392" s="51"/>
      <x:c r="L392" s="51"/>
      <x:c r="M392" s="54"/>
      <x:c r="N392" s="58" t="str">
        <x:f>IF($J392="","",IF($J392&lt;=0,3,IF($J392&lt;=0.2,2,IF($J392&lt;=0.5,0,IF($J392&lt;=1,-2,-3)))))</x:f>
      </x:c>
      <x:c r="O392" s="58" t="str">
        <x:f>IF($J392="","",IF(OR('02_Benchmarks'!$P392&lt;&gt;"Aktiv",COUNT('02_Benchmarks'!$J392:$M392)&lt;4),"",IF($G392="lower_is_better",IF($J392&lt;='02_Benchmarks'!$J392,3,IF($J392&lt;'02_Benchmarks'!$K392,2,IF($J392&lt;='02_Benchmarks'!$L392,0,IF($J392&lt;='02_Benchmarks'!$M392,-2,-3)))),IF($J392&gt;='02_Benchmarks'!$J392,3,IF($J392&gt;'02_Benchmarks'!$K392,2,IF($J392&gt;='02_Benchmarks'!$L392,0,IF($J392&gt;='02_Benchmarks'!$M392,-2,-3)))))))</x:f>
      </x:c>
      <x:c r="P392" s="58" t="str">
        <x:f>IF(COUNT($N392:$O392)+IF(ISNUMBER($K392),1,0)=0,"",MIN($N392:$O392,$K392))</x:f>
      </x:c>
      <x:c r="Q392" s="58" t="str">
        <x:f>IF($P392="","",INDEX('04_Tarifmodell'!$B$6:$B$12,$P392+4))</x:f>
      </x:c>
      <x:c r="R392" s="64" t="str">
        <x:f>IF($P392="","",INDEX('04_Tarifmodell'!$C$6:$C$12,$P392+4))</x:f>
      </x:c>
      <x:c r="S392" s="14" t="str">
        <x:f>IF(OR($I392="QUALITATIVE",$I392="MANUAL_HYBRID"),IF($K392="","Assurance-Score fehlt","Assurance-bewertet"),IF($I392="BENCHMARK",IF($W392&lt;&gt;"Aktiv",IF($K392="","Benchmark fehlt","Assurance-bewertet"),IF($J392="","Messwert fehlt",IF($P392="","Nicht bewertbar","Berechnet"))),IF(AND($J392="",$K392&lt;&gt;""),"Nur Assurance-Score",IF($J392="","Messwert fehlt",IF($P392="","Nicht bewertbar",IF($P392&lt;=-2,"Kritische Wirkung / Prüfung","Berechnet"))))))</x:f>
        <x:v>Messwert fehlt</x:v>
      </x:c>
      <x:c r="T392" s="14" t="str">
        <x:v>Vollständige fünfstufige numerische Regel.</x:v>
      </x:c>
      <x:c r="U392" s="14" t="str">
        <x:v>0:+3; ≤0,2:+2; ≤0,5:0; ≤1:‑2; &gt;1:‑3</x:v>
      </x:c>
      <x:c r="V392" s="14" t="str">
        <x:v>ESRS G1, GRI 205/207, OECD Anti‑Bribery</x:v>
      </x:c>
      <x:c r="W392" s="14" t="str">
        <x:f>'02_Benchmarks'!$P392</x:f>
        <x:v>Optional – kein aktiver Benchmark</x:v>
      </x:c>
      <x:c r="X392" s="14" t="str">
        <x:v>Messgrundlage belegt; Schwellenkalibrierung offen</x:v>
      </x:c>
      <x:c r="Y392" s="14" t="str">
        <x:v>Mittel</x:v>
      </x:c>
      <x:c r="Z392" s="14" t="str">
        <x:v>Arbeitskalibrierung – fachlich zu validieren</x:v>
      </x:c>
      <x:c r="AA392" s="14" t="str">
        <x:v>Organisation/Governance; konsolidierter Kreis und relevante Rechtseinheiten</x:v>
      </x:c>
      <x:c r="AB392" s="14" t="str">
        <x:v>Primärdaten bevorzugt; Sekundärdaten nur transparent und versioniert; Methode und Systemgrenze dokumentieren</x:v>
      </x:c>
      <x:c r="AC392" s="14" t="str">
        <x:v>Limited Assurance; risikobasiert höhere Prüftiefe</x:v>
      </x:c>
    </x:row>
    <x:row r="393" ht="42" customHeight="1">
      <x:c r="A393" s="14" t="str">
        <x:v>WOK-G-171</x:v>
      </x:c>
      <x:c r="B393" s="14" t="str">
        <x:v>SDG 15 – An Land</x:v>
      </x:c>
      <x:c r="C393" s="14" t="str">
        <x:v>15.5</x:v>
      </x:c>
      <x:c r="D393" s="14" t="str">
        <x:v>Naturschutz‑Compliance</x:v>
      </x:c>
      <x:c r="E393" s="14" t="str">
        <x:v>Naturschutz‑Compliance – Whistleblowing</x:v>
      </x:c>
      <x:c r="F393" s="14" t="str">
        <x:v>0–1</x:v>
      </x:c>
      <x:c r="G393" s="14" t="str">
        <x:v>higher_is_better</x:v>
      </x:c>
      <x:c r="H393" s="14" t="str">
        <x:v>R16</x:v>
      </x:c>
      <x:c r="I393" s="14" t="str">
        <x:v>NUM_HIGH</x:v>
      </x:c>
      <x:c r="J393" s="51"/>
      <x:c r="K393" s="51"/>
      <x:c r="L393" s="51"/>
      <x:c r="M393" s="54"/>
      <x:c r="N393" s="58" t="str">
        <x:f>IF($J393="","",IF($J393&lt;0.4,-3,IF($J393&lt;0.6,-2,IF($J393&lt;0.75,0,IF($J393&lt;0.9,2,3)))))</x:f>
      </x:c>
      <x:c r="O393" s="58" t="str">
        <x:f>IF($J393="","",IF(OR('02_Benchmarks'!$P393&lt;&gt;"Aktiv",COUNT('02_Benchmarks'!$J393:$M393)&lt;4),"",IF($G393="lower_is_better",IF($J393&lt;='02_Benchmarks'!$J393,3,IF($J393&lt;'02_Benchmarks'!$K393,2,IF($J393&lt;='02_Benchmarks'!$L393,0,IF($J393&lt;='02_Benchmarks'!$M393,-2,-3)))),IF($J393&gt;='02_Benchmarks'!$J393,3,IF($J393&gt;'02_Benchmarks'!$K393,2,IF($J393&gt;='02_Benchmarks'!$L393,0,IF($J393&gt;='02_Benchmarks'!$M393,-2,-3)))))))</x:f>
      </x:c>
      <x:c r="P393" s="58" t="str">
        <x:f>IF(COUNT($N393:$O393)+IF(ISNUMBER($K393),1,0)=0,"",MIN($N393:$O393,$K393))</x:f>
      </x:c>
      <x:c r="Q393" s="58" t="str">
        <x:f>IF($P393="","",INDEX('04_Tarifmodell'!$B$6:$B$12,$P393+4))</x:f>
      </x:c>
      <x:c r="R393" s="64" t="str">
        <x:f>IF($P393="","",INDEX('04_Tarifmodell'!$C$6:$C$12,$P393+4))</x:f>
      </x:c>
      <x:c r="S393" s="14" t="str">
        <x:f>IF(OR($I393="QUALITATIVE",$I393="MANUAL_HYBRID"),IF($K393="","Assurance-Score fehlt","Assurance-bewertet"),IF($I393="BENCHMARK",IF($W393&lt;&gt;"Aktiv",IF($K393="","Benchmark fehlt","Assurance-bewertet"),IF($J393="","Messwert fehlt",IF($P393="","Nicht bewertbar","Berechnet"))),IF(AND($J393="",$K393&lt;&gt;""),"Nur Assurance-Score",IF($J393="","Messwert fehlt",IF($P393="","Nicht bewertbar",IF($P393&lt;=-2,"Kritische Wirkung / Prüfung","Berechnet"))))))</x:f>
        <x:v>Messwert fehlt</x:v>
      </x:c>
      <x:c r="T393" s="14" t="str">
        <x:v>Vollständige fünfstufige numerische Regel.</x:v>
      </x:c>
      <x:c r="U393" s="14" t="str">
        <x:v>≥0,9:+3; 0,75–0,89:+2; 0,6–0,74:0; 0,4–0,59:‑2; &lt;0,4:‑3</x:v>
      </x:c>
      <x:c r="V393" s="14" t="str">
        <x:v>ESRS G1, GRI 205/207, OECD Anti‑Bribery</x:v>
      </x:c>
      <x:c r="W393" s="14" t="str">
        <x:f>'02_Benchmarks'!$P393</x:f>
        <x:v>Optional – kein aktiver Benchmark</x:v>
      </x:c>
      <x:c r="X393" s="14" t="str">
        <x:v>Messgrundlage belegt; Schwellenkalibrierung offen</x:v>
      </x:c>
      <x:c r="Y393" s="14" t="str">
        <x:v>Mittel</x:v>
      </x:c>
      <x:c r="Z393" s="14" t="str">
        <x:v>Arbeitskalibrierung – fachlich zu validieren</x:v>
      </x:c>
      <x:c r="AA393" s="14" t="str">
        <x:v>Organisation/Governance; konsolidierter Kreis und relevante Rechtseinheiten</x:v>
      </x:c>
      <x:c r="AB393" s="14" t="str">
        <x:v>Primärdaten bevorzugt; Sekundärdaten nur transparent und versioniert; Methode und Systemgrenze dokumentieren</x:v>
      </x:c>
      <x:c r="AC393" s="14" t="str">
        <x:v>Limited Assurance; risikobasiert höhere Prüftiefe</x:v>
      </x:c>
    </x:row>
    <x:row r="394" ht="42" customHeight="1">
      <x:c r="A394" s="14" t="str">
        <x:v>WOK-G-172</x:v>
      </x:c>
      <x:c r="B394" s="14" t="str">
        <x:v>SDG 15 – An Land</x:v>
      </x:c>
      <x:c r="C394" s="14" t="str">
        <x:v>15.5</x:v>
      </x:c>
      <x:c r="D394" s="14" t="str">
        <x:v>Naturschutz‑Compliance</x:v>
      </x:c>
      <x:c r="E394" s="14" t="str">
        <x:v>Naturschutz‑Compliance – Steuertransparenz</x:v>
      </x:c>
      <x:c r="F394" s="14" t="str">
        <x:v>0–1</x:v>
      </x:c>
      <x:c r="G394" s="14" t="str">
        <x:v>higher_is_better</x:v>
      </x:c>
      <x:c r="H394" s="14" t="str">
        <x:v>R08</x:v>
      </x:c>
      <x:c r="I394" s="14" t="str">
        <x:v>QUALITATIVE</x:v>
      </x:c>
      <x:c r="J394" s="51"/>
      <x:c r="K394" s="51"/>
      <x:c r="L394" s="51"/>
      <x:c r="M394" s="54"/>
      <x:c r="N394" s="58" t="str">
        <x:f>""</x:f>
      </x:c>
      <x:c r="O394" s="58" t="str">
        <x:f>IF($J394="","",IF(OR('02_Benchmarks'!$P394&lt;&gt;"Aktiv",COUNT('02_Benchmarks'!$J394:$M394)&lt;4),"",IF($G394="lower_is_better",IF($J394&lt;='02_Benchmarks'!$J394,3,IF($J394&lt;'02_Benchmarks'!$K394,2,IF($J394&lt;='02_Benchmarks'!$L394,0,IF($J394&lt;='02_Benchmarks'!$M394,-2,-3)))),IF($J394&gt;='02_Benchmarks'!$J394,3,IF($J394&gt;'02_Benchmarks'!$K394,2,IF($J394&gt;='02_Benchmarks'!$L394,0,IF($J394&gt;='02_Benchmarks'!$M394,-2,-3)))))))</x:f>
      </x:c>
      <x:c r="P394" s="58" t="str">
        <x:f>IF(COUNT($N394:$O394)+IF(ISNUMBER($K394),1,0)=0,"",MIN($N394:$O394,$K394))</x:f>
      </x:c>
      <x:c r="Q394" s="58" t="str">
        <x:f>IF($P394="","",INDEX('04_Tarifmodell'!$B$6:$B$12,$P394+4))</x:f>
      </x:c>
      <x:c r="R394" s="64" t="str">
        <x:f>IF($P394="","",INDEX('04_Tarifmodell'!$C$6:$C$12,$P394+4))</x:f>
      </x:c>
      <x:c r="S394" s="14" t="str">
        <x:f>IF(OR($I394="QUALITATIVE",$I394="MANUAL_HYBRID"),IF($K394="","Assurance-Score fehlt","Assurance-bewertet"),IF($I394="BENCHMARK",IF($W394&lt;&gt;"Aktiv",IF($K394="","Benchmark fehlt","Assurance-bewertet"),IF($J394="","Messwert fehlt",IF($P394="","Nicht bewertbar","Berechnet"))),IF(AND($J394="",$K394&lt;&gt;""),"Nur Assurance-Score",IF($J394="","Messwert fehlt",IF($P394="","Nicht bewertbar",IF($P394&lt;=-2,"Kritische Wirkung / Prüfung","Berechnet"))))))</x:f>
        <x:v>Assurance-Score fehlt</x:v>
      </x:c>
      <x:c r="T394" s="14" t="str">
        <x:v>Die Kategorie −3 fehlt; Vollständigkeit und Wirksamkeit sind feldspezifisch zu definieren.</x:v>
      </x:c>
      <x:c r="U394" s="14" t="str">
        <x:v>vollständig:+3; teilweise:+2; minimal:0; schlecht:‑2</x:v>
      </x:c>
      <x:c r="V394" s="14" t="str">
        <x:v>ESRS G1, GRI 205/207, OECD Anti‑Bribery</x:v>
      </x:c>
      <x:c r="W394" s="14" t="str">
        <x:f>'02_Benchmarks'!$P394</x:f>
        <x:v>Optional – kein aktiver Benchmark</x:v>
      </x:c>
      <x:c r="X394" s="14" t="str">
        <x:v>Messgrundlage belegt; Schwellenkalibrierung offen</x:v>
      </x:c>
      <x:c r="Y394" s="14" t="str">
        <x:v>Hoch</x:v>
      </x:c>
      <x:c r="Z394" s="14" t="str">
        <x:v>Assurance und Kriterienkatalog erforderlich</x:v>
      </x:c>
      <x:c r="AA394" s="14" t="str">
        <x:v>Organisation/Governance; konsolidierter Kreis und relevante Rechtseinheiten</x:v>
      </x:c>
      <x:c r="AB394" s="14" t="str">
        <x:v>Dokumentierter Kriterienkatalog; nachvollziehbare Evidenz; DQR A/B bevorzugt</x:v>
      </x:c>
      <x:c r="AC394" s="14" t="str">
        <x:v>Unabhängige Fachprüfung/Limited Assurance; bei roten Linien Reasonable Assurance</x:v>
      </x:c>
    </x:row>
    <x:row r="395" ht="42" customHeight="1">
      <x:c r="A395" s="14" t="str">
        <x:v>WOK-E-212</x:v>
      </x:c>
      <x:c r="B395" s="14" t="str">
        <x:v>SDG 15 – An Land</x:v>
      </x:c>
      <x:c r="C395" s="14" t="str">
        <x:v>15.3</x:v>
      </x:c>
      <x:c r="D395" s="14" t="str">
        <x:v>Bodenversiegelung</x:v>
      </x:c>
      <x:c r="E395" s="14" t="str">
        <x:v>Bodenversiegelung – Nettoeffekt</x:v>
      </x:c>
      <x:c r="F395" s="14" t="str">
        <x:v>Qualitativ → Klasse</x:v>
      </x:c>
      <x:c r="G395" s="14" t="str">
        <x:v>higher_is_better</x:v>
      </x:c>
      <x:c r="H395" s="14" t="str">
        <x:v>R03</x:v>
      </x:c>
      <x:c r="I395" s="14" t="str">
        <x:v>QUALITATIVE</x:v>
      </x:c>
      <x:c r="J395" s="51"/>
      <x:c r="K395" s="51"/>
      <x:c r="L395" s="51"/>
      <x:c r="M395" s="54"/>
      <x:c r="N395" s="58" t="str">
        <x:f>""</x:f>
      </x:c>
      <x:c r="O395" s="58" t="str">
        <x:f>IF($J395="","",IF(OR('02_Benchmarks'!$P395&lt;&gt;"Aktiv",COUNT('02_Benchmarks'!$J395:$M395)&lt;4),"",IF($G395="lower_is_better",IF($J395&lt;='02_Benchmarks'!$J395,3,IF($J395&lt;'02_Benchmarks'!$K395,2,IF($J395&lt;='02_Benchmarks'!$L395,0,IF($J395&lt;='02_Benchmarks'!$M395,-2,-3)))),IF($J395&gt;='02_Benchmarks'!$J395,3,IF($J395&gt;'02_Benchmarks'!$K395,2,IF($J395&gt;='02_Benchmarks'!$L395,0,IF($J395&gt;='02_Benchmarks'!$M395,-2,-3)))))))</x:f>
      </x:c>
      <x:c r="P395" s="58" t="str">
        <x:f>IF(COUNT($N395:$O395)+IF(ISNUMBER($K395),1,0)=0,"",MIN($N395:$O395,$K395))</x:f>
      </x:c>
      <x:c r="Q395" s="58" t="str">
        <x:f>IF($P395="","",INDEX('04_Tarifmodell'!$B$6:$B$12,$P395+4))</x:f>
      </x:c>
      <x:c r="R395" s="64" t="str">
        <x:f>IF($P395="","",INDEX('04_Tarifmodell'!$C$6:$C$12,$P395+4))</x:f>
      </x:c>
      <x:c r="S395" s="14" t="str">
        <x:f>IF(OR($I395="QUALITATIVE",$I395="MANUAL_HYBRID"),IF($K395="","Assurance-Score fehlt","Assurance-bewertet"),IF($I395="BENCHMARK",IF($W395&lt;&gt;"Aktiv",IF($K395="","Benchmark fehlt","Assurance-bewertet"),IF($J395="","Messwert fehlt",IF($P395="","Nicht bewertbar","Berechnet"))),IF(AND($J395="",$K395&lt;&gt;""),"Nur Assurance-Score",IF($J395="","Messwert fehlt",IF($P395="","Nicht bewertbar",IF($P395&lt;=-2,"Kritische Wirkung / Prüfung","Berechnet"))))))</x:f>
        <x:v>Assurance-Score fehlt</x:v>
      </x:c>
      <x:c r="T395" s="14" t="str">
        <x:v>Net Gain/No Net Loss/Net Loss ist ohne feldspezifischen Nachweis nicht automatisierbar.</x:v>
      </x:c>
      <x:c r="U395" s="14" t="str">
        <x:v>Net Gain:+3; No Net Loss:0; Net Loss:‑2/‑3</x:v>
      </x:c>
      <x:c r="V395" s="14" t="str">
        <x:v>ESRS E4, CBD/GBF, EN 15978 (Bau)</x:v>
      </x:c>
      <x:c r="W395" s="14" t="str">
        <x:f>'02_Benchmarks'!$P395</x:f>
        <x:v>Optional – kein aktiver Benchmark</x:v>
      </x:c>
      <x:c r="X395" s="14" t="str">
        <x:v>Messgrundlage belegt; Schwellenkalibrierung offen</x:v>
      </x:c>
      <x:c r="Y395" s="14" t="str">
        <x:v>Hoch</x:v>
      </x:c>
      <x:c r="Z395" s="14" t="str">
        <x:v>Assurance und Kriterienkatalog erforderlich</x:v>
      </x:c>
      <x:c r="AA395" s="14" t="str">
        <x:v>Standort/Prozess/Aktivität; Bezugsgröße und relevante Umweltmedien</x:v>
      </x:c>
      <x:c r="AB395" s="14" t="str">
        <x:v>Dokumentierter Kriterienkatalog; nachvollziehbare Evidenz; DQR A/B bevorzugt</x:v>
      </x:c>
      <x:c r="AC395" s="14" t="str">
        <x:v>Unabhängige Fachprüfung/Limited Assurance; bei roten Linien Reasonable Assurance</x:v>
      </x:c>
    </x:row>
    <x:row r="396" ht="42" customHeight="1">
      <x:c r="A396" s="14" t="str">
        <x:v>WOK-E-213</x:v>
      </x:c>
      <x:c r="B396" s="14" t="str">
        <x:v>SDG 15 – An Land</x:v>
      </x:c>
      <x:c r="C396" s="14" t="str">
        <x:v>15.3</x:v>
      </x:c>
      <x:c r="D396" s="14" t="str">
        <x:v>Bodenversiegelung</x:v>
      </x:c>
      <x:c r="E396" s="14" t="str">
        <x:v>Bodenversiegelung – Landumwandlung</x:v>
      </x:c>
      <x:c r="F396" s="14" t="str">
        <x:v>ha/Jahr</x:v>
      </x:c>
      <x:c r="G396" s="14" t="str">
        <x:v>lower_is_better</x:v>
      </x:c>
      <x:c r="H396" s="14" t="str">
        <x:v>R02</x:v>
      </x:c>
      <x:c r="I396" s="14" t="str">
        <x:v>NUM_LOW</x:v>
      </x:c>
      <x:c r="J396" s="51"/>
      <x:c r="K396" s="51"/>
      <x:c r="L396" s="51"/>
      <x:c r="M396" s="54"/>
      <x:c r="N396" s="58" t="str">
        <x:f>IF($J396="","",IF($J396&lt;=0,3,IF($J396&lt;=1,2,IF($J396&lt;=3,0,IF($J396&lt;=5,-2,-3)))))</x:f>
      </x:c>
      <x:c r="O396" s="58" t="str">
        <x:f>IF($J396="","",IF(OR('02_Benchmarks'!$P396&lt;&gt;"Aktiv",COUNT('02_Benchmarks'!$J396:$M396)&lt;4),"",IF($G396="lower_is_better",IF($J396&lt;='02_Benchmarks'!$J396,3,IF($J396&lt;'02_Benchmarks'!$K396,2,IF($J396&lt;='02_Benchmarks'!$L396,0,IF($J396&lt;='02_Benchmarks'!$M396,-2,-3)))),IF($J396&gt;='02_Benchmarks'!$J396,3,IF($J396&gt;'02_Benchmarks'!$K396,2,IF($J396&gt;='02_Benchmarks'!$L396,0,IF($J396&gt;='02_Benchmarks'!$M396,-2,-3)))))))</x:f>
      </x:c>
      <x:c r="P396" s="58" t="str">
        <x:f>IF(COUNT($N396:$O396)+IF(ISNUMBER($K396),1,0)=0,"",MIN($N396:$O396,$K396))</x:f>
      </x:c>
      <x:c r="Q396" s="58" t="str">
        <x:f>IF($P396="","",INDEX('04_Tarifmodell'!$B$6:$B$12,$P396+4))</x:f>
      </x:c>
      <x:c r="R396" s="64" t="str">
        <x:f>IF($P396="","",INDEX('04_Tarifmodell'!$C$6:$C$12,$P396+4))</x:f>
      </x:c>
      <x:c r="S396" s="14" t="str">
        <x:f>IF(OR($I396="QUALITATIVE",$I396="MANUAL_HYBRID"),IF($K396="","Assurance-Score fehlt","Assurance-bewertet"),IF($I396="BENCHMARK",IF($W396&lt;&gt;"Aktiv",IF($K396="","Benchmark fehlt","Assurance-bewertet"),IF($J396="","Messwert fehlt",IF($P396="","Nicht bewertbar","Berechnet"))),IF(AND($J396="",$K396&lt;&gt;""),"Nur Assurance-Score",IF($J396="","Messwert fehlt",IF($P396="","Nicht bewertbar",IF($P396&lt;=-2,"Kritische Wirkung / Prüfung","Berechnet"))))))</x:f>
        <x:v>Messwert fehlt</x:v>
      </x:c>
      <x:c r="T396" s="14" t="str">
        <x:v>Vollständige fünfstufige numerische Regel.</x:v>
      </x:c>
      <x:c r="U396" s="14" t="str">
        <x:v>0:+3; ≤1:+2; ≤3:0; ≤5:‑2; &gt;5:‑3</x:v>
      </x:c>
      <x:c r="V396" s="14" t="str">
        <x:v>ESRS E4, CBD/GBF, EN 15978 (Bau)</x:v>
      </x:c>
      <x:c r="W396" s="14" t="str">
        <x:f>'02_Benchmarks'!$P396</x:f>
        <x:v>Optional – kein aktiver Benchmark</x:v>
      </x:c>
      <x:c r="X396" s="14" t="str">
        <x:v>Messgrundlage belegt; Schwellenkalibrierung offen</x:v>
      </x:c>
      <x:c r="Y396" s="14" t="str">
        <x:v>Mittel</x:v>
      </x:c>
      <x:c r="Z396" s="14" t="str">
        <x:v>Arbeitskalibrierung – fachlich zu validieren</x:v>
      </x:c>
      <x:c r="AA396" s="14" t="str">
        <x:v>Standort/Prozess/Aktivität; Bezugsgröße und relevante Umweltmedien</x:v>
      </x:c>
      <x:c r="AB396" s="14" t="str">
        <x:v>Primärdaten bevorzugt; Sekundärdaten nur transparent und versioniert; Methode und Systemgrenze dokumentieren</x:v>
      </x:c>
      <x:c r="AC396" s="14" t="str">
        <x:v>Limited Assurance; risikobasiert höhere Prüftiefe</x:v>
      </x:c>
    </x:row>
    <x:row r="397" ht="42" customHeight="1">
      <x:c r="A397" s="14" t="str">
        <x:v>WOK-E-214</x:v>
      </x:c>
      <x:c r="B397" s="14" t="str">
        <x:v>SDG 15 – An Land</x:v>
      </x:c>
      <x:c r="C397" s="14" t="str">
        <x:v>15.3</x:v>
      </x:c>
      <x:c r="D397" s="14" t="str">
        <x:v>Bodenversiegelung</x:v>
      </x:c>
      <x:c r="E397" s="14" t="str">
        <x:v>Bodenversiegelung – Deforestationsfrei</x:v>
      </x:c>
      <x:c r="F397" s="14" t="str">
        <x:v>%</x:v>
      </x:c>
      <x:c r="G397" s="14" t="str">
        <x:v>higher_is_better</x:v>
      </x:c>
      <x:c r="H397" s="14" t="str">
        <x:v>R28</x:v>
      </x:c>
      <x:c r="I397" s="14" t="str">
        <x:v>NUM_HIGH</x:v>
      </x:c>
      <x:c r="J397" s="51"/>
      <x:c r="K397" s="51"/>
      <x:c r="L397" s="51"/>
      <x:c r="M397" s="54"/>
      <x:c r="N397" s="58" t="str">
        <x:f>IF($J397="","",IF($J397&lt;50,-3,IF($J397&lt;75,-2,IF($J397&lt;90,0,IF($J397&lt;98,2,3)))))</x:f>
      </x:c>
      <x:c r="O397" s="58" t="str">
        <x:f>IF($J397="","",IF(OR('02_Benchmarks'!$P397&lt;&gt;"Aktiv",COUNT('02_Benchmarks'!$J397:$M397)&lt;4),"",IF($G397="lower_is_better",IF($J397&lt;='02_Benchmarks'!$J397,3,IF($J397&lt;'02_Benchmarks'!$K397,2,IF($J397&lt;='02_Benchmarks'!$L397,0,IF($J397&lt;='02_Benchmarks'!$M397,-2,-3)))),IF($J397&gt;='02_Benchmarks'!$J397,3,IF($J397&gt;'02_Benchmarks'!$K397,2,IF($J397&gt;='02_Benchmarks'!$L397,0,IF($J397&gt;='02_Benchmarks'!$M397,-2,-3)))))))</x:f>
      </x:c>
      <x:c r="P397" s="58" t="str">
        <x:f>IF(COUNT($N397:$O397)+IF(ISNUMBER($K397),1,0)=0,"",MIN($N397:$O397,$K397))</x:f>
      </x:c>
      <x:c r="Q397" s="58" t="str">
        <x:f>IF($P397="","",INDEX('04_Tarifmodell'!$B$6:$B$12,$P397+4))</x:f>
      </x:c>
      <x:c r="R397" s="64" t="str">
        <x:f>IF($P397="","",INDEX('04_Tarifmodell'!$C$6:$C$12,$P397+4))</x:f>
      </x:c>
      <x:c r="S397" s="14" t="str">
        <x:f>IF(OR($I397="QUALITATIVE",$I397="MANUAL_HYBRID"),IF($K397="","Assurance-Score fehlt","Assurance-bewertet"),IF($I397="BENCHMARK",IF($W397&lt;&gt;"Aktiv",IF($K397="","Benchmark fehlt","Assurance-bewertet"),IF($J397="","Messwert fehlt",IF($P397="","Nicht bewertbar","Berechnet"))),IF(AND($J397="",$K397&lt;&gt;""),"Nur Assurance-Score",IF($J397="","Messwert fehlt",IF($P397="","Nicht bewertbar",IF($P397&lt;=-2,"Kritische Wirkung / Prüfung","Berechnet"))))))</x:f>
        <x:v>Messwert fehlt</x:v>
      </x:c>
      <x:c r="T397" s="14" t="str">
        <x:v>Vollständige fünfstufige numerische Regel.</x:v>
      </x:c>
      <x:c r="U397" s="14" t="str">
        <x:v>≥98:+3; 90–97:+2; 75–89:0; 50–74:‑2; &lt;50:‑3</x:v>
      </x:c>
      <x:c r="V397" s="14" t="str">
        <x:v>ESRS E4, CBD/GBF, EN 15978 (Bau)</x:v>
      </x:c>
      <x:c r="W397" s="14" t="str">
        <x:f>'02_Benchmarks'!$P397</x:f>
        <x:v>Optional – kein aktiver Benchmark</x:v>
      </x:c>
      <x:c r="X397" s="14" t="str">
        <x:v>Messgrundlage belegt; Schwellenkalibrierung offen</x:v>
      </x:c>
      <x:c r="Y397" s="14" t="str">
        <x:v>Mittel</x:v>
      </x:c>
      <x:c r="Z397" s="14" t="str">
        <x:v>Arbeitskalibrierung – fachlich zu validieren</x:v>
      </x:c>
      <x:c r="AA397" s="14" t="str">
        <x:v>Standort/Prozess/Aktivität; Bezugsgröße und relevante Umweltmedien</x:v>
      </x:c>
      <x:c r="AB397" s="14" t="str">
        <x:v>Primärdaten bevorzugt; Sekundärdaten nur transparent und versioniert; Methode und Systemgrenze dokumentieren</x:v>
      </x:c>
      <x:c r="AC397" s="14" t="str">
        <x:v>Limited Assurance; risikobasiert höhere Prüftiefe</x:v>
      </x:c>
    </x:row>
    <x:row r="398" ht="42" customHeight="1">
      <x:c r="A398" s="14" t="str">
        <x:v>WOK-SYS-143</x:v>
      </x:c>
      <x:c r="B398" s="14" t="str">
        <x:v>SDG 15 – An Land</x:v>
      </x:c>
      <x:c r="C398" s="14" t="str">
        <x:v>15.5</x:v>
      </x:c>
      <x:c r="D398" s="14" t="str">
        <x:v>Kooperationen Naturschutz</x:v>
      </x:c>
      <x:c r="E398" s="14" t="str">
        <x:v>Kooperationen Naturschutz – Index</x:v>
      </x:c>
      <x:c r="F398" s="14" t="str">
        <x:v>0–1</x:v>
      </x:c>
      <x:c r="G398" s="14" t="str">
        <x:v>higher_is_better</x:v>
      </x:c>
      <x:c r="H398" s="14" t="str">
        <x:v>R15</x:v>
      </x:c>
      <x:c r="I398" s="14" t="str">
        <x:v>NUM_HIGH</x:v>
      </x:c>
      <x:c r="J398" s="51"/>
      <x:c r="K398" s="51"/>
      <x:c r="L398" s="51"/>
      <x:c r="M398" s="54"/>
      <x:c r="N398" s="58" t="str">
        <x:f>IF($J398="","",IF($J398&lt;0.5,-3,IF($J398&lt;0.6,-2,IF($J398&lt;0.7,0,IF($J398&lt;0.8,2,3)))))</x:f>
      </x:c>
      <x:c r="O398" s="58" t="str">
        <x:f>IF($J398="","",IF(OR('02_Benchmarks'!$P398&lt;&gt;"Aktiv",COUNT('02_Benchmarks'!$J398:$M398)&lt;4),"",IF($G398="lower_is_better",IF($J398&lt;='02_Benchmarks'!$J398,3,IF($J398&lt;'02_Benchmarks'!$K398,2,IF($J398&lt;='02_Benchmarks'!$L398,0,IF($J398&lt;='02_Benchmarks'!$M398,-2,-3)))),IF($J398&gt;='02_Benchmarks'!$J398,3,IF($J398&gt;'02_Benchmarks'!$K398,2,IF($J398&gt;='02_Benchmarks'!$L398,0,IF($J398&gt;='02_Benchmarks'!$M398,-2,-3)))))))</x:f>
      </x:c>
      <x:c r="P398" s="58" t="str">
        <x:f>IF(COUNT($N398:$O398)+IF(ISNUMBER($K398),1,0)=0,"",MIN($N398:$O398,$K398))</x:f>
      </x:c>
      <x:c r="Q398" s="58" t="str">
        <x:f>IF($P398="","",INDEX('04_Tarifmodell'!$B$6:$B$12,$P398+4))</x:f>
      </x:c>
      <x:c r="R398" s="64" t="str">
        <x:f>IF($P398="","",INDEX('04_Tarifmodell'!$C$6:$C$12,$P398+4))</x:f>
      </x:c>
      <x:c r="S398" s="14" t="str">
        <x:f>IF(OR($I398="QUALITATIVE",$I398="MANUAL_HYBRID"),IF($K398="","Assurance-Score fehlt","Assurance-bewertet"),IF($I398="BENCHMARK",IF($W398&lt;&gt;"Aktiv",IF($K398="","Benchmark fehlt","Assurance-bewertet"),IF($J398="","Messwert fehlt",IF($P398="","Nicht bewertbar","Berechnet"))),IF(AND($J398="",$K398&lt;&gt;""),"Nur Assurance-Score",IF($J398="","Messwert fehlt",IF($P398="","Nicht bewertbar",IF($P398&lt;=-2,"Kritische Wirkung / Prüfung","Berechnet"))))))</x:f>
        <x:v>Messwert fehlt</x:v>
      </x:c>
      <x:c r="T398" s="14" t="str">
        <x:v>SROI/SDG 17 ist keine hinreichend konkrete Mess- oder Schwellenquelle. Vollständige fünfstufige numerische Regel.</x:v>
      </x:c>
      <x:c r="U398" s="14" t="str">
        <x:v>≥0,8:+3; 0,7–0,79:+2; 0,6–0,69:0; 0,5–0,59:‑2; &lt;0,5:‑3</x:v>
      </x:c>
      <x:c r="V398" s="14" t="str">
        <x:v>SDG 16/17, WJP, V‑Dem</x:v>
      </x:c>
      <x:c r="W398" s="14" t="str">
        <x:f>'02_Benchmarks'!$P398</x:f>
        <x:v>Optional – kein aktiver Benchmark</x:v>
      </x:c>
      <x:c r="X398" s="14" t="str">
        <x:v>Platzhalter – fachliche Operationalisierung offen</x:v>
      </x:c>
      <x:c r="Y398" s="14" t="str">
        <x:v>Kritisch</x:v>
      </x:c>
      <x:c r="Z398" s="14" t="str">
        <x:v>Arbeitskalibrierung – fachlich zu validieren</x:v>
      </x:c>
      <x:c r="AA398" s="14" t="str">
        <x:v>Programm/Portfolio/Systemraum; Empfängergruppe, Region und Zeitraum explizit definieren</x:v>
      </x:c>
      <x:c r="AB398" s="14" t="str">
        <x:v>Primärdaten bevorzugt; Sekundärdaten nur transparent und versioniert; Methode und Systemgrenze dokumentieren</x:v>
      </x:c>
      <x:c r="AC398" s="14" t="str">
        <x:v>Limited Assurance; risikobasiert höhere Prüftiefe</x:v>
      </x:c>
    </x:row>
    <x:row r="399" ht="42" customHeight="1">
      <x:c r="A399" s="14" t="str">
        <x:v>WOK-SYS-144</x:v>
      </x:c>
      <x:c r="B399" s="14" t="str">
        <x:v>SDG 15 – An Land</x:v>
      </x:c>
      <x:c r="C399" s="14" t="str">
        <x:v>15.5</x:v>
      </x:c>
      <x:c r="D399" s="14" t="str">
        <x:v>Kooperationen Naturschutz</x:v>
      </x:c>
      <x:c r="E399" s="14" t="str">
        <x:v>Kooperationen Naturschutz – Exposure</x:v>
      </x:c>
      <x:c r="F399" s="14" t="str">
        <x:v>%</x:v>
      </x:c>
      <x:c r="G399" s="14" t="str">
        <x:v>lower_is_better</x:v>
      </x:c>
      <x:c r="H399" s="14" t="str">
        <x:v>R13</x:v>
      </x:c>
      <x:c r="I399" s="14" t="str">
        <x:v>NUM_LOW</x:v>
      </x:c>
      <x:c r="J399" s="51"/>
      <x:c r="K399" s="51"/>
      <x:c r="L399" s="51"/>
      <x:c r="M399" s="54"/>
      <x:c r="N399" s="58" t="str">
        <x:f>IF($J399="","",IF($J399&lt;=5,3,IF($J399&lt;=10,2,IF($J399&lt;=20,0,IF($J399&lt;=30,-2,-3)))))</x:f>
      </x:c>
      <x:c r="O399" s="58" t="str">
        <x:f>IF($J399="","",IF(OR('02_Benchmarks'!$P399&lt;&gt;"Aktiv",COUNT('02_Benchmarks'!$J399:$M399)&lt;4),"",IF($G399="lower_is_better",IF($J399&lt;='02_Benchmarks'!$J399,3,IF($J399&lt;'02_Benchmarks'!$K399,2,IF($J399&lt;='02_Benchmarks'!$L399,0,IF($J399&lt;='02_Benchmarks'!$M399,-2,-3)))),IF($J399&gt;='02_Benchmarks'!$J399,3,IF($J399&gt;'02_Benchmarks'!$K399,2,IF($J399&gt;='02_Benchmarks'!$L399,0,IF($J399&gt;='02_Benchmarks'!$M399,-2,-3)))))))</x:f>
      </x:c>
      <x:c r="P399" s="58" t="str">
        <x:f>IF(COUNT($N399:$O399)+IF(ISNUMBER($K399),1,0)=0,"",MIN($N399:$O399,$K399))</x:f>
      </x:c>
      <x:c r="Q399" s="58" t="str">
        <x:f>IF($P399="","",INDEX('04_Tarifmodell'!$B$6:$B$12,$P399+4))</x:f>
      </x:c>
      <x:c r="R399" s="64" t="str">
        <x:f>IF($P399="","",INDEX('04_Tarifmodell'!$C$6:$C$12,$P399+4))</x:f>
      </x:c>
      <x:c r="S399" s="14" t="str">
        <x:f>IF(OR($I399="QUALITATIVE",$I399="MANUAL_HYBRID"),IF($K399="","Assurance-Score fehlt","Assurance-bewertet"),IF($I399="BENCHMARK",IF($W399&lt;&gt;"Aktiv",IF($K399="","Benchmark fehlt","Assurance-bewertet"),IF($J399="","Messwert fehlt",IF($P399="","Nicht bewertbar","Berechnet"))),IF(AND($J399="",$K399&lt;&gt;""),"Nur Assurance-Score",IF($J399="","Messwert fehlt",IF($P399="","Nicht bewertbar",IF($P399&lt;=-2,"Kritische Wirkung / Prüfung","Berechnet"))))))</x:f>
        <x:v>Messwert fehlt</x:v>
      </x:c>
      <x:c r="T399" s="14" t="str">
        <x:v>SROI/SDG 17 ist keine hinreichend konkrete Mess- oder Schwellenquelle. Vollständige fünfstufige numerische Regel.</x:v>
      </x:c>
      <x:c r="U399" s="14" t="str">
        <x:v>≤5:+3; 6–10:+2; 11–20:0; 21–30:‑2; &gt;30:‑3</x:v>
      </x:c>
      <x:c r="V399" s="14" t="str">
        <x:v>SROI/SDG17</x:v>
      </x:c>
      <x:c r="W399" s="14" t="str">
        <x:f>'02_Benchmarks'!$P399</x:f>
        <x:v>Optional – kein aktiver Benchmark</x:v>
      </x:c>
      <x:c r="X399" s="14" t="str">
        <x:v>Platzhalter – fachliche Operationalisierung offen</x:v>
      </x:c>
      <x:c r="Y399" s="14" t="str">
        <x:v>Kritisch</x:v>
      </x:c>
      <x:c r="Z399" s="14" t="str">
        <x:v>Arbeitskalibrierung – fachlich zu validieren</x:v>
      </x:c>
      <x:c r="AA399" s="14" t="str">
        <x:v>Programm/Portfolio/Systemraum; Empfängergruppe, Region und Zeitraum explizit definieren</x:v>
      </x:c>
      <x:c r="AB399" s="14" t="str">
        <x:v>Primärdaten bevorzugt; Sekundärdaten nur transparent und versioniert; Methode und Systemgrenze dokumentieren</x:v>
      </x:c>
      <x:c r="AC399" s="14" t="str">
        <x:v>Limited Assurance; risikobasiert höhere Prüftiefe</x:v>
      </x:c>
    </x:row>
    <x:row r="400" ht="42" customHeight="1">
      <x:c r="A400" s="14" t="str">
        <x:v>WOK-SYS-145</x:v>
      </x:c>
      <x:c r="B400" s="14" t="str">
        <x:v>SDG 15 – An Land</x:v>
      </x:c>
      <x:c r="C400" s="14" t="str">
        <x:v>15.5</x:v>
      </x:c>
      <x:c r="D400" s="14" t="str">
        <x:v>Kooperationen Naturschutz</x:v>
      </x:c>
      <x:c r="E400" s="14" t="str">
        <x:v>Kooperationen Naturschutz – Kooperationen</x:v>
      </x:c>
      <x:c r="F400" s="14" t="str">
        <x:v>#/Jahr</x:v>
      </x:c>
      <x:c r="G400" s="14" t="str">
        <x:v>higher_is_better</x:v>
      </x:c>
      <x:c r="H400" s="14" t="str">
        <x:v>R20</x:v>
      </x:c>
      <x:c r="I400" s="14" t="str">
        <x:v>NUM_HIGH</x:v>
      </x:c>
      <x:c r="J400" s="51"/>
      <x:c r="K400" s="51"/>
      <x:c r="L400" s="51"/>
      <x:c r="M400" s="54"/>
      <x:c r="N400" s="58" t="str">
        <x:f>IF($J400="","",IF($J400&lt;0,-3,IF($J400&lt;1,-2,IF($J400&lt;3,0,IF($J400&lt;5,2,3)))))</x:f>
      </x:c>
      <x:c r="O400" s="58" t="str">
        <x:f>IF($J400="","",IF(OR('02_Benchmarks'!$P400&lt;&gt;"Aktiv",COUNT('02_Benchmarks'!$J400:$M400)&lt;4),"",IF($G400="lower_is_better",IF($J400&lt;='02_Benchmarks'!$J400,3,IF($J400&lt;'02_Benchmarks'!$K400,2,IF($J400&lt;='02_Benchmarks'!$L400,0,IF($J400&lt;='02_Benchmarks'!$M400,-2,-3)))),IF($J400&gt;='02_Benchmarks'!$J400,3,IF($J400&gt;'02_Benchmarks'!$K400,2,IF($J400&gt;='02_Benchmarks'!$L400,0,IF($J400&gt;='02_Benchmarks'!$M400,-2,-3)))))))</x:f>
      </x:c>
      <x:c r="P400" s="58" t="str">
        <x:f>IF(COUNT($N400:$O400)+IF(ISNUMBER($K400),1,0)=0,"",MIN($N400:$O400,$K400))</x:f>
      </x:c>
      <x:c r="Q400" s="58" t="str">
        <x:f>IF($P400="","",INDEX('04_Tarifmodell'!$B$6:$B$12,$P400+4))</x:f>
      </x:c>
      <x:c r="R400" s="64" t="str">
        <x:f>IF($P400="","",INDEX('04_Tarifmodell'!$C$6:$C$12,$P400+4))</x:f>
      </x:c>
      <x:c r="S400" s="14" t="str">
        <x:f>IF(OR($I400="QUALITATIVE",$I400="MANUAL_HYBRID"),IF($K400="","Assurance-Score fehlt","Assurance-bewertet"),IF($I400="BENCHMARK",IF($W400&lt;&gt;"Aktiv",IF($K400="","Benchmark fehlt","Assurance-bewertet"),IF($J400="","Messwert fehlt",IF($P400="","Nicht bewertbar","Berechnet"))),IF(AND($J400="",$K400&lt;&gt;""),"Nur Assurance-Score",IF($J400="","Messwert fehlt",IF($P400="","Nicht bewertbar",IF($P400&lt;=-2,"Kritische Wirkung / Prüfung","Berechnet"))))))</x:f>
        <x:v>Messwert fehlt</x:v>
      </x:c>
      <x:c r="T400" s="14" t="str">
        <x:v>SROI/SDG 17 ist keine hinreichend konkrete Mess- oder Schwellenquelle. Für sachlogisch nichtnegative Zählwerte ist 0 die schlechteste reguläre Klasse (−2).</x:v>
      </x:c>
      <x:c r="U400" s="14" t="str">
        <x:v>≥5:+3; 3–4:+2; 1–2:0; 0:‑2</x:v>
      </x:c>
      <x:c r="V400" s="14" t="str">
        <x:v>SDG 16/17, WJP, V‑Dem</x:v>
      </x:c>
      <x:c r="W400" s="14" t="str">
        <x:f>'02_Benchmarks'!$P400</x:f>
        <x:v>Optional – kein aktiver Benchmark</x:v>
      </x:c>
      <x:c r="X400" s="14" t="str">
        <x:v>Platzhalter – fachliche Operationalisierung offen</x:v>
      </x:c>
      <x:c r="Y400" s="14" t="str">
        <x:v>Kritisch</x:v>
      </x:c>
      <x:c r="Z400" s="14" t="str">
        <x:v>Klasse −3 nur für negative/unzulässige Werte ergänzt</x:v>
      </x:c>
      <x:c r="AA400" s="14" t="str">
        <x:v>Programm/Portfolio/Systemraum; Empfängergruppe, Region und Zeitraum explizit definieren</x:v>
      </x:c>
      <x:c r="AB400" s="14" t="str">
        <x:v>Primärdaten bevorzugt; Sekundärdaten nur transparent und versioniert; Methode und Systemgrenze dokumentieren</x:v>
      </x:c>
      <x:c r="AC400" s="14" t="str">
        <x:v>Limited Assurance; risikobasiert höhere Prüftiefe</x:v>
      </x:c>
    </x:row>
    <x:row r="401" ht="42" customHeight="1">
      <x:c r="A401" s="14" t="str">
        <x:v>WOK-E-215</x:v>
      </x:c>
      <x:c r="B401" s="14" t="str">
        <x:v>SDG 15 – An Land</x:v>
      </x:c>
      <x:c r="C401" s="14" t="str">
        <x:v>15.8</x:v>
      </x:c>
      <x:c r="D401" s="14" t="str">
        <x:v>Invasive Arten Management</x:v>
      </x:c>
      <x:c r="E401" s="14" t="str">
        <x:v>Invasive Arten Management – Nettoeffekt</x:v>
      </x:c>
      <x:c r="F401" s="14" t="str">
        <x:v>Qualitativ → Klasse</x:v>
      </x:c>
      <x:c r="G401" s="14" t="str">
        <x:v>higher_is_better</x:v>
      </x:c>
      <x:c r="H401" s="14" t="str">
        <x:v>R03</x:v>
      </x:c>
      <x:c r="I401" s="14" t="str">
        <x:v>QUALITATIVE</x:v>
      </x:c>
      <x:c r="J401" s="51"/>
      <x:c r="K401" s="51"/>
      <x:c r="L401" s="51"/>
      <x:c r="M401" s="54"/>
      <x:c r="N401" s="58" t="str">
        <x:f>""</x:f>
      </x:c>
      <x:c r="O401" s="58" t="str">
        <x:f>IF($J401="","",IF(OR('02_Benchmarks'!$P401&lt;&gt;"Aktiv",COUNT('02_Benchmarks'!$J401:$M401)&lt;4),"",IF($G401="lower_is_better",IF($J401&lt;='02_Benchmarks'!$J401,3,IF($J401&lt;'02_Benchmarks'!$K401,2,IF($J401&lt;='02_Benchmarks'!$L401,0,IF($J401&lt;='02_Benchmarks'!$M401,-2,-3)))),IF($J401&gt;='02_Benchmarks'!$J401,3,IF($J401&gt;'02_Benchmarks'!$K401,2,IF($J401&gt;='02_Benchmarks'!$L401,0,IF($J401&gt;='02_Benchmarks'!$M401,-2,-3)))))))</x:f>
      </x:c>
      <x:c r="P401" s="58" t="str">
        <x:f>IF(COUNT($N401:$O401)+IF(ISNUMBER($K401),1,0)=0,"",MIN($N401:$O401,$K401))</x:f>
      </x:c>
      <x:c r="Q401" s="58" t="str">
        <x:f>IF($P401="","",INDEX('04_Tarifmodell'!$B$6:$B$12,$P401+4))</x:f>
      </x:c>
      <x:c r="R401" s="64" t="str">
        <x:f>IF($P401="","",INDEX('04_Tarifmodell'!$C$6:$C$12,$P401+4))</x:f>
      </x:c>
      <x:c r="S401" s="14" t="str">
        <x:f>IF(OR($I401="QUALITATIVE",$I401="MANUAL_HYBRID"),IF($K401="","Assurance-Score fehlt","Assurance-bewertet"),IF($I401="BENCHMARK",IF($W401&lt;&gt;"Aktiv",IF($K401="","Benchmark fehlt","Assurance-bewertet"),IF($J401="","Messwert fehlt",IF($P401="","Nicht bewertbar","Berechnet"))),IF(AND($J401="",$K401&lt;&gt;""),"Nur Assurance-Score",IF($J401="","Messwert fehlt",IF($P401="","Nicht bewertbar",IF($P401&lt;=-2,"Kritische Wirkung / Prüfung","Berechnet"))))))</x:f>
        <x:v>Assurance-Score fehlt</x:v>
      </x:c>
      <x:c r="T401" s="14" t="str">
        <x:v>Net Gain/No Net Loss/Net Loss ist ohne feldspezifischen Nachweis nicht automatisierbar.</x:v>
      </x:c>
      <x:c r="U401" s="14" t="str">
        <x:v>Net Gain:+3; No Net Loss:0; Net Loss:‑2/‑3</x:v>
      </x:c>
      <x:c r="V401" s="14" t="str">
        <x:v>ESRS E4, CBD/GBF, EN 15978 (Bau)</x:v>
      </x:c>
      <x:c r="W401" s="14" t="str">
        <x:f>'02_Benchmarks'!$P401</x:f>
        <x:v>Optional – kein aktiver Benchmark</x:v>
      </x:c>
      <x:c r="X401" s="14" t="str">
        <x:v>Messgrundlage belegt; Schwellenkalibrierung offen</x:v>
      </x:c>
      <x:c r="Y401" s="14" t="str">
        <x:v>Hoch</x:v>
      </x:c>
      <x:c r="Z401" s="14" t="str">
        <x:v>Assurance und Kriterienkatalog erforderlich</x:v>
      </x:c>
      <x:c r="AA401" s="14" t="str">
        <x:v>Standort/Prozess/Aktivität; Bezugsgröße und relevante Umweltmedien</x:v>
      </x:c>
      <x:c r="AB401" s="14" t="str">
        <x:v>Dokumentierter Kriterienkatalog; nachvollziehbare Evidenz; DQR A/B bevorzugt</x:v>
      </x:c>
      <x:c r="AC401" s="14" t="str">
        <x:v>Unabhängige Fachprüfung/Limited Assurance; bei roten Linien Reasonable Assurance</x:v>
      </x:c>
    </x:row>
    <x:row r="402" ht="42" customHeight="1">
      <x:c r="A402" s="14" t="str">
        <x:v>WOK-E-216</x:v>
      </x:c>
      <x:c r="B402" s="14" t="str">
        <x:v>SDG 15 – An Land</x:v>
      </x:c>
      <x:c r="C402" s="14" t="str">
        <x:v>15.8</x:v>
      </x:c>
      <x:c r="D402" s="14" t="str">
        <x:v>Invasive Arten Management</x:v>
      </x:c>
      <x:c r="E402" s="14" t="str">
        <x:v>Invasive Arten Management – Landumwandlung</x:v>
      </x:c>
      <x:c r="F402" s="14" t="str">
        <x:v>ha/Jahr</x:v>
      </x:c>
      <x:c r="G402" s="14" t="str">
        <x:v>lower_is_better</x:v>
      </x:c>
      <x:c r="H402" s="14" t="str">
        <x:v>R02</x:v>
      </x:c>
      <x:c r="I402" s="14" t="str">
        <x:v>NUM_LOW</x:v>
      </x:c>
      <x:c r="J402" s="51"/>
      <x:c r="K402" s="51"/>
      <x:c r="L402" s="51"/>
      <x:c r="M402" s="54"/>
      <x:c r="N402" s="58" t="str">
        <x:f>IF($J402="","",IF($J402&lt;=0,3,IF($J402&lt;=1,2,IF($J402&lt;=3,0,IF($J402&lt;=5,-2,-3)))))</x:f>
      </x:c>
      <x:c r="O402" s="58" t="str">
        <x:f>IF($J402="","",IF(OR('02_Benchmarks'!$P402&lt;&gt;"Aktiv",COUNT('02_Benchmarks'!$J402:$M402)&lt;4),"",IF($G402="lower_is_better",IF($J402&lt;='02_Benchmarks'!$J402,3,IF($J402&lt;'02_Benchmarks'!$K402,2,IF($J402&lt;='02_Benchmarks'!$L402,0,IF($J402&lt;='02_Benchmarks'!$M402,-2,-3)))),IF($J402&gt;='02_Benchmarks'!$J402,3,IF($J402&gt;'02_Benchmarks'!$K402,2,IF($J402&gt;='02_Benchmarks'!$L402,0,IF($J402&gt;='02_Benchmarks'!$M402,-2,-3)))))))</x:f>
      </x:c>
      <x:c r="P402" s="58" t="str">
        <x:f>IF(COUNT($N402:$O402)+IF(ISNUMBER($K402),1,0)=0,"",MIN($N402:$O402,$K402))</x:f>
      </x:c>
      <x:c r="Q402" s="58" t="str">
        <x:f>IF($P402="","",INDEX('04_Tarifmodell'!$B$6:$B$12,$P402+4))</x:f>
      </x:c>
      <x:c r="R402" s="64" t="str">
        <x:f>IF($P402="","",INDEX('04_Tarifmodell'!$C$6:$C$12,$P402+4))</x:f>
      </x:c>
      <x:c r="S402" s="14" t="str">
        <x:f>IF(OR($I402="QUALITATIVE",$I402="MANUAL_HYBRID"),IF($K402="","Assurance-Score fehlt","Assurance-bewertet"),IF($I402="BENCHMARK",IF($W402&lt;&gt;"Aktiv",IF($K402="","Benchmark fehlt","Assurance-bewertet"),IF($J402="","Messwert fehlt",IF($P402="","Nicht bewertbar","Berechnet"))),IF(AND($J402="",$K402&lt;&gt;""),"Nur Assurance-Score",IF($J402="","Messwert fehlt",IF($P402="","Nicht bewertbar",IF($P402&lt;=-2,"Kritische Wirkung / Prüfung","Berechnet"))))))</x:f>
        <x:v>Messwert fehlt</x:v>
      </x:c>
      <x:c r="T402" s="14" t="str">
        <x:v>Vollständige fünfstufige numerische Regel.</x:v>
      </x:c>
      <x:c r="U402" s="14" t="str">
        <x:v>0:+3; ≤1:+2; ≤3:0; ≤5:‑2; &gt;5:‑3</x:v>
      </x:c>
      <x:c r="V402" s="14" t="str">
        <x:v>ESRS E4, CBD/GBF, EN 15978 (Bau)</x:v>
      </x:c>
      <x:c r="W402" s="14" t="str">
        <x:f>'02_Benchmarks'!$P402</x:f>
        <x:v>Optional – kein aktiver Benchmark</x:v>
      </x:c>
      <x:c r="X402" s="14" t="str">
        <x:v>Messgrundlage belegt; Schwellenkalibrierung offen</x:v>
      </x:c>
      <x:c r="Y402" s="14" t="str">
        <x:v>Mittel</x:v>
      </x:c>
      <x:c r="Z402" s="14" t="str">
        <x:v>Arbeitskalibrierung – fachlich zu validieren</x:v>
      </x:c>
      <x:c r="AA402" s="14" t="str">
        <x:v>Standort/Prozess/Aktivität; Bezugsgröße und relevante Umweltmedien</x:v>
      </x:c>
      <x:c r="AB402" s="14" t="str">
        <x:v>Primärdaten bevorzugt; Sekundärdaten nur transparent und versioniert; Methode und Systemgrenze dokumentieren</x:v>
      </x:c>
      <x:c r="AC402" s="14" t="str">
        <x:v>Limited Assurance; risikobasiert höhere Prüftiefe</x:v>
      </x:c>
    </x:row>
    <x:row r="403" ht="42" customHeight="1">
      <x:c r="A403" s="14" t="str">
        <x:v>WOK-E-217</x:v>
      </x:c>
      <x:c r="B403" s="14" t="str">
        <x:v>SDG 15 – An Land</x:v>
      </x:c>
      <x:c r="C403" s="14" t="str">
        <x:v>15.8</x:v>
      </x:c>
      <x:c r="D403" s="14" t="str">
        <x:v>Invasive Arten Management</x:v>
      </x:c>
      <x:c r="E403" s="14" t="str">
        <x:v>Invasive Arten Management – Deforestationsfrei</x:v>
      </x:c>
      <x:c r="F403" s="14" t="str">
        <x:v>%</x:v>
      </x:c>
      <x:c r="G403" s="14" t="str">
        <x:v>higher_is_better</x:v>
      </x:c>
      <x:c r="H403" s="14" t="str">
        <x:v>R28</x:v>
      </x:c>
      <x:c r="I403" s="14" t="str">
        <x:v>NUM_HIGH</x:v>
      </x:c>
      <x:c r="J403" s="51"/>
      <x:c r="K403" s="51"/>
      <x:c r="L403" s="51"/>
      <x:c r="M403" s="54"/>
      <x:c r="N403" s="58" t="str">
        <x:f>IF($J403="","",IF($J403&lt;50,-3,IF($J403&lt;75,-2,IF($J403&lt;90,0,IF($J403&lt;98,2,3)))))</x:f>
      </x:c>
      <x:c r="O403" s="58" t="str">
        <x:f>IF($J403="","",IF(OR('02_Benchmarks'!$P403&lt;&gt;"Aktiv",COUNT('02_Benchmarks'!$J403:$M403)&lt;4),"",IF($G403="lower_is_better",IF($J403&lt;='02_Benchmarks'!$J403,3,IF($J403&lt;'02_Benchmarks'!$K403,2,IF($J403&lt;='02_Benchmarks'!$L403,0,IF($J403&lt;='02_Benchmarks'!$M403,-2,-3)))),IF($J403&gt;='02_Benchmarks'!$J403,3,IF($J403&gt;'02_Benchmarks'!$K403,2,IF($J403&gt;='02_Benchmarks'!$L403,0,IF($J403&gt;='02_Benchmarks'!$M403,-2,-3)))))))</x:f>
      </x:c>
      <x:c r="P403" s="58" t="str">
        <x:f>IF(COUNT($N403:$O403)+IF(ISNUMBER($K403),1,0)=0,"",MIN($N403:$O403,$K403))</x:f>
      </x:c>
      <x:c r="Q403" s="58" t="str">
        <x:f>IF($P403="","",INDEX('04_Tarifmodell'!$B$6:$B$12,$P403+4))</x:f>
      </x:c>
      <x:c r="R403" s="64" t="str">
        <x:f>IF($P403="","",INDEX('04_Tarifmodell'!$C$6:$C$12,$P403+4))</x:f>
      </x:c>
      <x:c r="S403" s="14" t="str">
        <x:f>IF(OR($I403="QUALITATIVE",$I403="MANUAL_HYBRID"),IF($K403="","Assurance-Score fehlt","Assurance-bewertet"),IF($I403="BENCHMARK",IF($W403&lt;&gt;"Aktiv",IF($K403="","Benchmark fehlt","Assurance-bewertet"),IF($J403="","Messwert fehlt",IF($P403="","Nicht bewertbar","Berechnet"))),IF(AND($J403="",$K403&lt;&gt;""),"Nur Assurance-Score",IF($J403="","Messwert fehlt",IF($P403="","Nicht bewertbar",IF($P403&lt;=-2,"Kritische Wirkung / Prüfung","Berechnet"))))))</x:f>
        <x:v>Messwert fehlt</x:v>
      </x:c>
      <x:c r="T403" s="14" t="str">
        <x:v>Vollständige fünfstufige numerische Regel.</x:v>
      </x:c>
      <x:c r="U403" s="14" t="str">
        <x:v>≥98:+3; 90–97:+2; 75–89:0; 50–74:‑2; &lt;50:‑3</x:v>
      </x:c>
      <x:c r="V403" s="14" t="str">
        <x:v>ESRS E4, CBD/GBF, EN 15978 (Bau)</x:v>
      </x:c>
      <x:c r="W403" s="14" t="str">
        <x:f>'02_Benchmarks'!$P403</x:f>
        <x:v>Optional – kein aktiver Benchmark</x:v>
      </x:c>
      <x:c r="X403" s="14" t="str">
        <x:v>Messgrundlage belegt; Schwellenkalibrierung offen</x:v>
      </x:c>
      <x:c r="Y403" s="14" t="str">
        <x:v>Mittel</x:v>
      </x:c>
      <x:c r="Z403" s="14" t="str">
        <x:v>Arbeitskalibrierung – fachlich zu validieren</x:v>
      </x:c>
      <x:c r="AA403" s="14" t="str">
        <x:v>Standort/Prozess/Aktivität; Bezugsgröße und relevante Umweltmedien</x:v>
      </x:c>
      <x:c r="AB403" s="14" t="str">
        <x:v>Primärdaten bevorzugt; Sekundärdaten nur transparent und versioniert; Methode und Systemgrenze dokumentieren</x:v>
      </x:c>
      <x:c r="AC403" s="14" t="str">
        <x:v>Limited Assurance; risikobasiert höhere Prüftiefe</x:v>
      </x:c>
    </x:row>
    <x:row r="404" ht="42" customHeight="1">
      <x:c r="A404" s="14" t="str">
        <x:v>WOK-POL-113</x:v>
      </x:c>
      <x:c r="B404" s="14" t="str">
        <x:v>SDG 15 – An Land</x:v>
      </x:c>
      <x:c r="C404" s="14" t="str">
        <x:v>15.5</x:v>
      </x:c>
      <x:c r="D404" s="14" t="str">
        <x:v>DNSH Biodiversität</x:v>
      </x:c>
      <x:c r="E404" s="14" t="str">
        <x:v>DNSH Biodiversität – Spezifische Emissionen</x:v>
      </x:c>
      <x:c r="F404" s="14" t="str">
        <x:v>g CO₂e/kWh</x:v>
      </x:c>
      <x:c r="G404" s="14" t="str">
        <x:v>lower_is_better</x:v>
      </x:c>
      <x:c r="H404" s="14" t="str">
        <x:v>R10</x:v>
      </x:c>
      <x:c r="I404" s="14" t="str">
        <x:v>NUM_LOW</x:v>
      </x:c>
      <x:c r="J404" s="51"/>
      <x:c r="K404" s="51"/>
      <x:c r="L404" s="51"/>
      <x:c r="M404" s="54"/>
      <x:c r="N404" s="58" t="str">
        <x:f>IF($J404="","",IF($J404&lt;=100,3,IF($J404&lt;=250,0,IF($J404&lt;=1E+99,-2,IF($J404&lt;=1E+99,-2,-2)))))</x:f>
      </x:c>
      <x:c r="O404" s="58" t="str">
        <x:f>IF($J404="","",IF(OR('02_Benchmarks'!$P404&lt;&gt;"Aktiv",COUNT('02_Benchmarks'!$J404:$M404)&lt;4),"",IF($G404="lower_is_better",IF($J404&lt;='02_Benchmarks'!$J404,3,IF($J404&lt;'02_Benchmarks'!$K404,2,IF($J404&lt;='02_Benchmarks'!$L404,0,IF($J404&lt;='02_Benchmarks'!$M404,-2,-3)))),IF($J404&gt;='02_Benchmarks'!$J404,3,IF($J404&gt;'02_Benchmarks'!$K404,2,IF($J404&gt;='02_Benchmarks'!$L404,0,IF($J404&gt;='02_Benchmarks'!$M404,-2,-3)))))))</x:f>
      </x:c>
      <x:c r="P404" s="58" t="str">
        <x:f>IF(COUNT($N404:$O404)+IF(ISNUMBER($K404),1,0)=0,"",MIN($N404:$O404,$K404))</x:f>
      </x:c>
      <x:c r="Q404" s="58" t="str">
        <x:f>IF($P404="","",INDEX('04_Tarifmodell'!$B$6:$B$12,$P404+4))</x:f>
      </x:c>
      <x:c r="R404" s="64" t="str">
        <x:f>IF($P404="","",INDEX('04_Tarifmodell'!$C$6:$C$12,$P404+4))</x:f>
      </x:c>
      <x:c r="S404" s="14" t="str">
        <x:f>IF(OR($I404="QUALITATIVE",$I404="MANUAL_HYBRID"),IF($K404="","Assurance-Score fehlt","Assurance-bewertet"),IF($I404="BENCHMARK",IF($W404&lt;&gt;"Aktiv",IF($K404="","Benchmark fehlt","Assurance-bewertet"),IF($J404="","Messwert fehlt",IF($P404="","Nicht bewertbar","Berechnet"))),IF(AND($J404="",$K404&lt;&gt;""),"Nur Assurance-Score",IF($J404="","Messwert fehlt",IF($P404="","Nicht bewertbar",IF($P404&lt;=-2,"Kritische Wirkung / Prüfung","Berechnet"))))))</x:f>
        <x:v>Messwert fehlt</x:v>
      </x:c>
      <x:c r="T404" s="14" t="str">
        <x:v>Automatik bildet nur die explizit vorhandenen Klassen ab.</x:v>
      </x:c>
      <x:c r="U404" s="14" t="str">
        <x:v>≤100:+3; 101–250:0; &gt;250:‑2</x:v>
      </x:c>
      <x:c r="V404" s="14" t="str">
        <x:v>ESRS E1, GHG Protocol (Corporate/Scope 1–3), ISO 14064/14067</x:v>
      </x:c>
      <x:c r="W404" s="14" t="str">
        <x:f>'02_Benchmarks'!$P404</x:f>
        <x:v>Optional – kein aktiver Benchmark</x:v>
      </x:c>
      <x:c r="X404" s="14" t="str">
        <x:v>Messgrundlage belegt; Schwellenkalibrierung offen</x:v>
      </x:c>
      <x:c r="Y404" s="14" t="str">
        <x:v>Mittel</x:v>
      </x:c>
      <x:c r="Z404" s="14" t="str">
        <x:v>Klassen +2 und −3 fehlen</x:v>
      </x:c>
      <x:c r="AA404" s="14" t="str">
        <x:v>Technologie-/Aktivitätsklasse; Anlagen-, Netz- oder Flottengrenze ausweisen</x:v>
      </x:c>
      <x:c r="AB404" s="14" t="str">
        <x:v>Primärdaten bevorzugt; Sekundärdaten nur transparent und versioniert; Methode und Systemgrenze dokumentieren</x:v>
      </x:c>
      <x:c r="AC404" s="14" t="str">
        <x:v>Limited Assurance; risikobasiert höhere Prüftiefe</x:v>
      </x:c>
    </x:row>
    <x:row r="405" ht="42" customHeight="1">
      <x:c r="A405" s="14" t="str">
        <x:v>WOK-POL-114</x:v>
      </x:c>
      <x:c r="B405" s="14" t="str">
        <x:v>SDG 15 – An Land</x:v>
      </x:c>
      <x:c r="C405" s="14" t="str">
        <x:v>15.5</x:v>
      </x:c>
      <x:c r="D405" s="14" t="str">
        <x:v>DNSH Biodiversität</x:v>
      </x:c>
      <x:c r="E405" s="14" t="str">
        <x:v>DNSH Biodiversität – DNSH‑Konformität</x:v>
      </x:c>
      <x:c r="F405" s="14" t="str">
        <x:v>% Aktivitäten</x:v>
      </x:c>
      <x:c r="G405" s="14" t="str">
        <x:v>higher_is_better</x:v>
      </x:c>
      <x:c r="H405" s="14" t="str">
        <x:v>R25</x:v>
      </x:c>
      <x:c r="I405" s="14" t="str">
        <x:v>NUM_HIGH</x:v>
      </x:c>
      <x:c r="J405" s="51"/>
      <x:c r="K405" s="51"/>
      <x:c r="L405" s="51"/>
      <x:c r="M405" s="54"/>
      <x:c r="N405" s="58" t="str">
        <x:f>IF($J405="","",IF($J405&lt;30,-3,IF($J405&lt;50,-2,IF($J405&lt;70,0,IF($J405&lt;90,2,3)))))</x:f>
      </x:c>
      <x:c r="O405" s="58" t="str">
        <x:f>IF($J405="","",IF(OR('02_Benchmarks'!$P405&lt;&gt;"Aktiv",COUNT('02_Benchmarks'!$J405:$M405)&lt;4),"",IF($G405="lower_is_better",IF($J405&lt;='02_Benchmarks'!$J405,3,IF($J405&lt;'02_Benchmarks'!$K405,2,IF($J405&lt;='02_Benchmarks'!$L405,0,IF($J405&lt;='02_Benchmarks'!$M405,-2,-3)))),IF($J405&gt;='02_Benchmarks'!$J405,3,IF($J405&gt;'02_Benchmarks'!$K405,2,IF($J405&gt;='02_Benchmarks'!$L405,0,IF($J405&gt;='02_Benchmarks'!$M405,-2,-3)))))))</x:f>
      </x:c>
      <x:c r="P405" s="58" t="str">
        <x:f>IF(COUNT($N405:$O405)+IF(ISNUMBER($K405),1,0)=0,"",MIN($N405:$O405,$K405))</x:f>
      </x:c>
      <x:c r="Q405" s="58" t="str">
        <x:f>IF($P405="","",INDEX('04_Tarifmodell'!$B$6:$B$12,$P405+4))</x:f>
      </x:c>
      <x:c r="R405" s="64" t="str">
        <x:f>IF($P405="","",INDEX('04_Tarifmodell'!$C$6:$C$12,$P405+4))</x:f>
      </x:c>
      <x:c r="S405" s="14" t="str">
        <x:f>IF(OR($I405="QUALITATIVE",$I405="MANUAL_HYBRID"),IF($K405="","Assurance-Score fehlt","Assurance-bewertet"),IF($I405="BENCHMARK",IF($W405&lt;&gt;"Aktiv",IF($K405="","Benchmark fehlt","Assurance-bewertet"),IF($J405="","Messwert fehlt",IF($P405="","Nicht bewertbar","Berechnet"))),IF(AND($J405="",$K405&lt;&gt;""),"Nur Assurance-Score",IF($J405="","Messwert fehlt",IF($P405="","Nicht bewertbar",IF($P405&lt;=-2,"Kritische Wirkung / Prüfung","Berechnet"))))))</x:f>
        <x:v>Messwert fehlt</x:v>
      </x:c>
      <x:c r="T405" s="14" t="str">
        <x:v>Vollständige fünfstufige Prozentregel.</x:v>
      </x:c>
      <x:c r="U405" s="14" t="str">
        <x:v>≥90%:+3; 70–89%:+2; 50–69%:0; 30–49%:‑2; &lt;30%:‑3</x:v>
      </x:c>
      <x:c r="V405" s="14" t="str">
        <x:v>ESRS E4, CBD/GBF, EN 15978 (Bau)</x:v>
      </x:c>
      <x:c r="W405" s="14" t="str">
        <x:f>'02_Benchmarks'!$P405</x:f>
        <x:v>Optional – kein aktiver Benchmark</x:v>
      </x:c>
      <x:c r="X405" s="14" t="str">
        <x:v>Messgrundlage belegt; Schwellenkalibrierung offen</x:v>
      </x:c>
      <x:c r="Y405" s="14" t="str">
        <x:v>Mittel</x:v>
      </x:c>
      <x:c r="Z405" s="14" t="str">
        <x:v>Arbeitskalibrierung – fachlich zu validieren</x:v>
      </x:c>
      <x:c r="AA405" s="14" t="str">
        <x:v>Technologie-/Aktivitätsklasse; Anlagen-, Netz- oder Flottengrenze ausweisen</x:v>
      </x:c>
      <x:c r="AB405" s="14" t="str">
        <x:v>Primärdaten bevorzugt; Sekundärdaten nur transparent und versioniert; Methode und Systemgrenze dokumentieren</x:v>
      </x:c>
      <x:c r="AC405" s="14" t="str">
        <x:v>Limited Assurance; risikobasiert höhere Prüftiefe</x:v>
      </x:c>
    </x:row>
    <x:row r="406" ht="42" customHeight="1">
      <x:c r="A406" s="14" t="str">
        <x:v>WOK-POL-115</x:v>
      </x:c>
      <x:c r="B406" s="14" t="str">
        <x:v>SDG 15 – An Land</x:v>
      </x:c>
      <x:c r="C406" s="14" t="str">
        <x:v>15.5</x:v>
      </x:c>
      <x:c r="D406" s="14" t="str">
        <x:v>DNSH Biodiversität</x:v>
      </x:c>
      <x:c r="E406" s="14" t="str">
        <x:v>DNSH Biodiversität – TSC‑Schwellen</x:v>
      </x:c>
      <x:c r="F406" s="14" t="str">
        <x:v>% Aktivitäten</x:v>
      </x:c>
      <x:c r="G406" s="14" t="str">
        <x:v>higher_is_better</x:v>
      </x:c>
      <x:c r="H406" s="14" t="str">
        <x:v>R25</x:v>
      </x:c>
      <x:c r="I406" s="14" t="str">
        <x:v>NUM_HIGH</x:v>
      </x:c>
      <x:c r="J406" s="51"/>
      <x:c r="K406" s="51"/>
      <x:c r="L406" s="51"/>
      <x:c r="M406" s="54"/>
      <x:c r="N406" s="58" t="str">
        <x:f>IF($J406="","",IF($J406&lt;30,-3,IF($J406&lt;50,-2,IF($J406&lt;70,0,IF($J406&lt;90,2,3)))))</x:f>
      </x:c>
      <x:c r="O406" s="58" t="str">
        <x:f>IF($J406="","",IF(OR('02_Benchmarks'!$P406&lt;&gt;"Aktiv",COUNT('02_Benchmarks'!$J406:$M406)&lt;4),"",IF($G406="lower_is_better",IF($J406&lt;='02_Benchmarks'!$J406,3,IF($J406&lt;'02_Benchmarks'!$K406,2,IF($J406&lt;='02_Benchmarks'!$L406,0,IF($J406&lt;='02_Benchmarks'!$M406,-2,-3)))),IF($J406&gt;='02_Benchmarks'!$J406,3,IF($J406&gt;'02_Benchmarks'!$K406,2,IF($J406&gt;='02_Benchmarks'!$L406,0,IF($J406&gt;='02_Benchmarks'!$M406,-2,-3)))))))</x:f>
      </x:c>
      <x:c r="P406" s="58" t="str">
        <x:f>IF(COUNT($N406:$O406)+IF(ISNUMBER($K406),1,0)=0,"",MIN($N406:$O406,$K406))</x:f>
      </x:c>
      <x:c r="Q406" s="58" t="str">
        <x:f>IF($P406="","",INDEX('04_Tarifmodell'!$B$6:$B$12,$P406+4))</x:f>
      </x:c>
      <x:c r="R406" s="64" t="str">
        <x:f>IF($P406="","",INDEX('04_Tarifmodell'!$C$6:$C$12,$P406+4))</x:f>
      </x:c>
      <x:c r="S406" s="14" t="str">
        <x:f>IF(OR($I406="QUALITATIVE",$I406="MANUAL_HYBRID"),IF($K406="","Assurance-Score fehlt","Assurance-bewertet"),IF($I406="BENCHMARK",IF($W406&lt;&gt;"Aktiv",IF($K406="","Benchmark fehlt","Assurance-bewertet"),IF($J406="","Messwert fehlt",IF($P406="","Nicht bewertbar","Berechnet"))),IF(AND($J406="",$K406&lt;&gt;""),"Nur Assurance-Score",IF($J406="","Messwert fehlt",IF($P406="","Nicht bewertbar",IF($P406&lt;=-2,"Kritische Wirkung / Prüfung","Berechnet"))))))</x:f>
        <x:v>Messwert fehlt</x:v>
      </x:c>
      <x:c r="T406" s="14" t="str">
        <x:v>Vollständige fünfstufige Prozentregel.</x:v>
      </x:c>
      <x:c r="U406" s="14" t="str">
        <x:v>≥90%:+3; 70–89%:+2; 50–69%:0; 30–49%:‑2; &lt;30%:‑3</x:v>
      </x:c>
      <x:c r="V406" s="14" t="str">
        <x:v>ESRS E4, CBD/GBF, EN 15978 (Bau)</x:v>
      </x:c>
      <x:c r="W406" s="14" t="str">
        <x:f>'02_Benchmarks'!$P406</x:f>
        <x:v>Optional – kein aktiver Benchmark</x:v>
      </x:c>
      <x:c r="X406" s="14" t="str">
        <x:v>Messgrundlage belegt; Schwellenkalibrierung offen</x:v>
      </x:c>
      <x:c r="Y406" s="14" t="str">
        <x:v>Mittel</x:v>
      </x:c>
      <x:c r="Z406" s="14" t="str">
        <x:v>Arbeitskalibrierung – fachlich zu validieren</x:v>
      </x:c>
      <x:c r="AA406" s="14" t="str">
        <x:v>Technologie-/Aktivitätsklasse; Anlagen-, Netz- oder Flottengrenze ausweisen</x:v>
      </x:c>
      <x:c r="AB406" s="14" t="str">
        <x:v>Primärdaten bevorzugt; Sekundärdaten nur transparent und versioniert; Methode und Systemgrenze dokumentieren</x:v>
      </x:c>
      <x:c r="AC406" s="14" t="str">
        <x:v>Limited Assurance; risikobasiert höhere Prüftiefe</x:v>
      </x:c>
    </x:row>
    <x:row r="407" ht="42" customHeight="1">
      <x:c r="A407" s="14" t="str">
        <x:v>WOK-E-218</x:v>
      </x:c>
      <x:c r="B407" s="14" t="str">
        <x:v>SDG 15 – An Land</x:v>
      </x:c>
      <x:c r="C407" s="14" t="str">
        <x:v>15.2</x:v>
      </x:c>
      <x:c r="D407" s="14" t="str">
        <x:v>Wiederaufforstung/Restoration</x:v>
      </x:c>
      <x:c r="E407" s="14" t="str">
        <x:v>Wiederaufforstung/Restoration – Nettoeffekt</x:v>
      </x:c>
      <x:c r="F407" s="14" t="str">
        <x:v>Qualitativ → Klasse</x:v>
      </x:c>
      <x:c r="G407" s="14" t="str">
        <x:v>higher_is_better</x:v>
      </x:c>
      <x:c r="H407" s="14" t="str">
        <x:v>R03</x:v>
      </x:c>
      <x:c r="I407" s="14" t="str">
        <x:v>QUALITATIVE</x:v>
      </x:c>
      <x:c r="J407" s="51"/>
      <x:c r="K407" s="51"/>
      <x:c r="L407" s="51"/>
      <x:c r="M407" s="54"/>
      <x:c r="N407" s="58" t="str">
        <x:f>""</x:f>
      </x:c>
      <x:c r="O407" s="58" t="str">
        <x:f>IF($J407="","",IF(OR('02_Benchmarks'!$P407&lt;&gt;"Aktiv",COUNT('02_Benchmarks'!$J407:$M407)&lt;4),"",IF($G407="lower_is_better",IF($J407&lt;='02_Benchmarks'!$J407,3,IF($J407&lt;'02_Benchmarks'!$K407,2,IF($J407&lt;='02_Benchmarks'!$L407,0,IF($J407&lt;='02_Benchmarks'!$M407,-2,-3)))),IF($J407&gt;='02_Benchmarks'!$J407,3,IF($J407&gt;'02_Benchmarks'!$K407,2,IF($J407&gt;='02_Benchmarks'!$L407,0,IF($J407&gt;='02_Benchmarks'!$M407,-2,-3)))))))</x:f>
      </x:c>
      <x:c r="P407" s="58" t="str">
        <x:f>IF(COUNT($N407:$O407)+IF(ISNUMBER($K407),1,0)=0,"",MIN($N407:$O407,$K407))</x:f>
      </x:c>
      <x:c r="Q407" s="58" t="str">
        <x:f>IF($P407="","",INDEX('04_Tarifmodell'!$B$6:$B$12,$P407+4))</x:f>
      </x:c>
      <x:c r="R407" s="64" t="str">
        <x:f>IF($P407="","",INDEX('04_Tarifmodell'!$C$6:$C$12,$P407+4))</x:f>
      </x:c>
      <x:c r="S407" s="14" t="str">
        <x:f>IF(OR($I407="QUALITATIVE",$I407="MANUAL_HYBRID"),IF($K407="","Assurance-Score fehlt","Assurance-bewertet"),IF($I407="BENCHMARK",IF($W407&lt;&gt;"Aktiv",IF($K407="","Benchmark fehlt","Assurance-bewertet"),IF($J407="","Messwert fehlt",IF($P407="","Nicht bewertbar","Berechnet"))),IF(AND($J407="",$K407&lt;&gt;""),"Nur Assurance-Score",IF($J407="","Messwert fehlt",IF($P407="","Nicht bewertbar",IF($P407&lt;=-2,"Kritische Wirkung / Prüfung","Berechnet"))))))</x:f>
        <x:v>Assurance-Score fehlt</x:v>
      </x:c>
      <x:c r="T407" s="14" t="str">
        <x:v>Net Gain/No Net Loss/Net Loss ist ohne feldspezifischen Nachweis nicht automatisierbar.</x:v>
      </x:c>
      <x:c r="U407" s="14" t="str">
        <x:v>Net Gain:+3; No Net Loss:0; Net Loss:‑2/‑3</x:v>
      </x:c>
      <x:c r="V407" s="14" t="str">
        <x:v>ESRS E4, CBD/GBF, EN 15978 (Bau)</x:v>
      </x:c>
      <x:c r="W407" s="14" t="str">
        <x:f>'02_Benchmarks'!$P407</x:f>
        <x:v>Optional – kein aktiver Benchmark</x:v>
      </x:c>
      <x:c r="X407" s="14" t="str">
        <x:v>Messgrundlage belegt; Schwellenkalibrierung offen</x:v>
      </x:c>
      <x:c r="Y407" s="14" t="str">
        <x:v>Hoch</x:v>
      </x:c>
      <x:c r="Z407" s="14" t="str">
        <x:v>Assurance und Kriterienkatalog erforderlich</x:v>
      </x:c>
      <x:c r="AA407" s="14" t="str">
        <x:v>Standort/Prozess/Aktivität; Bezugsgröße und relevante Umweltmedien</x:v>
      </x:c>
      <x:c r="AB407" s="14" t="str">
        <x:v>Dokumentierter Kriterienkatalog; nachvollziehbare Evidenz; DQR A/B bevorzugt</x:v>
      </x:c>
      <x:c r="AC407" s="14" t="str">
        <x:v>Unabhängige Fachprüfung/Limited Assurance; bei roten Linien Reasonable Assurance</x:v>
      </x:c>
    </x:row>
    <x:row r="408" ht="42" customHeight="1">
      <x:c r="A408" s="14" t="str">
        <x:v>WOK-E-219</x:v>
      </x:c>
      <x:c r="B408" s="14" t="str">
        <x:v>SDG 15 – An Land</x:v>
      </x:c>
      <x:c r="C408" s="14" t="str">
        <x:v>15.2</x:v>
      </x:c>
      <x:c r="D408" s="14" t="str">
        <x:v>Wiederaufforstung/Restoration</x:v>
      </x:c>
      <x:c r="E408" s="14" t="str">
        <x:v>Wiederaufforstung/Restoration – Landumwandlung</x:v>
      </x:c>
      <x:c r="F408" s="14" t="str">
        <x:v>ha/Jahr</x:v>
      </x:c>
      <x:c r="G408" s="14" t="str">
        <x:v>lower_is_better</x:v>
      </x:c>
      <x:c r="H408" s="14" t="str">
        <x:v>R02</x:v>
      </x:c>
      <x:c r="I408" s="14" t="str">
        <x:v>NUM_LOW</x:v>
      </x:c>
      <x:c r="J408" s="51"/>
      <x:c r="K408" s="51"/>
      <x:c r="L408" s="51"/>
      <x:c r="M408" s="54"/>
      <x:c r="N408" s="58" t="str">
        <x:f>IF($J408="","",IF($J408&lt;=0,3,IF($J408&lt;=1,2,IF($J408&lt;=3,0,IF($J408&lt;=5,-2,-3)))))</x:f>
      </x:c>
      <x:c r="O408" s="58" t="str">
        <x:f>IF($J408="","",IF(OR('02_Benchmarks'!$P408&lt;&gt;"Aktiv",COUNT('02_Benchmarks'!$J408:$M408)&lt;4),"",IF($G408="lower_is_better",IF($J408&lt;='02_Benchmarks'!$J408,3,IF($J408&lt;'02_Benchmarks'!$K408,2,IF($J408&lt;='02_Benchmarks'!$L408,0,IF($J408&lt;='02_Benchmarks'!$M408,-2,-3)))),IF($J408&gt;='02_Benchmarks'!$J408,3,IF($J408&gt;'02_Benchmarks'!$K408,2,IF($J408&gt;='02_Benchmarks'!$L408,0,IF($J408&gt;='02_Benchmarks'!$M408,-2,-3)))))))</x:f>
      </x:c>
      <x:c r="P408" s="58" t="str">
        <x:f>IF(COUNT($N408:$O408)+IF(ISNUMBER($K408),1,0)=0,"",MIN($N408:$O408,$K408))</x:f>
      </x:c>
      <x:c r="Q408" s="58" t="str">
        <x:f>IF($P408="","",INDEX('04_Tarifmodell'!$B$6:$B$12,$P408+4))</x:f>
      </x:c>
      <x:c r="R408" s="64" t="str">
        <x:f>IF($P408="","",INDEX('04_Tarifmodell'!$C$6:$C$12,$P408+4))</x:f>
      </x:c>
      <x:c r="S408" s="14" t="str">
        <x:f>IF(OR($I408="QUALITATIVE",$I408="MANUAL_HYBRID"),IF($K408="","Assurance-Score fehlt","Assurance-bewertet"),IF($I408="BENCHMARK",IF($W408&lt;&gt;"Aktiv",IF($K408="","Benchmark fehlt","Assurance-bewertet"),IF($J408="","Messwert fehlt",IF($P408="","Nicht bewertbar","Berechnet"))),IF(AND($J408="",$K408&lt;&gt;""),"Nur Assurance-Score",IF($J408="","Messwert fehlt",IF($P408="","Nicht bewertbar",IF($P408&lt;=-2,"Kritische Wirkung / Prüfung","Berechnet"))))))</x:f>
        <x:v>Messwert fehlt</x:v>
      </x:c>
      <x:c r="T408" s="14" t="str">
        <x:v>Vollständige fünfstufige numerische Regel.</x:v>
      </x:c>
      <x:c r="U408" s="14" t="str">
        <x:v>0:+3; ≤1:+2; ≤3:0; ≤5:‑2; &gt;5:‑3</x:v>
      </x:c>
      <x:c r="V408" s="14" t="str">
        <x:v>ESRS E4, CBD/GBF, EN 15978 (Bau)</x:v>
      </x:c>
      <x:c r="W408" s="14" t="str">
        <x:f>'02_Benchmarks'!$P408</x:f>
        <x:v>Optional – kein aktiver Benchmark</x:v>
      </x:c>
      <x:c r="X408" s="14" t="str">
        <x:v>Messgrundlage belegt; Schwellenkalibrierung offen</x:v>
      </x:c>
      <x:c r="Y408" s="14" t="str">
        <x:v>Mittel</x:v>
      </x:c>
      <x:c r="Z408" s="14" t="str">
        <x:v>Arbeitskalibrierung – fachlich zu validieren</x:v>
      </x:c>
      <x:c r="AA408" s="14" t="str">
        <x:v>Standort/Prozess/Aktivität; Bezugsgröße und relevante Umweltmedien</x:v>
      </x:c>
      <x:c r="AB408" s="14" t="str">
        <x:v>Primärdaten bevorzugt; Sekundärdaten nur transparent und versioniert; Methode und Systemgrenze dokumentieren</x:v>
      </x:c>
      <x:c r="AC408" s="14" t="str">
        <x:v>Limited Assurance; risikobasiert höhere Prüftiefe</x:v>
      </x:c>
    </x:row>
    <x:row r="409" ht="42" customHeight="1">
      <x:c r="A409" s="14" t="str">
        <x:v>WOK-E-220</x:v>
      </x:c>
      <x:c r="B409" s="14" t="str">
        <x:v>SDG 15 – An Land</x:v>
      </x:c>
      <x:c r="C409" s="14" t="str">
        <x:v>15.2</x:v>
      </x:c>
      <x:c r="D409" s="14" t="str">
        <x:v>Wiederaufforstung/Restoration</x:v>
      </x:c>
      <x:c r="E409" s="14" t="str">
        <x:v>Wiederaufforstung/Restoration – Deforestationsfrei</x:v>
      </x:c>
      <x:c r="F409" s="14" t="str">
        <x:v>%</x:v>
      </x:c>
      <x:c r="G409" s="14" t="str">
        <x:v>higher_is_better</x:v>
      </x:c>
      <x:c r="H409" s="14" t="str">
        <x:v>R28</x:v>
      </x:c>
      <x:c r="I409" s="14" t="str">
        <x:v>NUM_HIGH</x:v>
      </x:c>
      <x:c r="J409" s="51"/>
      <x:c r="K409" s="51"/>
      <x:c r="L409" s="51"/>
      <x:c r="M409" s="54"/>
      <x:c r="N409" s="58" t="str">
        <x:f>IF($J409="","",IF($J409&lt;50,-3,IF($J409&lt;75,-2,IF($J409&lt;90,0,IF($J409&lt;98,2,3)))))</x:f>
      </x:c>
      <x:c r="O409" s="58" t="str">
        <x:f>IF($J409="","",IF(OR('02_Benchmarks'!$P409&lt;&gt;"Aktiv",COUNT('02_Benchmarks'!$J409:$M409)&lt;4),"",IF($G409="lower_is_better",IF($J409&lt;='02_Benchmarks'!$J409,3,IF($J409&lt;'02_Benchmarks'!$K409,2,IF($J409&lt;='02_Benchmarks'!$L409,0,IF($J409&lt;='02_Benchmarks'!$M409,-2,-3)))),IF($J409&gt;='02_Benchmarks'!$J409,3,IF($J409&gt;'02_Benchmarks'!$K409,2,IF($J409&gt;='02_Benchmarks'!$L409,0,IF($J409&gt;='02_Benchmarks'!$M409,-2,-3)))))))</x:f>
      </x:c>
      <x:c r="P409" s="58" t="str">
        <x:f>IF(COUNT($N409:$O409)+IF(ISNUMBER($K409),1,0)=0,"",MIN($N409:$O409,$K409))</x:f>
      </x:c>
      <x:c r="Q409" s="58" t="str">
        <x:f>IF($P409="","",INDEX('04_Tarifmodell'!$B$6:$B$12,$P409+4))</x:f>
      </x:c>
      <x:c r="R409" s="64" t="str">
        <x:f>IF($P409="","",INDEX('04_Tarifmodell'!$C$6:$C$12,$P409+4))</x:f>
      </x:c>
      <x:c r="S409" s="14" t="str">
        <x:f>IF(OR($I409="QUALITATIVE",$I409="MANUAL_HYBRID"),IF($K409="","Assurance-Score fehlt","Assurance-bewertet"),IF($I409="BENCHMARK",IF($W409&lt;&gt;"Aktiv",IF($K409="","Benchmark fehlt","Assurance-bewertet"),IF($J409="","Messwert fehlt",IF($P409="","Nicht bewertbar","Berechnet"))),IF(AND($J409="",$K409&lt;&gt;""),"Nur Assurance-Score",IF($J409="","Messwert fehlt",IF($P409="","Nicht bewertbar",IF($P409&lt;=-2,"Kritische Wirkung / Prüfung","Berechnet"))))))</x:f>
        <x:v>Messwert fehlt</x:v>
      </x:c>
      <x:c r="T409" s="14" t="str">
        <x:v>Vollständige fünfstufige numerische Regel.</x:v>
      </x:c>
      <x:c r="U409" s="14" t="str">
        <x:v>≥98:+3; 90–97:+2; 75–89:0; 50–74:‑2; &lt;50:‑3</x:v>
      </x:c>
      <x:c r="V409" s="14" t="str">
        <x:v>ESRS E4, CBD/GBF, EN 15978 (Bau)</x:v>
      </x:c>
      <x:c r="W409" s="14" t="str">
        <x:f>'02_Benchmarks'!$P409</x:f>
        <x:v>Optional – kein aktiver Benchmark</x:v>
      </x:c>
      <x:c r="X409" s="14" t="str">
        <x:v>Messgrundlage belegt; Schwellenkalibrierung offen</x:v>
      </x:c>
      <x:c r="Y409" s="14" t="str">
        <x:v>Mittel</x:v>
      </x:c>
      <x:c r="Z409" s="14" t="str">
        <x:v>Arbeitskalibrierung – fachlich zu validieren</x:v>
      </x:c>
      <x:c r="AA409" s="14" t="str">
        <x:v>Standort/Prozess/Aktivität; Bezugsgröße und relevante Umweltmedien</x:v>
      </x:c>
      <x:c r="AB409" s="14" t="str">
        <x:v>Primärdaten bevorzugt; Sekundärdaten nur transparent und versioniert; Methode und Systemgrenze dokumentieren</x:v>
      </x:c>
      <x:c r="AC409" s="14" t="str">
        <x:v>Limited Assurance; risikobasiert höhere Prüftiefe</x:v>
      </x:c>
    </x:row>
    <x:row r="410" ht="42" customHeight="1">
      <x:c r="A410" s="14" t="str">
        <x:v>WOK-G-173</x:v>
      </x:c>
      <x:c r="B410" s="14" t="str">
        <x:v>SDG 16 – Institutionen</x:v>
      </x:c>
      <x:c r="C410" s="14" t="str">
        <x:v>16.5</x:v>
      </x:c>
      <x:c r="D410" s="14" t="str">
        <x:v>Antikorruption</x:v>
      </x:c>
      <x:c r="E410" s="14" t="str">
        <x:v>Antikorruption – Antikorruption</x:v>
      </x:c>
      <x:c r="F410" s="14" t="str">
        <x:v>Fälle/1.000 FTE</x:v>
      </x:c>
      <x:c r="G410" s="14" t="str">
        <x:v>lower_is_better</x:v>
      </x:c>
      <x:c r="H410" s="14" t="str">
        <x:v>R01</x:v>
      </x:c>
      <x:c r="I410" s="14" t="str">
        <x:v>NUM_LOW</x:v>
      </x:c>
      <x:c r="J410" s="51"/>
      <x:c r="K410" s="51"/>
      <x:c r="L410" s="51"/>
      <x:c r="M410" s="54"/>
      <x:c r="N410" s="58" t="str">
        <x:f>IF($J410="","",IF($J410&lt;=0,3,IF($J410&lt;=0.2,2,IF($J410&lt;=0.5,0,IF($J410&lt;=1,-2,-3)))))</x:f>
      </x:c>
      <x:c r="O410" s="58" t="str">
        <x:f>IF($J410="","",IF(OR('02_Benchmarks'!$P410&lt;&gt;"Aktiv",COUNT('02_Benchmarks'!$J410:$M410)&lt;4),"",IF($G410="lower_is_better",IF($J410&lt;='02_Benchmarks'!$J410,3,IF($J410&lt;'02_Benchmarks'!$K410,2,IF($J410&lt;='02_Benchmarks'!$L410,0,IF($J410&lt;='02_Benchmarks'!$M410,-2,-3)))),IF($J410&gt;='02_Benchmarks'!$J410,3,IF($J410&gt;'02_Benchmarks'!$K410,2,IF($J410&gt;='02_Benchmarks'!$L410,0,IF($J410&gt;='02_Benchmarks'!$M410,-2,-3)))))))</x:f>
      </x:c>
      <x:c r="P410" s="58" t="str">
        <x:f>IF(COUNT($N410:$O410)+IF(ISNUMBER($K410),1,0)=0,"",MIN($N410:$O410,$K410))</x:f>
      </x:c>
      <x:c r="Q410" s="58" t="str">
        <x:f>IF($P410="","",INDEX('04_Tarifmodell'!$B$6:$B$12,$P410+4))</x:f>
      </x:c>
      <x:c r="R410" s="64" t="str">
        <x:f>IF($P410="","",INDEX('04_Tarifmodell'!$C$6:$C$12,$P410+4))</x:f>
      </x:c>
      <x:c r="S410" s="14" t="str">
        <x:f>IF(OR($I410="QUALITATIVE",$I410="MANUAL_HYBRID"),IF($K410="","Assurance-Score fehlt","Assurance-bewertet"),IF($I410="BENCHMARK",IF($W410&lt;&gt;"Aktiv",IF($K410="","Benchmark fehlt","Assurance-bewertet"),IF($J410="","Messwert fehlt",IF($P410="","Nicht bewertbar","Berechnet"))),IF(AND($J410="",$K410&lt;&gt;""),"Nur Assurance-Score",IF($J410="","Messwert fehlt",IF($P410="","Nicht bewertbar",IF($P410&lt;=-2,"Kritische Wirkung / Prüfung","Berechnet"))))))</x:f>
        <x:v>Messwert fehlt</x:v>
      </x:c>
      <x:c r="T410" s="14" t="str">
        <x:v>Vollständige fünfstufige numerische Regel.</x:v>
      </x:c>
      <x:c r="U410" s="14" t="str">
        <x:v>0:+3; ≤0,2:+2; ≤0,5:0; ≤1:‑2; &gt;1:‑3</x:v>
      </x:c>
      <x:c r="V410" s="14" t="str">
        <x:v>ESRS G1, GRI 205/207, OECD Anti‑Bribery</x:v>
      </x:c>
      <x:c r="W410" s="14" t="str">
        <x:f>'02_Benchmarks'!$P410</x:f>
        <x:v>Optional – kein aktiver Benchmark</x:v>
      </x:c>
      <x:c r="X410" s="14" t="str">
        <x:v>Messgrundlage belegt; Schwellenkalibrierung offen</x:v>
      </x:c>
      <x:c r="Y410" s="14" t="str">
        <x:v>Mittel</x:v>
      </x:c>
      <x:c r="Z410" s="14" t="str">
        <x:v>Arbeitskalibrierung – fachlich zu validieren</x:v>
      </x:c>
      <x:c r="AA410" s="14" t="str">
        <x:v>Organisation/Governance; konsolidierter Kreis und relevante Rechtseinheiten</x:v>
      </x:c>
      <x:c r="AB410" s="14" t="str">
        <x:v>Primärdaten bevorzugt; Sekundärdaten nur transparent und versioniert; Methode und Systemgrenze dokumentieren</x:v>
      </x:c>
      <x:c r="AC410" s="14" t="str">
        <x:v>Limited Assurance; risikobasiert höhere Prüftiefe</x:v>
      </x:c>
    </x:row>
    <x:row r="411" ht="42" customHeight="1">
      <x:c r="A411" s="14" t="str">
        <x:v>WOK-G-174</x:v>
      </x:c>
      <x:c r="B411" s="14" t="str">
        <x:v>SDG 16 – Institutionen</x:v>
      </x:c>
      <x:c r="C411" s="14" t="str">
        <x:v>16.5</x:v>
      </x:c>
      <x:c r="D411" s="14" t="str">
        <x:v>Antikorruption</x:v>
      </x:c>
      <x:c r="E411" s="14" t="str">
        <x:v>Antikorruption – Whistleblowing</x:v>
      </x:c>
      <x:c r="F411" s="14" t="str">
        <x:v>0–1</x:v>
      </x:c>
      <x:c r="G411" s="14" t="str">
        <x:v>higher_is_better</x:v>
      </x:c>
      <x:c r="H411" s="14" t="str">
        <x:v>R16</x:v>
      </x:c>
      <x:c r="I411" s="14" t="str">
        <x:v>NUM_HIGH</x:v>
      </x:c>
      <x:c r="J411" s="51"/>
      <x:c r="K411" s="51"/>
      <x:c r="L411" s="51"/>
      <x:c r="M411" s="54"/>
      <x:c r="N411" s="58" t="str">
        <x:f>IF($J411="","",IF($J411&lt;0.4,-3,IF($J411&lt;0.6,-2,IF($J411&lt;0.75,0,IF($J411&lt;0.9,2,3)))))</x:f>
      </x:c>
      <x:c r="O411" s="58" t="str">
        <x:f>IF($J411="","",IF(OR('02_Benchmarks'!$P411&lt;&gt;"Aktiv",COUNT('02_Benchmarks'!$J411:$M411)&lt;4),"",IF($G411="lower_is_better",IF($J411&lt;='02_Benchmarks'!$J411,3,IF($J411&lt;'02_Benchmarks'!$K411,2,IF($J411&lt;='02_Benchmarks'!$L411,0,IF($J411&lt;='02_Benchmarks'!$M411,-2,-3)))),IF($J411&gt;='02_Benchmarks'!$J411,3,IF($J411&gt;'02_Benchmarks'!$K411,2,IF($J411&gt;='02_Benchmarks'!$L411,0,IF($J411&gt;='02_Benchmarks'!$M411,-2,-3)))))))</x:f>
      </x:c>
      <x:c r="P411" s="58" t="str">
        <x:f>IF(COUNT($N411:$O411)+IF(ISNUMBER($K411),1,0)=0,"",MIN($N411:$O411,$K411))</x:f>
      </x:c>
      <x:c r="Q411" s="58" t="str">
        <x:f>IF($P411="","",INDEX('04_Tarifmodell'!$B$6:$B$12,$P411+4))</x:f>
      </x:c>
      <x:c r="R411" s="64" t="str">
        <x:f>IF($P411="","",INDEX('04_Tarifmodell'!$C$6:$C$12,$P411+4))</x:f>
      </x:c>
      <x:c r="S411" s="14" t="str">
        <x:f>IF(OR($I411="QUALITATIVE",$I411="MANUAL_HYBRID"),IF($K411="","Assurance-Score fehlt","Assurance-bewertet"),IF($I411="BENCHMARK",IF($W411&lt;&gt;"Aktiv",IF($K411="","Benchmark fehlt","Assurance-bewertet"),IF($J411="","Messwert fehlt",IF($P411="","Nicht bewertbar","Berechnet"))),IF(AND($J411="",$K411&lt;&gt;""),"Nur Assurance-Score",IF($J411="","Messwert fehlt",IF($P411="","Nicht bewertbar",IF($P411&lt;=-2,"Kritische Wirkung / Prüfung","Berechnet"))))))</x:f>
        <x:v>Messwert fehlt</x:v>
      </x:c>
      <x:c r="T411" s="14" t="str">
        <x:v>Vollständige fünfstufige numerische Regel.</x:v>
      </x:c>
      <x:c r="U411" s="14" t="str">
        <x:v>≥0,9:+3; 0,75–0,89:+2; 0,6–0,74:0; 0,4–0,59:‑2; &lt;0,4:‑3</x:v>
      </x:c>
      <x:c r="V411" s="14" t="str">
        <x:v>ESRS G1, GRI 205/207, OECD Anti‑Bribery</x:v>
      </x:c>
      <x:c r="W411" s="14" t="str">
        <x:f>'02_Benchmarks'!$P411</x:f>
        <x:v>Optional – kein aktiver Benchmark</x:v>
      </x:c>
      <x:c r="X411" s="14" t="str">
        <x:v>Messgrundlage belegt; Schwellenkalibrierung offen</x:v>
      </x:c>
      <x:c r="Y411" s="14" t="str">
        <x:v>Mittel</x:v>
      </x:c>
      <x:c r="Z411" s="14" t="str">
        <x:v>Arbeitskalibrierung – fachlich zu validieren</x:v>
      </x:c>
      <x:c r="AA411" s="14" t="str">
        <x:v>Organisation/Governance; konsolidierter Kreis und relevante Rechtseinheiten</x:v>
      </x:c>
      <x:c r="AB411" s="14" t="str">
        <x:v>Primärdaten bevorzugt; Sekundärdaten nur transparent und versioniert; Methode und Systemgrenze dokumentieren</x:v>
      </x:c>
      <x:c r="AC411" s="14" t="str">
        <x:v>Limited Assurance; risikobasiert höhere Prüftiefe</x:v>
      </x:c>
    </x:row>
    <x:row r="412" ht="42" customHeight="1">
      <x:c r="A412" s="14" t="str">
        <x:v>WOK-G-175</x:v>
      </x:c>
      <x:c r="B412" s="14" t="str">
        <x:v>SDG 16 – Institutionen</x:v>
      </x:c>
      <x:c r="C412" s="14" t="str">
        <x:v>16.5</x:v>
      </x:c>
      <x:c r="D412" s="14" t="str">
        <x:v>Antikorruption</x:v>
      </x:c>
      <x:c r="E412" s="14" t="str">
        <x:v>Antikorruption – Steuertransparenz</x:v>
      </x:c>
      <x:c r="F412" s="14" t="str">
        <x:v>0–1</x:v>
      </x:c>
      <x:c r="G412" s="14" t="str">
        <x:v>higher_is_better</x:v>
      </x:c>
      <x:c r="H412" s="14" t="str">
        <x:v>R08</x:v>
      </x:c>
      <x:c r="I412" s="14" t="str">
        <x:v>QUALITATIVE</x:v>
      </x:c>
      <x:c r="J412" s="51"/>
      <x:c r="K412" s="51"/>
      <x:c r="L412" s="51"/>
      <x:c r="M412" s="54"/>
      <x:c r="N412" s="58" t="str">
        <x:f>""</x:f>
      </x:c>
      <x:c r="O412" s="58" t="str">
        <x:f>IF($J412="","",IF(OR('02_Benchmarks'!$P412&lt;&gt;"Aktiv",COUNT('02_Benchmarks'!$J412:$M412)&lt;4),"",IF($G412="lower_is_better",IF($J412&lt;='02_Benchmarks'!$J412,3,IF($J412&lt;'02_Benchmarks'!$K412,2,IF($J412&lt;='02_Benchmarks'!$L412,0,IF($J412&lt;='02_Benchmarks'!$M412,-2,-3)))),IF($J412&gt;='02_Benchmarks'!$J412,3,IF($J412&gt;'02_Benchmarks'!$K412,2,IF($J412&gt;='02_Benchmarks'!$L412,0,IF($J412&gt;='02_Benchmarks'!$M412,-2,-3)))))))</x:f>
      </x:c>
      <x:c r="P412" s="58" t="str">
        <x:f>IF(COUNT($N412:$O412)+IF(ISNUMBER($K412),1,0)=0,"",MIN($N412:$O412,$K412))</x:f>
      </x:c>
      <x:c r="Q412" s="58" t="str">
        <x:f>IF($P412="","",INDEX('04_Tarifmodell'!$B$6:$B$12,$P412+4))</x:f>
      </x:c>
      <x:c r="R412" s="64" t="str">
        <x:f>IF($P412="","",INDEX('04_Tarifmodell'!$C$6:$C$12,$P412+4))</x:f>
      </x:c>
      <x:c r="S412" s="14" t="str">
        <x:f>IF(OR($I412="QUALITATIVE",$I412="MANUAL_HYBRID"),IF($K412="","Assurance-Score fehlt","Assurance-bewertet"),IF($I412="BENCHMARK",IF($W412&lt;&gt;"Aktiv",IF($K412="","Benchmark fehlt","Assurance-bewertet"),IF($J412="","Messwert fehlt",IF($P412="","Nicht bewertbar","Berechnet"))),IF(AND($J412="",$K412&lt;&gt;""),"Nur Assurance-Score",IF($J412="","Messwert fehlt",IF($P412="","Nicht bewertbar",IF($P412&lt;=-2,"Kritische Wirkung / Prüfung","Berechnet"))))))</x:f>
        <x:v>Assurance-Score fehlt</x:v>
      </x:c>
      <x:c r="T412" s="14" t="str">
        <x:v>Die Kategorie −3 fehlt; Vollständigkeit und Wirksamkeit sind feldspezifisch zu definieren.</x:v>
      </x:c>
      <x:c r="U412" s="14" t="str">
        <x:v>vollständig:+3; teilweise:+2; minimal:0; schlecht:‑2</x:v>
      </x:c>
      <x:c r="V412" s="14" t="str">
        <x:v>ESRS G1, GRI 205/207, OECD Anti‑Bribery</x:v>
      </x:c>
      <x:c r="W412" s="14" t="str">
        <x:f>'02_Benchmarks'!$P412</x:f>
        <x:v>Optional – kein aktiver Benchmark</x:v>
      </x:c>
      <x:c r="X412" s="14" t="str">
        <x:v>Messgrundlage belegt; Schwellenkalibrierung offen</x:v>
      </x:c>
      <x:c r="Y412" s="14" t="str">
        <x:v>Hoch</x:v>
      </x:c>
      <x:c r="Z412" s="14" t="str">
        <x:v>Assurance und Kriterienkatalog erforderlich</x:v>
      </x:c>
      <x:c r="AA412" s="14" t="str">
        <x:v>Organisation/Governance; konsolidierter Kreis und relevante Rechtseinheiten</x:v>
      </x:c>
      <x:c r="AB412" s="14" t="str">
        <x:v>Dokumentierter Kriterienkatalog; nachvollziehbare Evidenz; DQR A/B bevorzugt</x:v>
      </x:c>
      <x:c r="AC412" s="14" t="str">
        <x:v>Unabhängige Fachprüfung/Limited Assurance; bei roten Linien Reasonable Assurance</x:v>
      </x:c>
    </x:row>
    <x:row r="413" ht="42" customHeight="1">
      <x:c r="A413" s="14" t="str">
        <x:v>WOK-G-176</x:v>
      </x:c>
      <x:c r="B413" s="14" t="str">
        <x:v>SDG 16 – Institutionen</x:v>
      </x:c>
      <x:c r="C413" s="14" t="str">
        <x:v>16.6</x:v>
      </x:c>
      <x:c r="D413" s="14" t="str">
        <x:v>Whistleblowing‑Wirksamkeit</x:v>
      </x:c>
      <x:c r="E413" s="14" t="str">
        <x:v>Whistleblowing‑Wirksamkeit – Antikorruption</x:v>
      </x:c>
      <x:c r="F413" s="14" t="str">
        <x:v>Fälle/1.000 FTE</x:v>
      </x:c>
      <x:c r="G413" s="14" t="str">
        <x:v>lower_is_better</x:v>
      </x:c>
      <x:c r="H413" s="14" t="str">
        <x:v>R01</x:v>
      </x:c>
      <x:c r="I413" s="14" t="str">
        <x:v>NUM_LOW</x:v>
      </x:c>
      <x:c r="J413" s="51"/>
      <x:c r="K413" s="51"/>
      <x:c r="L413" s="51"/>
      <x:c r="M413" s="54"/>
      <x:c r="N413" s="58" t="str">
        <x:f>IF($J413="","",IF($J413&lt;=0,3,IF($J413&lt;=0.2,2,IF($J413&lt;=0.5,0,IF($J413&lt;=1,-2,-3)))))</x:f>
      </x:c>
      <x:c r="O413" s="58" t="str">
        <x:f>IF($J413="","",IF(OR('02_Benchmarks'!$P413&lt;&gt;"Aktiv",COUNT('02_Benchmarks'!$J413:$M413)&lt;4),"",IF($G413="lower_is_better",IF($J413&lt;='02_Benchmarks'!$J413,3,IF($J413&lt;'02_Benchmarks'!$K413,2,IF($J413&lt;='02_Benchmarks'!$L413,0,IF($J413&lt;='02_Benchmarks'!$M413,-2,-3)))),IF($J413&gt;='02_Benchmarks'!$J413,3,IF($J413&gt;'02_Benchmarks'!$K413,2,IF($J413&gt;='02_Benchmarks'!$L413,0,IF($J413&gt;='02_Benchmarks'!$M413,-2,-3)))))))</x:f>
      </x:c>
      <x:c r="P413" s="58" t="str">
        <x:f>IF(COUNT($N413:$O413)+IF(ISNUMBER($K413),1,0)=0,"",MIN($N413:$O413,$K413))</x:f>
      </x:c>
      <x:c r="Q413" s="58" t="str">
        <x:f>IF($P413="","",INDEX('04_Tarifmodell'!$B$6:$B$12,$P413+4))</x:f>
      </x:c>
      <x:c r="R413" s="64" t="str">
        <x:f>IF($P413="","",INDEX('04_Tarifmodell'!$C$6:$C$12,$P413+4))</x:f>
      </x:c>
      <x:c r="S413" s="14" t="str">
        <x:f>IF(OR($I413="QUALITATIVE",$I413="MANUAL_HYBRID"),IF($K413="","Assurance-Score fehlt","Assurance-bewertet"),IF($I413="BENCHMARK",IF($W413&lt;&gt;"Aktiv",IF($K413="","Benchmark fehlt","Assurance-bewertet"),IF($J413="","Messwert fehlt",IF($P413="","Nicht bewertbar","Berechnet"))),IF(AND($J413="",$K413&lt;&gt;""),"Nur Assurance-Score",IF($J413="","Messwert fehlt",IF($P413="","Nicht bewertbar",IF($P413&lt;=-2,"Kritische Wirkung / Prüfung","Berechnet"))))))</x:f>
        <x:v>Messwert fehlt</x:v>
      </x:c>
      <x:c r="T413" s="14" t="str">
        <x:v>Vollständige fünfstufige numerische Regel.</x:v>
      </x:c>
      <x:c r="U413" s="14" t="str">
        <x:v>0:+3; ≤0,2:+2; ≤0,5:0; ≤1:‑2; &gt;1:‑3</x:v>
      </x:c>
      <x:c r="V413" s="14" t="str">
        <x:v>ESRS G1, GRI 205/207, OECD Anti‑Bribery</x:v>
      </x:c>
      <x:c r="W413" s="14" t="str">
        <x:f>'02_Benchmarks'!$P413</x:f>
        <x:v>Optional – kein aktiver Benchmark</x:v>
      </x:c>
      <x:c r="X413" s="14" t="str">
        <x:v>Messgrundlage belegt; Schwellenkalibrierung offen</x:v>
      </x:c>
      <x:c r="Y413" s="14" t="str">
        <x:v>Mittel</x:v>
      </x:c>
      <x:c r="Z413" s="14" t="str">
        <x:v>Arbeitskalibrierung – fachlich zu validieren</x:v>
      </x:c>
      <x:c r="AA413" s="14" t="str">
        <x:v>Organisation/Governance; konsolidierter Kreis und relevante Rechtseinheiten</x:v>
      </x:c>
      <x:c r="AB413" s="14" t="str">
        <x:v>Primärdaten bevorzugt; Sekundärdaten nur transparent und versioniert; Methode und Systemgrenze dokumentieren</x:v>
      </x:c>
      <x:c r="AC413" s="14" t="str">
        <x:v>Limited Assurance; risikobasiert höhere Prüftiefe</x:v>
      </x:c>
    </x:row>
    <x:row r="414" ht="42" customHeight="1">
      <x:c r="A414" s="14" t="str">
        <x:v>WOK-G-177</x:v>
      </x:c>
      <x:c r="B414" s="14" t="str">
        <x:v>SDG 16 – Institutionen</x:v>
      </x:c>
      <x:c r="C414" s="14" t="str">
        <x:v>16.6</x:v>
      </x:c>
      <x:c r="D414" s="14" t="str">
        <x:v>Whistleblowing‑Wirksamkeit</x:v>
      </x:c>
      <x:c r="E414" s="14" t="str">
        <x:v>Whistleblowing‑Wirksamkeit – Whistleblowing</x:v>
      </x:c>
      <x:c r="F414" s="14" t="str">
        <x:v>0–1</x:v>
      </x:c>
      <x:c r="G414" s="14" t="str">
        <x:v>higher_is_better</x:v>
      </x:c>
      <x:c r="H414" s="14" t="str">
        <x:v>R16</x:v>
      </x:c>
      <x:c r="I414" s="14" t="str">
        <x:v>NUM_HIGH</x:v>
      </x:c>
      <x:c r="J414" s="51"/>
      <x:c r="K414" s="51"/>
      <x:c r="L414" s="51"/>
      <x:c r="M414" s="54"/>
      <x:c r="N414" s="58" t="str">
        <x:f>IF($J414="","",IF($J414&lt;0.4,-3,IF($J414&lt;0.6,-2,IF($J414&lt;0.75,0,IF($J414&lt;0.9,2,3)))))</x:f>
      </x:c>
      <x:c r="O414" s="58" t="str">
        <x:f>IF($J414="","",IF(OR('02_Benchmarks'!$P414&lt;&gt;"Aktiv",COUNT('02_Benchmarks'!$J414:$M414)&lt;4),"",IF($G414="lower_is_better",IF($J414&lt;='02_Benchmarks'!$J414,3,IF($J414&lt;'02_Benchmarks'!$K414,2,IF($J414&lt;='02_Benchmarks'!$L414,0,IF($J414&lt;='02_Benchmarks'!$M414,-2,-3)))),IF($J414&gt;='02_Benchmarks'!$J414,3,IF($J414&gt;'02_Benchmarks'!$K414,2,IF($J414&gt;='02_Benchmarks'!$L414,0,IF($J414&gt;='02_Benchmarks'!$M414,-2,-3)))))))</x:f>
      </x:c>
      <x:c r="P414" s="58" t="str">
        <x:f>IF(COUNT($N414:$O414)+IF(ISNUMBER($K414),1,0)=0,"",MIN($N414:$O414,$K414))</x:f>
      </x:c>
      <x:c r="Q414" s="58" t="str">
        <x:f>IF($P414="","",INDEX('04_Tarifmodell'!$B$6:$B$12,$P414+4))</x:f>
      </x:c>
      <x:c r="R414" s="64" t="str">
        <x:f>IF($P414="","",INDEX('04_Tarifmodell'!$C$6:$C$12,$P414+4))</x:f>
      </x:c>
      <x:c r="S414" s="14" t="str">
        <x:f>IF(OR($I414="QUALITATIVE",$I414="MANUAL_HYBRID"),IF($K414="","Assurance-Score fehlt","Assurance-bewertet"),IF($I414="BENCHMARK",IF($W414&lt;&gt;"Aktiv",IF($K414="","Benchmark fehlt","Assurance-bewertet"),IF($J414="","Messwert fehlt",IF($P414="","Nicht bewertbar","Berechnet"))),IF(AND($J414="",$K414&lt;&gt;""),"Nur Assurance-Score",IF($J414="","Messwert fehlt",IF($P414="","Nicht bewertbar",IF($P414&lt;=-2,"Kritische Wirkung / Prüfung","Berechnet"))))))</x:f>
        <x:v>Messwert fehlt</x:v>
      </x:c>
      <x:c r="T414" s="14" t="str">
        <x:v>Vollständige fünfstufige numerische Regel.</x:v>
      </x:c>
      <x:c r="U414" s="14" t="str">
        <x:v>≥0,9:+3; 0,75–0,89:+2; 0,6–0,74:0; 0,4–0,59:‑2; &lt;0,4:‑3</x:v>
      </x:c>
      <x:c r="V414" s="14" t="str">
        <x:v>ESRS G1, GRI 205/207, OECD Anti‑Bribery</x:v>
      </x:c>
      <x:c r="W414" s="14" t="str">
        <x:f>'02_Benchmarks'!$P414</x:f>
        <x:v>Optional – kein aktiver Benchmark</x:v>
      </x:c>
      <x:c r="X414" s="14" t="str">
        <x:v>Messgrundlage belegt; Schwellenkalibrierung offen</x:v>
      </x:c>
      <x:c r="Y414" s="14" t="str">
        <x:v>Mittel</x:v>
      </x:c>
      <x:c r="Z414" s="14" t="str">
        <x:v>Arbeitskalibrierung – fachlich zu validieren</x:v>
      </x:c>
      <x:c r="AA414" s="14" t="str">
        <x:v>Organisation/Governance; konsolidierter Kreis und relevante Rechtseinheiten</x:v>
      </x:c>
      <x:c r="AB414" s="14" t="str">
        <x:v>Primärdaten bevorzugt; Sekundärdaten nur transparent und versioniert; Methode und Systemgrenze dokumentieren</x:v>
      </x:c>
      <x:c r="AC414" s="14" t="str">
        <x:v>Limited Assurance; risikobasiert höhere Prüftiefe</x:v>
      </x:c>
    </x:row>
    <x:row r="415" ht="42" customHeight="1">
      <x:c r="A415" s="14" t="str">
        <x:v>WOK-G-178</x:v>
      </x:c>
      <x:c r="B415" s="14" t="str">
        <x:v>SDG 16 – Institutionen</x:v>
      </x:c>
      <x:c r="C415" s="14" t="str">
        <x:v>16.6</x:v>
      </x:c>
      <x:c r="D415" s="14" t="str">
        <x:v>Whistleblowing‑Wirksamkeit</x:v>
      </x:c>
      <x:c r="E415" s="14" t="str">
        <x:v>Whistleblowing‑Wirksamkeit – Steuertransparenz</x:v>
      </x:c>
      <x:c r="F415" s="14" t="str">
        <x:v>0–1</x:v>
      </x:c>
      <x:c r="G415" s="14" t="str">
        <x:v>higher_is_better</x:v>
      </x:c>
      <x:c r="H415" s="14" t="str">
        <x:v>R08</x:v>
      </x:c>
      <x:c r="I415" s="14" t="str">
        <x:v>QUALITATIVE</x:v>
      </x:c>
      <x:c r="J415" s="51"/>
      <x:c r="K415" s="51"/>
      <x:c r="L415" s="51"/>
      <x:c r="M415" s="54"/>
      <x:c r="N415" s="58" t="str">
        <x:f>""</x:f>
      </x:c>
      <x:c r="O415" s="58" t="str">
        <x:f>IF($J415="","",IF(OR('02_Benchmarks'!$P415&lt;&gt;"Aktiv",COUNT('02_Benchmarks'!$J415:$M415)&lt;4),"",IF($G415="lower_is_better",IF($J415&lt;='02_Benchmarks'!$J415,3,IF($J415&lt;'02_Benchmarks'!$K415,2,IF($J415&lt;='02_Benchmarks'!$L415,0,IF($J415&lt;='02_Benchmarks'!$M415,-2,-3)))),IF($J415&gt;='02_Benchmarks'!$J415,3,IF($J415&gt;'02_Benchmarks'!$K415,2,IF($J415&gt;='02_Benchmarks'!$L415,0,IF($J415&gt;='02_Benchmarks'!$M415,-2,-3)))))))</x:f>
      </x:c>
      <x:c r="P415" s="58" t="str">
        <x:f>IF(COUNT($N415:$O415)+IF(ISNUMBER($K415),1,0)=0,"",MIN($N415:$O415,$K415))</x:f>
      </x:c>
      <x:c r="Q415" s="58" t="str">
        <x:f>IF($P415="","",INDEX('04_Tarifmodell'!$B$6:$B$12,$P415+4))</x:f>
      </x:c>
      <x:c r="R415" s="64" t="str">
        <x:f>IF($P415="","",INDEX('04_Tarifmodell'!$C$6:$C$12,$P415+4))</x:f>
      </x:c>
      <x:c r="S415" s="14" t="str">
        <x:f>IF(OR($I415="QUALITATIVE",$I415="MANUAL_HYBRID"),IF($K415="","Assurance-Score fehlt","Assurance-bewertet"),IF($I415="BENCHMARK",IF($W415&lt;&gt;"Aktiv",IF($K415="","Benchmark fehlt","Assurance-bewertet"),IF($J415="","Messwert fehlt",IF($P415="","Nicht bewertbar","Berechnet"))),IF(AND($J415="",$K415&lt;&gt;""),"Nur Assurance-Score",IF($J415="","Messwert fehlt",IF($P415="","Nicht bewertbar",IF($P415&lt;=-2,"Kritische Wirkung / Prüfung","Berechnet"))))))</x:f>
        <x:v>Assurance-Score fehlt</x:v>
      </x:c>
      <x:c r="T415" s="14" t="str">
        <x:v>Die Kategorie −3 fehlt; Vollständigkeit und Wirksamkeit sind feldspezifisch zu definieren.</x:v>
      </x:c>
      <x:c r="U415" s="14" t="str">
        <x:v>vollständig:+3; teilweise:+2; minimal:0; schlecht:‑2</x:v>
      </x:c>
      <x:c r="V415" s="14" t="str">
        <x:v>ESRS G1, GRI 205/207, OECD Anti‑Bribery</x:v>
      </x:c>
      <x:c r="W415" s="14" t="str">
        <x:f>'02_Benchmarks'!$P415</x:f>
        <x:v>Optional – kein aktiver Benchmark</x:v>
      </x:c>
      <x:c r="X415" s="14" t="str">
        <x:v>Messgrundlage belegt; Schwellenkalibrierung offen</x:v>
      </x:c>
      <x:c r="Y415" s="14" t="str">
        <x:v>Hoch</x:v>
      </x:c>
      <x:c r="Z415" s="14" t="str">
        <x:v>Assurance und Kriterienkatalog erforderlich</x:v>
      </x:c>
      <x:c r="AA415" s="14" t="str">
        <x:v>Organisation/Governance; konsolidierter Kreis und relevante Rechtseinheiten</x:v>
      </x:c>
      <x:c r="AB415" s="14" t="str">
        <x:v>Dokumentierter Kriterienkatalog; nachvollziehbare Evidenz; DQR A/B bevorzugt</x:v>
      </x:c>
      <x:c r="AC415" s="14" t="str">
        <x:v>Unabhängige Fachprüfung/Limited Assurance; bei roten Linien Reasonable Assurance</x:v>
      </x:c>
    </x:row>
    <x:row r="416" ht="42" customHeight="1">
      <x:c r="A416" s="14" t="str">
        <x:v>WOK-G-179</x:v>
      </x:c>
      <x:c r="B416" s="14" t="str">
        <x:v>SDG 16 – Institutionen</x:v>
      </x:c>
      <x:c r="C416" s="14" t="str">
        <x:v>16.10</x:v>
      </x:c>
      <x:c r="D416" s="14" t="str">
        <x:v>Datenschutz/IT‑Sicherheit</x:v>
      </x:c>
      <x:c r="E416" s="14" t="str">
        <x:v>Datenschutz/IT‑Sicherheit – Datenschutzvorfälle</x:v>
      </x:c>
      <x:c r="F416" s="14" t="str">
        <x:v>Fälle/Mio</x:v>
      </x:c>
      <x:c r="G416" s="14" t="str">
        <x:v>lower_is_better</x:v>
      </x:c>
      <x:c r="H416" s="14" t="str">
        <x:v>R02</x:v>
      </x:c>
      <x:c r="I416" s="14" t="str">
        <x:v>NUM_LOW</x:v>
      </x:c>
      <x:c r="J416" s="51"/>
      <x:c r="K416" s="51"/>
      <x:c r="L416" s="51"/>
      <x:c r="M416" s="54"/>
      <x:c r="N416" s="58" t="str">
        <x:f>IF($J416="","",IF($J416&lt;=0,3,IF($J416&lt;=1,2,IF($J416&lt;=3,0,IF($J416&lt;=5,-2,-3)))))</x:f>
      </x:c>
      <x:c r="O416" s="58" t="str">
        <x:f>IF($J416="","",IF(OR('02_Benchmarks'!$P416&lt;&gt;"Aktiv",COUNT('02_Benchmarks'!$J416:$M416)&lt;4),"",IF($G416="lower_is_better",IF($J416&lt;='02_Benchmarks'!$J416,3,IF($J416&lt;'02_Benchmarks'!$K416,2,IF($J416&lt;='02_Benchmarks'!$L416,0,IF($J416&lt;='02_Benchmarks'!$M416,-2,-3)))),IF($J416&gt;='02_Benchmarks'!$J416,3,IF($J416&gt;'02_Benchmarks'!$K416,2,IF($J416&gt;='02_Benchmarks'!$L416,0,IF($J416&gt;='02_Benchmarks'!$M416,-2,-3)))))))</x:f>
      </x:c>
      <x:c r="P416" s="58" t="str">
        <x:f>IF(COUNT($N416:$O416)+IF(ISNUMBER($K416),1,0)=0,"",MIN($N416:$O416,$K416))</x:f>
      </x:c>
      <x:c r="Q416" s="58" t="str">
        <x:f>IF($P416="","",INDEX('04_Tarifmodell'!$B$6:$B$12,$P416+4))</x:f>
      </x:c>
      <x:c r="R416" s="64" t="str">
        <x:f>IF($P416="","",INDEX('04_Tarifmodell'!$C$6:$C$12,$P416+4))</x:f>
      </x:c>
      <x:c r="S416" s="14" t="str">
        <x:f>IF(OR($I416="QUALITATIVE",$I416="MANUAL_HYBRID"),IF($K416="","Assurance-Score fehlt","Assurance-bewertet"),IF($I416="BENCHMARK",IF($W416&lt;&gt;"Aktiv",IF($K416="","Benchmark fehlt","Assurance-bewertet"),IF($J416="","Messwert fehlt",IF($P416="","Nicht bewertbar","Berechnet"))),IF(AND($J416="",$K416&lt;&gt;""),"Nur Assurance-Score",IF($J416="","Messwert fehlt",IF($P416="","Nicht bewertbar",IF($P416&lt;=-2,"Kritische Wirkung / Prüfung","Berechnet"))))))</x:f>
        <x:v>Messwert fehlt</x:v>
      </x:c>
      <x:c r="T416" s="14" t="str">
        <x:v>Vollständige fünfstufige numerische Regel.</x:v>
      </x:c>
      <x:c r="U416" s="14" t="str">
        <x:v>0:+3; ≤1:+2; ≤3:0; ≤5:‑2; &gt;5:‑3</x:v>
      </x:c>
      <x:c r="V416" s="14" t="str">
        <x:v>ISO/IEC 27001 &amp; 27701, NIS2</x:v>
      </x:c>
      <x:c r="W416" s="14" t="str">
        <x:f>'02_Benchmarks'!$P416</x:f>
        <x:v>Optional – kein aktiver Benchmark</x:v>
      </x:c>
      <x:c r="X416" s="14" t="str">
        <x:v>Messgrundlage belegt; Schwellenkalibrierung offen</x:v>
      </x:c>
      <x:c r="Y416" s="14" t="str">
        <x:v>Mittel</x:v>
      </x:c>
      <x:c r="Z416" s="14" t="str">
        <x:v>Arbeitskalibrierung – fachlich zu validieren</x:v>
      </x:c>
      <x:c r="AA416" s="14" t="str">
        <x:v>Organisation/Governance; konsolidierter Kreis und relevante Rechtseinheiten</x:v>
      </x:c>
      <x:c r="AB416" s="14" t="str">
        <x:v>Primärdaten bevorzugt; Sekundärdaten nur transparent und versioniert; Methode und Systemgrenze dokumentieren</x:v>
      </x:c>
      <x:c r="AC416" s="14" t="str">
        <x:v>Limited Assurance; risikobasiert höhere Prüftiefe</x:v>
      </x:c>
    </x:row>
    <x:row r="417" ht="42" customHeight="1">
      <x:c r="A417" s="14" t="str">
        <x:v>WOK-G-180</x:v>
      </x:c>
      <x:c r="B417" s="14" t="str">
        <x:v>SDG 16 – Institutionen</x:v>
      </x:c>
      <x:c r="C417" s="14" t="str">
        <x:v>16.10</x:v>
      </x:c>
      <x:c r="D417" s="14" t="str">
        <x:v>Datenschutz/IT‑Sicherheit</x:v>
      </x:c>
      <x:c r="E417" s="14" t="str">
        <x:v>Datenschutz/IT‑Sicherheit – Privacy by Design</x:v>
      </x:c>
      <x:c r="F417" s="14" t="str">
        <x:v>%</x:v>
      </x:c>
      <x:c r="G417" s="14" t="str">
        <x:v>higher_is_better</x:v>
      </x:c>
      <x:c r="H417" s="14" t="str">
        <x:v>R25</x:v>
      </x:c>
      <x:c r="I417" s="14" t="str">
        <x:v>NUM_HIGH</x:v>
      </x:c>
      <x:c r="J417" s="51"/>
      <x:c r="K417" s="51"/>
      <x:c r="L417" s="51"/>
      <x:c r="M417" s="54"/>
      <x:c r="N417" s="58" t="str">
        <x:f>IF($J417="","",IF($J417&lt;30,-3,IF($J417&lt;50,-2,IF($J417&lt;70,0,IF($J417&lt;90,2,3)))))</x:f>
      </x:c>
      <x:c r="O417" s="58" t="str">
        <x:f>IF($J417="","",IF(OR('02_Benchmarks'!$P417&lt;&gt;"Aktiv",COUNT('02_Benchmarks'!$J417:$M417)&lt;4),"",IF($G417="lower_is_better",IF($J417&lt;='02_Benchmarks'!$J417,3,IF($J417&lt;'02_Benchmarks'!$K417,2,IF($J417&lt;='02_Benchmarks'!$L417,0,IF($J417&lt;='02_Benchmarks'!$M417,-2,-3)))),IF($J417&gt;='02_Benchmarks'!$J417,3,IF($J417&gt;'02_Benchmarks'!$K417,2,IF($J417&gt;='02_Benchmarks'!$L417,0,IF($J417&gt;='02_Benchmarks'!$M417,-2,-3)))))))</x:f>
      </x:c>
      <x:c r="P417" s="58" t="str">
        <x:f>IF(COUNT($N417:$O417)+IF(ISNUMBER($K417),1,0)=0,"",MIN($N417:$O417,$K417))</x:f>
      </x:c>
      <x:c r="Q417" s="58" t="str">
        <x:f>IF($P417="","",INDEX('04_Tarifmodell'!$B$6:$B$12,$P417+4))</x:f>
      </x:c>
      <x:c r="R417" s="64" t="str">
        <x:f>IF($P417="","",INDEX('04_Tarifmodell'!$C$6:$C$12,$P417+4))</x:f>
      </x:c>
      <x:c r="S417" s="14" t="str">
        <x:f>IF(OR($I417="QUALITATIVE",$I417="MANUAL_HYBRID"),IF($K417="","Assurance-Score fehlt","Assurance-bewertet"),IF($I417="BENCHMARK",IF($W417&lt;&gt;"Aktiv",IF($K417="","Benchmark fehlt","Assurance-bewertet"),IF($J417="","Messwert fehlt",IF($P417="","Nicht bewertbar","Berechnet"))),IF(AND($J417="",$K417&lt;&gt;""),"Nur Assurance-Score",IF($J417="","Messwert fehlt",IF($P417="","Nicht bewertbar",IF($P417&lt;=-2,"Kritische Wirkung / Prüfung","Berechnet"))))))</x:f>
        <x:v>Messwert fehlt</x:v>
      </x:c>
      <x:c r="T417" s="14" t="str">
        <x:v>Vollständige fünfstufige Prozentregel.</x:v>
      </x:c>
      <x:c r="U417" s="14" t="str">
        <x:v>≥90%:+3; 70–89%:+2; 50–69%:0; 30–49%:‑2; &lt;30%:‑3</x:v>
      </x:c>
      <x:c r="V417" s="14" t="str">
        <x:v>ISO/IEC 27001 &amp; 27701, NIS2</x:v>
      </x:c>
      <x:c r="W417" s="14" t="str">
        <x:f>'02_Benchmarks'!$P417</x:f>
        <x:v>Optional – kein aktiver Benchmark</x:v>
      </x:c>
      <x:c r="X417" s="14" t="str">
        <x:v>Messgrundlage belegt; Schwellenkalibrierung offen</x:v>
      </x:c>
      <x:c r="Y417" s="14" t="str">
        <x:v>Mittel</x:v>
      </x:c>
      <x:c r="Z417" s="14" t="str">
        <x:v>Arbeitskalibrierung – fachlich zu validieren</x:v>
      </x:c>
      <x:c r="AA417" s="14" t="str">
        <x:v>Organisation/Governance; konsolidierter Kreis und relevante Rechtseinheiten</x:v>
      </x:c>
      <x:c r="AB417" s="14" t="str">
        <x:v>Primärdaten bevorzugt; Sekundärdaten nur transparent und versioniert; Methode und Systemgrenze dokumentieren</x:v>
      </x:c>
      <x:c r="AC417" s="14" t="str">
        <x:v>Limited Assurance; risikobasiert höhere Prüftiefe</x:v>
      </x:c>
    </x:row>
    <x:row r="418" ht="42" customHeight="1">
      <x:c r="A418" s="14" t="str">
        <x:v>WOK-G-181</x:v>
      </x:c>
      <x:c r="B418" s="14" t="str">
        <x:v>SDG 16 – Institutionen</x:v>
      </x:c>
      <x:c r="C418" s="14" t="str">
        <x:v>16.10</x:v>
      </x:c>
      <x:c r="D418" s="14" t="str">
        <x:v>Datenschutz/IT‑Sicherheit</x:v>
      </x:c>
      <x:c r="E418" s="14" t="str">
        <x:v>Datenschutz/IT‑Sicherheit – Security Reifegrad</x:v>
      </x:c>
      <x:c r="F418" s="14" t="str">
        <x:v>0–1</x:v>
      </x:c>
      <x:c r="G418" s="14" t="str">
        <x:v>higher_is_better</x:v>
      </x:c>
      <x:c r="H418" s="14" t="str">
        <x:v>R16</x:v>
      </x:c>
      <x:c r="I418" s="14" t="str">
        <x:v>NUM_HIGH</x:v>
      </x:c>
      <x:c r="J418" s="51"/>
      <x:c r="K418" s="51"/>
      <x:c r="L418" s="51"/>
      <x:c r="M418" s="54"/>
      <x:c r="N418" s="58" t="str">
        <x:f>IF($J418="","",IF($J418&lt;0.4,-3,IF($J418&lt;0.6,-2,IF($J418&lt;0.75,0,IF($J418&lt;0.9,2,3)))))</x:f>
      </x:c>
      <x:c r="O418" s="58" t="str">
        <x:f>IF($J418="","",IF(OR('02_Benchmarks'!$P418&lt;&gt;"Aktiv",COUNT('02_Benchmarks'!$J418:$M418)&lt;4),"",IF($G418="lower_is_better",IF($J418&lt;='02_Benchmarks'!$J418,3,IF($J418&lt;'02_Benchmarks'!$K418,2,IF($J418&lt;='02_Benchmarks'!$L418,0,IF($J418&lt;='02_Benchmarks'!$M418,-2,-3)))),IF($J418&gt;='02_Benchmarks'!$J418,3,IF($J418&gt;'02_Benchmarks'!$K418,2,IF($J418&gt;='02_Benchmarks'!$L418,0,IF($J418&gt;='02_Benchmarks'!$M418,-2,-3)))))))</x:f>
      </x:c>
      <x:c r="P418" s="58" t="str">
        <x:f>IF(COUNT($N418:$O418)+IF(ISNUMBER($K418),1,0)=0,"",MIN($N418:$O418,$K418))</x:f>
      </x:c>
      <x:c r="Q418" s="58" t="str">
        <x:f>IF($P418="","",INDEX('04_Tarifmodell'!$B$6:$B$12,$P418+4))</x:f>
      </x:c>
      <x:c r="R418" s="64" t="str">
        <x:f>IF($P418="","",INDEX('04_Tarifmodell'!$C$6:$C$12,$P418+4))</x:f>
      </x:c>
      <x:c r="S418" s="14" t="str">
        <x:f>IF(OR($I418="QUALITATIVE",$I418="MANUAL_HYBRID"),IF($K418="","Assurance-Score fehlt","Assurance-bewertet"),IF($I418="BENCHMARK",IF($W418&lt;&gt;"Aktiv",IF($K418="","Benchmark fehlt","Assurance-bewertet"),IF($J418="","Messwert fehlt",IF($P418="","Nicht bewertbar","Berechnet"))),IF(AND($J418="",$K418&lt;&gt;""),"Nur Assurance-Score",IF($J418="","Messwert fehlt",IF($P418="","Nicht bewertbar",IF($P418&lt;=-2,"Kritische Wirkung / Prüfung","Berechnet"))))))</x:f>
        <x:v>Messwert fehlt</x:v>
      </x:c>
      <x:c r="T418" s="14" t="str">
        <x:v>Vollständige fünfstufige numerische Regel.</x:v>
      </x:c>
      <x:c r="U418" s="14" t="str">
        <x:v>≥0,9:+3; 0,75–0,89:+2; 0,6–0,74:0; 0,4–0,59:‑2; &lt;0,4:‑3</x:v>
      </x:c>
      <x:c r="V418" s="14" t="str">
        <x:v>ISO/IEC 27001 &amp; 27701, NIS2</x:v>
      </x:c>
      <x:c r="W418" s="14" t="str">
        <x:f>'02_Benchmarks'!$P418</x:f>
        <x:v>Optional – kein aktiver Benchmark</x:v>
      </x:c>
      <x:c r="X418" s="14" t="str">
        <x:v>Messgrundlage belegt; Schwellenkalibrierung offen</x:v>
      </x:c>
      <x:c r="Y418" s="14" t="str">
        <x:v>Mittel</x:v>
      </x:c>
      <x:c r="Z418" s="14" t="str">
        <x:v>Arbeitskalibrierung – fachlich zu validieren</x:v>
      </x:c>
      <x:c r="AA418" s="14" t="str">
        <x:v>Organisation/Governance; konsolidierter Kreis und relevante Rechtseinheiten</x:v>
      </x:c>
      <x:c r="AB418" s="14" t="str">
        <x:v>Primärdaten bevorzugt; Sekundärdaten nur transparent und versioniert; Methode und Systemgrenze dokumentieren</x:v>
      </x:c>
      <x:c r="AC418" s="14" t="str">
        <x:v>Limited Assurance; risikobasiert höhere Prüftiefe</x:v>
      </x:c>
    </x:row>
    <x:row r="419" ht="42" customHeight="1">
      <x:c r="A419" s="14" t="str">
        <x:v>WOK-SYS-146</x:v>
      </x:c>
      <x:c r="B419" s="14" t="str">
        <x:v>SDG 16 – Institutionen</x:v>
      </x:c>
      <x:c r="C419" s="14" t="str">
        <x:v>16.6</x:v>
      </x:c>
      <x:c r="D419" s="14" t="str">
        <x:v>Demokratie‑/Rechtsstaat‑Exposure</x:v>
      </x:c>
      <x:c r="E419" s="14" t="str">
        <x:v>Demokratie‑/Rechtsstaat‑Exposure – Index</x:v>
      </x:c>
      <x:c r="F419" s="14" t="str">
        <x:v>0–1</x:v>
      </x:c>
      <x:c r="G419" s="14" t="str">
        <x:v>higher_is_better</x:v>
      </x:c>
      <x:c r="H419" s="14" t="str">
        <x:v>R15</x:v>
      </x:c>
      <x:c r="I419" s="14" t="str">
        <x:v>NUM_HIGH</x:v>
      </x:c>
      <x:c r="J419" s="51"/>
      <x:c r="K419" s="51"/>
      <x:c r="L419" s="51"/>
      <x:c r="M419" s="54"/>
      <x:c r="N419" s="58" t="str">
        <x:f>IF($J419="","",IF($J419&lt;0.5,-3,IF($J419&lt;0.6,-2,IF($J419&lt;0.7,0,IF($J419&lt;0.8,2,3)))))</x:f>
      </x:c>
      <x:c r="O419" s="58" t="str">
        <x:f>IF($J419="","",IF(OR('02_Benchmarks'!$P419&lt;&gt;"Aktiv",COUNT('02_Benchmarks'!$J419:$M419)&lt;4),"",IF($G419="lower_is_better",IF($J419&lt;='02_Benchmarks'!$J419,3,IF($J419&lt;'02_Benchmarks'!$K419,2,IF($J419&lt;='02_Benchmarks'!$L419,0,IF($J419&lt;='02_Benchmarks'!$M419,-2,-3)))),IF($J419&gt;='02_Benchmarks'!$J419,3,IF($J419&gt;'02_Benchmarks'!$K419,2,IF($J419&gt;='02_Benchmarks'!$L419,0,IF($J419&gt;='02_Benchmarks'!$M419,-2,-3)))))))</x:f>
      </x:c>
      <x:c r="P419" s="58" t="str">
        <x:f>IF(COUNT($N419:$O419)+IF(ISNUMBER($K419),1,0)=0,"",MIN($N419:$O419,$K419))</x:f>
      </x:c>
      <x:c r="Q419" s="58" t="str">
        <x:f>IF($P419="","",INDEX('04_Tarifmodell'!$B$6:$B$12,$P419+4))</x:f>
      </x:c>
      <x:c r="R419" s="64" t="str">
        <x:f>IF($P419="","",INDEX('04_Tarifmodell'!$C$6:$C$12,$P419+4))</x:f>
      </x:c>
      <x:c r="S419" s="14" t="str">
        <x:f>IF(OR($I419="QUALITATIVE",$I419="MANUAL_HYBRID"),IF($K419="","Assurance-Score fehlt","Assurance-bewertet"),IF($I419="BENCHMARK",IF($W419&lt;&gt;"Aktiv",IF($K419="","Benchmark fehlt","Assurance-bewertet"),IF($J419="","Messwert fehlt",IF($P419="","Nicht bewertbar","Berechnet"))),IF(AND($J419="",$K419&lt;&gt;""),"Nur Assurance-Score",IF($J419="","Messwert fehlt",IF($P419="","Nicht bewertbar",IF($P419&lt;=-2,"Kritische Wirkung / Prüfung","Berechnet"))))))</x:f>
        <x:v>Messwert fehlt</x:v>
      </x:c>
      <x:c r="T419" s="14" t="str">
        <x:v>SROI/SDG 17 ist keine hinreichend konkrete Mess- oder Schwellenquelle. Vollständige fünfstufige numerische Regel.</x:v>
      </x:c>
      <x:c r="U419" s="14" t="str">
        <x:v>≥0,8:+3; 0,7–0,79:+2; 0,6–0,69:0; 0,5–0,59:‑2; &lt;0,5:‑3</x:v>
      </x:c>
      <x:c r="V419" s="14" t="str">
        <x:v>SDG 16/17, WJP, V‑Dem</x:v>
      </x:c>
      <x:c r="W419" s="14" t="str">
        <x:f>'02_Benchmarks'!$P419</x:f>
        <x:v>Optional – kein aktiver Benchmark</x:v>
      </x:c>
      <x:c r="X419" s="14" t="str">
        <x:v>Platzhalter – fachliche Operationalisierung offen</x:v>
      </x:c>
      <x:c r="Y419" s="14" t="str">
        <x:v>Kritisch</x:v>
      </x:c>
      <x:c r="Z419" s="14" t="str">
        <x:v>Arbeitskalibrierung – fachlich zu validieren</x:v>
      </x:c>
      <x:c r="AA419" s="14" t="str">
        <x:v>Programm/Portfolio/Systemraum; Empfängergruppe, Region und Zeitraum explizit definieren</x:v>
      </x:c>
      <x:c r="AB419" s="14" t="str">
        <x:v>Primärdaten bevorzugt; Sekundärdaten nur transparent und versioniert; Methode und Systemgrenze dokumentieren</x:v>
      </x:c>
      <x:c r="AC419" s="14" t="str">
        <x:v>Limited Assurance; risikobasiert höhere Prüftiefe</x:v>
      </x:c>
    </x:row>
    <x:row r="420" ht="42" customHeight="1">
      <x:c r="A420" s="14" t="str">
        <x:v>WOK-SYS-147</x:v>
      </x:c>
      <x:c r="B420" s="14" t="str">
        <x:v>SDG 16 – Institutionen</x:v>
      </x:c>
      <x:c r="C420" s="14" t="str">
        <x:v>16.6</x:v>
      </x:c>
      <x:c r="D420" s="14" t="str">
        <x:v>Demokratie‑/Rechtsstaat‑Exposure</x:v>
      </x:c>
      <x:c r="E420" s="14" t="str">
        <x:v>Demokratie‑/Rechtsstaat‑Exposure – Exposure</x:v>
      </x:c>
      <x:c r="F420" s="14" t="str">
        <x:v>%</x:v>
      </x:c>
      <x:c r="G420" s="14" t="str">
        <x:v>lower_is_better</x:v>
      </x:c>
      <x:c r="H420" s="14" t="str">
        <x:v>R13</x:v>
      </x:c>
      <x:c r="I420" s="14" t="str">
        <x:v>NUM_LOW</x:v>
      </x:c>
      <x:c r="J420" s="51"/>
      <x:c r="K420" s="51"/>
      <x:c r="L420" s="51"/>
      <x:c r="M420" s="54"/>
      <x:c r="N420" s="58" t="str">
        <x:f>IF($J420="","",IF($J420&lt;=5,3,IF($J420&lt;=10,2,IF($J420&lt;=20,0,IF($J420&lt;=30,-2,-3)))))</x:f>
      </x:c>
      <x:c r="O420" s="58" t="str">
        <x:f>IF($J420="","",IF(OR('02_Benchmarks'!$P420&lt;&gt;"Aktiv",COUNT('02_Benchmarks'!$J420:$M420)&lt;4),"",IF($G420="lower_is_better",IF($J420&lt;='02_Benchmarks'!$J420,3,IF($J420&lt;'02_Benchmarks'!$K420,2,IF($J420&lt;='02_Benchmarks'!$L420,0,IF($J420&lt;='02_Benchmarks'!$M420,-2,-3)))),IF($J420&gt;='02_Benchmarks'!$J420,3,IF($J420&gt;'02_Benchmarks'!$K420,2,IF($J420&gt;='02_Benchmarks'!$L420,0,IF($J420&gt;='02_Benchmarks'!$M420,-2,-3)))))))</x:f>
      </x:c>
      <x:c r="P420" s="58" t="str">
        <x:f>IF(COUNT($N420:$O420)+IF(ISNUMBER($K420),1,0)=0,"",MIN($N420:$O420,$K420))</x:f>
      </x:c>
      <x:c r="Q420" s="58" t="str">
        <x:f>IF($P420="","",INDEX('04_Tarifmodell'!$B$6:$B$12,$P420+4))</x:f>
      </x:c>
      <x:c r="R420" s="64" t="str">
        <x:f>IF($P420="","",INDEX('04_Tarifmodell'!$C$6:$C$12,$P420+4))</x:f>
      </x:c>
      <x:c r="S420" s="14" t="str">
        <x:f>IF(OR($I420="QUALITATIVE",$I420="MANUAL_HYBRID"),IF($K420="","Assurance-Score fehlt","Assurance-bewertet"),IF($I420="BENCHMARK",IF($W420&lt;&gt;"Aktiv",IF($K420="","Benchmark fehlt","Assurance-bewertet"),IF($J420="","Messwert fehlt",IF($P420="","Nicht bewertbar","Berechnet"))),IF(AND($J420="",$K420&lt;&gt;""),"Nur Assurance-Score",IF($J420="","Messwert fehlt",IF($P420="","Nicht bewertbar",IF($P420&lt;=-2,"Kritische Wirkung / Prüfung","Berechnet"))))))</x:f>
        <x:v>Messwert fehlt</x:v>
      </x:c>
      <x:c r="T420" s="14" t="str">
        <x:v>SROI/SDG 17 ist keine hinreichend konkrete Mess- oder Schwellenquelle. Vollständige fünfstufige numerische Regel.</x:v>
      </x:c>
      <x:c r="U420" s="14" t="str">
        <x:v>≤5:+3; 6–10:+2; 11–20:0; 21–30:‑2; &gt;30:‑3</x:v>
      </x:c>
      <x:c r="V420" s="14" t="str">
        <x:v>SDG 16/17, WJP, V‑Dem</x:v>
      </x:c>
      <x:c r="W420" s="14" t="str">
        <x:f>'02_Benchmarks'!$P420</x:f>
        <x:v>Optional – kein aktiver Benchmark</x:v>
      </x:c>
      <x:c r="X420" s="14" t="str">
        <x:v>Platzhalter – fachliche Operationalisierung offen</x:v>
      </x:c>
      <x:c r="Y420" s="14" t="str">
        <x:v>Kritisch</x:v>
      </x:c>
      <x:c r="Z420" s="14" t="str">
        <x:v>Arbeitskalibrierung – fachlich zu validieren</x:v>
      </x:c>
      <x:c r="AA420" s="14" t="str">
        <x:v>Programm/Portfolio/Systemraum; Empfängergruppe, Region und Zeitraum explizit definieren</x:v>
      </x:c>
      <x:c r="AB420" s="14" t="str">
        <x:v>Primärdaten bevorzugt; Sekundärdaten nur transparent und versioniert; Methode und Systemgrenze dokumentieren</x:v>
      </x:c>
      <x:c r="AC420" s="14" t="str">
        <x:v>Limited Assurance; risikobasiert höhere Prüftiefe</x:v>
      </x:c>
    </x:row>
    <x:row r="421" ht="42" customHeight="1">
      <x:c r="A421" s="14" t="str">
        <x:v>WOK-SYS-148</x:v>
      </x:c>
      <x:c r="B421" s="14" t="str">
        <x:v>SDG 16 – Institutionen</x:v>
      </x:c>
      <x:c r="C421" s="14" t="str">
        <x:v>16.6</x:v>
      </x:c>
      <x:c r="D421" s="14" t="str">
        <x:v>Demokratie‑/Rechtsstaat‑Exposure</x:v>
      </x:c>
      <x:c r="E421" s="14" t="str">
        <x:v>Demokratie‑/Rechtsstaat‑Exposure – Kooperationen</x:v>
      </x:c>
      <x:c r="F421" s="14" t="str">
        <x:v>#/Jahr</x:v>
      </x:c>
      <x:c r="G421" s="14" t="str">
        <x:v>higher_is_better</x:v>
      </x:c>
      <x:c r="H421" s="14" t="str">
        <x:v>R20</x:v>
      </x:c>
      <x:c r="I421" s="14" t="str">
        <x:v>NUM_HIGH</x:v>
      </x:c>
      <x:c r="J421" s="51"/>
      <x:c r="K421" s="51"/>
      <x:c r="L421" s="51"/>
      <x:c r="M421" s="54"/>
      <x:c r="N421" s="58" t="str">
        <x:f>IF($J421="","",IF($J421&lt;0,-3,IF($J421&lt;1,-2,IF($J421&lt;3,0,IF($J421&lt;5,2,3)))))</x:f>
      </x:c>
      <x:c r="O421" s="58" t="str">
        <x:f>IF($J421="","",IF(OR('02_Benchmarks'!$P421&lt;&gt;"Aktiv",COUNT('02_Benchmarks'!$J421:$M421)&lt;4),"",IF($G421="lower_is_better",IF($J421&lt;='02_Benchmarks'!$J421,3,IF($J421&lt;'02_Benchmarks'!$K421,2,IF($J421&lt;='02_Benchmarks'!$L421,0,IF($J421&lt;='02_Benchmarks'!$M421,-2,-3)))),IF($J421&gt;='02_Benchmarks'!$J421,3,IF($J421&gt;'02_Benchmarks'!$K421,2,IF($J421&gt;='02_Benchmarks'!$L421,0,IF($J421&gt;='02_Benchmarks'!$M421,-2,-3)))))))</x:f>
      </x:c>
      <x:c r="P421" s="58" t="str">
        <x:f>IF(COUNT($N421:$O421)+IF(ISNUMBER($K421),1,0)=0,"",MIN($N421:$O421,$K421))</x:f>
      </x:c>
      <x:c r="Q421" s="58" t="str">
        <x:f>IF($P421="","",INDEX('04_Tarifmodell'!$B$6:$B$12,$P421+4))</x:f>
      </x:c>
      <x:c r="R421" s="64" t="str">
        <x:f>IF($P421="","",INDEX('04_Tarifmodell'!$C$6:$C$12,$P421+4))</x:f>
      </x:c>
      <x:c r="S421" s="14" t="str">
        <x:f>IF(OR($I421="QUALITATIVE",$I421="MANUAL_HYBRID"),IF($K421="","Assurance-Score fehlt","Assurance-bewertet"),IF($I421="BENCHMARK",IF($W421&lt;&gt;"Aktiv",IF($K421="","Benchmark fehlt","Assurance-bewertet"),IF($J421="","Messwert fehlt",IF($P421="","Nicht bewertbar","Berechnet"))),IF(AND($J421="",$K421&lt;&gt;""),"Nur Assurance-Score",IF($J421="","Messwert fehlt",IF($P421="","Nicht bewertbar",IF($P421&lt;=-2,"Kritische Wirkung / Prüfung","Berechnet"))))))</x:f>
        <x:v>Messwert fehlt</x:v>
      </x:c>
      <x:c r="T421" s="14" t="str">
        <x:v>SROI/SDG 17 ist keine hinreichend konkrete Mess- oder Schwellenquelle. Für sachlogisch nichtnegative Zählwerte ist 0 die schlechteste reguläre Klasse (−2).</x:v>
      </x:c>
      <x:c r="U421" s="14" t="str">
        <x:v>≥5:+3; 3–4:+2; 1–2:0; 0:‑2</x:v>
      </x:c>
      <x:c r="V421" s="14" t="str">
        <x:v>SDG 16/17, WJP, V‑Dem</x:v>
      </x:c>
      <x:c r="W421" s="14" t="str">
        <x:f>'02_Benchmarks'!$P421</x:f>
        <x:v>Optional – kein aktiver Benchmark</x:v>
      </x:c>
      <x:c r="X421" s="14" t="str">
        <x:v>Platzhalter – fachliche Operationalisierung offen</x:v>
      </x:c>
      <x:c r="Y421" s="14" t="str">
        <x:v>Kritisch</x:v>
      </x:c>
      <x:c r="Z421" s="14" t="str">
        <x:v>Klasse −3 nur für negative/unzulässige Werte ergänzt</x:v>
      </x:c>
      <x:c r="AA421" s="14" t="str">
        <x:v>Programm/Portfolio/Systemraum; Empfängergruppe, Region und Zeitraum explizit definieren</x:v>
      </x:c>
      <x:c r="AB421" s="14" t="str">
        <x:v>Primärdaten bevorzugt; Sekundärdaten nur transparent und versioniert; Methode und Systemgrenze dokumentieren</x:v>
      </x:c>
      <x:c r="AC421" s="14" t="str">
        <x:v>Limited Assurance; risikobasiert höhere Prüftiefe</x:v>
      </x:c>
    </x:row>
    <x:row r="422" ht="42" customHeight="1">
      <x:c r="A422" s="14" t="str">
        <x:v>WOK-G-182</x:v>
      </x:c>
      <x:c r="B422" s="14" t="str">
        <x:v>SDG 16 – Institutionen</x:v>
      </x:c>
      <x:c r="C422" s="14" t="str">
        <x:v>16.6</x:v>
      </x:c>
      <x:c r="D422" s="14" t="str">
        <x:v>Transparente Beschaffung</x:v>
      </x:c>
      <x:c r="E422" s="14" t="str">
        <x:v>Transparente Beschaffung – Antikorruption</x:v>
      </x:c>
      <x:c r="F422" s="14" t="str">
        <x:v>Fälle/1.000 FTE</x:v>
      </x:c>
      <x:c r="G422" s="14" t="str">
        <x:v>lower_is_better</x:v>
      </x:c>
      <x:c r="H422" s="14" t="str">
        <x:v>R01</x:v>
      </x:c>
      <x:c r="I422" s="14" t="str">
        <x:v>NUM_LOW</x:v>
      </x:c>
      <x:c r="J422" s="51"/>
      <x:c r="K422" s="51"/>
      <x:c r="L422" s="51"/>
      <x:c r="M422" s="54"/>
      <x:c r="N422" s="58" t="str">
        <x:f>IF($J422="","",IF($J422&lt;=0,3,IF($J422&lt;=0.2,2,IF($J422&lt;=0.5,0,IF($J422&lt;=1,-2,-3)))))</x:f>
      </x:c>
      <x:c r="O422" s="58" t="str">
        <x:f>IF($J422="","",IF(OR('02_Benchmarks'!$P422&lt;&gt;"Aktiv",COUNT('02_Benchmarks'!$J422:$M422)&lt;4),"",IF($G422="lower_is_better",IF($J422&lt;='02_Benchmarks'!$J422,3,IF($J422&lt;'02_Benchmarks'!$K422,2,IF($J422&lt;='02_Benchmarks'!$L422,0,IF($J422&lt;='02_Benchmarks'!$M422,-2,-3)))),IF($J422&gt;='02_Benchmarks'!$J422,3,IF($J422&gt;'02_Benchmarks'!$K422,2,IF($J422&gt;='02_Benchmarks'!$L422,0,IF($J422&gt;='02_Benchmarks'!$M422,-2,-3)))))))</x:f>
      </x:c>
      <x:c r="P422" s="58" t="str">
        <x:f>IF(COUNT($N422:$O422)+IF(ISNUMBER($K422),1,0)=0,"",MIN($N422:$O422,$K422))</x:f>
      </x:c>
      <x:c r="Q422" s="58" t="str">
        <x:f>IF($P422="","",INDEX('04_Tarifmodell'!$B$6:$B$12,$P422+4))</x:f>
      </x:c>
      <x:c r="R422" s="64" t="str">
        <x:f>IF($P422="","",INDEX('04_Tarifmodell'!$C$6:$C$12,$P422+4))</x:f>
      </x:c>
      <x:c r="S422" s="14" t="str">
        <x:f>IF(OR($I422="QUALITATIVE",$I422="MANUAL_HYBRID"),IF($K422="","Assurance-Score fehlt","Assurance-bewertet"),IF($I422="BENCHMARK",IF($W422&lt;&gt;"Aktiv",IF($K422="","Benchmark fehlt","Assurance-bewertet"),IF($J422="","Messwert fehlt",IF($P422="","Nicht bewertbar","Berechnet"))),IF(AND($J422="",$K422&lt;&gt;""),"Nur Assurance-Score",IF($J422="","Messwert fehlt",IF($P422="","Nicht bewertbar",IF($P422&lt;=-2,"Kritische Wirkung / Prüfung","Berechnet"))))))</x:f>
        <x:v>Messwert fehlt</x:v>
      </x:c>
      <x:c r="T422" s="14" t="str">
        <x:v>Vollständige fünfstufige numerische Regel.</x:v>
      </x:c>
      <x:c r="U422" s="14" t="str">
        <x:v>0:+3; ≤0,2:+2; ≤0,5:0; ≤1:‑2; &gt;1:‑3</x:v>
      </x:c>
      <x:c r="V422" s="14" t="str">
        <x:v>ESRS G1, GRI 205/207, OECD Anti‑Bribery</x:v>
      </x:c>
      <x:c r="W422" s="14" t="str">
        <x:f>'02_Benchmarks'!$P422</x:f>
        <x:v>Optional – kein aktiver Benchmark</x:v>
      </x:c>
      <x:c r="X422" s="14" t="str">
        <x:v>Messgrundlage belegt; Schwellenkalibrierung offen</x:v>
      </x:c>
      <x:c r="Y422" s="14" t="str">
        <x:v>Mittel</x:v>
      </x:c>
      <x:c r="Z422" s="14" t="str">
        <x:v>Arbeitskalibrierung – fachlich zu validieren</x:v>
      </x:c>
      <x:c r="AA422" s="14" t="str">
        <x:v>Organisation/Governance; konsolidierter Kreis und relevante Rechtseinheiten</x:v>
      </x:c>
      <x:c r="AB422" s="14" t="str">
        <x:v>Primärdaten bevorzugt; Sekundärdaten nur transparent und versioniert; Methode und Systemgrenze dokumentieren</x:v>
      </x:c>
      <x:c r="AC422" s="14" t="str">
        <x:v>Limited Assurance; risikobasiert höhere Prüftiefe</x:v>
      </x:c>
    </x:row>
    <x:row r="423" ht="42" customHeight="1">
      <x:c r="A423" s="14" t="str">
        <x:v>WOK-G-183</x:v>
      </x:c>
      <x:c r="B423" s="14" t="str">
        <x:v>SDG 16 – Institutionen</x:v>
      </x:c>
      <x:c r="C423" s="14" t="str">
        <x:v>16.6</x:v>
      </x:c>
      <x:c r="D423" s="14" t="str">
        <x:v>Transparente Beschaffung</x:v>
      </x:c>
      <x:c r="E423" s="14" t="str">
        <x:v>Transparente Beschaffung – Whistleblowing</x:v>
      </x:c>
      <x:c r="F423" s="14" t="str">
        <x:v>0–1</x:v>
      </x:c>
      <x:c r="G423" s="14" t="str">
        <x:v>higher_is_better</x:v>
      </x:c>
      <x:c r="H423" s="14" t="str">
        <x:v>R16</x:v>
      </x:c>
      <x:c r="I423" s="14" t="str">
        <x:v>NUM_HIGH</x:v>
      </x:c>
      <x:c r="J423" s="51"/>
      <x:c r="K423" s="51"/>
      <x:c r="L423" s="51"/>
      <x:c r="M423" s="54"/>
      <x:c r="N423" s="58" t="str">
        <x:f>IF($J423="","",IF($J423&lt;0.4,-3,IF($J423&lt;0.6,-2,IF($J423&lt;0.75,0,IF($J423&lt;0.9,2,3)))))</x:f>
      </x:c>
      <x:c r="O423" s="58" t="str">
        <x:f>IF($J423="","",IF(OR('02_Benchmarks'!$P423&lt;&gt;"Aktiv",COUNT('02_Benchmarks'!$J423:$M423)&lt;4),"",IF($G423="lower_is_better",IF($J423&lt;='02_Benchmarks'!$J423,3,IF($J423&lt;'02_Benchmarks'!$K423,2,IF($J423&lt;='02_Benchmarks'!$L423,0,IF($J423&lt;='02_Benchmarks'!$M423,-2,-3)))),IF($J423&gt;='02_Benchmarks'!$J423,3,IF($J423&gt;'02_Benchmarks'!$K423,2,IF($J423&gt;='02_Benchmarks'!$L423,0,IF($J423&gt;='02_Benchmarks'!$M423,-2,-3)))))))</x:f>
      </x:c>
      <x:c r="P423" s="58" t="str">
        <x:f>IF(COUNT($N423:$O423)+IF(ISNUMBER($K423),1,0)=0,"",MIN($N423:$O423,$K423))</x:f>
      </x:c>
      <x:c r="Q423" s="58" t="str">
        <x:f>IF($P423="","",INDEX('04_Tarifmodell'!$B$6:$B$12,$P423+4))</x:f>
      </x:c>
      <x:c r="R423" s="64" t="str">
        <x:f>IF($P423="","",INDEX('04_Tarifmodell'!$C$6:$C$12,$P423+4))</x:f>
      </x:c>
      <x:c r="S423" s="14" t="str">
        <x:f>IF(OR($I423="QUALITATIVE",$I423="MANUAL_HYBRID"),IF($K423="","Assurance-Score fehlt","Assurance-bewertet"),IF($I423="BENCHMARK",IF($W423&lt;&gt;"Aktiv",IF($K423="","Benchmark fehlt","Assurance-bewertet"),IF($J423="","Messwert fehlt",IF($P423="","Nicht bewertbar","Berechnet"))),IF(AND($J423="",$K423&lt;&gt;""),"Nur Assurance-Score",IF($J423="","Messwert fehlt",IF($P423="","Nicht bewertbar",IF($P423&lt;=-2,"Kritische Wirkung / Prüfung","Berechnet"))))))</x:f>
        <x:v>Messwert fehlt</x:v>
      </x:c>
      <x:c r="T423" s="14" t="str">
        <x:v>Vollständige fünfstufige numerische Regel.</x:v>
      </x:c>
      <x:c r="U423" s="14" t="str">
        <x:v>≥0,9:+3; 0,75–0,89:+2; 0,6–0,74:0; 0,4–0,59:‑2; &lt;0,4:‑3</x:v>
      </x:c>
      <x:c r="V423" s="14" t="str">
        <x:v>ESRS G1, GRI 205/207, OECD Anti‑Bribery</x:v>
      </x:c>
      <x:c r="W423" s="14" t="str">
        <x:f>'02_Benchmarks'!$P423</x:f>
        <x:v>Optional – kein aktiver Benchmark</x:v>
      </x:c>
      <x:c r="X423" s="14" t="str">
        <x:v>Messgrundlage belegt; Schwellenkalibrierung offen</x:v>
      </x:c>
      <x:c r="Y423" s="14" t="str">
        <x:v>Mittel</x:v>
      </x:c>
      <x:c r="Z423" s="14" t="str">
        <x:v>Arbeitskalibrierung – fachlich zu validieren</x:v>
      </x:c>
      <x:c r="AA423" s="14" t="str">
        <x:v>Organisation/Governance; konsolidierter Kreis und relevante Rechtseinheiten</x:v>
      </x:c>
      <x:c r="AB423" s="14" t="str">
        <x:v>Primärdaten bevorzugt; Sekundärdaten nur transparent und versioniert; Methode und Systemgrenze dokumentieren</x:v>
      </x:c>
      <x:c r="AC423" s="14" t="str">
        <x:v>Limited Assurance; risikobasiert höhere Prüftiefe</x:v>
      </x:c>
    </x:row>
    <x:row r="424" ht="42" customHeight="1">
      <x:c r="A424" s="14" t="str">
        <x:v>WOK-G-184</x:v>
      </x:c>
      <x:c r="B424" s="14" t="str">
        <x:v>SDG 16 – Institutionen</x:v>
      </x:c>
      <x:c r="C424" s="14" t="str">
        <x:v>16.6</x:v>
      </x:c>
      <x:c r="D424" s="14" t="str">
        <x:v>Transparente Beschaffung</x:v>
      </x:c>
      <x:c r="E424" s="14" t="str">
        <x:v>Transparente Beschaffung – Steuertransparenz</x:v>
      </x:c>
      <x:c r="F424" s="14" t="str">
        <x:v>0–1</x:v>
      </x:c>
      <x:c r="G424" s="14" t="str">
        <x:v>higher_is_better</x:v>
      </x:c>
      <x:c r="H424" s="14" t="str">
        <x:v>R08</x:v>
      </x:c>
      <x:c r="I424" s="14" t="str">
        <x:v>QUALITATIVE</x:v>
      </x:c>
      <x:c r="J424" s="51"/>
      <x:c r="K424" s="51"/>
      <x:c r="L424" s="51"/>
      <x:c r="M424" s="54"/>
      <x:c r="N424" s="58" t="str">
        <x:f>""</x:f>
      </x:c>
      <x:c r="O424" s="58" t="str">
        <x:f>IF($J424="","",IF(OR('02_Benchmarks'!$P424&lt;&gt;"Aktiv",COUNT('02_Benchmarks'!$J424:$M424)&lt;4),"",IF($G424="lower_is_better",IF($J424&lt;='02_Benchmarks'!$J424,3,IF($J424&lt;'02_Benchmarks'!$K424,2,IF($J424&lt;='02_Benchmarks'!$L424,0,IF($J424&lt;='02_Benchmarks'!$M424,-2,-3)))),IF($J424&gt;='02_Benchmarks'!$J424,3,IF($J424&gt;'02_Benchmarks'!$K424,2,IF($J424&gt;='02_Benchmarks'!$L424,0,IF($J424&gt;='02_Benchmarks'!$M424,-2,-3)))))))</x:f>
      </x:c>
      <x:c r="P424" s="58" t="str">
        <x:f>IF(COUNT($N424:$O424)+IF(ISNUMBER($K424),1,0)=0,"",MIN($N424:$O424,$K424))</x:f>
      </x:c>
      <x:c r="Q424" s="58" t="str">
        <x:f>IF($P424="","",INDEX('04_Tarifmodell'!$B$6:$B$12,$P424+4))</x:f>
      </x:c>
      <x:c r="R424" s="64" t="str">
        <x:f>IF($P424="","",INDEX('04_Tarifmodell'!$C$6:$C$12,$P424+4))</x:f>
      </x:c>
      <x:c r="S424" s="14" t="str">
        <x:f>IF(OR($I424="QUALITATIVE",$I424="MANUAL_HYBRID"),IF($K424="","Assurance-Score fehlt","Assurance-bewertet"),IF($I424="BENCHMARK",IF($W424&lt;&gt;"Aktiv",IF($K424="","Benchmark fehlt","Assurance-bewertet"),IF($J424="","Messwert fehlt",IF($P424="","Nicht bewertbar","Berechnet"))),IF(AND($J424="",$K424&lt;&gt;""),"Nur Assurance-Score",IF($J424="","Messwert fehlt",IF($P424="","Nicht bewertbar",IF($P424&lt;=-2,"Kritische Wirkung / Prüfung","Berechnet"))))))</x:f>
        <x:v>Assurance-Score fehlt</x:v>
      </x:c>
      <x:c r="T424" s="14" t="str">
        <x:v>Die Kategorie −3 fehlt; Vollständigkeit und Wirksamkeit sind feldspezifisch zu definieren.</x:v>
      </x:c>
      <x:c r="U424" s="14" t="str">
        <x:v>vollständig:+3; teilweise:+2; minimal:0; schlecht:‑2</x:v>
      </x:c>
      <x:c r="V424" s="14" t="str">
        <x:v>ESRS G1, GRI 205/207, OECD Anti‑Bribery</x:v>
      </x:c>
      <x:c r="W424" s="14" t="str">
        <x:f>'02_Benchmarks'!$P424</x:f>
        <x:v>Optional – kein aktiver Benchmark</x:v>
      </x:c>
      <x:c r="X424" s="14" t="str">
        <x:v>Messgrundlage belegt; Schwellenkalibrierung offen</x:v>
      </x:c>
      <x:c r="Y424" s="14" t="str">
        <x:v>Hoch</x:v>
      </x:c>
      <x:c r="Z424" s="14" t="str">
        <x:v>Assurance und Kriterienkatalog erforderlich</x:v>
      </x:c>
      <x:c r="AA424" s="14" t="str">
        <x:v>Organisation/Governance; konsolidierter Kreis und relevante Rechtseinheiten</x:v>
      </x:c>
      <x:c r="AB424" s="14" t="str">
        <x:v>Dokumentierter Kriterienkatalog; nachvollziehbare Evidenz; DQR A/B bevorzugt</x:v>
      </x:c>
      <x:c r="AC424" s="14" t="str">
        <x:v>Unabhängige Fachprüfung/Limited Assurance; bei roten Linien Reasonable Assurance</x:v>
      </x:c>
    </x:row>
    <x:row r="425" ht="42" customHeight="1">
      <x:c r="A425" s="14" t="str">
        <x:v>WOK-SC-137</x:v>
      </x:c>
      <x:c r="B425" s="14" t="str">
        <x:v>SDG 16 – Institutionen</x:v>
      </x:c>
      <x:c r="C425" s="14" t="str">
        <x:v>16.7</x:v>
      </x:c>
      <x:c r="D425" s="14" t="str">
        <x:v>Responsible Sourcing (Governance)</x:v>
      </x:c>
      <x:c r="E425" s="14" t="str">
        <x:v>Responsible Sourcing (Governance) – ESG‑Spend‑Coverage</x:v>
      </x:c>
      <x:c r="F425" s="14" t="str">
        <x:v>%</x:v>
      </x:c>
      <x:c r="G425" s="14" t="str">
        <x:v>higher_is_better</x:v>
      </x:c>
      <x:c r="H425" s="14" t="str">
        <x:v>R26</x:v>
      </x:c>
      <x:c r="I425" s="14" t="str">
        <x:v>NUM_HIGH</x:v>
      </x:c>
      <x:c r="J425" s="51"/>
      <x:c r="K425" s="51"/>
      <x:c r="L425" s="51"/>
      <x:c r="M425" s="54"/>
      <x:c r="N425" s="58" t="str">
        <x:f>IF($J425="","",IF($J425&lt;30,-3,IF($J425&lt;50,-2,IF($J425&lt;70,0,IF($J425&lt;90,2,3)))))</x:f>
      </x:c>
      <x:c r="O425" s="58" t="str">
        <x:f>IF($J425="","",IF(OR('02_Benchmarks'!$P425&lt;&gt;"Aktiv",COUNT('02_Benchmarks'!$J425:$M425)&lt;4),"",IF($G425="lower_is_better",IF($J425&lt;='02_Benchmarks'!$J425,3,IF($J425&lt;'02_Benchmarks'!$K425,2,IF($J425&lt;='02_Benchmarks'!$L425,0,IF($J425&lt;='02_Benchmarks'!$M425,-2,-3)))),IF($J425&gt;='02_Benchmarks'!$J425,3,IF($J425&gt;'02_Benchmarks'!$K425,2,IF($J425&gt;='02_Benchmarks'!$L425,0,IF($J425&gt;='02_Benchmarks'!$M425,-2,-3)))))))</x:f>
      </x:c>
      <x:c r="P425" s="58" t="str">
        <x:f>IF(COUNT($N425:$O425)+IF(ISNUMBER($K425),1,0)=0,"",MIN($N425:$O425,$K425))</x:f>
      </x:c>
      <x:c r="Q425" s="58" t="str">
        <x:f>IF($P425="","",INDEX('04_Tarifmodell'!$B$6:$B$12,$P425+4))</x:f>
      </x:c>
      <x:c r="R425" s="64" t="str">
        <x:f>IF($P425="","",INDEX('04_Tarifmodell'!$C$6:$C$12,$P425+4))</x:f>
      </x:c>
      <x:c r="S425" s="14" t="str">
        <x:f>IF(OR($I425="QUALITATIVE",$I425="MANUAL_HYBRID"),IF($K425="","Assurance-Score fehlt","Assurance-bewertet"),IF($I425="BENCHMARK",IF($W425&lt;&gt;"Aktiv",IF($K425="","Benchmark fehlt","Assurance-bewertet"),IF($J425="","Messwert fehlt",IF($P425="","Nicht bewertbar","Berechnet"))),IF(AND($J425="",$K425&lt;&gt;""),"Nur Assurance-Score",IF($J425="","Messwert fehlt",IF($P425="","Nicht bewertbar",IF($P425&lt;=-2,"Kritische Wirkung / Prüfung","Berechnet"))))))</x:f>
        <x:v>Messwert fehlt</x:v>
      </x:c>
      <x:c r="T425" s="14" t="str">
        <x:v>Vollständige fünfstufige numerische Regel.</x:v>
      </x:c>
      <x:c r="U425" s="14" t="str">
        <x:v>≥90:+3; 70–89:+2; 50–69:0; 30–49:‑2; &lt;30:‑3</x:v>
      </x:c>
      <x:c r="V425" s="14" t="str">
        <x:v>ESRS G1, GRI 205/207, OECD Anti‑Bribery</x:v>
      </x:c>
      <x:c r="W425" s="14" t="str">
        <x:f>'02_Benchmarks'!$P425</x:f>
        <x:v>Optional – kein aktiver Benchmark</x:v>
      </x:c>
      <x:c r="X425" s="14" t="str">
        <x:v>Messgrundlage belegt; Schwellenkalibrierung offen</x:v>
      </x:c>
      <x:c r="Y425" s="14" t="str">
        <x:v>Mittel</x:v>
      </x:c>
      <x:c r="Z425" s="14" t="str">
        <x:v>Arbeitskalibrierung – fachlich zu validieren</x:v>
      </x:c>
      <x:c r="AA425" s="14" t="str">
        <x:v>Vorgelagerte Lieferkette; relevante Tier-Stufen und Beschaffungsvolumen</x:v>
      </x:c>
      <x:c r="AB425" s="14" t="str">
        <x:v>Primärdaten bevorzugt; Sekundärdaten nur transparent und versioniert; Methode und Systemgrenze dokumentieren</x:v>
      </x:c>
      <x:c r="AC425" s="14" t="str">
        <x:v>Limited Assurance; risikobasiert höhere Prüftiefe</x:v>
      </x:c>
    </x:row>
    <x:row r="426" ht="42" customHeight="1">
      <x:c r="A426" s="14" t="str">
        <x:v>WOK-SC-138</x:v>
      </x:c>
      <x:c r="B426" s="14" t="str">
        <x:v>SDG 16 – Institutionen</x:v>
      </x:c>
      <x:c r="C426" s="14" t="str">
        <x:v>16.7</x:v>
      </x:c>
      <x:c r="D426" s="14" t="str">
        <x:v>Responsible Sourcing (Governance)</x:v>
      </x:c>
      <x:c r="E426" s="14" t="str">
        <x:v>Responsible Sourcing (Governance) – Kinder/Zwangsarbeit</x:v>
      </x:c>
      <x:c r="F426" s="14" t="str">
        <x:v>% Lieferanten</x:v>
      </x:c>
      <x:c r="G426" s="14" t="str">
        <x:v>higher_is_better</x:v>
      </x:c>
      <x:c r="H426" s="14" t="str">
        <x:v>R28</x:v>
      </x:c>
      <x:c r="I426" s="14" t="str">
        <x:v>NUM_HIGH</x:v>
      </x:c>
      <x:c r="J426" s="51"/>
      <x:c r="K426" s="51"/>
      <x:c r="L426" s="51"/>
      <x:c r="M426" s="54"/>
      <x:c r="N426" s="58" t="str">
        <x:f>IF($J426="","",IF($J426&lt;50,-3,IF($J426&lt;75,-2,IF($J426&lt;90,0,IF($J426&lt;98,2,3)))))</x:f>
      </x:c>
      <x:c r="O426" s="58" t="str">
        <x:f>IF($J426="","",IF(OR('02_Benchmarks'!$P426&lt;&gt;"Aktiv",COUNT('02_Benchmarks'!$J426:$M426)&lt;4),"",IF($G426="lower_is_better",IF($J426&lt;='02_Benchmarks'!$J426,3,IF($J426&lt;'02_Benchmarks'!$K426,2,IF($J426&lt;='02_Benchmarks'!$L426,0,IF($J426&lt;='02_Benchmarks'!$M426,-2,-3)))),IF($J426&gt;='02_Benchmarks'!$J426,3,IF($J426&gt;'02_Benchmarks'!$K426,2,IF($J426&gt;='02_Benchmarks'!$L426,0,IF($J426&gt;='02_Benchmarks'!$M426,-2,-3)))))))</x:f>
      </x:c>
      <x:c r="P426" s="58" t="str">
        <x:f>IF(COUNT($N426:$O426)+IF(ISNUMBER($K426),1,0)=0,"",MIN($N426:$O426,$K426))</x:f>
      </x:c>
      <x:c r="Q426" s="58" t="str">
        <x:f>IF($P426="","",INDEX('04_Tarifmodell'!$B$6:$B$12,$P426+4))</x:f>
      </x:c>
      <x:c r="R426" s="64" t="str">
        <x:f>IF($P426="","",INDEX('04_Tarifmodell'!$C$6:$C$12,$P426+4))</x:f>
      </x:c>
      <x:c r="S426" s="14" t="str">
        <x:f>IF(OR($I426="QUALITATIVE",$I426="MANUAL_HYBRID"),IF($K426="","Assurance-Score fehlt","Assurance-bewertet"),IF($I426="BENCHMARK",IF($W426&lt;&gt;"Aktiv",IF($K426="","Benchmark fehlt","Assurance-bewertet"),IF($J426="","Messwert fehlt",IF($P426="","Nicht bewertbar","Berechnet"))),IF(AND($J426="",$K426&lt;&gt;""),"Nur Assurance-Score",IF($J426="","Messwert fehlt",IF($P426="","Nicht bewertbar",IF($P426&lt;=-2,"Kritische Wirkung / Prüfung","Berechnet"))))))</x:f>
        <x:v>Messwert fehlt</x:v>
      </x:c>
      <x:c r="T426" s="14" t="str">
        <x:v>Vollständige fünfstufige numerische Regel.</x:v>
      </x:c>
      <x:c r="U426" s="14" t="str">
        <x:v>≥98:+3; 90–97:+2; 75–89:0; 50–74:‑2; &lt;50:‑3</x:v>
      </x:c>
      <x:c r="V426" s="14" t="str">
        <x:v>ESRS S2, GRI 308/414, OECD Due Diligence</x:v>
      </x:c>
      <x:c r="W426" s="14" t="str">
        <x:f>'02_Benchmarks'!$P426</x:f>
        <x:v>Optional – kein aktiver Benchmark</x:v>
      </x:c>
      <x:c r="X426" s="14" t="str">
        <x:v>Messgrundlage belegt; Schwellenkalibrierung offen</x:v>
      </x:c>
      <x:c r="Y426" s="14" t="str">
        <x:v>Mittel</x:v>
      </x:c>
      <x:c r="Z426" s="14" t="str">
        <x:v>Arbeitskalibrierung – fachlich zu validieren</x:v>
      </x:c>
      <x:c r="AA426" s="14" t="str">
        <x:v>Vorgelagerte Lieferkette; relevante Tier-Stufen und Beschaffungsvolumen</x:v>
      </x:c>
      <x:c r="AB426" s="14" t="str">
        <x:v>Primärdaten bevorzugt; Sekundärdaten nur transparent und versioniert; Methode und Systemgrenze dokumentieren</x:v>
      </x:c>
      <x:c r="AC426" s="14" t="str">
        <x:v>Limited Assurance; risikobasiert höhere Prüftiefe</x:v>
      </x:c>
    </x:row>
    <x:row r="427" ht="42" customHeight="1">
      <x:c r="A427" s="14" t="str">
        <x:v>WOK-SC-139</x:v>
      </x:c>
      <x:c r="B427" s="14" t="str">
        <x:v>SDG 16 – Institutionen</x:v>
      </x:c>
      <x:c r="C427" s="14" t="str">
        <x:v>16.7</x:v>
      </x:c>
      <x:c r="D427" s="14" t="str">
        <x:v>Responsible Sourcing (Governance)</x:v>
      </x:c>
      <x:c r="E427" s="14" t="str">
        <x:v>Responsible Sourcing (Governance) – Scope‑3 Daten</x:v>
      </x:c>
      <x:c r="F427" s="14" t="str">
        <x:v>% Kategorien</x:v>
      </x:c>
      <x:c r="G427" s="14" t="str">
        <x:v>higher_is_better</x:v>
      </x:c>
      <x:c r="H427" s="14" t="str">
        <x:v>R23</x:v>
      </x:c>
      <x:c r="I427" s="14" t="str">
        <x:v>NUM_HIGH</x:v>
      </x:c>
      <x:c r="J427" s="51"/>
      <x:c r="K427" s="51"/>
      <x:c r="L427" s="51"/>
      <x:c r="M427" s="54"/>
      <x:c r="N427" s="58" t="str">
        <x:f>IF($J427="","",IF($J427&lt;20,-3,IF($J427&lt;40,-2,IF($J427&lt;60,0,IF($J427&lt;80,2,3)))))</x:f>
      </x:c>
      <x:c r="O427" s="58" t="str">
        <x:f>IF($J427="","",IF(OR('02_Benchmarks'!$P427&lt;&gt;"Aktiv",COUNT('02_Benchmarks'!$J427:$M427)&lt;4),"",IF($G427="lower_is_better",IF($J427&lt;='02_Benchmarks'!$J427,3,IF($J427&lt;'02_Benchmarks'!$K427,2,IF($J427&lt;='02_Benchmarks'!$L427,0,IF($J427&lt;='02_Benchmarks'!$M427,-2,-3)))),IF($J427&gt;='02_Benchmarks'!$J427,3,IF($J427&gt;'02_Benchmarks'!$K427,2,IF($J427&gt;='02_Benchmarks'!$L427,0,IF($J427&gt;='02_Benchmarks'!$M427,-2,-3)))))))</x:f>
      </x:c>
      <x:c r="P427" s="58" t="str">
        <x:f>IF(COUNT($N427:$O427)+IF(ISNUMBER($K427),1,0)=0,"",MIN($N427:$O427,$K427))</x:f>
      </x:c>
      <x:c r="Q427" s="58" t="str">
        <x:f>IF($P427="","",INDEX('04_Tarifmodell'!$B$6:$B$12,$P427+4))</x:f>
      </x:c>
      <x:c r="R427" s="64" t="str">
        <x:f>IF($P427="","",INDEX('04_Tarifmodell'!$C$6:$C$12,$P427+4))</x:f>
      </x:c>
      <x:c r="S427" s="14" t="str">
        <x:f>IF(OR($I427="QUALITATIVE",$I427="MANUAL_HYBRID"),IF($K427="","Assurance-Score fehlt","Assurance-bewertet"),IF($I427="BENCHMARK",IF($W427&lt;&gt;"Aktiv",IF($K427="","Benchmark fehlt","Assurance-bewertet"),IF($J427="","Messwert fehlt",IF($P427="","Nicht bewertbar","Berechnet"))),IF(AND($J427="",$K427&lt;&gt;""),"Nur Assurance-Score",IF($J427="","Messwert fehlt",IF($P427="","Nicht bewertbar",IF($P427&lt;=-2,"Kritische Wirkung / Prüfung","Berechnet"))))))</x:f>
        <x:v>Messwert fehlt</x:v>
      </x:c>
      <x:c r="T427" s="14" t="str">
        <x:v>Vollständige fünfstufige numerische Regel.</x:v>
      </x:c>
      <x:c r="U427" s="14" t="str">
        <x:v>≥80:+3; 60–79:+2; 40–59:0; 20–39:‑2; &lt;20:‑3</x:v>
      </x:c>
      <x:c r="V427" s="14" t="str">
        <x:v>ESRS E1, GHG Protocol (Corporate/Scope 1–3), ISO 14064/14067</x:v>
      </x:c>
      <x:c r="W427" s="14" t="str">
        <x:f>'02_Benchmarks'!$P427</x:f>
        <x:v>Optional – kein aktiver Benchmark</x:v>
      </x:c>
      <x:c r="X427" s="14" t="str">
        <x:v>Messgrundlage belegt; Schwellenkalibrierung offen</x:v>
      </x:c>
      <x:c r="Y427" s="14" t="str">
        <x:v>Mittel</x:v>
      </x:c>
      <x:c r="Z427" s="14" t="str">
        <x:v>Arbeitskalibrierung – fachlich zu validieren</x:v>
      </x:c>
      <x:c r="AA427" s="14" t="str">
        <x:v>Vorgelagerte Lieferkette; relevante Tier-Stufen und Beschaffungsvolumen</x:v>
      </x:c>
      <x:c r="AB427" s="14" t="str">
        <x:v>Primärdaten bevorzugt; Sekundärdaten nur transparent und versioniert; Methode und Systemgrenze dokumentieren</x:v>
      </x:c>
      <x:c r="AC427" s="14" t="str">
        <x:v>Limited Assurance; risikobasiert höhere Prüftiefe</x:v>
      </x:c>
    </x:row>
    <x:row r="428" ht="42" customHeight="1">
      <x:c r="A428" s="14" t="str">
        <x:v>WOK-G-185</x:v>
      </x:c>
      <x:c r="B428" s="14" t="str">
        <x:v>SDG 16 – Institutionen</x:v>
      </x:c>
      <x:c r="C428" s="14" t="str">
        <x:v>16.6</x:v>
      </x:c>
      <x:c r="D428" s="14" t="str">
        <x:v>Steuertransparenz/CbCR</x:v>
      </x:c>
      <x:c r="E428" s="14" t="str">
        <x:v>Steuertransparenz/CbCR – Antikorruption</x:v>
      </x:c>
      <x:c r="F428" s="14" t="str">
        <x:v>Fälle/1.000 FTE</x:v>
      </x:c>
      <x:c r="G428" s="14" t="str">
        <x:v>lower_is_better</x:v>
      </x:c>
      <x:c r="H428" s="14" t="str">
        <x:v>R01</x:v>
      </x:c>
      <x:c r="I428" s="14" t="str">
        <x:v>NUM_LOW</x:v>
      </x:c>
      <x:c r="J428" s="51"/>
      <x:c r="K428" s="51"/>
      <x:c r="L428" s="51"/>
      <x:c r="M428" s="54"/>
      <x:c r="N428" s="58" t="str">
        <x:f>IF($J428="","",IF($J428&lt;=0,3,IF($J428&lt;=0.2,2,IF($J428&lt;=0.5,0,IF($J428&lt;=1,-2,-3)))))</x:f>
      </x:c>
      <x:c r="O428" s="58" t="str">
        <x:f>IF($J428="","",IF(OR('02_Benchmarks'!$P428&lt;&gt;"Aktiv",COUNT('02_Benchmarks'!$J428:$M428)&lt;4),"",IF($G428="lower_is_better",IF($J428&lt;='02_Benchmarks'!$J428,3,IF($J428&lt;'02_Benchmarks'!$K428,2,IF($J428&lt;='02_Benchmarks'!$L428,0,IF($J428&lt;='02_Benchmarks'!$M428,-2,-3)))),IF($J428&gt;='02_Benchmarks'!$J428,3,IF($J428&gt;'02_Benchmarks'!$K428,2,IF($J428&gt;='02_Benchmarks'!$L428,0,IF($J428&gt;='02_Benchmarks'!$M428,-2,-3)))))))</x:f>
      </x:c>
      <x:c r="P428" s="58" t="str">
        <x:f>IF(COUNT($N428:$O428)+IF(ISNUMBER($K428),1,0)=0,"",MIN($N428:$O428,$K428))</x:f>
      </x:c>
      <x:c r="Q428" s="58" t="str">
        <x:f>IF($P428="","",INDEX('04_Tarifmodell'!$B$6:$B$12,$P428+4))</x:f>
      </x:c>
      <x:c r="R428" s="64" t="str">
        <x:f>IF($P428="","",INDEX('04_Tarifmodell'!$C$6:$C$12,$P428+4))</x:f>
      </x:c>
      <x:c r="S428" s="14" t="str">
        <x:f>IF(OR($I428="QUALITATIVE",$I428="MANUAL_HYBRID"),IF($K428="","Assurance-Score fehlt","Assurance-bewertet"),IF($I428="BENCHMARK",IF($W428&lt;&gt;"Aktiv",IF($K428="","Benchmark fehlt","Assurance-bewertet"),IF($J428="","Messwert fehlt",IF($P428="","Nicht bewertbar","Berechnet"))),IF(AND($J428="",$K428&lt;&gt;""),"Nur Assurance-Score",IF($J428="","Messwert fehlt",IF($P428="","Nicht bewertbar",IF($P428&lt;=-2,"Kritische Wirkung / Prüfung","Berechnet"))))))</x:f>
        <x:v>Messwert fehlt</x:v>
      </x:c>
      <x:c r="T428" s="14" t="str">
        <x:v>Vollständige fünfstufige numerische Regel.</x:v>
      </x:c>
      <x:c r="U428" s="14" t="str">
        <x:v>0:+3; ≤0,2:+2; ≤0,5:0; ≤1:‑2; &gt;1:‑3</x:v>
      </x:c>
      <x:c r="V428" s="14" t="str">
        <x:v>ESRS G1, GRI 205/207, OECD Anti‑Bribery</x:v>
      </x:c>
      <x:c r="W428" s="14" t="str">
        <x:f>'02_Benchmarks'!$P428</x:f>
        <x:v>Optional – kein aktiver Benchmark</x:v>
      </x:c>
      <x:c r="X428" s="14" t="str">
        <x:v>Messgrundlage belegt; Schwellenkalibrierung offen</x:v>
      </x:c>
      <x:c r="Y428" s="14" t="str">
        <x:v>Mittel</x:v>
      </x:c>
      <x:c r="Z428" s="14" t="str">
        <x:v>Arbeitskalibrierung – fachlich zu validieren</x:v>
      </x:c>
      <x:c r="AA428" s="14" t="str">
        <x:v>Organisation/Governance; konsolidierter Kreis und relevante Rechtseinheiten</x:v>
      </x:c>
      <x:c r="AB428" s="14" t="str">
        <x:v>Primärdaten bevorzugt; Sekundärdaten nur transparent und versioniert; Methode und Systemgrenze dokumentieren</x:v>
      </x:c>
      <x:c r="AC428" s="14" t="str">
        <x:v>Limited Assurance; risikobasiert höhere Prüftiefe</x:v>
      </x:c>
    </x:row>
    <x:row r="429" ht="42" customHeight="1">
      <x:c r="A429" s="14" t="str">
        <x:v>WOK-G-186</x:v>
      </x:c>
      <x:c r="B429" s="14" t="str">
        <x:v>SDG 16 – Institutionen</x:v>
      </x:c>
      <x:c r="C429" s="14" t="str">
        <x:v>16.6</x:v>
      </x:c>
      <x:c r="D429" s="14" t="str">
        <x:v>Steuertransparenz/CbCR</x:v>
      </x:c>
      <x:c r="E429" s="14" t="str">
        <x:v>Steuertransparenz/CbCR – Whistleblowing</x:v>
      </x:c>
      <x:c r="F429" s="14" t="str">
        <x:v>0–1</x:v>
      </x:c>
      <x:c r="G429" s="14" t="str">
        <x:v>higher_is_better</x:v>
      </x:c>
      <x:c r="H429" s="14" t="str">
        <x:v>R16</x:v>
      </x:c>
      <x:c r="I429" s="14" t="str">
        <x:v>NUM_HIGH</x:v>
      </x:c>
      <x:c r="J429" s="51"/>
      <x:c r="K429" s="51"/>
      <x:c r="L429" s="51"/>
      <x:c r="M429" s="54"/>
      <x:c r="N429" s="58" t="str">
        <x:f>IF($J429="","",IF($J429&lt;0.4,-3,IF($J429&lt;0.6,-2,IF($J429&lt;0.75,0,IF($J429&lt;0.9,2,3)))))</x:f>
      </x:c>
      <x:c r="O429" s="58" t="str">
        <x:f>IF($J429="","",IF(OR('02_Benchmarks'!$P429&lt;&gt;"Aktiv",COUNT('02_Benchmarks'!$J429:$M429)&lt;4),"",IF($G429="lower_is_better",IF($J429&lt;='02_Benchmarks'!$J429,3,IF($J429&lt;'02_Benchmarks'!$K429,2,IF($J429&lt;='02_Benchmarks'!$L429,0,IF($J429&lt;='02_Benchmarks'!$M429,-2,-3)))),IF($J429&gt;='02_Benchmarks'!$J429,3,IF($J429&gt;'02_Benchmarks'!$K429,2,IF($J429&gt;='02_Benchmarks'!$L429,0,IF($J429&gt;='02_Benchmarks'!$M429,-2,-3)))))))</x:f>
      </x:c>
      <x:c r="P429" s="58" t="str">
        <x:f>IF(COUNT($N429:$O429)+IF(ISNUMBER($K429),1,0)=0,"",MIN($N429:$O429,$K429))</x:f>
      </x:c>
      <x:c r="Q429" s="58" t="str">
        <x:f>IF($P429="","",INDEX('04_Tarifmodell'!$B$6:$B$12,$P429+4))</x:f>
      </x:c>
      <x:c r="R429" s="64" t="str">
        <x:f>IF($P429="","",INDEX('04_Tarifmodell'!$C$6:$C$12,$P429+4))</x:f>
      </x:c>
      <x:c r="S429" s="14" t="str">
        <x:f>IF(OR($I429="QUALITATIVE",$I429="MANUAL_HYBRID"),IF($K429="","Assurance-Score fehlt","Assurance-bewertet"),IF($I429="BENCHMARK",IF($W429&lt;&gt;"Aktiv",IF($K429="","Benchmark fehlt","Assurance-bewertet"),IF($J429="","Messwert fehlt",IF($P429="","Nicht bewertbar","Berechnet"))),IF(AND($J429="",$K429&lt;&gt;""),"Nur Assurance-Score",IF($J429="","Messwert fehlt",IF($P429="","Nicht bewertbar",IF($P429&lt;=-2,"Kritische Wirkung / Prüfung","Berechnet"))))))</x:f>
        <x:v>Messwert fehlt</x:v>
      </x:c>
      <x:c r="T429" s="14" t="str">
        <x:v>Vollständige fünfstufige numerische Regel.</x:v>
      </x:c>
      <x:c r="U429" s="14" t="str">
        <x:v>≥0,9:+3; 0,75–0,89:+2; 0,6–0,74:0; 0,4–0,59:‑2; &lt;0,4:‑3</x:v>
      </x:c>
      <x:c r="V429" s="14" t="str">
        <x:v>ESRS G1, GRI 205/207, OECD Anti‑Bribery</x:v>
      </x:c>
      <x:c r="W429" s="14" t="str">
        <x:f>'02_Benchmarks'!$P429</x:f>
        <x:v>Optional – kein aktiver Benchmark</x:v>
      </x:c>
      <x:c r="X429" s="14" t="str">
        <x:v>Messgrundlage belegt; Schwellenkalibrierung offen</x:v>
      </x:c>
      <x:c r="Y429" s="14" t="str">
        <x:v>Mittel</x:v>
      </x:c>
      <x:c r="Z429" s="14" t="str">
        <x:v>Arbeitskalibrierung – fachlich zu validieren</x:v>
      </x:c>
      <x:c r="AA429" s="14" t="str">
        <x:v>Organisation/Governance; konsolidierter Kreis und relevante Rechtseinheiten</x:v>
      </x:c>
      <x:c r="AB429" s="14" t="str">
        <x:v>Primärdaten bevorzugt; Sekundärdaten nur transparent und versioniert; Methode und Systemgrenze dokumentieren</x:v>
      </x:c>
      <x:c r="AC429" s="14" t="str">
        <x:v>Limited Assurance; risikobasiert höhere Prüftiefe</x:v>
      </x:c>
    </x:row>
    <x:row r="430" ht="42" customHeight="1">
      <x:c r="A430" s="14" t="str">
        <x:v>WOK-G-187</x:v>
      </x:c>
      <x:c r="B430" s="14" t="str">
        <x:v>SDG 16 – Institutionen</x:v>
      </x:c>
      <x:c r="C430" s="14" t="str">
        <x:v>16.6</x:v>
      </x:c>
      <x:c r="D430" s="14" t="str">
        <x:v>Steuertransparenz/CbCR</x:v>
      </x:c>
      <x:c r="E430" s="14" t="str">
        <x:v>Steuertransparenz/CbCR – Steuertransparenz</x:v>
      </x:c>
      <x:c r="F430" s="14" t="str">
        <x:v>0–1</x:v>
      </x:c>
      <x:c r="G430" s="14" t="str">
        <x:v>higher_is_better</x:v>
      </x:c>
      <x:c r="H430" s="14" t="str">
        <x:v>R08</x:v>
      </x:c>
      <x:c r="I430" s="14" t="str">
        <x:v>QUALITATIVE</x:v>
      </x:c>
      <x:c r="J430" s="51"/>
      <x:c r="K430" s="51"/>
      <x:c r="L430" s="51"/>
      <x:c r="M430" s="54"/>
      <x:c r="N430" s="58" t="str">
        <x:f>""</x:f>
      </x:c>
      <x:c r="O430" s="58" t="str">
        <x:f>IF($J430="","",IF(OR('02_Benchmarks'!$P430&lt;&gt;"Aktiv",COUNT('02_Benchmarks'!$J430:$M430)&lt;4),"",IF($G430="lower_is_better",IF($J430&lt;='02_Benchmarks'!$J430,3,IF($J430&lt;'02_Benchmarks'!$K430,2,IF($J430&lt;='02_Benchmarks'!$L430,0,IF($J430&lt;='02_Benchmarks'!$M430,-2,-3)))),IF($J430&gt;='02_Benchmarks'!$J430,3,IF($J430&gt;'02_Benchmarks'!$K430,2,IF($J430&gt;='02_Benchmarks'!$L430,0,IF($J430&gt;='02_Benchmarks'!$M430,-2,-3)))))))</x:f>
      </x:c>
      <x:c r="P430" s="58" t="str">
        <x:f>IF(COUNT($N430:$O430)+IF(ISNUMBER($K430),1,0)=0,"",MIN($N430:$O430,$K430))</x:f>
      </x:c>
      <x:c r="Q430" s="58" t="str">
        <x:f>IF($P430="","",INDEX('04_Tarifmodell'!$B$6:$B$12,$P430+4))</x:f>
      </x:c>
      <x:c r="R430" s="64" t="str">
        <x:f>IF($P430="","",INDEX('04_Tarifmodell'!$C$6:$C$12,$P430+4))</x:f>
      </x:c>
      <x:c r="S430" s="14" t="str">
        <x:f>IF(OR($I430="QUALITATIVE",$I430="MANUAL_HYBRID"),IF($K430="","Assurance-Score fehlt","Assurance-bewertet"),IF($I430="BENCHMARK",IF($W430&lt;&gt;"Aktiv",IF($K430="","Benchmark fehlt","Assurance-bewertet"),IF($J430="","Messwert fehlt",IF($P430="","Nicht bewertbar","Berechnet"))),IF(AND($J430="",$K430&lt;&gt;""),"Nur Assurance-Score",IF($J430="","Messwert fehlt",IF($P430="","Nicht bewertbar",IF($P430&lt;=-2,"Kritische Wirkung / Prüfung","Berechnet"))))))</x:f>
        <x:v>Assurance-Score fehlt</x:v>
      </x:c>
      <x:c r="T430" s="14" t="str">
        <x:v>Die Kategorie −3 fehlt; Vollständigkeit und Wirksamkeit sind feldspezifisch zu definieren.</x:v>
      </x:c>
      <x:c r="U430" s="14" t="str">
        <x:v>vollständig:+3; teilweise:+2; minimal:0; schlecht:‑2</x:v>
      </x:c>
      <x:c r="V430" s="14" t="str">
        <x:v>ESRS G1, GRI 205/207, OECD Anti‑Bribery</x:v>
      </x:c>
      <x:c r="W430" s="14" t="str">
        <x:f>'02_Benchmarks'!$P430</x:f>
        <x:v>Optional – kein aktiver Benchmark</x:v>
      </x:c>
      <x:c r="X430" s="14" t="str">
        <x:v>Messgrundlage belegt; Schwellenkalibrierung offen</x:v>
      </x:c>
      <x:c r="Y430" s="14" t="str">
        <x:v>Hoch</x:v>
      </x:c>
      <x:c r="Z430" s="14" t="str">
        <x:v>Assurance und Kriterienkatalog erforderlich</x:v>
      </x:c>
      <x:c r="AA430" s="14" t="str">
        <x:v>Organisation/Governance; konsolidierter Kreis und relevante Rechtseinheiten</x:v>
      </x:c>
      <x:c r="AB430" s="14" t="str">
        <x:v>Dokumentierter Kriterienkatalog; nachvollziehbare Evidenz; DQR A/B bevorzugt</x:v>
      </x:c>
      <x:c r="AC430" s="14" t="str">
        <x:v>Unabhängige Fachprüfung/Limited Assurance; bei roten Linien Reasonable Assurance</x:v>
      </x:c>
    </x:row>
    <x:row r="431" ht="42" customHeight="1">
      <x:c r="A431" s="14" t="str">
        <x:v>WOK-SYS-149</x:v>
      </x:c>
      <x:c r="B431" s="14" t="str">
        <x:v>SDG 16 – Institutionen</x:v>
      </x:c>
      <x:c r="C431" s="14" t="str">
        <x:v>16.7</x:v>
      </x:c>
      <x:c r="D431" s="14" t="str">
        <x:v>Zivilgesellschaft‑Partnerschaften</x:v>
      </x:c>
      <x:c r="E431" s="14" t="str">
        <x:v>Zivilgesellschaft‑Partnerschaften – Index</x:v>
      </x:c>
      <x:c r="F431" s="14" t="str">
        <x:v>0–1</x:v>
      </x:c>
      <x:c r="G431" s="14" t="str">
        <x:v>higher_is_better</x:v>
      </x:c>
      <x:c r="H431" s="14" t="str">
        <x:v>R15</x:v>
      </x:c>
      <x:c r="I431" s="14" t="str">
        <x:v>NUM_HIGH</x:v>
      </x:c>
      <x:c r="J431" s="51"/>
      <x:c r="K431" s="51"/>
      <x:c r="L431" s="51"/>
      <x:c r="M431" s="54"/>
      <x:c r="N431" s="58" t="str">
        <x:f>IF($J431="","",IF($J431&lt;0.5,-3,IF($J431&lt;0.6,-2,IF($J431&lt;0.7,0,IF($J431&lt;0.8,2,3)))))</x:f>
      </x:c>
      <x:c r="O431" s="58" t="str">
        <x:f>IF($J431="","",IF(OR('02_Benchmarks'!$P431&lt;&gt;"Aktiv",COUNT('02_Benchmarks'!$J431:$M431)&lt;4),"",IF($G431="lower_is_better",IF($J431&lt;='02_Benchmarks'!$J431,3,IF($J431&lt;'02_Benchmarks'!$K431,2,IF($J431&lt;='02_Benchmarks'!$L431,0,IF($J431&lt;='02_Benchmarks'!$M431,-2,-3)))),IF($J431&gt;='02_Benchmarks'!$J431,3,IF($J431&gt;'02_Benchmarks'!$K431,2,IF($J431&gt;='02_Benchmarks'!$L431,0,IF($J431&gt;='02_Benchmarks'!$M431,-2,-3)))))))</x:f>
      </x:c>
      <x:c r="P431" s="58" t="str">
        <x:f>IF(COUNT($N431:$O431)+IF(ISNUMBER($K431),1,0)=0,"",MIN($N431:$O431,$K431))</x:f>
      </x:c>
      <x:c r="Q431" s="58" t="str">
        <x:f>IF($P431="","",INDEX('04_Tarifmodell'!$B$6:$B$12,$P431+4))</x:f>
      </x:c>
      <x:c r="R431" s="64" t="str">
        <x:f>IF($P431="","",INDEX('04_Tarifmodell'!$C$6:$C$12,$P431+4))</x:f>
      </x:c>
      <x:c r="S431" s="14" t="str">
        <x:f>IF(OR($I431="QUALITATIVE",$I431="MANUAL_HYBRID"),IF($K431="","Assurance-Score fehlt","Assurance-bewertet"),IF($I431="BENCHMARK",IF($W431&lt;&gt;"Aktiv",IF($K431="","Benchmark fehlt","Assurance-bewertet"),IF($J431="","Messwert fehlt",IF($P431="","Nicht bewertbar","Berechnet"))),IF(AND($J431="",$K431&lt;&gt;""),"Nur Assurance-Score",IF($J431="","Messwert fehlt",IF($P431="","Nicht bewertbar",IF($P431&lt;=-2,"Kritische Wirkung / Prüfung","Berechnet"))))))</x:f>
        <x:v>Messwert fehlt</x:v>
      </x:c>
      <x:c r="T431" s="14" t="str">
        <x:v>SROI/SDG 17 ist keine hinreichend konkrete Mess- oder Schwellenquelle. Vollständige fünfstufige numerische Regel.</x:v>
      </x:c>
      <x:c r="U431" s="14" t="str">
        <x:v>≥0,8:+3; 0,7–0,79:+2; 0,6–0,69:0; 0,5–0,59:‑2; &lt;0,5:‑3</x:v>
      </x:c>
      <x:c r="V431" s="14" t="str">
        <x:v>SDG 16/17, WJP, V‑Dem</x:v>
      </x:c>
      <x:c r="W431" s="14" t="str">
        <x:f>'02_Benchmarks'!$P431</x:f>
        <x:v>Optional – kein aktiver Benchmark</x:v>
      </x:c>
      <x:c r="X431" s="14" t="str">
        <x:v>Platzhalter – fachliche Operationalisierung offen</x:v>
      </x:c>
      <x:c r="Y431" s="14" t="str">
        <x:v>Kritisch</x:v>
      </x:c>
      <x:c r="Z431" s="14" t="str">
        <x:v>Arbeitskalibrierung – fachlich zu validieren</x:v>
      </x:c>
      <x:c r="AA431" s="14" t="str">
        <x:v>Programm/Portfolio/Systemraum; Empfängergruppe, Region und Zeitraum explizit definieren</x:v>
      </x:c>
      <x:c r="AB431" s="14" t="str">
        <x:v>Primärdaten bevorzugt; Sekundärdaten nur transparent und versioniert; Methode und Systemgrenze dokumentieren</x:v>
      </x:c>
      <x:c r="AC431" s="14" t="str">
        <x:v>Limited Assurance; risikobasiert höhere Prüftiefe</x:v>
      </x:c>
    </x:row>
    <x:row r="432" ht="42" customHeight="1">
      <x:c r="A432" s="14" t="str">
        <x:v>WOK-SYS-150</x:v>
      </x:c>
      <x:c r="B432" s="14" t="str">
        <x:v>SDG 16 – Institutionen</x:v>
      </x:c>
      <x:c r="C432" s="14" t="str">
        <x:v>16.7</x:v>
      </x:c>
      <x:c r="D432" s="14" t="str">
        <x:v>Zivilgesellschaft‑Partnerschaften</x:v>
      </x:c>
      <x:c r="E432" s="14" t="str">
        <x:v>Zivilgesellschaft‑Partnerschaften – Exposure</x:v>
      </x:c>
      <x:c r="F432" s="14" t="str">
        <x:v>%</x:v>
      </x:c>
      <x:c r="G432" s="14" t="str">
        <x:v>lower_is_better</x:v>
      </x:c>
      <x:c r="H432" s="14" t="str">
        <x:v>R13</x:v>
      </x:c>
      <x:c r="I432" s="14" t="str">
        <x:v>NUM_LOW</x:v>
      </x:c>
      <x:c r="J432" s="51"/>
      <x:c r="K432" s="51"/>
      <x:c r="L432" s="51"/>
      <x:c r="M432" s="54"/>
      <x:c r="N432" s="58" t="str">
        <x:f>IF($J432="","",IF($J432&lt;=5,3,IF($J432&lt;=10,2,IF($J432&lt;=20,0,IF($J432&lt;=30,-2,-3)))))</x:f>
      </x:c>
      <x:c r="O432" s="58" t="str">
        <x:f>IF($J432="","",IF(OR('02_Benchmarks'!$P432&lt;&gt;"Aktiv",COUNT('02_Benchmarks'!$J432:$M432)&lt;4),"",IF($G432="lower_is_better",IF($J432&lt;='02_Benchmarks'!$J432,3,IF($J432&lt;'02_Benchmarks'!$K432,2,IF($J432&lt;='02_Benchmarks'!$L432,0,IF($J432&lt;='02_Benchmarks'!$M432,-2,-3)))),IF($J432&gt;='02_Benchmarks'!$J432,3,IF($J432&gt;'02_Benchmarks'!$K432,2,IF($J432&gt;='02_Benchmarks'!$L432,0,IF($J432&gt;='02_Benchmarks'!$M432,-2,-3)))))))</x:f>
      </x:c>
      <x:c r="P432" s="58" t="str">
        <x:f>IF(COUNT($N432:$O432)+IF(ISNUMBER($K432),1,0)=0,"",MIN($N432:$O432,$K432))</x:f>
      </x:c>
      <x:c r="Q432" s="58" t="str">
        <x:f>IF($P432="","",INDEX('04_Tarifmodell'!$B$6:$B$12,$P432+4))</x:f>
      </x:c>
      <x:c r="R432" s="64" t="str">
        <x:f>IF($P432="","",INDEX('04_Tarifmodell'!$C$6:$C$12,$P432+4))</x:f>
      </x:c>
      <x:c r="S432" s="14" t="str">
        <x:f>IF(OR($I432="QUALITATIVE",$I432="MANUAL_HYBRID"),IF($K432="","Assurance-Score fehlt","Assurance-bewertet"),IF($I432="BENCHMARK",IF($W432&lt;&gt;"Aktiv",IF($K432="","Benchmark fehlt","Assurance-bewertet"),IF($J432="","Messwert fehlt",IF($P432="","Nicht bewertbar","Berechnet"))),IF(AND($J432="",$K432&lt;&gt;""),"Nur Assurance-Score",IF($J432="","Messwert fehlt",IF($P432="","Nicht bewertbar",IF($P432&lt;=-2,"Kritische Wirkung / Prüfung","Berechnet"))))))</x:f>
        <x:v>Messwert fehlt</x:v>
      </x:c>
      <x:c r="T432" s="14" t="str">
        <x:v>SROI/SDG 17 ist keine hinreichend konkrete Mess- oder Schwellenquelle. Vollständige fünfstufige numerische Regel.</x:v>
      </x:c>
      <x:c r="U432" s="14" t="str">
        <x:v>≤5:+3; 6–10:+2; 11–20:0; 21–30:‑2; &gt;30:‑3</x:v>
      </x:c>
      <x:c r="V432" s="14" t="str">
        <x:v>SDG 16/17, WJP, V‑Dem</x:v>
      </x:c>
      <x:c r="W432" s="14" t="str">
        <x:f>'02_Benchmarks'!$P432</x:f>
        <x:v>Optional – kein aktiver Benchmark</x:v>
      </x:c>
      <x:c r="X432" s="14" t="str">
        <x:v>Platzhalter – fachliche Operationalisierung offen</x:v>
      </x:c>
      <x:c r="Y432" s="14" t="str">
        <x:v>Kritisch</x:v>
      </x:c>
      <x:c r="Z432" s="14" t="str">
        <x:v>Arbeitskalibrierung – fachlich zu validieren</x:v>
      </x:c>
      <x:c r="AA432" s="14" t="str">
        <x:v>Programm/Portfolio/Systemraum; Empfängergruppe, Region und Zeitraum explizit definieren</x:v>
      </x:c>
      <x:c r="AB432" s="14" t="str">
        <x:v>Primärdaten bevorzugt; Sekundärdaten nur transparent und versioniert; Methode und Systemgrenze dokumentieren</x:v>
      </x:c>
      <x:c r="AC432" s="14" t="str">
        <x:v>Limited Assurance; risikobasiert höhere Prüftiefe</x:v>
      </x:c>
    </x:row>
    <x:row r="433" ht="42" customHeight="1">
      <x:c r="A433" s="14" t="str">
        <x:v>WOK-SYS-151</x:v>
      </x:c>
      <x:c r="B433" s="14" t="str">
        <x:v>SDG 16 – Institutionen</x:v>
      </x:c>
      <x:c r="C433" s="14" t="str">
        <x:v>16.7</x:v>
      </x:c>
      <x:c r="D433" s="14" t="str">
        <x:v>Zivilgesellschaft‑Partnerschaften</x:v>
      </x:c>
      <x:c r="E433" s="14" t="str">
        <x:v>Zivilgesellschaft‑Partnerschaften – Kooperationen</x:v>
      </x:c>
      <x:c r="F433" s="14" t="str">
        <x:v>#/Jahr</x:v>
      </x:c>
      <x:c r="G433" s="14" t="str">
        <x:v>higher_is_better</x:v>
      </x:c>
      <x:c r="H433" s="14" t="str">
        <x:v>R20</x:v>
      </x:c>
      <x:c r="I433" s="14" t="str">
        <x:v>NUM_HIGH</x:v>
      </x:c>
      <x:c r="J433" s="51"/>
      <x:c r="K433" s="51"/>
      <x:c r="L433" s="51"/>
      <x:c r="M433" s="54"/>
      <x:c r="N433" s="58" t="str">
        <x:f>IF($J433="","",IF($J433&lt;0,-3,IF($J433&lt;1,-2,IF($J433&lt;3,0,IF($J433&lt;5,2,3)))))</x:f>
      </x:c>
      <x:c r="O433" s="58" t="str">
        <x:f>IF($J433="","",IF(OR('02_Benchmarks'!$P433&lt;&gt;"Aktiv",COUNT('02_Benchmarks'!$J433:$M433)&lt;4),"",IF($G433="lower_is_better",IF($J433&lt;='02_Benchmarks'!$J433,3,IF($J433&lt;'02_Benchmarks'!$K433,2,IF($J433&lt;='02_Benchmarks'!$L433,0,IF($J433&lt;='02_Benchmarks'!$M433,-2,-3)))),IF($J433&gt;='02_Benchmarks'!$J433,3,IF($J433&gt;'02_Benchmarks'!$K433,2,IF($J433&gt;='02_Benchmarks'!$L433,0,IF($J433&gt;='02_Benchmarks'!$M433,-2,-3)))))))</x:f>
      </x:c>
      <x:c r="P433" s="58" t="str">
        <x:f>IF(COUNT($N433:$O433)+IF(ISNUMBER($K433),1,0)=0,"",MIN($N433:$O433,$K433))</x:f>
      </x:c>
      <x:c r="Q433" s="58" t="str">
        <x:f>IF($P433="","",INDEX('04_Tarifmodell'!$B$6:$B$12,$P433+4))</x:f>
      </x:c>
      <x:c r="R433" s="64" t="str">
        <x:f>IF($P433="","",INDEX('04_Tarifmodell'!$C$6:$C$12,$P433+4))</x:f>
      </x:c>
      <x:c r="S433" s="14" t="str">
        <x:f>IF(OR($I433="QUALITATIVE",$I433="MANUAL_HYBRID"),IF($K433="","Assurance-Score fehlt","Assurance-bewertet"),IF($I433="BENCHMARK",IF($W433&lt;&gt;"Aktiv",IF($K433="","Benchmark fehlt","Assurance-bewertet"),IF($J433="","Messwert fehlt",IF($P433="","Nicht bewertbar","Berechnet"))),IF(AND($J433="",$K433&lt;&gt;""),"Nur Assurance-Score",IF($J433="","Messwert fehlt",IF($P433="","Nicht bewertbar",IF($P433&lt;=-2,"Kritische Wirkung / Prüfung","Berechnet"))))))</x:f>
        <x:v>Messwert fehlt</x:v>
      </x:c>
      <x:c r="T433" s="14" t="str">
        <x:v>SROI/SDG 17 ist keine hinreichend konkrete Mess- oder Schwellenquelle. Für sachlogisch nichtnegative Zählwerte ist 0 die schlechteste reguläre Klasse (−2).</x:v>
      </x:c>
      <x:c r="U433" s="14" t="str">
        <x:v>≥5:+3; 3–4:+2; 1–2:0; 0:‑2</x:v>
      </x:c>
      <x:c r="V433" s="14" t="str">
        <x:v>SDG 16/17, WJP, V‑Dem</x:v>
      </x:c>
      <x:c r="W433" s="14" t="str">
        <x:f>'02_Benchmarks'!$P433</x:f>
        <x:v>Optional – kein aktiver Benchmark</x:v>
      </x:c>
      <x:c r="X433" s="14" t="str">
        <x:v>Platzhalter – fachliche Operationalisierung offen</x:v>
      </x:c>
      <x:c r="Y433" s="14" t="str">
        <x:v>Kritisch</x:v>
      </x:c>
      <x:c r="Z433" s="14" t="str">
        <x:v>Klasse −3 nur für negative/unzulässige Werte ergänzt</x:v>
      </x:c>
      <x:c r="AA433" s="14" t="str">
        <x:v>Programm/Portfolio/Systemraum; Empfängergruppe, Region und Zeitraum explizit definieren</x:v>
      </x:c>
      <x:c r="AB433" s="14" t="str">
        <x:v>Primärdaten bevorzugt; Sekundärdaten nur transparent und versioniert; Methode und Systemgrenze dokumentieren</x:v>
      </x:c>
      <x:c r="AC433" s="14" t="str">
        <x:v>Limited Assurance; risikobasiert höhere Prüftiefe</x:v>
      </x:c>
    </x:row>
    <x:row r="434" ht="42" customHeight="1">
      <x:c r="A434" s="14" t="str">
        <x:v>WOK-POL-116</x:v>
      </x:c>
      <x:c r="B434" s="14" t="str">
        <x:v>SDG 16 – Institutionen</x:v>
      </x:c>
      <x:c r="C434" s="14" t="str">
        <x:v>16.10</x:v>
      </x:c>
      <x:c r="D434" s="14" t="str">
        <x:v>Reg‑Konformität (DSA/AI‑Act)</x:v>
      </x:c>
      <x:c r="E434" s="14" t="str">
        <x:v>Reg‑Konformität (DSA/AI‑Act) – Spezifische Emissionen</x:v>
      </x:c>
      <x:c r="F434" s="14" t="str">
        <x:v>g CO₂e/kWh</x:v>
      </x:c>
      <x:c r="G434" s="14" t="str">
        <x:v>lower_is_better</x:v>
      </x:c>
      <x:c r="H434" s="14" t="str">
        <x:v>R10</x:v>
      </x:c>
      <x:c r="I434" s="14" t="str">
        <x:v>NUM_LOW</x:v>
      </x:c>
      <x:c r="J434" s="51"/>
      <x:c r="K434" s="51"/>
      <x:c r="L434" s="51"/>
      <x:c r="M434" s="54"/>
      <x:c r="N434" s="58" t="str">
        <x:f>IF($J434="","",IF($J434&lt;=100,3,IF($J434&lt;=250,0,IF($J434&lt;=1E+99,-2,IF($J434&lt;=1E+99,-2,-2)))))</x:f>
      </x:c>
      <x:c r="O434" s="58" t="str">
        <x:f>IF($J434="","",IF(OR('02_Benchmarks'!$P434&lt;&gt;"Aktiv",COUNT('02_Benchmarks'!$J434:$M434)&lt;4),"",IF($G434="lower_is_better",IF($J434&lt;='02_Benchmarks'!$J434,3,IF($J434&lt;'02_Benchmarks'!$K434,2,IF($J434&lt;='02_Benchmarks'!$L434,0,IF($J434&lt;='02_Benchmarks'!$M434,-2,-3)))),IF($J434&gt;='02_Benchmarks'!$J434,3,IF($J434&gt;'02_Benchmarks'!$K434,2,IF($J434&gt;='02_Benchmarks'!$L434,0,IF($J434&gt;='02_Benchmarks'!$M434,-2,-3)))))))</x:f>
      </x:c>
      <x:c r="P434" s="58" t="str">
        <x:f>IF(COUNT($N434:$O434)+IF(ISNUMBER($K434),1,0)=0,"",MIN($N434:$O434,$K434))</x:f>
      </x:c>
      <x:c r="Q434" s="58" t="str">
        <x:f>IF($P434="","",INDEX('04_Tarifmodell'!$B$6:$B$12,$P434+4))</x:f>
      </x:c>
      <x:c r="R434" s="64" t="str">
        <x:f>IF($P434="","",INDEX('04_Tarifmodell'!$C$6:$C$12,$P434+4))</x:f>
      </x:c>
      <x:c r="S434" s="14" t="str">
        <x:f>IF(OR($I434="QUALITATIVE",$I434="MANUAL_HYBRID"),IF($K434="","Assurance-Score fehlt","Assurance-bewertet"),IF($I434="BENCHMARK",IF($W434&lt;&gt;"Aktiv",IF($K434="","Benchmark fehlt","Assurance-bewertet"),IF($J434="","Messwert fehlt",IF($P434="","Nicht bewertbar","Berechnet"))),IF(AND($J434="",$K434&lt;&gt;""),"Nur Assurance-Score",IF($J434="","Messwert fehlt",IF($P434="","Nicht bewertbar",IF($P434&lt;=-2,"Kritische Wirkung / Prüfung","Berechnet"))))))</x:f>
        <x:v>Messwert fehlt</x:v>
      </x:c>
      <x:c r="T434" s="14" t="str">
        <x:v>Automatik bildet nur die explizit vorhandenen Klassen ab.</x:v>
      </x:c>
      <x:c r="U434" s="14" t="str">
        <x:v>≤100:+3; 101–250:0; &gt;250:‑2</x:v>
      </x:c>
      <x:c r="V434" s="14" t="str">
        <x:v>ESRS E1, GHG Protocol (Corporate/Scope 1–3), ISO 14064/14067</x:v>
      </x:c>
      <x:c r="W434" s="14" t="str">
        <x:f>'02_Benchmarks'!$P434</x:f>
        <x:v>Optional – kein aktiver Benchmark</x:v>
      </x:c>
      <x:c r="X434" s="14" t="str">
        <x:v>Messgrundlage belegt; Schwellenkalibrierung offen</x:v>
      </x:c>
      <x:c r="Y434" s="14" t="str">
        <x:v>Mittel</x:v>
      </x:c>
      <x:c r="Z434" s="14" t="str">
        <x:v>Klassen +2 und −3 fehlen</x:v>
      </x:c>
      <x:c r="AA434" s="14" t="str">
        <x:v>Technologie-/Aktivitätsklasse; Anlagen-, Netz- oder Flottengrenze ausweisen</x:v>
      </x:c>
      <x:c r="AB434" s="14" t="str">
        <x:v>Primärdaten bevorzugt; Sekundärdaten nur transparent und versioniert; Methode und Systemgrenze dokumentieren</x:v>
      </x:c>
      <x:c r="AC434" s="14" t="str">
        <x:v>Limited Assurance; risikobasiert höhere Prüftiefe</x:v>
      </x:c>
    </x:row>
    <x:row r="435" ht="42" customHeight="1">
      <x:c r="A435" s="14" t="str">
        <x:v>WOK-POL-117</x:v>
      </x:c>
      <x:c r="B435" s="14" t="str">
        <x:v>SDG 16 – Institutionen</x:v>
      </x:c>
      <x:c r="C435" s="14" t="str">
        <x:v>16.10</x:v>
      </x:c>
      <x:c r="D435" s="14" t="str">
        <x:v>Reg‑Konformität (DSA/AI‑Act)</x:v>
      </x:c>
      <x:c r="E435" s="14" t="str">
        <x:v>Reg‑Konformität (DSA/AI‑Act) – DNSH‑Konformität</x:v>
      </x:c>
      <x:c r="F435" s="14" t="str">
        <x:v>% Aktivitäten</x:v>
      </x:c>
      <x:c r="G435" s="14" t="str">
        <x:v>higher_is_better</x:v>
      </x:c>
      <x:c r="H435" s="14" t="str">
        <x:v>R25</x:v>
      </x:c>
      <x:c r="I435" s="14" t="str">
        <x:v>NUM_HIGH</x:v>
      </x:c>
      <x:c r="J435" s="51"/>
      <x:c r="K435" s="51"/>
      <x:c r="L435" s="51"/>
      <x:c r="M435" s="54"/>
      <x:c r="N435" s="58" t="str">
        <x:f>IF($J435="","",IF($J435&lt;30,-3,IF($J435&lt;50,-2,IF($J435&lt;70,0,IF($J435&lt;90,2,3)))))</x:f>
      </x:c>
      <x:c r="O435" s="58" t="str">
        <x:f>IF($J435="","",IF(OR('02_Benchmarks'!$P435&lt;&gt;"Aktiv",COUNT('02_Benchmarks'!$J435:$M435)&lt;4),"",IF($G435="lower_is_better",IF($J435&lt;='02_Benchmarks'!$J435,3,IF($J435&lt;'02_Benchmarks'!$K435,2,IF($J435&lt;='02_Benchmarks'!$L435,0,IF($J435&lt;='02_Benchmarks'!$M435,-2,-3)))),IF($J435&gt;='02_Benchmarks'!$J435,3,IF($J435&gt;'02_Benchmarks'!$K435,2,IF($J435&gt;='02_Benchmarks'!$L435,0,IF($J435&gt;='02_Benchmarks'!$M435,-2,-3)))))))</x:f>
      </x:c>
      <x:c r="P435" s="58" t="str">
        <x:f>IF(COUNT($N435:$O435)+IF(ISNUMBER($K435),1,0)=0,"",MIN($N435:$O435,$K435))</x:f>
      </x:c>
      <x:c r="Q435" s="58" t="str">
        <x:f>IF($P435="","",INDEX('04_Tarifmodell'!$B$6:$B$12,$P435+4))</x:f>
      </x:c>
      <x:c r="R435" s="64" t="str">
        <x:f>IF($P435="","",INDEX('04_Tarifmodell'!$C$6:$C$12,$P435+4))</x:f>
      </x:c>
      <x:c r="S435" s="14" t="str">
        <x:f>IF(OR($I435="QUALITATIVE",$I435="MANUAL_HYBRID"),IF($K435="","Assurance-Score fehlt","Assurance-bewertet"),IF($I435="BENCHMARK",IF($W435&lt;&gt;"Aktiv",IF($K435="","Benchmark fehlt","Assurance-bewertet"),IF($J435="","Messwert fehlt",IF($P435="","Nicht bewertbar","Berechnet"))),IF(AND($J435="",$K435&lt;&gt;""),"Nur Assurance-Score",IF($J435="","Messwert fehlt",IF($P435="","Nicht bewertbar",IF($P435&lt;=-2,"Kritische Wirkung / Prüfung","Berechnet"))))))</x:f>
        <x:v>Messwert fehlt</x:v>
      </x:c>
      <x:c r="T435" s="14" t="str">
        <x:v>Vollständige fünfstufige Prozentregel.</x:v>
      </x:c>
      <x:c r="U435" s="14" t="str">
        <x:v>≥90%:+3; 70–89%:+2; 50–69%:0; 30–49%:‑2; &lt;30%:‑3</x:v>
      </x:c>
      <x:c r="V435" s="14" t="str">
        <x:v>EU‑Taxonomie (TSC &amp; DNSH)</x:v>
      </x:c>
      <x:c r="W435" s="14" t="str">
        <x:f>'02_Benchmarks'!$P435</x:f>
        <x:v>Optional – kein aktiver Benchmark</x:v>
      </x:c>
      <x:c r="X435" s="14" t="str">
        <x:v>Messgrundlage belegt; Schwellenkalibrierung offen</x:v>
      </x:c>
      <x:c r="Y435" s="14" t="str">
        <x:v>Mittel</x:v>
      </x:c>
      <x:c r="Z435" s="14" t="str">
        <x:v>Arbeitskalibrierung – fachlich zu validieren</x:v>
      </x:c>
      <x:c r="AA435" s="14" t="str">
        <x:v>Technologie-/Aktivitätsklasse; Anlagen-, Netz- oder Flottengrenze ausweisen</x:v>
      </x:c>
      <x:c r="AB435" s="14" t="str">
        <x:v>Primärdaten bevorzugt; Sekundärdaten nur transparent und versioniert; Methode und Systemgrenze dokumentieren</x:v>
      </x:c>
      <x:c r="AC435" s="14" t="str">
        <x:v>Limited Assurance; risikobasiert höhere Prüftiefe</x:v>
      </x:c>
    </x:row>
    <x:row r="436" ht="42" customHeight="1">
      <x:c r="A436" s="14" t="str">
        <x:v>WOK-POL-118</x:v>
      </x:c>
      <x:c r="B436" s="14" t="str">
        <x:v>SDG 16 – Institutionen</x:v>
      </x:c>
      <x:c r="C436" s="14" t="str">
        <x:v>16.10</x:v>
      </x:c>
      <x:c r="D436" s="14" t="str">
        <x:v>Reg‑Konformität (DSA/AI‑Act)</x:v>
      </x:c>
      <x:c r="E436" s="14" t="str">
        <x:v>Reg‑Konformität (DSA/AI‑Act) – TSC‑Schwellen</x:v>
      </x:c>
      <x:c r="F436" s="14" t="str">
        <x:v>% Aktivitäten</x:v>
      </x:c>
      <x:c r="G436" s="14" t="str">
        <x:v>higher_is_better</x:v>
      </x:c>
      <x:c r="H436" s="14" t="str">
        <x:v>R25</x:v>
      </x:c>
      <x:c r="I436" s="14" t="str">
        <x:v>NUM_HIGH</x:v>
      </x:c>
      <x:c r="J436" s="51"/>
      <x:c r="K436" s="51"/>
      <x:c r="L436" s="51"/>
      <x:c r="M436" s="54"/>
      <x:c r="N436" s="58" t="str">
        <x:f>IF($J436="","",IF($J436&lt;30,-3,IF($J436&lt;50,-2,IF($J436&lt;70,0,IF($J436&lt;90,2,3)))))</x:f>
      </x:c>
      <x:c r="O436" s="58" t="str">
        <x:f>IF($J436="","",IF(OR('02_Benchmarks'!$P436&lt;&gt;"Aktiv",COUNT('02_Benchmarks'!$J436:$M436)&lt;4),"",IF($G436="lower_is_better",IF($J436&lt;='02_Benchmarks'!$J436,3,IF($J436&lt;'02_Benchmarks'!$K436,2,IF($J436&lt;='02_Benchmarks'!$L436,0,IF($J436&lt;='02_Benchmarks'!$M436,-2,-3)))),IF($J436&gt;='02_Benchmarks'!$J436,3,IF($J436&gt;'02_Benchmarks'!$K436,2,IF($J436&gt;='02_Benchmarks'!$L436,0,IF($J436&gt;='02_Benchmarks'!$M436,-2,-3)))))))</x:f>
      </x:c>
      <x:c r="P436" s="58" t="str">
        <x:f>IF(COUNT($N436:$O436)+IF(ISNUMBER($K436),1,0)=0,"",MIN($N436:$O436,$K436))</x:f>
      </x:c>
      <x:c r="Q436" s="58" t="str">
        <x:f>IF($P436="","",INDEX('04_Tarifmodell'!$B$6:$B$12,$P436+4))</x:f>
      </x:c>
      <x:c r="R436" s="64" t="str">
        <x:f>IF($P436="","",INDEX('04_Tarifmodell'!$C$6:$C$12,$P436+4))</x:f>
      </x:c>
      <x:c r="S436" s="14" t="str">
        <x:f>IF(OR($I436="QUALITATIVE",$I436="MANUAL_HYBRID"),IF($K436="","Assurance-Score fehlt","Assurance-bewertet"),IF($I436="BENCHMARK",IF($W436&lt;&gt;"Aktiv",IF($K436="","Benchmark fehlt","Assurance-bewertet"),IF($J436="","Messwert fehlt",IF($P436="","Nicht bewertbar","Berechnet"))),IF(AND($J436="",$K436&lt;&gt;""),"Nur Assurance-Score",IF($J436="","Messwert fehlt",IF($P436="","Nicht bewertbar",IF($P436&lt;=-2,"Kritische Wirkung / Prüfung","Berechnet"))))))</x:f>
        <x:v>Messwert fehlt</x:v>
      </x:c>
      <x:c r="T436" s="14" t="str">
        <x:v>Vollständige fünfstufige Prozentregel.</x:v>
      </x:c>
      <x:c r="U436" s="14" t="str">
        <x:v>≥90%:+3; 70–89%:+2; 50–69%:0; 30–49%:‑2; &lt;30%:‑3</x:v>
      </x:c>
      <x:c r="V436" s="14" t="str">
        <x:v>EU‑Taxonomie (TSC &amp; DNSH)</x:v>
      </x:c>
      <x:c r="W436" s="14" t="str">
        <x:f>'02_Benchmarks'!$P436</x:f>
        <x:v>Optional – kein aktiver Benchmark</x:v>
      </x:c>
      <x:c r="X436" s="14" t="str">
        <x:v>Messgrundlage belegt; Schwellenkalibrierung offen</x:v>
      </x:c>
      <x:c r="Y436" s="14" t="str">
        <x:v>Mittel</x:v>
      </x:c>
      <x:c r="Z436" s="14" t="str">
        <x:v>Arbeitskalibrierung – fachlich zu validieren</x:v>
      </x:c>
      <x:c r="AA436" s="14" t="str">
        <x:v>Technologie-/Aktivitätsklasse; Anlagen-, Netz- oder Flottengrenze ausweisen</x:v>
      </x:c>
      <x:c r="AB436" s="14" t="str">
        <x:v>Primärdaten bevorzugt; Sekundärdaten nur transparent und versioniert; Methode und Systemgrenze dokumentieren</x:v>
      </x:c>
      <x:c r="AC436" s="14" t="str">
        <x:v>Limited Assurance; risikobasiert höhere Prüftiefe</x:v>
      </x:c>
    </x:row>
    <x:row r="437" ht="42" customHeight="1">
      <x:c r="A437" s="14" t="str">
        <x:v>WOK-SYS-152</x:v>
      </x:c>
      <x:c r="B437" s="14" t="str">
        <x:v>SDG 17 – Partnerschaften</x:v>
      </x:c>
      <x:c r="C437" s="14" t="str">
        <x:v>17.17</x:v>
      </x:c>
      <x:c r="D437" s="14" t="str">
        <x:v>Systemische Kooperationen</x:v>
      </x:c>
      <x:c r="E437" s="14" t="str">
        <x:v>Systemische Kooperationen – Index</x:v>
      </x:c>
      <x:c r="F437" s="14" t="str">
        <x:v>0–1</x:v>
      </x:c>
      <x:c r="G437" s="14" t="str">
        <x:v>higher_is_better</x:v>
      </x:c>
      <x:c r="H437" s="14" t="str">
        <x:v>R15</x:v>
      </x:c>
      <x:c r="I437" s="14" t="str">
        <x:v>NUM_HIGH</x:v>
      </x:c>
      <x:c r="J437" s="51"/>
      <x:c r="K437" s="51"/>
      <x:c r="L437" s="51"/>
      <x:c r="M437" s="54"/>
      <x:c r="N437" s="58" t="str">
        <x:f>IF($J437="","",IF($J437&lt;0.5,-3,IF($J437&lt;0.6,-2,IF($J437&lt;0.7,0,IF($J437&lt;0.8,2,3)))))</x:f>
      </x:c>
      <x:c r="O437" s="58" t="str">
        <x:f>IF($J437="","",IF(OR('02_Benchmarks'!$P437&lt;&gt;"Aktiv",COUNT('02_Benchmarks'!$J437:$M437)&lt;4),"",IF($G437="lower_is_better",IF($J437&lt;='02_Benchmarks'!$J437,3,IF($J437&lt;'02_Benchmarks'!$K437,2,IF($J437&lt;='02_Benchmarks'!$L437,0,IF($J437&lt;='02_Benchmarks'!$M437,-2,-3)))),IF($J437&gt;='02_Benchmarks'!$J437,3,IF($J437&gt;'02_Benchmarks'!$K437,2,IF($J437&gt;='02_Benchmarks'!$L437,0,IF($J437&gt;='02_Benchmarks'!$M437,-2,-3)))))))</x:f>
      </x:c>
      <x:c r="P437" s="58" t="str">
        <x:f>IF(COUNT($N437:$O437)+IF(ISNUMBER($K437),1,0)=0,"",MIN($N437:$O437,$K437))</x:f>
      </x:c>
      <x:c r="Q437" s="58" t="str">
        <x:f>IF($P437="","",INDEX('04_Tarifmodell'!$B$6:$B$12,$P437+4))</x:f>
      </x:c>
      <x:c r="R437" s="64" t="str">
        <x:f>IF($P437="","",INDEX('04_Tarifmodell'!$C$6:$C$12,$P437+4))</x:f>
      </x:c>
      <x:c r="S437" s="14" t="str">
        <x:f>IF(OR($I437="QUALITATIVE",$I437="MANUAL_HYBRID"),IF($K437="","Assurance-Score fehlt","Assurance-bewertet"),IF($I437="BENCHMARK",IF($W437&lt;&gt;"Aktiv",IF($K437="","Benchmark fehlt","Assurance-bewertet"),IF($J437="","Messwert fehlt",IF($P437="","Nicht bewertbar","Berechnet"))),IF(AND($J437="",$K437&lt;&gt;""),"Nur Assurance-Score",IF($J437="","Messwert fehlt",IF($P437="","Nicht bewertbar",IF($P437&lt;=-2,"Kritische Wirkung / Prüfung","Berechnet"))))))</x:f>
        <x:v>Messwert fehlt</x:v>
      </x:c>
      <x:c r="T437" s="14" t="str">
        <x:v>SROI/SDG 17 ist keine hinreichend konkrete Mess- oder Schwellenquelle. Vollständige fünfstufige numerische Regel.</x:v>
      </x:c>
      <x:c r="U437" s="14" t="str">
        <x:v>≥0,8:+3; 0,7–0,79:+2; 0,6–0,69:0; 0,5–0,59:‑2; &lt;0,5:‑3</x:v>
      </x:c>
      <x:c r="V437" s="14" t="str">
        <x:v>SDG 16/17, WJP, V‑Dem</x:v>
      </x:c>
      <x:c r="W437" s="14" t="str">
        <x:f>'02_Benchmarks'!$P437</x:f>
        <x:v>Optional – kein aktiver Benchmark</x:v>
      </x:c>
      <x:c r="X437" s="14" t="str">
        <x:v>Platzhalter – fachliche Operationalisierung offen</x:v>
      </x:c>
      <x:c r="Y437" s="14" t="str">
        <x:v>Kritisch</x:v>
      </x:c>
      <x:c r="Z437" s="14" t="str">
        <x:v>Arbeitskalibrierung – fachlich zu validieren</x:v>
      </x:c>
      <x:c r="AA437" s="14" t="str">
        <x:v>Programm/Portfolio/Systemraum; Empfängergruppe, Region und Zeitraum explizit definieren</x:v>
      </x:c>
      <x:c r="AB437" s="14" t="str">
        <x:v>Primärdaten bevorzugt; Sekundärdaten nur transparent und versioniert; Methode und Systemgrenze dokumentieren</x:v>
      </x:c>
      <x:c r="AC437" s="14" t="str">
        <x:v>Limited Assurance; risikobasiert höhere Prüftiefe</x:v>
      </x:c>
    </x:row>
    <x:row r="438" ht="42" customHeight="1">
      <x:c r="A438" s="14" t="str">
        <x:v>WOK-SYS-153</x:v>
      </x:c>
      <x:c r="B438" s="14" t="str">
        <x:v>SDG 17 – Partnerschaften</x:v>
      </x:c>
      <x:c r="C438" s="14" t="str">
        <x:v>17.17</x:v>
      </x:c>
      <x:c r="D438" s="14" t="str">
        <x:v>Systemische Kooperationen</x:v>
      </x:c>
      <x:c r="E438" s="14" t="str">
        <x:v>Systemische Kooperationen – Exposure</x:v>
      </x:c>
      <x:c r="F438" s="14" t="str">
        <x:v>%</x:v>
      </x:c>
      <x:c r="G438" s="14" t="str">
        <x:v>lower_is_better</x:v>
      </x:c>
      <x:c r="H438" s="14" t="str">
        <x:v>R13</x:v>
      </x:c>
      <x:c r="I438" s="14" t="str">
        <x:v>NUM_LOW</x:v>
      </x:c>
      <x:c r="J438" s="51"/>
      <x:c r="K438" s="51"/>
      <x:c r="L438" s="51"/>
      <x:c r="M438" s="54"/>
      <x:c r="N438" s="58" t="str">
        <x:f>IF($J438="","",IF($J438&lt;=5,3,IF($J438&lt;=10,2,IF($J438&lt;=20,0,IF($J438&lt;=30,-2,-3)))))</x:f>
      </x:c>
      <x:c r="O438" s="58" t="str">
        <x:f>IF($J438="","",IF(OR('02_Benchmarks'!$P438&lt;&gt;"Aktiv",COUNT('02_Benchmarks'!$J438:$M438)&lt;4),"",IF($G438="lower_is_better",IF($J438&lt;='02_Benchmarks'!$J438,3,IF($J438&lt;'02_Benchmarks'!$K438,2,IF($J438&lt;='02_Benchmarks'!$L438,0,IF($J438&lt;='02_Benchmarks'!$M438,-2,-3)))),IF($J438&gt;='02_Benchmarks'!$J438,3,IF($J438&gt;'02_Benchmarks'!$K438,2,IF($J438&gt;='02_Benchmarks'!$L438,0,IF($J438&gt;='02_Benchmarks'!$M438,-2,-3)))))))</x:f>
      </x:c>
      <x:c r="P438" s="58" t="str">
        <x:f>IF(COUNT($N438:$O438)+IF(ISNUMBER($K438),1,0)=0,"",MIN($N438:$O438,$K438))</x:f>
      </x:c>
      <x:c r="Q438" s="58" t="str">
        <x:f>IF($P438="","",INDEX('04_Tarifmodell'!$B$6:$B$12,$P438+4))</x:f>
      </x:c>
      <x:c r="R438" s="64" t="str">
        <x:f>IF($P438="","",INDEX('04_Tarifmodell'!$C$6:$C$12,$P438+4))</x:f>
      </x:c>
      <x:c r="S438" s="14" t="str">
        <x:f>IF(OR($I438="QUALITATIVE",$I438="MANUAL_HYBRID"),IF($K438="","Assurance-Score fehlt","Assurance-bewertet"),IF($I438="BENCHMARK",IF($W438&lt;&gt;"Aktiv",IF($K438="","Benchmark fehlt","Assurance-bewertet"),IF($J438="","Messwert fehlt",IF($P438="","Nicht bewertbar","Berechnet"))),IF(AND($J438="",$K438&lt;&gt;""),"Nur Assurance-Score",IF($J438="","Messwert fehlt",IF($P438="","Nicht bewertbar",IF($P438&lt;=-2,"Kritische Wirkung / Prüfung","Berechnet"))))))</x:f>
        <x:v>Messwert fehlt</x:v>
      </x:c>
      <x:c r="T438" s="14" t="str">
        <x:v>SROI/SDG 17 ist keine hinreichend konkrete Mess- oder Schwellenquelle. Vollständige fünfstufige numerische Regel.</x:v>
      </x:c>
      <x:c r="U438" s="14" t="str">
        <x:v>≤5:+3; 6–10:+2; 11–20:0; 21–30:‑2; &gt;30:‑3</x:v>
      </x:c>
      <x:c r="V438" s="14" t="str">
        <x:v>SROI/SDG17</x:v>
      </x:c>
      <x:c r="W438" s="14" t="str">
        <x:f>'02_Benchmarks'!$P438</x:f>
        <x:v>Optional – kein aktiver Benchmark</x:v>
      </x:c>
      <x:c r="X438" s="14" t="str">
        <x:v>Platzhalter – fachliche Operationalisierung offen</x:v>
      </x:c>
      <x:c r="Y438" s="14" t="str">
        <x:v>Kritisch</x:v>
      </x:c>
      <x:c r="Z438" s="14" t="str">
        <x:v>Arbeitskalibrierung – fachlich zu validieren</x:v>
      </x:c>
      <x:c r="AA438" s="14" t="str">
        <x:v>Programm/Portfolio/Systemraum; Empfängergruppe, Region und Zeitraum explizit definieren</x:v>
      </x:c>
      <x:c r="AB438" s="14" t="str">
        <x:v>Primärdaten bevorzugt; Sekundärdaten nur transparent und versioniert; Methode und Systemgrenze dokumentieren</x:v>
      </x:c>
      <x:c r="AC438" s="14" t="str">
        <x:v>Limited Assurance; risikobasiert höhere Prüftiefe</x:v>
      </x:c>
    </x:row>
    <x:row r="439" ht="42" customHeight="1">
      <x:c r="A439" s="14" t="str">
        <x:v>WOK-SYS-154</x:v>
      </x:c>
      <x:c r="B439" s="14" t="str">
        <x:v>SDG 17 – Partnerschaften</x:v>
      </x:c>
      <x:c r="C439" s="14" t="str">
        <x:v>17.17</x:v>
      </x:c>
      <x:c r="D439" s="14" t="str">
        <x:v>Systemische Kooperationen</x:v>
      </x:c>
      <x:c r="E439" s="14" t="str">
        <x:v>Systemische Kooperationen – Kooperationen</x:v>
      </x:c>
      <x:c r="F439" s="14" t="str">
        <x:v>#/Jahr</x:v>
      </x:c>
      <x:c r="G439" s="14" t="str">
        <x:v>higher_is_better</x:v>
      </x:c>
      <x:c r="H439" s="14" t="str">
        <x:v>R20</x:v>
      </x:c>
      <x:c r="I439" s="14" t="str">
        <x:v>NUM_HIGH</x:v>
      </x:c>
      <x:c r="J439" s="51"/>
      <x:c r="K439" s="51"/>
      <x:c r="L439" s="51"/>
      <x:c r="M439" s="54"/>
      <x:c r="N439" s="58" t="str">
        <x:f>IF($J439="","",IF($J439&lt;0,-3,IF($J439&lt;1,-2,IF($J439&lt;3,0,IF($J439&lt;5,2,3)))))</x:f>
      </x:c>
      <x:c r="O439" s="58" t="str">
        <x:f>IF($J439="","",IF(OR('02_Benchmarks'!$P439&lt;&gt;"Aktiv",COUNT('02_Benchmarks'!$J439:$M439)&lt;4),"",IF($G439="lower_is_better",IF($J439&lt;='02_Benchmarks'!$J439,3,IF($J439&lt;'02_Benchmarks'!$K439,2,IF($J439&lt;='02_Benchmarks'!$L439,0,IF($J439&lt;='02_Benchmarks'!$M439,-2,-3)))),IF($J439&gt;='02_Benchmarks'!$J439,3,IF($J439&gt;'02_Benchmarks'!$K439,2,IF($J439&gt;='02_Benchmarks'!$L439,0,IF($J439&gt;='02_Benchmarks'!$M439,-2,-3)))))))</x:f>
      </x:c>
      <x:c r="P439" s="58" t="str">
        <x:f>IF(COUNT($N439:$O439)+IF(ISNUMBER($K439),1,0)=0,"",MIN($N439:$O439,$K439))</x:f>
      </x:c>
      <x:c r="Q439" s="58" t="str">
        <x:f>IF($P439="","",INDEX('04_Tarifmodell'!$B$6:$B$12,$P439+4))</x:f>
      </x:c>
      <x:c r="R439" s="64" t="str">
        <x:f>IF($P439="","",INDEX('04_Tarifmodell'!$C$6:$C$12,$P439+4))</x:f>
      </x:c>
      <x:c r="S439" s="14" t="str">
        <x:f>IF(OR($I439="QUALITATIVE",$I439="MANUAL_HYBRID"),IF($K439="","Assurance-Score fehlt","Assurance-bewertet"),IF($I439="BENCHMARK",IF($W439&lt;&gt;"Aktiv",IF($K439="","Benchmark fehlt","Assurance-bewertet"),IF($J439="","Messwert fehlt",IF($P439="","Nicht bewertbar","Berechnet"))),IF(AND($J439="",$K439&lt;&gt;""),"Nur Assurance-Score",IF($J439="","Messwert fehlt",IF($P439="","Nicht bewertbar",IF($P439&lt;=-2,"Kritische Wirkung / Prüfung","Berechnet"))))))</x:f>
        <x:v>Messwert fehlt</x:v>
      </x:c>
      <x:c r="T439" s="14" t="str">
        <x:v>SROI/SDG 17 ist keine hinreichend konkrete Mess- oder Schwellenquelle. Für sachlogisch nichtnegative Zählwerte ist 0 die schlechteste reguläre Klasse (−2).</x:v>
      </x:c>
      <x:c r="U439" s="14" t="str">
        <x:v>≥5:+3; 3–4:+2; 1–2:0; 0:‑2</x:v>
      </x:c>
      <x:c r="V439" s="14" t="str">
        <x:v>SDG 16/17, WJP, V‑Dem</x:v>
      </x:c>
      <x:c r="W439" s="14" t="str">
        <x:f>'02_Benchmarks'!$P439</x:f>
        <x:v>Optional – kein aktiver Benchmark</x:v>
      </x:c>
      <x:c r="X439" s="14" t="str">
        <x:v>Platzhalter – fachliche Operationalisierung offen</x:v>
      </x:c>
      <x:c r="Y439" s="14" t="str">
        <x:v>Kritisch</x:v>
      </x:c>
      <x:c r="Z439" s="14" t="str">
        <x:v>Klasse −3 nur für negative/unzulässige Werte ergänzt</x:v>
      </x:c>
      <x:c r="AA439" s="14" t="str">
        <x:v>Programm/Portfolio/Systemraum; Empfängergruppe, Region und Zeitraum explizit definieren</x:v>
      </x:c>
      <x:c r="AB439" s="14" t="str">
        <x:v>Primärdaten bevorzugt; Sekundärdaten nur transparent und versioniert; Methode und Systemgrenze dokumentieren</x:v>
      </x:c>
      <x:c r="AC439" s="14" t="str">
        <x:v>Limited Assurance; risikobasiert höhere Prüftiefe</x:v>
      </x:c>
    </x:row>
    <x:row r="440" ht="42" customHeight="1">
      <x:c r="A440" s="14" t="str">
        <x:v>WOK-SC-140</x:v>
      </x:c>
      <x:c r="B440" s="14" t="str">
        <x:v>SDG 17 – Partnerschaften</x:v>
      </x:c>
      <x:c r="C440" s="14" t="str">
        <x:v>17.16</x:v>
      </x:c>
      <x:c r="D440" s="14" t="str">
        <x:v>Lieferketten‑Transparenz</x:v>
      </x:c>
      <x:c r="E440" s="14" t="str">
        <x:v>Lieferketten‑Transparenz – ESG‑Spend‑Coverage</x:v>
      </x:c>
      <x:c r="F440" s="14" t="str">
        <x:v>%</x:v>
      </x:c>
      <x:c r="G440" s="14" t="str">
        <x:v>higher_is_better</x:v>
      </x:c>
      <x:c r="H440" s="14" t="str">
        <x:v>R26</x:v>
      </x:c>
      <x:c r="I440" s="14" t="str">
        <x:v>NUM_HIGH</x:v>
      </x:c>
      <x:c r="J440" s="51"/>
      <x:c r="K440" s="51"/>
      <x:c r="L440" s="51"/>
      <x:c r="M440" s="54"/>
      <x:c r="N440" s="58" t="str">
        <x:f>IF($J440="","",IF($J440&lt;30,-3,IF($J440&lt;50,-2,IF($J440&lt;70,0,IF($J440&lt;90,2,3)))))</x:f>
      </x:c>
      <x:c r="O440" s="58" t="str">
        <x:f>IF($J440="","",IF(OR('02_Benchmarks'!$P440&lt;&gt;"Aktiv",COUNT('02_Benchmarks'!$J440:$M440)&lt;4),"",IF($G440="lower_is_better",IF($J440&lt;='02_Benchmarks'!$J440,3,IF($J440&lt;'02_Benchmarks'!$K440,2,IF($J440&lt;='02_Benchmarks'!$L440,0,IF($J440&lt;='02_Benchmarks'!$M440,-2,-3)))),IF($J440&gt;='02_Benchmarks'!$J440,3,IF($J440&gt;'02_Benchmarks'!$K440,2,IF($J440&gt;='02_Benchmarks'!$L440,0,IF($J440&gt;='02_Benchmarks'!$M440,-2,-3)))))))</x:f>
      </x:c>
      <x:c r="P440" s="58" t="str">
        <x:f>IF(COUNT($N440:$O440)+IF(ISNUMBER($K440),1,0)=0,"",MIN($N440:$O440,$K440))</x:f>
      </x:c>
      <x:c r="Q440" s="58" t="str">
        <x:f>IF($P440="","",INDEX('04_Tarifmodell'!$B$6:$B$12,$P440+4))</x:f>
      </x:c>
      <x:c r="R440" s="64" t="str">
        <x:f>IF($P440="","",INDEX('04_Tarifmodell'!$C$6:$C$12,$P440+4))</x:f>
      </x:c>
      <x:c r="S440" s="14" t="str">
        <x:f>IF(OR($I440="QUALITATIVE",$I440="MANUAL_HYBRID"),IF($K440="","Assurance-Score fehlt","Assurance-bewertet"),IF($I440="BENCHMARK",IF($W440&lt;&gt;"Aktiv",IF($K440="","Benchmark fehlt","Assurance-bewertet"),IF($J440="","Messwert fehlt",IF($P440="","Nicht bewertbar","Berechnet"))),IF(AND($J440="",$K440&lt;&gt;""),"Nur Assurance-Score",IF($J440="","Messwert fehlt",IF($P440="","Nicht bewertbar",IF($P440&lt;=-2,"Kritische Wirkung / Prüfung","Berechnet"))))))</x:f>
        <x:v>Messwert fehlt</x:v>
      </x:c>
      <x:c r="T440" s="14" t="str">
        <x:v>Vollständige fünfstufige numerische Regel.</x:v>
      </x:c>
      <x:c r="U440" s="14" t="str">
        <x:v>≥90:+3; 70–89:+2; 50–69:0; 30–49:‑2; &lt;30:‑3</x:v>
      </x:c>
      <x:c r="V440" s="14" t="str">
        <x:v>ESRS S2, GRI 308/414, OECD Due Diligence</x:v>
      </x:c>
      <x:c r="W440" s="14" t="str">
        <x:f>'02_Benchmarks'!$P440</x:f>
        <x:v>Optional – kein aktiver Benchmark</x:v>
      </x:c>
      <x:c r="X440" s="14" t="str">
        <x:v>Messgrundlage belegt; Schwellenkalibrierung offen</x:v>
      </x:c>
      <x:c r="Y440" s="14" t="str">
        <x:v>Mittel</x:v>
      </x:c>
      <x:c r="Z440" s="14" t="str">
        <x:v>Arbeitskalibrierung – fachlich zu validieren</x:v>
      </x:c>
      <x:c r="AA440" s="14" t="str">
        <x:v>Vorgelagerte Lieferkette; relevante Tier-Stufen und Beschaffungsvolumen</x:v>
      </x:c>
      <x:c r="AB440" s="14" t="str">
        <x:v>Primärdaten bevorzugt; Sekundärdaten nur transparent und versioniert; Methode und Systemgrenze dokumentieren</x:v>
      </x:c>
      <x:c r="AC440" s="14" t="str">
        <x:v>Limited Assurance; risikobasiert höhere Prüftiefe</x:v>
      </x:c>
    </x:row>
    <x:row r="441" ht="42" customHeight="1">
      <x:c r="A441" s="14" t="str">
        <x:v>WOK-SC-141</x:v>
      </x:c>
      <x:c r="B441" s="14" t="str">
        <x:v>SDG 17 – Partnerschaften</x:v>
      </x:c>
      <x:c r="C441" s="14" t="str">
        <x:v>17.16</x:v>
      </x:c>
      <x:c r="D441" s="14" t="str">
        <x:v>Lieferketten‑Transparenz</x:v>
      </x:c>
      <x:c r="E441" s="14" t="str">
        <x:v>Lieferketten‑Transparenz – Kinder/Zwangsarbeit</x:v>
      </x:c>
      <x:c r="F441" s="14" t="str">
        <x:v>% Lieferanten</x:v>
      </x:c>
      <x:c r="G441" s="14" t="str">
        <x:v>higher_is_better</x:v>
      </x:c>
      <x:c r="H441" s="14" t="str">
        <x:v>R28</x:v>
      </x:c>
      <x:c r="I441" s="14" t="str">
        <x:v>NUM_HIGH</x:v>
      </x:c>
      <x:c r="J441" s="51"/>
      <x:c r="K441" s="51"/>
      <x:c r="L441" s="51"/>
      <x:c r="M441" s="54"/>
      <x:c r="N441" s="58" t="str">
        <x:f>IF($J441="","",IF($J441&lt;50,-3,IF($J441&lt;75,-2,IF($J441&lt;90,0,IF($J441&lt;98,2,3)))))</x:f>
      </x:c>
      <x:c r="O441" s="58" t="str">
        <x:f>IF($J441="","",IF(OR('02_Benchmarks'!$P441&lt;&gt;"Aktiv",COUNT('02_Benchmarks'!$J441:$M441)&lt;4),"",IF($G441="lower_is_better",IF($J441&lt;='02_Benchmarks'!$J441,3,IF($J441&lt;'02_Benchmarks'!$K441,2,IF($J441&lt;='02_Benchmarks'!$L441,0,IF($J441&lt;='02_Benchmarks'!$M441,-2,-3)))),IF($J441&gt;='02_Benchmarks'!$J441,3,IF($J441&gt;'02_Benchmarks'!$K441,2,IF($J441&gt;='02_Benchmarks'!$L441,0,IF($J441&gt;='02_Benchmarks'!$M441,-2,-3)))))))</x:f>
      </x:c>
      <x:c r="P441" s="58" t="str">
        <x:f>IF(COUNT($N441:$O441)+IF(ISNUMBER($K441),1,0)=0,"",MIN($N441:$O441,$K441))</x:f>
      </x:c>
      <x:c r="Q441" s="58" t="str">
        <x:f>IF($P441="","",INDEX('04_Tarifmodell'!$B$6:$B$12,$P441+4))</x:f>
      </x:c>
      <x:c r="R441" s="64" t="str">
        <x:f>IF($P441="","",INDEX('04_Tarifmodell'!$C$6:$C$12,$P441+4))</x:f>
      </x:c>
      <x:c r="S441" s="14" t="str">
        <x:f>IF(OR($I441="QUALITATIVE",$I441="MANUAL_HYBRID"),IF($K441="","Assurance-Score fehlt","Assurance-bewertet"),IF($I441="BENCHMARK",IF($W441&lt;&gt;"Aktiv",IF($K441="","Benchmark fehlt","Assurance-bewertet"),IF($J441="","Messwert fehlt",IF($P441="","Nicht bewertbar","Berechnet"))),IF(AND($J441="",$K441&lt;&gt;""),"Nur Assurance-Score",IF($J441="","Messwert fehlt",IF($P441="","Nicht bewertbar",IF($P441&lt;=-2,"Kritische Wirkung / Prüfung","Berechnet"))))))</x:f>
        <x:v>Messwert fehlt</x:v>
      </x:c>
      <x:c r="T441" s="14" t="str">
        <x:v>Vollständige fünfstufige numerische Regel.</x:v>
      </x:c>
      <x:c r="U441" s="14" t="str">
        <x:v>≥98:+3; 90–97:+2; 75–89:0; 50–74:‑2; &lt;50:‑3</x:v>
      </x:c>
      <x:c r="V441" s="14" t="str">
        <x:v>ESRS S2, GRI 308/414, OECD Due Diligence</x:v>
      </x:c>
      <x:c r="W441" s="14" t="str">
        <x:f>'02_Benchmarks'!$P441</x:f>
        <x:v>Optional – kein aktiver Benchmark</x:v>
      </x:c>
      <x:c r="X441" s="14" t="str">
        <x:v>Messgrundlage belegt; Schwellenkalibrierung offen</x:v>
      </x:c>
      <x:c r="Y441" s="14" t="str">
        <x:v>Mittel</x:v>
      </x:c>
      <x:c r="Z441" s="14" t="str">
        <x:v>Arbeitskalibrierung – fachlich zu validieren</x:v>
      </x:c>
      <x:c r="AA441" s="14" t="str">
        <x:v>Vorgelagerte Lieferkette; relevante Tier-Stufen und Beschaffungsvolumen</x:v>
      </x:c>
      <x:c r="AB441" s="14" t="str">
        <x:v>Primärdaten bevorzugt; Sekundärdaten nur transparent und versioniert; Methode und Systemgrenze dokumentieren</x:v>
      </x:c>
      <x:c r="AC441" s="14" t="str">
        <x:v>Limited Assurance; risikobasiert höhere Prüftiefe</x:v>
      </x:c>
    </x:row>
    <x:row r="442" ht="42" customHeight="1">
      <x:c r="A442" s="14" t="str">
        <x:v>WOK-SC-142</x:v>
      </x:c>
      <x:c r="B442" s="14" t="str">
        <x:v>SDG 17 – Partnerschaften</x:v>
      </x:c>
      <x:c r="C442" s="14" t="str">
        <x:v>17.16</x:v>
      </x:c>
      <x:c r="D442" s="14" t="str">
        <x:v>Lieferketten‑Transparenz</x:v>
      </x:c>
      <x:c r="E442" s="14" t="str">
        <x:v>Lieferketten‑Transparenz – Scope‑3 Daten</x:v>
      </x:c>
      <x:c r="F442" s="14" t="str">
        <x:v>% Kategorien</x:v>
      </x:c>
      <x:c r="G442" s="14" t="str">
        <x:v>higher_is_better</x:v>
      </x:c>
      <x:c r="H442" s="14" t="str">
        <x:v>R23</x:v>
      </x:c>
      <x:c r="I442" s="14" t="str">
        <x:v>NUM_HIGH</x:v>
      </x:c>
      <x:c r="J442" s="51"/>
      <x:c r="K442" s="51"/>
      <x:c r="L442" s="51"/>
      <x:c r="M442" s="54"/>
      <x:c r="N442" s="58" t="str">
        <x:f>IF($J442="","",IF($J442&lt;20,-3,IF($J442&lt;40,-2,IF($J442&lt;60,0,IF($J442&lt;80,2,3)))))</x:f>
      </x:c>
      <x:c r="O442" s="58" t="str">
        <x:f>IF($J442="","",IF(OR('02_Benchmarks'!$P442&lt;&gt;"Aktiv",COUNT('02_Benchmarks'!$J442:$M442)&lt;4),"",IF($G442="lower_is_better",IF($J442&lt;='02_Benchmarks'!$J442,3,IF($J442&lt;'02_Benchmarks'!$K442,2,IF($J442&lt;='02_Benchmarks'!$L442,0,IF($J442&lt;='02_Benchmarks'!$M442,-2,-3)))),IF($J442&gt;='02_Benchmarks'!$J442,3,IF($J442&gt;'02_Benchmarks'!$K442,2,IF($J442&gt;='02_Benchmarks'!$L442,0,IF($J442&gt;='02_Benchmarks'!$M442,-2,-3)))))))</x:f>
      </x:c>
      <x:c r="P442" s="58" t="str">
        <x:f>IF(COUNT($N442:$O442)+IF(ISNUMBER($K442),1,0)=0,"",MIN($N442:$O442,$K442))</x:f>
      </x:c>
      <x:c r="Q442" s="58" t="str">
        <x:f>IF($P442="","",INDEX('04_Tarifmodell'!$B$6:$B$12,$P442+4))</x:f>
      </x:c>
      <x:c r="R442" s="64" t="str">
        <x:f>IF($P442="","",INDEX('04_Tarifmodell'!$C$6:$C$12,$P442+4))</x:f>
      </x:c>
      <x:c r="S442" s="14" t="str">
        <x:f>IF(OR($I442="QUALITATIVE",$I442="MANUAL_HYBRID"),IF($K442="","Assurance-Score fehlt","Assurance-bewertet"),IF($I442="BENCHMARK",IF($W442&lt;&gt;"Aktiv",IF($K442="","Benchmark fehlt","Assurance-bewertet"),IF($J442="","Messwert fehlt",IF($P442="","Nicht bewertbar","Berechnet"))),IF(AND($J442="",$K442&lt;&gt;""),"Nur Assurance-Score",IF($J442="","Messwert fehlt",IF($P442="","Nicht bewertbar",IF($P442&lt;=-2,"Kritische Wirkung / Prüfung","Berechnet"))))))</x:f>
        <x:v>Messwert fehlt</x:v>
      </x:c>
      <x:c r="T442" s="14" t="str">
        <x:v>Vollständige fünfstufige numerische Regel.</x:v>
      </x:c>
      <x:c r="U442" s="14" t="str">
        <x:v>≥80:+3; 60–79:+2; 40–59:0; 20–39:‑2; &lt;20:‑3</x:v>
      </x:c>
      <x:c r="V442" s="14" t="str">
        <x:v>ESRS E1, GHG Protocol (Corporate/Scope 1–3), ISO 14064/14067</x:v>
      </x:c>
      <x:c r="W442" s="14" t="str">
        <x:f>'02_Benchmarks'!$P442</x:f>
        <x:v>Optional – kein aktiver Benchmark</x:v>
      </x:c>
      <x:c r="X442" s="14" t="str">
        <x:v>Messgrundlage belegt; Schwellenkalibrierung offen</x:v>
      </x:c>
      <x:c r="Y442" s="14" t="str">
        <x:v>Mittel</x:v>
      </x:c>
      <x:c r="Z442" s="14" t="str">
        <x:v>Arbeitskalibrierung – fachlich zu validieren</x:v>
      </x:c>
      <x:c r="AA442" s="14" t="str">
        <x:v>Vorgelagerte Lieferkette; relevante Tier-Stufen und Beschaffungsvolumen</x:v>
      </x:c>
      <x:c r="AB442" s="14" t="str">
        <x:v>Primärdaten bevorzugt; Sekundärdaten nur transparent und versioniert; Methode und Systemgrenze dokumentieren</x:v>
      </x:c>
      <x:c r="AC442" s="14" t="str">
        <x:v>Limited Assurance; risikobasiert höhere Prüftiefe</x:v>
      </x:c>
    </x:row>
    <x:row r="443" ht="42" customHeight="1">
      <x:c r="A443" s="14" t="str">
        <x:v>WOK-G-188</x:v>
      </x:c>
      <x:c r="B443" s="14" t="str">
        <x:v>SDG 17 – Partnerschaften</x:v>
      </x:c>
      <x:c r="C443" s="14" t="str">
        <x:v>17.1</x:v>
      </x:c>
      <x:c r="D443" s="14" t="str">
        <x:v>Steuertransparenz</x:v>
      </x:c>
      <x:c r="E443" s="14" t="str">
        <x:v>Steuertransparenz – Antikorruption</x:v>
      </x:c>
      <x:c r="F443" s="14" t="str">
        <x:v>Fälle/1.000 FTE</x:v>
      </x:c>
      <x:c r="G443" s="14" t="str">
        <x:v>lower_is_better</x:v>
      </x:c>
      <x:c r="H443" s="14" t="str">
        <x:v>R01</x:v>
      </x:c>
      <x:c r="I443" s="14" t="str">
        <x:v>NUM_LOW</x:v>
      </x:c>
      <x:c r="J443" s="51"/>
      <x:c r="K443" s="51"/>
      <x:c r="L443" s="51"/>
      <x:c r="M443" s="54"/>
      <x:c r="N443" s="58" t="str">
        <x:f>IF($J443="","",IF($J443&lt;=0,3,IF($J443&lt;=0.2,2,IF($J443&lt;=0.5,0,IF($J443&lt;=1,-2,-3)))))</x:f>
      </x:c>
      <x:c r="O443" s="58" t="str">
        <x:f>IF($J443="","",IF(OR('02_Benchmarks'!$P443&lt;&gt;"Aktiv",COUNT('02_Benchmarks'!$J443:$M443)&lt;4),"",IF($G443="lower_is_better",IF($J443&lt;='02_Benchmarks'!$J443,3,IF($J443&lt;'02_Benchmarks'!$K443,2,IF($J443&lt;='02_Benchmarks'!$L443,0,IF($J443&lt;='02_Benchmarks'!$M443,-2,-3)))),IF($J443&gt;='02_Benchmarks'!$J443,3,IF($J443&gt;'02_Benchmarks'!$K443,2,IF($J443&gt;='02_Benchmarks'!$L443,0,IF($J443&gt;='02_Benchmarks'!$M443,-2,-3)))))))</x:f>
      </x:c>
      <x:c r="P443" s="58" t="str">
        <x:f>IF(COUNT($N443:$O443)+IF(ISNUMBER($K443),1,0)=0,"",MIN($N443:$O443,$K443))</x:f>
      </x:c>
      <x:c r="Q443" s="58" t="str">
        <x:f>IF($P443="","",INDEX('04_Tarifmodell'!$B$6:$B$12,$P443+4))</x:f>
      </x:c>
      <x:c r="R443" s="64" t="str">
        <x:f>IF($P443="","",INDEX('04_Tarifmodell'!$C$6:$C$12,$P443+4))</x:f>
      </x:c>
      <x:c r="S443" s="14" t="str">
        <x:f>IF(OR($I443="QUALITATIVE",$I443="MANUAL_HYBRID"),IF($K443="","Assurance-Score fehlt","Assurance-bewertet"),IF($I443="BENCHMARK",IF($W443&lt;&gt;"Aktiv",IF($K443="","Benchmark fehlt","Assurance-bewertet"),IF($J443="","Messwert fehlt",IF($P443="","Nicht bewertbar","Berechnet"))),IF(AND($J443="",$K443&lt;&gt;""),"Nur Assurance-Score",IF($J443="","Messwert fehlt",IF($P443="","Nicht bewertbar",IF($P443&lt;=-2,"Kritische Wirkung / Prüfung","Berechnet"))))))</x:f>
        <x:v>Messwert fehlt</x:v>
      </x:c>
      <x:c r="T443" s="14" t="str">
        <x:v>Vollständige fünfstufige numerische Regel.</x:v>
      </x:c>
      <x:c r="U443" s="14" t="str">
        <x:v>0:+3; ≤0,2:+2; ≤0,5:0; ≤1:‑2; &gt;1:‑3</x:v>
      </x:c>
      <x:c r="V443" s="14" t="str">
        <x:v>ESRS G1, GRI 205/207, OECD Anti‑Bribery</x:v>
      </x:c>
      <x:c r="W443" s="14" t="str">
        <x:f>'02_Benchmarks'!$P443</x:f>
        <x:v>Optional – kein aktiver Benchmark</x:v>
      </x:c>
      <x:c r="X443" s="14" t="str">
        <x:v>Messgrundlage belegt; Schwellenkalibrierung offen</x:v>
      </x:c>
      <x:c r="Y443" s="14" t="str">
        <x:v>Mittel</x:v>
      </x:c>
      <x:c r="Z443" s="14" t="str">
        <x:v>Arbeitskalibrierung – fachlich zu validieren</x:v>
      </x:c>
      <x:c r="AA443" s="14" t="str">
        <x:v>Organisation/Governance; konsolidierter Kreis und relevante Rechtseinheiten</x:v>
      </x:c>
      <x:c r="AB443" s="14" t="str">
        <x:v>Primärdaten bevorzugt; Sekundärdaten nur transparent und versioniert; Methode und Systemgrenze dokumentieren</x:v>
      </x:c>
      <x:c r="AC443" s="14" t="str">
        <x:v>Limited Assurance; risikobasiert höhere Prüftiefe</x:v>
      </x:c>
    </x:row>
    <x:row r="444" ht="42" customHeight="1">
      <x:c r="A444" s="14" t="str">
        <x:v>WOK-G-189</x:v>
      </x:c>
      <x:c r="B444" s="14" t="str">
        <x:v>SDG 17 – Partnerschaften</x:v>
      </x:c>
      <x:c r="C444" s="14" t="str">
        <x:v>17.1</x:v>
      </x:c>
      <x:c r="D444" s="14" t="str">
        <x:v>Steuertransparenz</x:v>
      </x:c>
      <x:c r="E444" s="14" t="str">
        <x:v>Steuertransparenz – Whistleblowing</x:v>
      </x:c>
      <x:c r="F444" s="14" t="str">
        <x:v>0–1</x:v>
      </x:c>
      <x:c r="G444" s="14" t="str">
        <x:v>higher_is_better</x:v>
      </x:c>
      <x:c r="H444" s="14" t="str">
        <x:v>R16</x:v>
      </x:c>
      <x:c r="I444" s="14" t="str">
        <x:v>NUM_HIGH</x:v>
      </x:c>
      <x:c r="J444" s="51"/>
      <x:c r="K444" s="51"/>
      <x:c r="L444" s="51"/>
      <x:c r="M444" s="54"/>
      <x:c r="N444" s="58" t="str">
        <x:f>IF($J444="","",IF($J444&lt;0.4,-3,IF($J444&lt;0.6,-2,IF($J444&lt;0.75,0,IF($J444&lt;0.9,2,3)))))</x:f>
      </x:c>
      <x:c r="O444" s="58" t="str">
        <x:f>IF($J444="","",IF(OR('02_Benchmarks'!$P444&lt;&gt;"Aktiv",COUNT('02_Benchmarks'!$J444:$M444)&lt;4),"",IF($G444="lower_is_better",IF($J444&lt;='02_Benchmarks'!$J444,3,IF($J444&lt;'02_Benchmarks'!$K444,2,IF($J444&lt;='02_Benchmarks'!$L444,0,IF($J444&lt;='02_Benchmarks'!$M444,-2,-3)))),IF($J444&gt;='02_Benchmarks'!$J444,3,IF($J444&gt;'02_Benchmarks'!$K444,2,IF($J444&gt;='02_Benchmarks'!$L444,0,IF($J444&gt;='02_Benchmarks'!$M444,-2,-3)))))))</x:f>
      </x:c>
      <x:c r="P444" s="58" t="str">
        <x:f>IF(COUNT($N444:$O444)+IF(ISNUMBER($K444),1,0)=0,"",MIN($N444:$O444,$K444))</x:f>
      </x:c>
      <x:c r="Q444" s="58" t="str">
        <x:f>IF($P444="","",INDEX('04_Tarifmodell'!$B$6:$B$12,$P444+4))</x:f>
      </x:c>
      <x:c r="R444" s="64" t="str">
        <x:f>IF($P444="","",INDEX('04_Tarifmodell'!$C$6:$C$12,$P444+4))</x:f>
      </x:c>
      <x:c r="S444" s="14" t="str">
        <x:f>IF(OR($I444="QUALITATIVE",$I444="MANUAL_HYBRID"),IF($K444="","Assurance-Score fehlt","Assurance-bewertet"),IF($I444="BENCHMARK",IF($W444&lt;&gt;"Aktiv",IF($K444="","Benchmark fehlt","Assurance-bewertet"),IF($J444="","Messwert fehlt",IF($P444="","Nicht bewertbar","Berechnet"))),IF(AND($J444="",$K444&lt;&gt;""),"Nur Assurance-Score",IF($J444="","Messwert fehlt",IF($P444="","Nicht bewertbar",IF($P444&lt;=-2,"Kritische Wirkung / Prüfung","Berechnet"))))))</x:f>
        <x:v>Messwert fehlt</x:v>
      </x:c>
      <x:c r="T444" s="14" t="str">
        <x:v>Vollständige fünfstufige numerische Regel.</x:v>
      </x:c>
      <x:c r="U444" s="14" t="str">
        <x:v>≥0,9:+3; 0,75–0,89:+2; 0,6–0,74:0; 0,4–0,59:‑2; &lt;0,4:‑3</x:v>
      </x:c>
      <x:c r="V444" s="14" t="str">
        <x:v>ESRS G1, GRI 205/207, OECD Anti‑Bribery</x:v>
      </x:c>
      <x:c r="W444" s="14" t="str">
        <x:f>'02_Benchmarks'!$P444</x:f>
        <x:v>Optional – kein aktiver Benchmark</x:v>
      </x:c>
      <x:c r="X444" s="14" t="str">
        <x:v>Messgrundlage belegt; Schwellenkalibrierung offen</x:v>
      </x:c>
      <x:c r="Y444" s="14" t="str">
        <x:v>Mittel</x:v>
      </x:c>
      <x:c r="Z444" s="14" t="str">
        <x:v>Arbeitskalibrierung – fachlich zu validieren</x:v>
      </x:c>
      <x:c r="AA444" s="14" t="str">
        <x:v>Organisation/Governance; konsolidierter Kreis und relevante Rechtseinheiten</x:v>
      </x:c>
      <x:c r="AB444" s="14" t="str">
        <x:v>Primärdaten bevorzugt; Sekundärdaten nur transparent und versioniert; Methode und Systemgrenze dokumentieren</x:v>
      </x:c>
      <x:c r="AC444" s="14" t="str">
        <x:v>Limited Assurance; risikobasiert höhere Prüftiefe</x:v>
      </x:c>
    </x:row>
    <x:row r="445" ht="42" customHeight="1">
      <x:c r="A445" s="14" t="str">
        <x:v>WOK-G-190</x:v>
      </x:c>
      <x:c r="B445" s="14" t="str">
        <x:v>SDG 17 – Partnerschaften</x:v>
      </x:c>
      <x:c r="C445" s="14" t="str">
        <x:v>17.1</x:v>
      </x:c>
      <x:c r="D445" s="14" t="str">
        <x:v>Steuertransparenz</x:v>
      </x:c>
      <x:c r="E445" s="14" t="str">
        <x:v>Steuertransparenz – Steuertransparenz</x:v>
      </x:c>
      <x:c r="F445" s="14" t="str">
        <x:v>0–1</x:v>
      </x:c>
      <x:c r="G445" s="14" t="str">
        <x:v>higher_is_better</x:v>
      </x:c>
      <x:c r="H445" s="14" t="str">
        <x:v>R08</x:v>
      </x:c>
      <x:c r="I445" s="14" t="str">
        <x:v>QUALITATIVE</x:v>
      </x:c>
      <x:c r="J445" s="51"/>
      <x:c r="K445" s="51"/>
      <x:c r="L445" s="51"/>
      <x:c r="M445" s="54"/>
      <x:c r="N445" s="58" t="str">
        <x:f>""</x:f>
      </x:c>
      <x:c r="O445" s="58" t="str">
        <x:f>IF($J445="","",IF(OR('02_Benchmarks'!$P445&lt;&gt;"Aktiv",COUNT('02_Benchmarks'!$J445:$M445)&lt;4),"",IF($G445="lower_is_better",IF($J445&lt;='02_Benchmarks'!$J445,3,IF($J445&lt;'02_Benchmarks'!$K445,2,IF($J445&lt;='02_Benchmarks'!$L445,0,IF($J445&lt;='02_Benchmarks'!$M445,-2,-3)))),IF($J445&gt;='02_Benchmarks'!$J445,3,IF($J445&gt;'02_Benchmarks'!$K445,2,IF($J445&gt;='02_Benchmarks'!$L445,0,IF($J445&gt;='02_Benchmarks'!$M445,-2,-3)))))))</x:f>
      </x:c>
      <x:c r="P445" s="58" t="str">
        <x:f>IF(COUNT($N445:$O445)+IF(ISNUMBER($K445),1,0)=0,"",MIN($N445:$O445,$K445))</x:f>
      </x:c>
      <x:c r="Q445" s="58" t="str">
        <x:f>IF($P445="","",INDEX('04_Tarifmodell'!$B$6:$B$12,$P445+4))</x:f>
      </x:c>
      <x:c r="R445" s="64" t="str">
        <x:f>IF($P445="","",INDEX('04_Tarifmodell'!$C$6:$C$12,$P445+4))</x:f>
      </x:c>
      <x:c r="S445" s="14" t="str">
        <x:f>IF(OR($I445="QUALITATIVE",$I445="MANUAL_HYBRID"),IF($K445="","Assurance-Score fehlt","Assurance-bewertet"),IF($I445="BENCHMARK",IF($W445&lt;&gt;"Aktiv",IF($K445="","Benchmark fehlt","Assurance-bewertet"),IF($J445="","Messwert fehlt",IF($P445="","Nicht bewertbar","Berechnet"))),IF(AND($J445="",$K445&lt;&gt;""),"Nur Assurance-Score",IF($J445="","Messwert fehlt",IF($P445="","Nicht bewertbar",IF($P445&lt;=-2,"Kritische Wirkung / Prüfung","Berechnet"))))))</x:f>
        <x:v>Assurance-Score fehlt</x:v>
      </x:c>
      <x:c r="T445" s="14" t="str">
        <x:v>Die Kategorie −3 fehlt; Vollständigkeit und Wirksamkeit sind feldspezifisch zu definieren.</x:v>
      </x:c>
      <x:c r="U445" s="14" t="str">
        <x:v>vollständig:+3; teilweise:+2; minimal:0; schlecht:‑2</x:v>
      </x:c>
      <x:c r="V445" s="14" t="str">
        <x:v>ESRS G1, GRI 205/207, OECD Anti‑Bribery</x:v>
      </x:c>
      <x:c r="W445" s="14" t="str">
        <x:f>'02_Benchmarks'!$P445</x:f>
        <x:v>Optional – kein aktiver Benchmark</x:v>
      </x:c>
      <x:c r="X445" s="14" t="str">
        <x:v>Messgrundlage belegt; Schwellenkalibrierung offen</x:v>
      </x:c>
      <x:c r="Y445" s="14" t="str">
        <x:v>Hoch</x:v>
      </x:c>
      <x:c r="Z445" s="14" t="str">
        <x:v>Assurance und Kriterienkatalog erforderlich</x:v>
      </x:c>
      <x:c r="AA445" s="14" t="str">
        <x:v>Organisation/Governance; konsolidierter Kreis und relevante Rechtseinheiten</x:v>
      </x:c>
      <x:c r="AB445" s="14" t="str">
        <x:v>Dokumentierter Kriterienkatalog; nachvollziehbare Evidenz; DQR A/B bevorzugt</x:v>
      </x:c>
      <x:c r="AC445" s="14" t="str">
        <x:v>Unabhängige Fachprüfung/Limited Assurance; bei roten Linien Reasonable Assurance</x:v>
      </x:c>
    </x:row>
    <x:row r="446" ht="42" customHeight="1">
      <x:c r="A446" s="14" t="str">
        <x:v>WOK-SYS-155</x:v>
      </x:c>
      <x:c r="B446" s="14" t="str">
        <x:v>SDG 17 – Partnerschaften</x:v>
      </x:c>
      <x:c r="C446" s="14" t="str">
        <x:v>17.18</x:v>
      </x:c>
      <x:c r="D446" s="14" t="str">
        <x:v>Open Data/Transparenz</x:v>
      </x:c>
      <x:c r="E446" s="14" t="str">
        <x:v>Open Data/Transparenz – Index</x:v>
      </x:c>
      <x:c r="F446" s="14" t="str">
        <x:v>0–1</x:v>
      </x:c>
      <x:c r="G446" s="14" t="str">
        <x:v>higher_is_better</x:v>
      </x:c>
      <x:c r="H446" s="14" t="str">
        <x:v>R15</x:v>
      </x:c>
      <x:c r="I446" s="14" t="str">
        <x:v>NUM_HIGH</x:v>
      </x:c>
      <x:c r="J446" s="51"/>
      <x:c r="K446" s="51"/>
      <x:c r="L446" s="51"/>
      <x:c r="M446" s="54"/>
      <x:c r="N446" s="58" t="str">
        <x:f>IF($J446="","",IF($J446&lt;0.5,-3,IF($J446&lt;0.6,-2,IF($J446&lt;0.7,0,IF($J446&lt;0.8,2,3)))))</x:f>
      </x:c>
      <x:c r="O446" s="58" t="str">
        <x:f>IF($J446="","",IF(OR('02_Benchmarks'!$P446&lt;&gt;"Aktiv",COUNT('02_Benchmarks'!$J446:$M446)&lt;4),"",IF($G446="lower_is_better",IF($J446&lt;='02_Benchmarks'!$J446,3,IF($J446&lt;'02_Benchmarks'!$K446,2,IF($J446&lt;='02_Benchmarks'!$L446,0,IF($J446&lt;='02_Benchmarks'!$M446,-2,-3)))),IF($J446&gt;='02_Benchmarks'!$J446,3,IF($J446&gt;'02_Benchmarks'!$K446,2,IF($J446&gt;='02_Benchmarks'!$L446,0,IF($J446&gt;='02_Benchmarks'!$M446,-2,-3)))))))</x:f>
      </x:c>
      <x:c r="P446" s="58" t="str">
        <x:f>IF(COUNT($N446:$O446)+IF(ISNUMBER($K446),1,0)=0,"",MIN($N446:$O446,$K446))</x:f>
      </x:c>
      <x:c r="Q446" s="58" t="str">
        <x:f>IF($P446="","",INDEX('04_Tarifmodell'!$B$6:$B$12,$P446+4))</x:f>
      </x:c>
      <x:c r="R446" s="64" t="str">
        <x:f>IF($P446="","",INDEX('04_Tarifmodell'!$C$6:$C$12,$P446+4))</x:f>
      </x:c>
      <x:c r="S446" s="14" t="str">
        <x:f>IF(OR($I446="QUALITATIVE",$I446="MANUAL_HYBRID"),IF($K446="","Assurance-Score fehlt","Assurance-bewertet"),IF($I446="BENCHMARK",IF($W446&lt;&gt;"Aktiv",IF($K446="","Benchmark fehlt","Assurance-bewertet"),IF($J446="","Messwert fehlt",IF($P446="","Nicht bewertbar","Berechnet"))),IF(AND($J446="",$K446&lt;&gt;""),"Nur Assurance-Score",IF($J446="","Messwert fehlt",IF($P446="","Nicht bewertbar",IF($P446&lt;=-2,"Kritische Wirkung / Prüfung","Berechnet"))))))</x:f>
        <x:v>Messwert fehlt</x:v>
      </x:c>
      <x:c r="T446" s="14" t="str">
        <x:v>SROI/SDG 17 ist keine hinreichend konkrete Mess- oder Schwellenquelle. Vollständige fünfstufige numerische Regel.</x:v>
      </x:c>
      <x:c r="U446" s="14" t="str">
        <x:v>≥0,8:+3; 0,7–0,79:+2; 0,6–0,69:0; 0,5–0,59:‑2; &lt;0,5:‑3</x:v>
      </x:c>
      <x:c r="V446" s="14" t="str">
        <x:v>SDG 16/17, WJP, V‑Dem</x:v>
      </x:c>
      <x:c r="W446" s="14" t="str">
        <x:f>'02_Benchmarks'!$P446</x:f>
        <x:v>Optional – kein aktiver Benchmark</x:v>
      </x:c>
      <x:c r="X446" s="14" t="str">
        <x:v>Platzhalter – fachliche Operationalisierung offen</x:v>
      </x:c>
      <x:c r="Y446" s="14" t="str">
        <x:v>Kritisch</x:v>
      </x:c>
      <x:c r="Z446" s="14" t="str">
        <x:v>Arbeitskalibrierung – fachlich zu validieren</x:v>
      </x:c>
      <x:c r="AA446" s="14" t="str">
        <x:v>Programm/Portfolio/Systemraum; Empfängergruppe, Region und Zeitraum explizit definieren</x:v>
      </x:c>
      <x:c r="AB446" s="14" t="str">
        <x:v>Primärdaten bevorzugt; Sekundärdaten nur transparent und versioniert; Methode und Systemgrenze dokumentieren</x:v>
      </x:c>
      <x:c r="AC446" s="14" t="str">
        <x:v>Limited Assurance; risikobasiert höhere Prüftiefe</x:v>
      </x:c>
    </x:row>
    <x:row r="447" ht="42" customHeight="1">
      <x:c r="A447" s="14" t="str">
        <x:v>WOK-SYS-156</x:v>
      </x:c>
      <x:c r="B447" s="14" t="str">
        <x:v>SDG 17 – Partnerschaften</x:v>
      </x:c>
      <x:c r="C447" s="14" t="str">
        <x:v>17.18</x:v>
      </x:c>
      <x:c r="D447" s="14" t="str">
        <x:v>Open Data/Transparenz</x:v>
      </x:c>
      <x:c r="E447" s="14" t="str">
        <x:v>Open Data/Transparenz – Exposure</x:v>
      </x:c>
      <x:c r="F447" s="14" t="str">
        <x:v>%</x:v>
      </x:c>
      <x:c r="G447" s="14" t="str">
        <x:v>lower_is_better</x:v>
      </x:c>
      <x:c r="H447" s="14" t="str">
        <x:v>R13</x:v>
      </x:c>
      <x:c r="I447" s="14" t="str">
        <x:v>NUM_LOW</x:v>
      </x:c>
      <x:c r="J447" s="51"/>
      <x:c r="K447" s="51"/>
      <x:c r="L447" s="51"/>
      <x:c r="M447" s="54"/>
      <x:c r="N447" s="58" t="str">
        <x:f>IF($J447="","",IF($J447&lt;=5,3,IF($J447&lt;=10,2,IF($J447&lt;=20,0,IF($J447&lt;=30,-2,-3)))))</x:f>
      </x:c>
      <x:c r="O447" s="58" t="str">
        <x:f>IF($J447="","",IF(OR('02_Benchmarks'!$P447&lt;&gt;"Aktiv",COUNT('02_Benchmarks'!$J447:$M447)&lt;4),"",IF($G447="lower_is_better",IF($J447&lt;='02_Benchmarks'!$J447,3,IF($J447&lt;'02_Benchmarks'!$K447,2,IF($J447&lt;='02_Benchmarks'!$L447,0,IF($J447&lt;='02_Benchmarks'!$M447,-2,-3)))),IF($J447&gt;='02_Benchmarks'!$J447,3,IF($J447&gt;'02_Benchmarks'!$K447,2,IF($J447&gt;='02_Benchmarks'!$L447,0,IF($J447&gt;='02_Benchmarks'!$M447,-2,-3)))))))</x:f>
      </x:c>
      <x:c r="P447" s="58" t="str">
        <x:f>IF(COUNT($N447:$O447)+IF(ISNUMBER($K447),1,0)=0,"",MIN($N447:$O447,$K447))</x:f>
      </x:c>
      <x:c r="Q447" s="58" t="str">
        <x:f>IF($P447="","",INDEX('04_Tarifmodell'!$B$6:$B$12,$P447+4))</x:f>
      </x:c>
      <x:c r="R447" s="64" t="str">
        <x:f>IF($P447="","",INDEX('04_Tarifmodell'!$C$6:$C$12,$P447+4))</x:f>
      </x:c>
      <x:c r="S447" s="14" t="str">
        <x:f>IF(OR($I447="QUALITATIVE",$I447="MANUAL_HYBRID"),IF($K447="","Assurance-Score fehlt","Assurance-bewertet"),IF($I447="BENCHMARK",IF($W447&lt;&gt;"Aktiv",IF($K447="","Benchmark fehlt","Assurance-bewertet"),IF($J447="","Messwert fehlt",IF($P447="","Nicht bewertbar","Berechnet"))),IF(AND($J447="",$K447&lt;&gt;""),"Nur Assurance-Score",IF($J447="","Messwert fehlt",IF($P447="","Nicht bewertbar",IF($P447&lt;=-2,"Kritische Wirkung / Prüfung","Berechnet"))))))</x:f>
        <x:v>Messwert fehlt</x:v>
      </x:c>
      <x:c r="T447" s="14" t="str">
        <x:v>SROI/SDG 17 ist keine hinreichend konkrete Mess- oder Schwellenquelle. Vollständige fünfstufige numerische Regel.</x:v>
      </x:c>
      <x:c r="U447" s="14" t="str">
        <x:v>≤5:+3; 6–10:+2; 11–20:0; 21–30:‑2; &gt;30:‑3</x:v>
      </x:c>
      <x:c r="V447" s="14" t="str">
        <x:v>SDG 16/17, WJP, V‑Dem</x:v>
      </x:c>
      <x:c r="W447" s="14" t="str">
        <x:f>'02_Benchmarks'!$P447</x:f>
        <x:v>Optional – kein aktiver Benchmark</x:v>
      </x:c>
      <x:c r="X447" s="14" t="str">
        <x:v>Platzhalter – fachliche Operationalisierung offen</x:v>
      </x:c>
      <x:c r="Y447" s="14" t="str">
        <x:v>Kritisch</x:v>
      </x:c>
      <x:c r="Z447" s="14" t="str">
        <x:v>Arbeitskalibrierung – fachlich zu validieren</x:v>
      </x:c>
      <x:c r="AA447" s="14" t="str">
        <x:v>Programm/Portfolio/Systemraum; Empfängergruppe, Region und Zeitraum explizit definieren</x:v>
      </x:c>
      <x:c r="AB447" s="14" t="str">
        <x:v>Primärdaten bevorzugt; Sekundärdaten nur transparent und versioniert; Methode und Systemgrenze dokumentieren</x:v>
      </x:c>
      <x:c r="AC447" s="14" t="str">
        <x:v>Limited Assurance; risikobasiert höhere Prüftiefe</x:v>
      </x:c>
    </x:row>
    <x:row r="448" ht="42" customHeight="1">
      <x:c r="A448" s="14" t="str">
        <x:v>WOK-SYS-157</x:v>
      </x:c>
      <x:c r="B448" s="14" t="str">
        <x:v>SDG 17 – Partnerschaften</x:v>
      </x:c>
      <x:c r="C448" s="14" t="str">
        <x:v>17.18</x:v>
      </x:c>
      <x:c r="D448" s="14" t="str">
        <x:v>Open Data/Transparenz</x:v>
      </x:c>
      <x:c r="E448" s="14" t="str">
        <x:v>Open Data/Transparenz – Kooperationen</x:v>
      </x:c>
      <x:c r="F448" s="14" t="str">
        <x:v>#/Jahr</x:v>
      </x:c>
      <x:c r="G448" s="14" t="str">
        <x:v>higher_is_better</x:v>
      </x:c>
      <x:c r="H448" s="14" t="str">
        <x:v>R20</x:v>
      </x:c>
      <x:c r="I448" s="14" t="str">
        <x:v>NUM_HIGH</x:v>
      </x:c>
      <x:c r="J448" s="51"/>
      <x:c r="K448" s="51"/>
      <x:c r="L448" s="51"/>
      <x:c r="M448" s="54"/>
      <x:c r="N448" s="58" t="str">
        <x:f>IF($J448="","",IF($J448&lt;0,-3,IF($J448&lt;1,-2,IF($J448&lt;3,0,IF($J448&lt;5,2,3)))))</x:f>
      </x:c>
      <x:c r="O448" s="58" t="str">
        <x:f>IF($J448="","",IF(OR('02_Benchmarks'!$P448&lt;&gt;"Aktiv",COUNT('02_Benchmarks'!$J448:$M448)&lt;4),"",IF($G448="lower_is_better",IF($J448&lt;='02_Benchmarks'!$J448,3,IF($J448&lt;'02_Benchmarks'!$K448,2,IF($J448&lt;='02_Benchmarks'!$L448,0,IF($J448&lt;='02_Benchmarks'!$M448,-2,-3)))),IF($J448&gt;='02_Benchmarks'!$J448,3,IF($J448&gt;'02_Benchmarks'!$K448,2,IF($J448&gt;='02_Benchmarks'!$L448,0,IF($J448&gt;='02_Benchmarks'!$M448,-2,-3)))))))</x:f>
      </x:c>
      <x:c r="P448" s="58" t="str">
        <x:f>IF(COUNT($N448:$O448)+IF(ISNUMBER($K448),1,0)=0,"",MIN($N448:$O448,$K448))</x:f>
      </x:c>
      <x:c r="Q448" s="58" t="str">
        <x:f>IF($P448="","",INDEX('04_Tarifmodell'!$B$6:$B$12,$P448+4))</x:f>
      </x:c>
      <x:c r="R448" s="64" t="str">
        <x:f>IF($P448="","",INDEX('04_Tarifmodell'!$C$6:$C$12,$P448+4))</x:f>
      </x:c>
      <x:c r="S448" s="14" t="str">
        <x:f>IF(OR($I448="QUALITATIVE",$I448="MANUAL_HYBRID"),IF($K448="","Assurance-Score fehlt","Assurance-bewertet"),IF($I448="BENCHMARK",IF($W448&lt;&gt;"Aktiv",IF($K448="","Benchmark fehlt","Assurance-bewertet"),IF($J448="","Messwert fehlt",IF($P448="","Nicht bewertbar","Berechnet"))),IF(AND($J448="",$K448&lt;&gt;""),"Nur Assurance-Score",IF($J448="","Messwert fehlt",IF($P448="","Nicht bewertbar",IF($P448&lt;=-2,"Kritische Wirkung / Prüfung","Berechnet"))))))</x:f>
        <x:v>Messwert fehlt</x:v>
      </x:c>
      <x:c r="T448" s="14" t="str">
        <x:v>SROI/SDG 17 ist keine hinreichend konkrete Mess- oder Schwellenquelle. Für sachlogisch nichtnegative Zählwerte ist 0 die schlechteste reguläre Klasse (−2).</x:v>
      </x:c>
      <x:c r="U448" s="14" t="str">
        <x:v>≥5:+3; 3–4:+2; 1–2:0; 0:‑2</x:v>
      </x:c>
      <x:c r="V448" s="14" t="str">
        <x:v>SDG 16/17, WJP, V‑Dem</x:v>
      </x:c>
      <x:c r="W448" s="14" t="str">
        <x:f>'02_Benchmarks'!$P448</x:f>
        <x:v>Optional – kein aktiver Benchmark</x:v>
      </x:c>
      <x:c r="X448" s="14" t="str">
        <x:v>Platzhalter – fachliche Operationalisierung offen</x:v>
      </x:c>
      <x:c r="Y448" s="14" t="str">
        <x:v>Kritisch</x:v>
      </x:c>
      <x:c r="Z448" s="14" t="str">
        <x:v>Klasse −3 nur für negative/unzulässige Werte ergänzt</x:v>
      </x:c>
      <x:c r="AA448" s="14" t="str">
        <x:v>Programm/Portfolio/Systemraum; Empfängergruppe, Region und Zeitraum explizit definieren</x:v>
      </x:c>
      <x:c r="AB448" s="14" t="str">
        <x:v>Primärdaten bevorzugt; Sekundärdaten nur transparent und versioniert; Methode und Systemgrenze dokumentieren</x:v>
      </x:c>
      <x:c r="AC448" s="14" t="str">
        <x:v>Limited Assurance; risikobasiert höhere Prüftiefe</x:v>
      </x:c>
    </x:row>
    <x:row r="449" ht="42" customHeight="1">
      <x:c r="A449" s="14" t="str">
        <x:v>WOK-G-191</x:v>
      </x:c>
      <x:c r="B449" s="14" t="str">
        <x:v>SDG 17 – Partnerschaften</x:v>
      </x:c>
      <x:c r="C449" s="14" t="str">
        <x:v>17.17</x:v>
      </x:c>
      <x:c r="D449" s="14" t="str">
        <x:v>Multi‑Stakeholder‑Governance</x:v>
      </x:c>
      <x:c r="E449" s="14" t="str">
        <x:v>Multi‑Stakeholder‑Governance – Antikorruption</x:v>
      </x:c>
      <x:c r="F449" s="14" t="str">
        <x:v>Fälle/1.000 FTE</x:v>
      </x:c>
      <x:c r="G449" s="14" t="str">
        <x:v>lower_is_better</x:v>
      </x:c>
      <x:c r="H449" s="14" t="str">
        <x:v>R01</x:v>
      </x:c>
      <x:c r="I449" s="14" t="str">
        <x:v>NUM_LOW</x:v>
      </x:c>
      <x:c r="J449" s="51"/>
      <x:c r="K449" s="51"/>
      <x:c r="L449" s="51"/>
      <x:c r="M449" s="54"/>
      <x:c r="N449" s="58" t="str">
        <x:f>IF($J449="","",IF($J449&lt;=0,3,IF($J449&lt;=0.2,2,IF($J449&lt;=0.5,0,IF($J449&lt;=1,-2,-3)))))</x:f>
      </x:c>
      <x:c r="O449" s="58" t="str">
        <x:f>IF($J449="","",IF(OR('02_Benchmarks'!$P449&lt;&gt;"Aktiv",COUNT('02_Benchmarks'!$J449:$M449)&lt;4),"",IF($G449="lower_is_better",IF($J449&lt;='02_Benchmarks'!$J449,3,IF($J449&lt;'02_Benchmarks'!$K449,2,IF($J449&lt;='02_Benchmarks'!$L449,0,IF($J449&lt;='02_Benchmarks'!$M449,-2,-3)))),IF($J449&gt;='02_Benchmarks'!$J449,3,IF($J449&gt;'02_Benchmarks'!$K449,2,IF($J449&gt;='02_Benchmarks'!$L449,0,IF($J449&gt;='02_Benchmarks'!$M449,-2,-3)))))))</x:f>
      </x:c>
      <x:c r="P449" s="58" t="str">
        <x:f>IF(COUNT($N449:$O449)+IF(ISNUMBER($K449),1,0)=0,"",MIN($N449:$O449,$K449))</x:f>
      </x:c>
      <x:c r="Q449" s="58" t="str">
        <x:f>IF($P449="","",INDEX('04_Tarifmodell'!$B$6:$B$12,$P449+4))</x:f>
      </x:c>
      <x:c r="R449" s="64" t="str">
        <x:f>IF($P449="","",INDEX('04_Tarifmodell'!$C$6:$C$12,$P449+4))</x:f>
      </x:c>
      <x:c r="S449" s="14" t="str">
        <x:f>IF(OR($I449="QUALITATIVE",$I449="MANUAL_HYBRID"),IF($K449="","Assurance-Score fehlt","Assurance-bewertet"),IF($I449="BENCHMARK",IF($W449&lt;&gt;"Aktiv",IF($K449="","Benchmark fehlt","Assurance-bewertet"),IF($J449="","Messwert fehlt",IF($P449="","Nicht bewertbar","Berechnet"))),IF(AND($J449="",$K449&lt;&gt;""),"Nur Assurance-Score",IF($J449="","Messwert fehlt",IF($P449="","Nicht bewertbar",IF($P449&lt;=-2,"Kritische Wirkung / Prüfung","Berechnet"))))))</x:f>
        <x:v>Messwert fehlt</x:v>
      </x:c>
      <x:c r="T449" s="14" t="str">
        <x:v>Vollständige fünfstufige numerische Regel.</x:v>
      </x:c>
      <x:c r="U449" s="14" t="str">
        <x:v>0:+3; ≤0,2:+2; ≤0,5:0; ≤1:‑2; &gt;1:‑3</x:v>
      </x:c>
      <x:c r="V449" s="14" t="str">
        <x:v>ESRS G1, GRI 205/207, OECD Anti‑Bribery</x:v>
      </x:c>
      <x:c r="W449" s="14" t="str">
        <x:f>'02_Benchmarks'!$P449</x:f>
        <x:v>Optional – kein aktiver Benchmark</x:v>
      </x:c>
      <x:c r="X449" s="14" t="str">
        <x:v>Messgrundlage belegt; Schwellenkalibrierung offen</x:v>
      </x:c>
      <x:c r="Y449" s="14" t="str">
        <x:v>Mittel</x:v>
      </x:c>
      <x:c r="Z449" s="14" t="str">
        <x:v>Arbeitskalibrierung – fachlich zu validieren</x:v>
      </x:c>
      <x:c r="AA449" s="14" t="str">
        <x:v>Organisation/Governance; konsolidierter Kreis und relevante Rechtseinheiten</x:v>
      </x:c>
      <x:c r="AB449" s="14" t="str">
        <x:v>Primärdaten bevorzugt; Sekundärdaten nur transparent und versioniert; Methode und Systemgrenze dokumentieren</x:v>
      </x:c>
      <x:c r="AC449" s="14" t="str">
        <x:v>Limited Assurance; risikobasiert höhere Prüftiefe</x:v>
      </x:c>
    </x:row>
    <x:row r="450" ht="42" customHeight="1">
      <x:c r="A450" s="14" t="str">
        <x:v>WOK-G-192</x:v>
      </x:c>
      <x:c r="B450" s="14" t="str">
        <x:v>SDG 17 – Partnerschaften</x:v>
      </x:c>
      <x:c r="C450" s="14" t="str">
        <x:v>17.17</x:v>
      </x:c>
      <x:c r="D450" s="14" t="str">
        <x:v>Multi‑Stakeholder‑Governance</x:v>
      </x:c>
      <x:c r="E450" s="14" t="str">
        <x:v>Multi‑Stakeholder‑Governance – Whistleblowing</x:v>
      </x:c>
      <x:c r="F450" s="14" t="str">
        <x:v>0–1</x:v>
      </x:c>
      <x:c r="G450" s="14" t="str">
        <x:v>higher_is_better</x:v>
      </x:c>
      <x:c r="H450" s="14" t="str">
        <x:v>R16</x:v>
      </x:c>
      <x:c r="I450" s="14" t="str">
        <x:v>NUM_HIGH</x:v>
      </x:c>
      <x:c r="J450" s="51"/>
      <x:c r="K450" s="51"/>
      <x:c r="L450" s="51"/>
      <x:c r="M450" s="54"/>
      <x:c r="N450" s="58" t="str">
        <x:f>IF($J450="","",IF($J450&lt;0.4,-3,IF($J450&lt;0.6,-2,IF($J450&lt;0.75,0,IF($J450&lt;0.9,2,3)))))</x:f>
      </x:c>
      <x:c r="O450" s="58" t="str">
        <x:f>IF($J450="","",IF(OR('02_Benchmarks'!$P450&lt;&gt;"Aktiv",COUNT('02_Benchmarks'!$J450:$M450)&lt;4),"",IF($G450="lower_is_better",IF($J450&lt;='02_Benchmarks'!$J450,3,IF($J450&lt;'02_Benchmarks'!$K450,2,IF($J450&lt;='02_Benchmarks'!$L450,0,IF($J450&lt;='02_Benchmarks'!$M450,-2,-3)))),IF($J450&gt;='02_Benchmarks'!$J450,3,IF($J450&gt;'02_Benchmarks'!$K450,2,IF($J450&gt;='02_Benchmarks'!$L450,0,IF($J450&gt;='02_Benchmarks'!$M450,-2,-3)))))))</x:f>
      </x:c>
      <x:c r="P450" s="58" t="str">
        <x:f>IF(COUNT($N450:$O450)+IF(ISNUMBER($K450),1,0)=0,"",MIN($N450:$O450,$K450))</x:f>
      </x:c>
      <x:c r="Q450" s="58" t="str">
        <x:f>IF($P450="","",INDEX('04_Tarifmodell'!$B$6:$B$12,$P450+4))</x:f>
      </x:c>
      <x:c r="R450" s="64" t="str">
        <x:f>IF($P450="","",INDEX('04_Tarifmodell'!$C$6:$C$12,$P450+4))</x:f>
      </x:c>
      <x:c r="S450" s="14" t="str">
        <x:f>IF(OR($I450="QUALITATIVE",$I450="MANUAL_HYBRID"),IF($K450="","Assurance-Score fehlt","Assurance-bewertet"),IF($I450="BENCHMARK",IF($W450&lt;&gt;"Aktiv",IF($K450="","Benchmark fehlt","Assurance-bewertet"),IF($J450="","Messwert fehlt",IF($P450="","Nicht bewertbar","Berechnet"))),IF(AND($J450="",$K450&lt;&gt;""),"Nur Assurance-Score",IF($J450="","Messwert fehlt",IF($P450="","Nicht bewertbar",IF($P450&lt;=-2,"Kritische Wirkung / Prüfung","Berechnet"))))))</x:f>
        <x:v>Messwert fehlt</x:v>
      </x:c>
      <x:c r="T450" s="14" t="str">
        <x:v>Vollständige fünfstufige numerische Regel.</x:v>
      </x:c>
      <x:c r="U450" s="14" t="str">
        <x:v>≥0,9:+3; 0,75–0,89:+2; 0,6–0,74:0; 0,4–0,59:‑2; &lt;0,4:‑3</x:v>
      </x:c>
      <x:c r="V450" s="14" t="str">
        <x:v>ESRS G1, GRI 205/207, OECD Anti‑Bribery</x:v>
      </x:c>
      <x:c r="W450" s="14" t="str">
        <x:f>'02_Benchmarks'!$P450</x:f>
        <x:v>Optional – kein aktiver Benchmark</x:v>
      </x:c>
      <x:c r="X450" s="14" t="str">
        <x:v>Messgrundlage belegt; Schwellenkalibrierung offen</x:v>
      </x:c>
      <x:c r="Y450" s="14" t="str">
        <x:v>Mittel</x:v>
      </x:c>
      <x:c r="Z450" s="14" t="str">
        <x:v>Arbeitskalibrierung – fachlich zu validieren</x:v>
      </x:c>
      <x:c r="AA450" s="14" t="str">
        <x:v>Organisation/Governance; konsolidierter Kreis und relevante Rechtseinheiten</x:v>
      </x:c>
      <x:c r="AB450" s="14" t="str">
        <x:v>Primärdaten bevorzugt; Sekundärdaten nur transparent und versioniert; Methode und Systemgrenze dokumentieren</x:v>
      </x:c>
      <x:c r="AC450" s="14" t="str">
        <x:v>Limited Assurance; risikobasiert höhere Prüftiefe</x:v>
      </x:c>
    </x:row>
    <x:row r="451" ht="42" customHeight="1">
      <x:c r="A451" s="14" t="str">
        <x:v>WOK-G-193</x:v>
      </x:c>
      <x:c r="B451" s="14" t="str">
        <x:v>SDG 17 – Partnerschaften</x:v>
      </x:c>
      <x:c r="C451" s="14" t="str">
        <x:v>17.17</x:v>
      </x:c>
      <x:c r="D451" s="14" t="str">
        <x:v>Multi‑Stakeholder‑Governance</x:v>
      </x:c>
      <x:c r="E451" s="14" t="str">
        <x:v>Multi‑Stakeholder‑Governance – Steuertransparenz</x:v>
      </x:c>
      <x:c r="F451" s="14" t="str">
        <x:v>0–1</x:v>
      </x:c>
      <x:c r="G451" s="14" t="str">
        <x:v>higher_is_better</x:v>
      </x:c>
      <x:c r="H451" s="14" t="str">
        <x:v>R08</x:v>
      </x:c>
      <x:c r="I451" s="14" t="str">
        <x:v>QUALITATIVE</x:v>
      </x:c>
      <x:c r="J451" s="51"/>
      <x:c r="K451" s="51"/>
      <x:c r="L451" s="51"/>
      <x:c r="M451" s="54"/>
      <x:c r="N451" s="58" t="str">
        <x:f>""</x:f>
      </x:c>
      <x:c r="O451" s="58" t="str">
        <x:f>IF($J451="","",IF(OR('02_Benchmarks'!$P451&lt;&gt;"Aktiv",COUNT('02_Benchmarks'!$J451:$M451)&lt;4),"",IF($G451="lower_is_better",IF($J451&lt;='02_Benchmarks'!$J451,3,IF($J451&lt;'02_Benchmarks'!$K451,2,IF($J451&lt;='02_Benchmarks'!$L451,0,IF($J451&lt;='02_Benchmarks'!$M451,-2,-3)))),IF($J451&gt;='02_Benchmarks'!$J451,3,IF($J451&gt;'02_Benchmarks'!$K451,2,IF($J451&gt;='02_Benchmarks'!$L451,0,IF($J451&gt;='02_Benchmarks'!$M451,-2,-3)))))))</x:f>
      </x:c>
      <x:c r="P451" s="58" t="str">
        <x:f>IF(COUNT($N451:$O451)+IF(ISNUMBER($K451),1,0)=0,"",MIN($N451:$O451,$K451))</x:f>
      </x:c>
      <x:c r="Q451" s="58" t="str">
        <x:f>IF($P451="","",INDEX('04_Tarifmodell'!$B$6:$B$12,$P451+4))</x:f>
      </x:c>
      <x:c r="R451" s="64" t="str">
        <x:f>IF($P451="","",INDEX('04_Tarifmodell'!$C$6:$C$12,$P451+4))</x:f>
      </x:c>
      <x:c r="S451" s="14" t="str">
        <x:f>IF(OR($I451="QUALITATIVE",$I451="MANUAL_HYBRID"),IF($K451="","Assurance-Score fehlt","Assurance-bewertet"),IF($I451="BENCHMARK",IF($W451&lt;&gt;"Aktiv",IF($K451="","Benchmark fehlt","Assurance-bewertet"),IF($J451="","Messwert fehlt",IF($P451="","Nicht bewertbar","Berechnet"))),IF(AND($J451="",$K451&lt;&gt;""),"Nur Assurance-Score",IF($J451="","Messwert fehlt",IF($P451="","Nicht bewertbar",IF($P451&lt;=-2,"Kritische Wirkung / Prüfung","Berechnet"))))))</x:f>
        <x:v>Assurance-Score fehlt</x:v>
      </x:c>
      <x:c r="T451" s="14" t="str">
        <x:v>Die Kategorie −3 fehlt; Vollständigkeit und Wirksamkeit sind feldspezifisch zu definieren.</x:v>
      </x:c>
      <x:c r="U451" s="14" t="str">
        <x:v>vollständig:+3; teilweise:+2; minimal:0; schlecht:‑2</x:v>
      </x:c>
      <x:c r="V451" s="14" t="str">
        <x:v>ESRS G1, GRI 205/207, OECD Anti‑Bribery</x:v>
      </x:c>
      <x:c r="W451" s="14" t="str">
        <x:f>'02_Benchmarks'!$P451</x:f>
        <x:v>Optional – kein aktiver Benchmark</x:v>
      </x:c>
      <x:c r="X451" s="14" t="str">
        <x:v>Messgrundlage belegt; Schwellenkalibrierung offen</x:v>
      </x:c>
      <x:c r="Y451" s="14" t="str">
        <x:v>Hoch</x:v>
      </x:c>
      <x:c r="Z451" s="14" t="str">
        <x:v>Assurance und Kriterienkatalog erforderlich</x:v>
      </x:c>
      <x:c r="AA451" s="14" t="str">
        <x:v>Organisation/Governance; konsolidierter Kreis und relevante Rechtseinheiten</x:v>
      </x:c>
      <x:c r="AB451" s="14" t="str">
        <x:v>Dokumentierter Kriterienkatalog; nachvollziehbare Evidenz; DQR A/B bevorzugt</x:v>
      </x:c>
      <x:c r="AC451" s="14" t="str">
        <x:v>Unabhängige Fachprüfung/Limited Assurance; bei roten Linien Reasonable Assurance</x:v>
      </x:c>
    </x:row>
    <x:row r="452" ht="42" customHeight="1">
      <x:c r="A452" s="14" t="str">
        <x:v>WOK-SC-143</x:v>
      </x:c>
      <x:c r="B452" s="14" t="str">
        <x:v>SDG 17 – Partnerschaften</x:v>
      </x:c>
      <x:c r="C452" s="14" t="str">
        <x:v>17.11</x:v>
      </x:c>
      <x:c r="D452" s="14" t="str">
        <x:v>Lokalisierung/SME‑Einbindung</x:v>
      </x:c>
      <x:c r="E452" s="14" t="str">
        <x:v>Lokalisierung/SME‑Einbindung – ESG‑Spend‑Coverage</x:v>
      </x:c>
      <x:c r="F452" s="14" t="str">
        <x:v>%</x:v>
      </x:c>
      <x:c r="G452" s="14" t="str">
        <x:v>higher_is_better</x:v>
      </x:c>
      <x:c r="H452" s="14" t="str">
        <x:v>R26</x:v>
      </x:c>
      <x:c r="I452" s="14" t="str">
        <x:v>NUM_HIGH</x:v>
      </x:c>
      <x:c r="J452" s="51"/>
      <x:c r="K452" s="51"/>
      <x:c r="L452" s="51"/>
      <x:c r="M452" s="54"/>
      <x:c r="N452" s="58" t="str">
        <x:f>IF($J452="","",IF($J452&lt;30,-3,IF($J452&lt;50,-2,IF($J452&lt;70,0,IF($J452&lt;90,2,3)))))</x:f>
      </x:c>
      <x:c r="O452" s="58" t="str">
        <x:f>IF($J452="","",IF(OR('02_Benchmarks'!$P452&lt;&gt;"Aktiv",COUNT('02_Benchmarks'!$J452:$M452)&lt;4),"",IF($G452="lower_is_better",IF($J452&lt;='02_Benchmarks'!$J452,3,IF($J452&lt;'02_Benchmarks'!$K452,2,IF($J452&lt;='02_Benchmarks'!$L452,0,IF($J452&lt;='02_Benchmarks'!$M452,-2,-3)))),IF($J452&gt;='02_Benchmarks'!$J452,3,IF($J452&gt;'02_Benchmarks'!$K452,2,IF($J452&gt;='02_Benchmarks'!$L452,0,IF($J452&gt;='02_Benchmarks'!$M452,-2,-3)))))))</x:f>
      </x:c>
      <x:c r="P452" s="58" t="str">
        <x:f>IF(COUNT($N452:$O452)+IF(ISNUMBER($K452),1,0)=0,"",MIN($N452:$O452,$K452))</x:f>
      </x:c>
      <x:c r="Q452" s="58" t="str">
        <x:f>IF($P452="","",INDEX('04_Tarifmodell'!$B$6:$B$12,$P452+4))</x:f>
      </x:c>
      <x:c r="R452" s="64" t="str">
        <x:f>IF($P452="","",INDEX('04_Tarifmodell'!$C$6:$C$12,$P452+4))</x:f>
      </x:c>
      <x:c r="S452" s="14" t="str">
        <x:f>IF(OR($I452="QUALITATIVE",$I452="MANUAL_HYBRID"),IF($K452="","Assurance-Score fehlt","Assurance-bewertet"),IF($I452="BENCHMARK",IF($W452&lt;&gt;"Aktiv",IF($K452="","Benchmark fehlt","Assurance-bewertet"),IF($J452="","Messwert fehlt",IF($P452="","Nicht bewertbar","Berechnet"))),IF(AND($J452="",$K452&lt;&gt;""),"Nur Assurance-Score",IF($J452="","Messwert fehlt",IF($P452="","Nicht bewertbar",IF($P452&lt;=-2,"Kritische Wirkung / Prüfung","Berechnet"))))))</x:f>
        <x:v>Messwert fehlt</x:v>
      </x:c>
      <x:c r="T452" s="14" t="str">
        <x:v>Vollständige fünfstufige numerische Regel.</x:v>
      </x:c>
      <x:c r="U452" s="14" t="str">
        <x:v>≥90:+3; 70–89:+2; 50–69:0; 30–49:‑2; &lt;30:‑3</x:v>
      </x:c>
      <x:c r="V452" s="14" t="str">
        <x:v>ESRS S2; GRI 308/414/408/409</x:v>
      </x:c>
      <x:c r="W452" s="14" t="str">
        <x:f>'02_Benchmarks'!$P452</x:f>
        <x:v>Optional – kein aktiver Benchmark</x:v>
      </x:c>
      <x:c r="X452" s="14" t="str">
        <x:v>Messgrundlage belegt; Schwellenkalibrierung offen</x:v>
      </x:c>
      <x:c r="Y452" s="14" t="str">
        <x:v>Mittel</x:v>
      </x:c>
      <x:c r="Z452" s="14" t="str">
        <x:v>Arbeitskalibrierung – fachlich zu validieren</x:v>
      </x:c>
      <x:c r="AA452" s="14" t="str">
        <x:v>Vorgelagerte Lieferkette; relevante Tier-Stufen und Beschaffungsvolumen</x:v>
      </x:c>
      <x:c r="AB452" s="14" t="str">
        <x:v>Primärdaten bevorzugt; Sekundärdaten nur transparent und versioniert; Methode und Systemgrenze dokumentieren</x:v>
      </x:c>
      <x:c r="AC452" s="14" t="str">
        <x:v>Limited Assurance; risikobasiert höhere Prüftiefe</x:v>
      </x:c>
    </x:row>
    <x:row r="453" ht="42" customHeight="1">
      <x:c r="A453" s="14" t="str">
        <x:v>WOK-SC-144</x:v>
      </x:c>
      <x:c r="B453" s="14" t="str">
        <x:v>SDG 17 – Partnerschaften</x:v>
      </x:c>
      <x:c r="C453" s="14" t="str">
        <x:v>17.11</x:v>
      </x:c>
      <x:c r="D453" s="14" t="str">
        <x:v>Lokalisierung/SME‑Einbindung</x:v>
      </x:c>
      <x:c r="E453" s="14" t="str">
        <x:v>Lokalisierung/SME‑Einbindung – Kinder/Zwangsarbeit</x:v>
      </x:c>
      <x:c r="F453" s="14" t="str">
        <x:v>% Lieferanten</x:v>
      </x:c>
      <x:c r="G453" s="14" t="str">
        <x:v>higher_is_better</x:v>
      </x:c>
      <x:c r="H453" s="14" t="str">
        <x:v>R28</x:v>
      </x:c>
      <x:c r="I453" s="14" t="str">
        <x:v>NUM_HIGH</x:v>
      </x:c>
      <x:c r="J453" s="51"/>
      <x:c r="K453" s="51"/>
      <x:c r="L453" s="51"/>
      <x:c r="M453" s="54"/>
      <x:c r="N453" s="58" t="str">
        <x:f>IF($J453="","",IF($J453&lt;50,-3,IF($J453&lt;75,-2,IF($J453&lt;90,0,IF($J453&lt;98,2,3)))))</x:f>
      </x:c>
      <x:c r="O453" s="58" t="str">
        <x:f>IF($J453="","",IF(OR('02_Benchmarks'!$P453&lt;&gt;"Aktiv",COUNT('02_Benchmarks'!$J453:$M453)&lt;4),"",IF($G453="lower_is_better",IF($J453&lt;='02_Benchmarks'!$J453,3,IF($J453&lt;'02_Benchmarks'!$K453,2,IF($J453&lt;='02_Benchmarks'!$L453,0,IF($J453&lt;='02_Benchmarks'!$M453,-2,-3)))),IF($J453&gt;='02_Benchmarks'!$J453,3,IF($J453&gt;'02_Benchmarks'!$K453,2,IF($J453&gt;='02_Benchmarks'!$L453,0,IF($J453&gt;='02_Benchmarks'!$M453,-2,-3)))))))</x:f>
      </x:c>
      <x:c r="P453" s="58" t="str">
        <x:f>IF(COUNT($N453:$O453)+IF(ISNUMBER($K453),1,0)=0,"",MIN($N453:$O453,$K453))</x:f>
      </x:c>
      <x:c r="Q453" s="58" t="str">
        <x:f>IF($P453="","",INDEX('04_Tarifmodell'!$B$6:$B$12,$P453+4))</x:f>
      </x:c>
      <x:c r="R453" s="64" t="str">
        <x:f>IF($P453="","",INDEX('04_Tarifmodell'!$C$6:$C$12,$P453+4))</x:f>
      </x:c>
      <x:c r="S453" s="14" t="str">
        <x:f>IF(OR($I453="QUALITATIVE",$I453="MANUAL_HYBRID"),IF($K453="","Assurance-Score fehlt","Assurance-bewertet"),IF($I453="BENCHMARK",IF($W453&lt;&gt;"Aktiv",IF($K453="","Benchmark fehlt","Assurance-bewertet"),IF($J453="","Messwert fehlt",IF($P453="","Nicht bewertbar","Berechnet"))),IF(AND($J453="",$K453&lt;&gt;""),"Nur Assurance-Score",IF($J453="","Messwert fehlt",IF($P453="","Nicht bewertbar",IF($P453&lt;=-2,"Kritische Wirkung / Prüfung","Berechnet"))))))</x:f>
        <x:v>Messwert fehlt</x:v>
      </x:c>
      <x:c r="T453" s="14" t="str">
        <x:v>Vollständige fünfstufige numerische Regel.</x:v>
      </x:c>
      <x:c r="U453" s="14" t="str">
        <x:v>≥98:+3; 90–97:+2; 75–89:0; 50–74:‑2; &lt;50:‑3</x:v>
      </x:c>
      <x:c r="V453" s="14" t="str">
        <x:v>ESRS S2, GRI 308/414, OECD Due Diligence</x:v>
      </x:c>
      <x:c r="W453" s="14" t="str">
        <x:f>'02_Benchmarks'!$P453</x:f>
        <x:v>Optional – kein aktiver Benchmark</x:v>
      </x:c>
      <x:c r="X453" s="14" t="str">
        <x:v>Messgrundlage belegt; Schwellenkalibrierung offen</x:v>
      </x:c>
      <x:c r="Y453" s="14" t="str">
        <x:v>Mittel</x:v>
      </x:c>
      <x:c r="Z453" s="14" t="str">
        <x:v>Arbeitskalibrierung – fachlich zu validieren</x:v>
      </x:c>
      <x:c r="AA453" s="14" t="str">
        <x:v>Vorgelagerte Lieferkette; relevante Tier-Stufen und Beschaffungsvolumen</x:v>
      </x:c>
      <x:c r="AB453" s="14" t="str">
        <x:v>Primärdaten bevorzugt; Sekundärdaten nur transparent und versioniert; Methode und Systemgrenze dokumentieren</x:v>
      </x:c>
      <x:c r="AC453" s="14" t="str">
        <x:v>Limited Assurance; risikobasiert höhere Prüftiefe</x:v>
      </x:c>
    </x:row>
    <x:row r="454" ht="42" customHeight="1">
      <x:c r="A454" s="14" t="str">
        <x:v>WOK-SC-145</x:v>
      </x:c>
      <x:c r="B454" s="14" t="str">
        <x:v>SDG 17 – Partnerschaften</x:v>
      </x:c>
      <x:c r="C454" s="14" t="str">
        <x:v>17.11</x:v>
      </x:c>
      <x:c r="D454" s="14" t="str">
        <x:v>Lokalisierung/SME‑Einbindung</x:v>
      </x:c>
      <x:c r="E454" s="14" t="str">
        <x:v>Lokalisierung/SME‑Einbindung – Scope‑3 Daten</x:v>
      </x:c>
      <x:c r="F454" s="14" t="str">
        <x:v>% Kategorien</x:v>
      </x:c>
      <x:c r="G454" s="14" t="str">
        <x:v>higher_is_better</x:v>
      </x:c>
      <x:c r="H454" s="14" t="str">
        <x:v>R23</x:v>
      </x:c>
      <x:c r="I454" s="14" t="str">
        <x:v>NUM_HIGH</x:v>
      </x:c>
      <x:c r="J454" s="51"/>
      <x:c r="K454" s="51"/>
      <x:c r="L454" s="51"/>
      <x:c r="M454" s="54"/>
      <x:c r="N454" s="58" t="str">
        <x:f>IF($J454="","",IF($J454&lt;20,-3,IF($J454&lt;40,-2,IF($J454&lt;60,0,IF($J454&lt;80,2,3)))))</x:f>
      </x:c>
      <x:c r="O454" s="58" t="str">
        <x:f>IF($J454="","",IF(OR('02_Benchmarks'!$P454&lt;&gt;"Aktiv",COUNT('02_Benchmarks'!$J454:$M454)&lt;4),"",IF($G454="lower_is_better",IF($J454&lt;='02_Benchmarks'!$J454,3,IF($J454&lt;'02_Benchmarks'!$K454,2,IF($J454&lt;='02_Benchmarks'!$L454,0,IF($J454&lt;='02_Benchmarks'!$M454,-2,-3)))),IF($J454&gt;='02_Benchmarks'!$J454,3,IF($J454&gt;'02_Benchmarks'!$K454,2,IF($J454&gt;='02_Benchmarks'!$L454,0,IF($J454&gt;='02_Benchmarks'!$M454,-2,-3)))))))</x:f>
      </x:c>
      <x:c r="P454" s="58" t="str">
        <x:f>IF(COUNT($N454:$O454)+IF(ISNUMBER($K454),1,0)=0,"",MIN($N454:$O454,$K454))</x:f>
      </x:c>
      <x:c r="Q454" s="58" t="str">
        <x:f>IF($P454="","",INDEX('04_Tarifmodell'!$B$6:$B$12,$P454+4))</x:f>
      </x:c>
      <x:c r="R454" s="64" t="str">
        <x:f>IF($P454="","",INDEX('04_Tarifmodell'!$C$6:$C$12,$P454+4))</x:f>
      </x:c>
      <x:c r="S454" s="14" t="str">
        <x:f>IF(OR($I454="QUALITATIVE",$I454="MANUAL_HYBRID"),IF($K454="","Assurance-Score fehlt","Assurance-bewertet"),IF($I454="BENCHMARK",IF($W454&lt;&gt;"Aktiv",IF($K454="","Benchmark fehlt","Assurance-bewertet"),IF($J454="","Messwert fehlt",IF($P454="","Nicht bewertbar","Berechnet"))),IF(AND($J454="",$K454&lt;&gt;""),"Nur Assurance-Score",IF($J454="","Messwert fehlt",IF($P454="","Nicht bewertbar",IF($P454&lt;=-2,"Kritische Wirkung / Prüfung","Berechnet"))))))</x:f>
        <x:v>Messwert fehlt</x:v>
      </x:c>
      <x:c r="T454" s="14" t="str">
        <x:v>Vollständige fünfstufige numerische Regel.</x:v>
      </x:c>
      <x:c r="U454" s="14" t="str">
        <x:v>≥80:+3; 60–79:+2; 40–59:0; 20–39:‑2; &lt;20:‑3</x:v>
      </x:c>
      <x:c r="V454" s="14" t="str">
        <x:v>ESRS E1, GHG Protocol (Corporate/Scope 1–3), ISO 14064/14067</x:v>
      </x:c>
      <x:c r="W454" s="14" t="str">
        <x:f>'02_Benchmarks'!$P454</x:f>
        <x:v>Optional – kein aktiver Benchmark</x:v>
      </x:c>
      <x:c r="X454" s="14" t="str">
        <x:v>Messgrundlage belegt; Schwellenkalibrierung offen</x:v>
      </x:c>
      <x:c r="Y454" s="14" t="str">
        <x:v>Mittel</x:v>
      </x:c>
      <x:c r="Z454" s="14" t="str">
        <x:v>Arbeitskalibrierung – fachlich zu validieren</x:v>
      </x:c>
      <x:c r="AA454" s="14" t="str">
        <x:v>Vorgelagerte Lieferkette; relevante Tier-Stufen und Beschaffungsvolumen</x:v>
      </x:c>
      <x:c r="AB454" s="14" t="str">
        <x:v>Primärdaten bevorzugt; Sekundärdaten nur transparent und versioniert; Methode und Systemgrenze dokumentieren</x:v>
      </x:c>
      <x:c r="AC454" s="14" t="str">
        <x:v>Limited Assurance; risikobasiert höhere Prüftiefe</x:v>
      </x:c>
    </x:row>
    <x:row r="455" ht="42" customHeight="1">
      <x:c r="A455" s="14" t="str">
        <x:v>WOK-E-221</x:v>
      </x:c>
      <x:c r="B455" s="14" t="str">
        <x:v>SDG 17 – Partnerschaften</x:v>
      </x:c>
      <x:c r="C455" s="14" t="str">
        <x:v>17.17</x:v>
      </x:c>
      <x:c r="D455" s="14" t="str">
        <x:v>Gemeinsame Klimainitiativen</x:v>
      </x:c>
      <x:c r="E455" s="14" t="str">
        <x:v>Gemeinsame Klimainitiativen – EE‑Anteil</x:v>
      </x:c>
      <x:c r="F455" s="14" t="str">
        <x:v>%</x:v>
      </x:c>
      <x:c r="G455" s="14" t="str">
        <x:v>higher_is_better</x:v>
      </x:c>
      <x:c r="H455" s="14" t="str">
        <x:v>R25</x:v>
      </x:c>
      <x:c r="I455" s="14" t="str">
        <x:v>NUM_HIGH</x:v>
      </x:c>
      <x:c r="J455" s="51"/>
      <x:c r="K455" s="51"/>
      <x:c r="L455" s="51"/>
      <x:c r="M455" s="54"/>
      <x:c r="N455" s="58" t="str">
        <x:f>IF($J455="","",IF($J455&lt;30,-3,IF($J455&lt;50,-2,IF($J455&lt;70,0,IF($J455&lt;90,2,3)))))</x:f>
      </x:c>
      <x:c r="O455" s="58" t="str">
        <x:f>IF($J455="","",IF(OR('02_Benchmarks'!$P455&lt;&gt;"Aktiv",COUNT('02_Benchmarks'!$J455:$M455)&lt;4),"",IF($G455="lower_is_better",IF($J455&lt;='02_Benchmarks'!$J455,3,IF($J455&lt;'02_Benchmarks'!$K455,2,IF($J455&lt;='02_Benchmarks'!$L455,0,IF($J455&lt;='02_Benchmarks'!$M455,-2,-3)))),IF($J455&gt;='02_Benchmarks'!$J455,3,IF($J455&gt;'02_Benchmarks'!$K455,2,IF($J455&gt;='02_Benchmarks'!$L455,0,IF($J455&gt;='02_Benchmarks'!$M455,-2,-3)))))))</x:f>
      </x:c>
      <x:c r="P455" s="58" t="str">
        <x:f>IF(COUNT($N455:$O455)+IF(ISNUMBER($K455),1,0)=0,"",MIN($N455:$O455,$K455))</x:f>
      </x:c>
      <x:c r="Q455" s="58" t="str">
        <x:f>IF($P455="","",INDEX('04_Tarifmodell'!$B$6:$B$12,$P455+4))</x:f>
      </x:c>
      <x:c r="R455" s="64" t="str">
        <x:f>IF($P455="","",INDEX('04_Tarifmodell'!$C$6:$C$12,$P455+4))</x:f>
      </x:c>
      <x:c r="S455" s="14" t="str">
        <x:f>IF(OR($I455="QUALITATIVE",$I455="MANUAL_HYBRID"),IF($K455="","Assurance-Score fehlt","Assurance-bewertet"),IF($I455="BENCHMARK",IF($W455&lt;&gt;"Aktiv",IF($K455="","Benchmark fehlt","Assurance-bewertet"),IF($J455="","Messwert fehlt",IF($P455="","Nicht bewertbar","Berechnet"))),IF(AND($J455="",$K455&lt;&gt;""),"Nur Assurance-Score",IF($J455="","Messwert fehlt",IF($P455="","Nicht bewertbar",IF($P455&lt;=-2,"Kritische Wirkung / Prüfung","Berechnet"))))))</x:f>
        <x:v>Messwert fehlt</x:v>
      </x:c>
      <x:c r="T455" s="14" t="str">
        <x:v>Vollständige fünfstufige Prozentregel.</x:v>
      </x:c>
      <x:c r="U455" s="14" t="str">
        <x:v>≥90%:+3; 70–89%:+2; 50–69%:0; 30–49%:‑2; &lt;30%:‑3</x:v>
      </x:c>
      <x:c r="V455" s="14" t="str">
        <x:v>ESRS E1, ISO 50001 (EnMS), ISO/IEC 30134‑2 (PUE), EU EPBD</x:v>
      </x:c>
      <x:c r="W455" s="14" t="str">
        <x:f>'02_Benchmarks'!$P455</x:f>
        <x:v>Optional – kein aktiver Benchmark</x:v>
      </x:c>
      <x:c r="X455" s="14" t="str">
        <x:v>Messgrundlage belegt; Schwellenkalibrierung offen</x:v>
      </x:c>
      <x:c r="Y455" s="14" t="str">
        <x:v>Mittel</x:v>
      </x:c>
      <x:c r="Z455" s="14" t="str">
        <x:v>Arbeitskalibrierung – fachlich zu validieren</x:v>
      </x:c>
      <x:c r="AA455" s="14" t="str">
        <x:v>Standort/Prozess/Aktivität; Bezugsgröße und relevante Umweltmedien</x:v>
      </x:c>
      <x:c r="AB455" s="14" t="str">
        <x:v>Primärdaten bevorzugt; Sekundärdaten nur transparent und versioniert; Methode und Systemgrenze dokumentieren</x:v>
      </x:c>
      <x:c r="AC455" s="14" t="str">
        <x:v>Limited Assurance; risikobasiert höhere Prüftiefe</x:v>
      </x:c>
    </x:row>
    <x:row r="456" ht="42" customHeight="1">
      <x:c r="A456" s="14" t="str">
        <x:v>WOK-E-222</x:v>
      </x:c>
      <x:c r="B456" s="14" t="str">
        <x:v>SDG 17 – Partnerschaften</x:v>
      </x:c>
      <x:c r="C456" s="14" t="str">
        <x:v>17.17</x:v>
      </x:c>
      <x:c r="D456" s="14" t="str">
        <x:v>Gemeinsame Klimainitiativen</x:v>
      </x:c>
      <x:c r="E456" s="14" t="str">
        <x:v>Gemeinsame Klimainitiativen – Intensität</x:v>
      </x:c>
      <x:c r="F456" s="14" t="str">
        <x:v>kWh/€ Mio bzw. kWh/t</x:v>
      </x:c>
      <x:c r="G456" s="14" t="str">
        <x:v>lower_is_better</x:v>
      </x:c>
      <x:c r="H456" s="14" t="str">
        <x:v>R06</x:v>
      </x:c>
      <x:c r="I456" s="14" t="str">
        <x:v>BENCHMARK</x:v>
      </x:c>
      <x:c r="J456" s="51"/>
      <x:c r="K456" s="51"/>
      <x:c r="L456" s="51"/>
      <x:c r="M456" s="54"/>
      <x:c r="N456" s="58" t="str">
        <x:f>""</x:f>
      </x:c>
      <x:c r="O456" s="58" t="str">
        <x:f>IF($J456="","",IF(OR('02_Benchmarks'!$P456&lt;&gt;"Aktiv",COUNT('02_Benchmarks'!$J456:$M456)&lt;4),"",IF($G456="lower_is_better",IF($J456&lt;='02_Benchmarks'!$J456,3,IF($J456&lt;'02_Benchmarks'!$K456,2,IF($J456&lt;='02_Benchmarks'!$L456,0,IF($J456&lt;='02_Benchmarks'!$M456,-2,-3)))),IF($J456&gt;='02_Benchmarks'!$J456,3,IF($J456&gt;'02_Benchmarks'!$K456,2,IF($J456&gt;='02_Benchmarks'!$L456,0,IF($J456&gt;='02_Benchmarks'!$M456,-2,-3)))))))</x:f>
      </x:c>
      <x:c r="P456" s="58" t="str">
        <x:f>IF(COUNT($N456:$O456)+IF(ISNUMBER($K456),1,0)=0,"",MIN($N456:$O456,$K456))</x:f>
      </x:c>
      <x:c r="Q456" s="58" t="str">
        <x:f>IF($P456="","",INDEX('04_Tarifmodell'!$B$6:$B$12,$P456+4))</x:f>
      </x:c>
      <x:c r="R456" s="64" t="str">
        <x:f>IF($P456="","",INDEX('04_Tarifmodell'!$C$6:$C$12,$P456+4))</x:f>
      </x:c>
      <x:c r="S456" s="14" t="str">
        <x:f>IF(OR($I456="QUALITATIVE",$I456="MANUAL_HYBRID"),IF($K456="","Assurance-Score fehlt","Assurance-bewertet"),IF($I456="BENCHMARK",IF($W456&lt;&gt;"Aktiv",IF($K456="","Benchmark fehlt","Assurance-bewertet"),IF($J456="","Messwert fehlt",IF($P456="","Nicht bewertbar","Berechnet"))),IF(AND($J456="",$K456&lt;&gt;""),"Nur Assurance-Score",IF($J456="","Messwert fehlt",IF($P456="","Nicht bewertbar",IF($P456&lt;=-2,"Kritische Wirkung / Prüfung","Berechnet"))))))</x:f>
        <x:v>Benchmark fehlt</x:v>
      </x:c>
      <x:c r="T456" s="14" t="str">
        <x:v>Top-10-Prozent, Mittelwert, 150 % und 250 % müssen aus einer dokumentierten Grundgesamtheit stammen.</x:v>
      </x:c>
      <x:c r="U456" s="14" t="str">
        <x:v>Top‑10%:+3; Mittel:0; &gt;150%:‑2; &gt;250%:‑3</x:v>
      </x:c>
      <x:c r="V456" s="14" t="str">
        <x:v>ESRS E1, ISO 50001 (EnMS), ISO/IEC 30134‑2 (PUE), EU EPBD</x:v>
      </x:c>
      <x:c r="W456" s="14" t="str">
        <x:f>'02_Benchmarks'!$P456</x:f>
        <x:v>Offen – validierter Benchmark fehlt</x:v>
      </x:c>
      <x:c r="X456" s="14" t="str">
        <x:v>Teilbelegt – Benchmarkquelle fehlt</x:v>
      </x:c>
      <x:c r="Y456" s="14" t="str">
        <x:v>Hoch</x:v>
      </x:c>
      <x:c r="Z456" s="14" t="str">
        <x:v>Validierter Benchmark fehlt</x:v>
      </x:c>
      <x:c r="AA456" s="14" t="str">
        <x:v>Standort/Prozess/Aktivität; Bezugsgröße und relevante Umweltmedien</x:v>
      </x:c>
      <x:c r="AB456" s="14" t="str">
        <x:v>Primärdaten plus repräsentativer, versionierter Benchmarkdatensatz; Stichprobe und Population offenlegen</x:v>
      </x:c>
      <x:c r="AC456" s="14" t="str">
        <x:v>Messwert-Assurance und unabhängige Benchmark-Governance</x:v>
      </x:c>
    </x:row>
    <x:row r="457" ht="42" customHeight="1">
      <x:c r="A457" s="14" t="str">
        <x:v>WOK-E-223</x:v>
      </x:c>
      <x:c r="B457" s="14" t="str">
        <x:v>SDG 17 – Partnerschaften</x:v>
      </x:c>
      <x:c r="C457" s="14" t="str">
        <x:v>17.17</x:v>
      </x:c>
      <x:c r="D457" s="14" t="str">
        <x:v>Gemeinsame Klimainitiativen</x:v>
      </x:c>
      <x:c r="E457" s="14" t="str">
        <x:v>Gemeinsame Klimainitiativen – Effizienz (PUE)*</x:v>
      </x:c>
      <x:c r="F457" s="14" t="str">
        <x:v>PUE</x:v>
      </x:c>
      <x:c r="G457" s="14" t="str">
        <x:v>lower_is_better</x:v>
      </x:c>
      <x:c r="H457" s="14" t="str">
        <x:v>R09</x:v>
      </x:c>
      <x:c r="I457" s="14" t="str">
        <x:v>NUM_LOW</x:v>
      </x:c>
      <x:c r="J457" s="51"/>
      <x:c r="K457" s="51"/>
      <x:c r="L457" s="51"/>
      <x:c r="M457" s="54"/>
      <x:c r="N457" s="58" t="str">
        <x:f>IF($J457="","",IF($J457&lt;=1.2,3,IF($J457&lt;=1.4,2,IF($J457&lt;=1.6,0,IF($J457&lt;=1.8,-2,-3)))))</x:f>
      </x:c>
      <x:c r="O457" s="58" t="str">
        <x:f>IF($J457="","",IF(OR('02_Benchmarks'!$P457&lt;&gt;"Aktiv",COUNT('02_Benchmarks'!$J457:$M457)&lt;4),"",IF($G457="lower_is_better",IF($J457&lt;='02_Benchmarks'!$J457,3,IF($J457&lt;'02_Benchmarks'!$K457,2,IF($J457&lt;='02_Benchmarks'!$L457,0,IF($J457&lt;='02_Benchmarks'!$M457,-2,-3)))),IF($J457&gt;='02_Benchmarks'!$J457,3,IF($J457&gt;'02_Benchmarks'!$K457,2,IF($J457&gt;='02_Benchmarks'!$L457,0,IF($J457&gt;='02_Benchmarks'!$M457,-2,-3)))))))</x:f>
      </x:c>
      <x:c r="P457" s="58" t="str">
        <x:f>IF(COUNT($N457:$O457)+IF(ISNUMBER($K457),1,0)=0,"",MIN($N457:$O457,$K457))</x:f>
      </x:c>
      <x:c r="Q457" s="58" t="str">
        <x:f>IF($P457="","",INDEX('04_Tarifmodell'!$B$6:$B$12,$P457+4))</x:f>
      </x:c>
      <x:c r="R457" s="64" t="str">
        <x:f>IF($P457="","",INDEX('04_Tarifmodell'!$C$6:$C$12,$P457+4))</x:f>
      </x:c>
      <x:c r="S457" s="14" t="str">
        <x:f>IF(OR($I457="QUALITATIVE",$I457="MANUAL_HYBRID"),IF($K457="","Assurance-Score fehlt","Assurance-bewertet"),IF($I457="BENCHMARK",IF($W457&lt;&gt;"Aktiv",IF($K457="","Benchmark fehlt","Assurance-bewertet"),IF($J457="","Messwert fehlt",IF($P457="","Nicht bewertbar","Berechnet"))),IF(AND($J457="",$K457&lt;&gt;""),"Nur Assurance-Score",IF($J457="","Messwert fehlt",IF($P457="","Nicht bewertbar",IF($P457&lt;=-2,"Kritische Wirkung / Prüfung","Berechnet"))))))</x:f>
        <x:v>Messwert fehlt</x:v>
      </x:c>
      <x:c r="T457" s="14" t="str">
        <x:v>Klimazone und Rechenzentrumstyp sind bei der Validierung zu berücksichtigen.</x:v>
      </x:c>
      <x:c r="U457" s="14" t="str">
        <x:v>≤1,2:+3; 1,21–1,4:+2; 1,41–1,6:0; 1,61–1,8:‑2; &gt;1,8:‑3</x:v>
      </x:c>
      <x:c r="V457" s="14" t="str">
        <x:v>ESRS E1, ISO 50001 (EnMS), ISO/IEC 30134‑2 (PUE), EU EPBD</x:v>
      </x:c>
      <x:c r="W457" s="14" t="str">
        <x:f>'02_Benchmarks'!$P457</x:f>
        <x:v>Optional – kein aktiver Benchmark</x:v>
      </x:c>
      <x:c r="X457" s="14" t="str">
        <x:v>Messgrundlage belegt; Schwellenkalibrierung offen</x:v>
      </x:c>
      <x:c r="Y457" s="14" t="str">
        <x:v>Mittel</x:v>
      </x:c>
      <x:c r="Z457" s="14" t="str">
        <x:v>Messstandard belegt; Klassen sind WÖk-Kalibrierung</x:v>
      </x:c>
      <x:c r="AA457" s="14" t="str">
        <x:v>Standort/Prozess/Aktivität; Bezugsgröße und relevante Umweltmedien</x:v>
      </x:c>
      <x:c r="AB457" s="14" t="str">
        <x:v>Primärdaten bevorzugt; Sekundärdaten nur transparent und versioniert; Methode und Systemgrenze dokumentieren</x:v>
      </x:c>
      <x:c r="AC457" s="14" t="str">
        <x:v>Limited Assurance; risikobasiert höhere Prüftiefe</x:v>
      </x:c>
    </x:row>
    <x:row r="458" ht="42" customHeight="1">
      <x:c r="A458" s="14" t="str">
        <x:v>WOK-P-128</x:v>
      </x:c>
      <x:c r="B458" s="14" t="str">
        <x:v>SDG 17 – Partnerschaften</x:v>
      </x:c>
      <x:c r="C458" s="14" t="str">
        <x:v>17.6</x:v>
      </x:c>
      <x:c r="D458" s="14" t="str">
        <x:v>Offene Standards/Interoperabilität</x:v>
      </x:c>
      <x:c r="E458" s="14" t="str">
        <x:v>Offene Standards/Interoperabilität – PCF</x:v>
      </x:c>
      <x:c r="F458" s="14" t="str">
        <x:v>kg CO₂e/Einheit</x:v>
      </x:c>
      <x:c r="G458" s="14" t="str">
        <x:v>lower_is_better</x:v>
      </x:c>
      <x:c r="H458" s="14" t="str">
        <x:v>R07</x:v>
      </x:c>
      <x:c r="I458" s="14" t="str">
        <x:v>BENCHMARK</x:v>
      </x:c>
      <x:c r="J458" s="51"/>
      <x:c r="K458" s="51"/>
      <x:c r="L458" s="51"/>
      <x:c r="M458" s="54"/>
      <x:c r="N458" s="58" t="str">
        <x:f>""</x:f>
      </x:c>
      <x:c r="O458" s="58" t="str">
        <x:f>IF($J458="","",IF(OR('02_Benchmarks'!$P458&lt;&gt;"Aktiv",COUNT('02_Benchmarks'!$J458:$M458)&lt;4),"",IF($G458="lower_is_better",IF($J458&lt;='02_Benchmarks'!$J458,3,IF($J458&lt;'02_Benchmarks'!$K458,2,IF($J458&lt;='02_Benchmarks'!$L458,0,IF($J458&lt;='02_Benchmarks'!$M458,-2,-3)))),IF($J458&gt;='02_Benchmarks'!$J458,3,IF($J458&gt;'02_Benchmarks'!$K458,2,IF($J458&gt;='02_Benchmarks'!$L458,0,IF($J458&gt;='02_Benchmarks'!$M458,-2,-3)))))))</x:f>
      </x:c>
      <x:c r="P458" s="58" t="str">
        <x:f>IF(COUNT($N458:$O458)+IF(ISNUMBER($K458),1,0)=0,"",MIN($N458:$O458,$K458))</x:f>
      </x:c>
      <x:c r="Q458" s="58" t="str">
        <x:f>IF($P458="","",INDEX('04_Tarifmodell'!$B$6:$B$12,$P458+4))</x:f>
      </x:c>
      <x:c r="R458" s="64" t="str">
        <x:f>IF($P458="","",INDEX('04_Tarifmodell'!$C$6:$C$12,$P458+4))</x:f>
      </x:c>
      <x:c r="S458" s="14" t="str">
        <x:f>IF(OR($I458="QUALITATIVE",$I458="MANUAL_HYBRID"),IF($K458="","Assurance-Score fehlt","Assurance-bewertet"),IF($I458="BENCHMARK",IF($W458&lt;&gt;"Aktiv",IF($K458="","Benchmark fehlt","Assurance-bewertet"),IF($J458="","Messwert fehlt",IF($P458="","Nicht bewertbar","Berechnet"))),IF(AND($J458="",$K458&lt;&gt;""),"Nur Assurance-Score",IF($J458="","Messwert fehlt",IF($P458="","Nicht bewertbar",IF($P458&lt;=-2,"Kritische Wirkung / Prüfung","Berechnet"))))))</x:f>
        <x:v>Benchmark fehlt</x:v>
      </x:c>
      <x:c r="T458" s="14" t="str">
        <x:v>Produktspezifische Referenzpopulation erforderlich.</x:v>
      </x:c>
      <x:c r="U458" s="14" t="str">
        <x:v>Top‑10%:+3; ±Benchmark:0; &gt;150%:‑2; &gt;250%:‑3</x:v>
      </x:c>
      <x:c r="V458" s="14" t="str">
        <x:v>ISO 14067/14040/44 (LCA/PCF), PEF/EF 3.1, EU Reparierbarkeitsindex</x:v>
      </x:c>
      <x:c r="W458" s="14" t="str">
        <x:f>'02_Benchmarks'!$P458</x:f>
        <x:v>Offen – validierter Benchmark fehlt</x:v>
      </x:c>
      <x:c r="X458" s="14" t="str">
        <x:v>Teilbelegt – Benchmarkquelle fehlt</x:v>
      </x:c>
      <x:c r="Y458" s="14" t="str">
        <x:v>Hoch</x:v>
      </x:c>
      <x:c r="Z458" s="14" t="str">
        <x:v>Validierter Benchmark fehlt</x:v>
      </x:c>
      <x:c r="AA458" s="14" t="str">
        <x:v>Produkt/Funktionseinheit; Lebenszyklusgrenze mindestens cradle-to-gate, bei Nutzungs-/End-of-Life-Relevanz cradle-to-grave</x:v>
      </x:c>
      <x:c r="AB458" s="14" t="str">
        <x:v>Primärdaten plus repräsentativer, versionierter Benchmarkdatensatz; Stichprobe und Population offenlegen</x:v>
      </x:c>
      <x:c r="AC458" s="14" t="str">
        <x:v>Messwert-Assurance und unabhängige Benchmark-Governance</x:v>
      </x:c>
    </x:row>
    <x:row r="459" ht="42" customHeight="1">
      <x:c r="A459" s="14" t="str">
        <x:v>WOK-P-129</x:v>
      </x:c>
      <x:c r="B459" s="14" t="str">
        <x:v>SDG 17 – Partnerschaften</x:v>
      </x:c>
      <x:c r="C459" s="14" t="str">
        <x:v>17.6</x:v>
      </x:c>
      <x:c r="D459" s="14" t="str">
        <x:v>Offene Standards/Interoperabilität</x:v>
      </x:c>
      <x:c r="E459" s="14" t="str">
        <x:v>Offene Standards/Interoperabilität – Reparierbarkeit</x:v>
      </x:c>
      <x:c r="F459" s="14" t="str">
        <x:v>Score 0–10</x:v>
      </x:c>
      <x:c r="G459" s="14" t="str">
        <x:v>higher_is_better</x:v>
      </x:c>
      <x:c r="H459" s="14" t="str">
        <x:v>R24</x:v>
      </x:c>
      <x:c r="I459" s="14" t="str">
        <x:v>NUM_HIGH</x:v>
      </x:c>
      <x:c r="J459" s="51"/>
      <x:c r="K459" s="51"/>
      <x:c r="L459" s="51"/>
      <x:c r="M459" s="54"/>
      <x:c r="N459" s="58" t="str">
        <x:f>IF($J459="","",IF($J459&lt;2,-3,IF($J459&lt;4,-2,IF($J459&lt;6,0,IF($J459&lt;8,2,3)))))</x:f>
      </x:c>
      <x:c r="O459" s="58" t="str">
        <x:f>IF($J459="","",IF(OR('02_Benchmarks'!$P459&lt;&gt;"Aktiv",COUNT('02_Benchmarks'!$J459:$M459)&lt;4),"",IF($G459="lower_is_better",IF($J459&lt;='02_Benchmarks'!$J459,3,IF($J459&lt;'02_Benchmarks'!$K459,2,IF($J459&lt;='02_Benchmarks'!$L459,0,IF($J459&lt;='02_Benchmarks'!$M459,-2,-3)))),IF($J459&gt;='02_Benchmarks'!$J459,3,IF($J459&gt;'02_Benchmarks'!$K459,2,IF($J459&gt;='02_Benchmarks'!$L459,0,IF($J459&gt;='02_Benchmarks'!$M459,-2,-3)))))))</x:f>
      </x:c>
      <x:c r="P459" s="58" t="str">
        <x:f>IF(COUNT($N459:$O459)+IF(ISNUMBER($K459),1,0)=0,"",MIN($N459:$O459,$K459))</x:f>
      </x:c>
      <x:c r="Q459" s="58" t="str">
        <x:f>IF($P459="","",INDEX('04_Tarifmodell'!$B$6:$B$12,$P459+4))</x:f>
      </x:c>
      <x:c r="R459" s="64" t="str">
        <x:f>IF($P459="","",INDEX('04_Tarifmodell'!$C$6:$C$12,$P459+4))</x:f>
      </x:c>
      <x:c r="S459" s="14" t="str">
        <x:f>IF(OR($I459="QUALITATIVE",$I459="MANUAL_HYBRID"),IF($K459="","Assurance-Score fehlt","Assurance-bewertet"),IF($I459="BENCHMARK",IF($W459&lt;&gt;"Aktiv",IF($K459="","Benchmark fehlt","Assurance-bewertet"),IF($J459="","Messwert fehlt",IF($P459="","Nicht bewertbar","Berechnet"))),IF(AND($J459="",$K459&lt;&gt;""),"Nur Assurance-Score",IF($J459="","Messwert fehlt",IF($P459="","Nicht bewertbar",IF($P459&lt;=-2,"Kritische Wirkung / Prüfung","Berechnet"))))))</x:f>
        <x:v>Messwert fehlt</x:v>
      </x:c>
      <x:c r="T459" s="14" t="str">
        <x:v>Indexsystem, Produktgruppe und Rechtsstand festlegen. Französischer Index und EU-Score sind nicht pauschal austauschbar.</x:v>
      </x:c>
      <x:c r="U459" s="14" t="str">
        <x:v>≥8:+3; 6–7,9:+2; 4–5,9:0; 2–3,9:‑2; &lt;2:‑3</x:v>
      </x:c>
      <x:c r="V459" s="14" t="str">
        <x:v>ISO 14067/14040/44 (LCA/PCF), PEF/EF 3.1, EU Reparierbarkeitsindex</x:v>
      </x:c>
      <x:c r="W459" s="14" t="str">
        <x:f>'02_Benchmarks'!$P459</x:f>
        <x:v>Optional – kein aktiver Benchmark</x:v>
      </x:c>
      <x:c r="X459" s="14" t="str">
        <x:v>Teilbelegt – produktspezifisch zu validieren</x:v>
      </x:c>
      <x:c r="Y459" s="14" t="str">
        <x:v>Hoch</x:v>
      </x:c>
      <x:c r="Z459" s="14" t="str">
        <x:v>Indexsystem und Produktgruppe müssen ausgewiesen werden</x:v>
      </x:c>
      <x:c r="AA459" s="14" t="str">
        <x:v>Produkt/Funktionseinheit; Lebenszyklusgrenze mindestens cradle-to-gate, bei Nutzungs-/End-of-Life-Relevanz cradle-to-grave</x:v>
      </x:c>
      <x:c r="AB459" s="14" t="str">
        <x:v>Primärdaten oder qualitätsgesicherte Sekundärdaten; Methode, Zeitraum und Systemgrenze dokumentieren</x:v>
      </x:c>
      <x:c r="AC459" s="14" t="str">
        <x:v>Limited Assurance; bei materieller Steuerwirkung risikobasiert vertiefen</x:v>
      </x:c>
    </x:row>
    <x:row r="460" ht="42" customHeight="1">
      <x:c r="A460" s="14" t="str">
        <x:v>WOK-P-130</x:v>
      </x:c>
      <x:c r="B460" s="14" t="str">
        <x:v>SDG 17 – Partnerschaften</x:v>
      </x:c>
      <x:c r="C460" s="14" t="str">
        <x:v>17.6</x:v>
      </x:c>
      <x:c r="D460" s="14" t="str">
        <x:v>Offene Standards/Interoperabilität</x:v>
      </x:c>
      <x:c r="E460" s="14" t="str">
        <x:v>Offene Standards/Interoperabilität – Rücknahme/Recycling</x:v>
      </x:c>
      <x:c r="F460" s="14" t="str">
        <x:v>%</x:v>
      </x:c>
      <x:c r="G460" s="14" t="str">
        <x:v>higher_is_better</x:v>
      </x:c>
      <x:c r="H460" s="14" t="str">
        <x:v>R22</x:v>
      </x:c>
      <x:c r="I460" s="14" t="str">
        <x:v>NUM_HIGH</x:v>
      </x:c>
      <x:c r="J460" s="51"/>
      <x:c r="K460" s="51"/>
      <x:c r="L460" s="51"/>
      <x:c r="M460" s="54"/>
      <x:c r="N460" s="58" t="str">
        <x:f>IF($J460="","",IF($J460&lt;15,-3,IF($J460&lt;30,-2,IF($J460&lt;50,0,IF($J460&lt;70,2,3)))))</x:f>
      </x:c>
      <x:c r="O460" s="58" t="str">
        <x:f>IF($J460="","",IF(OR('02_Benchmarks'!$P460&lt;&gt;"Aktiv",COUNT('02_Benchmarks'!$J460:$M460)&lt;4),"",IF($G460="lower_is_better",IF($J460&lt;='02_Benchmarks'!$J460,3,IF($J460&lt;'02_Benchmarks'!$K460,2,IF($J460&lt;='02_Benchmarks'!$L460,0,IF($J460&lt;='02_Benchmarks'!$M460,-2,-3)))),IF($J460&gt;='02_Benchmarks'!$J460,3,IF($J460&gt;'02_Benchmarks'!$K460,2,IF($J460&gt;='02_Benchmarks'!$L460,0,IF($J460&gt;='02_Benchmarks'!$M460,-2,-3)))))))</x:f>
      </x:c>
      <x:c r="P460" s="58" t="str">
        <x:f>IF(COUNT($N460:$O460)+IF(ISNUMBER($K460),1,0)=0,"",MIN($N460:$O460,$K460))</x:f>
      </x:c>
      <x:c r="Q460" s="58" t="str">
        <x:f>IF($P460="","",INDEX('04_Tarifmodell'!$B$6:$B$12,$P460+4))</x:f>
      </x:c>
      <x:c r="R460" s="64" t="str">
        <x:f>IF($P460="","",INDEX('04_Tarifmodell'!$C$6:$C$12,$P460+4))</x:f>
      </x:c>
      <x:c r="S460" s="14" t="str">
        <x:f>IF(OR($I460="QUALITATIVE",$I460="MANUAL_HYBRID"),IF($K460="","Assurance-Score fehlt","Assurance-bewertet"),IF($I460="BENCHMARK",IF($W460&lt;&gt;"Aktiv",IF($K460="","Benchmark fehlt","Assurance-bewertet"),IF($J460="","Messwert fehlt",IF($P460="","Nicht bewertbar","Berechnet"))),IF(AND($J460="",$K460&lt;&gt;""),"Nur Assurance-Score",IF($J460="","Messwert fehlt",IF($P460="","Nicht bewertbar",IF($P460&lt;=-2,"Kritische Wirkung / Prüfung","Berechnet"))))))</x:f>
        <x:v>Messwert fehlt</x:v>
      </x:c>
      <x:c r="T460" s="14" t="str">
        <x:v>Vollständige fünfstufige numerische Regel.</x:v>
      </x:c>
      <x:c r="U460" s="14" t="str">
        <x:v>≥70:+3; 50–69:+2; 30–49:0; 15–29:‑2; &lt;15:‑3</x:v>
      </x:c>
      <x:c r="V460" s="14" t="str">
        <x:v>ESRS E5, GRI 306, WEEE/VerpackG</x:v>
      </x:c>
      <x:c r="W460" s="14" t="str">
        <x:f>'02_Benchmarks'!$P460</x:f>
        <x:v>Optional – kein aktiver Benchmark</x:v>
      </x:c>
      <x:c r="X460" s="14" t="str">
        <x:v>Messgrundlage belegt; Schwellenkalibrierung offen</x:v>
      </x:c>
      <x:c r="Y460" s="14" t="str">
        <x:v>Mittel</x:v>
      </x:c>
      <x:c r="Z460" s="14" t="str">
        <x:v>Arbeitskalibrierung – fachlich zu validieren</x:v>
      </x:c>
      <x:c r="AA460" s="14" t="str">
        <x:v>Produkt/Funktionseinheit; Lebenszyklusgrenze mindestens cradle-to-gate, bei Nutzungs-/End-of-Life-Relevanz cradle-to-grave</x:v>
      </x:c>
      <x:c r="AB460" s="14" t="str">
        <x:v>Primärdaten bevorzugt; Sekundärdaten nur transparent und versioniert; Methode und Systemgrenze dokumentieren</x:v>
      </x:c>
      <x:c r="AC460" s="14" t="str">
        <x:v>Limited Assurance; risikobasiert höhere Prüftiefe</x:v>
      </x:c>
    </x:row>
    <x:row r="461" ht="42" customHeight="1">
      <x:c r="A461" s="14" t="str">
        <x:v>WOK-POL-119</x:v>
      </x:c>
      <x:c r="B461" s="14" t="str">
        <x:v>SDG 17 – Partnerschaften</x:v>
      </x:c>
      <x:c r="C461" s="14" t="str">
        <x:v>17.19</x:v>
      </x:c>
      <x:c r="D461" s="14" t="str">
        <x:v>Taxonomie‑Reporting</x:v>
      </x:c>
      <x:c r="E461" s="14" t="str">
        <x:v>Taxonomie‑Reporting – Spezifische Emissionen</x:v>
      </x:c>
      <x:c r="F461" s="14" t="str">
        <x:v>g CO₂e/kWh</x:v>
      </x:c>
      <x:c r="G461" s="14" t="str">
        <x:v>lower_is_better</x:v>
      </x:c>
      <x:c r="H461" s="14" t="str">
        <x:v>R10</x:v>
      </x:c>
      <x:c r="I461" s="14" t="str">
        <x:v>NUM_LOW</x:v>
      </x:c>
      <x:c r="J461" s="51"/>
      <x:c r="K461" s="51"/>
      <x:c r="L461" s="51"/>
      <x:c r="M461" s="54"/>
      <x:c r="N461" s="58" t="str">
        <x:f>IF($J461="","",IF($J461&lt;=100,3,IF($J461&lt;=250,0,IF($J461&lt;=1E+99,-2,IF($J461&lt;=1E+99,-2,-2)))))</x:f>
      </x:c>
      <x:c r="O461" s="58" t="str">
        <x:f>IF($J461="","",IF(OR('02_Benchmarks'!$P461&lt;&gt;"Aktiv",COUNT('02_Benchmarks'!$J461:$M461)&lt;4),"",IF($G461="lower_is_better",IF($J461&lt;='02_Benchmarks'!$J461,3,IF($J461&lt;'02_Benchmarks'!$K461,2,IF($J461&lt;='02_Benchmarks'!$L461,0,IF($J461&lt;='02_Benchmarks'!$M461,-2,-3)))),IF($J461&gt;='02_Benchmarks'!$J461,3,IF($J461&gt;'02_Benchmarks'!$K461,2,IF($J461&gt;='02_Benchmarks'!$L461,0,IF($J461&gt;='02_Benchmarks'!$M461,-2,-3)))))))</x:f>
      </x:c>
      <x:c r="P461" s="58" t="str">
        <x:f>IF(COUNT($N461:$O461)+IF(ISNUMBER($K461),1,0)=0,"",MIN($N461:$O461,$K461))</x:f>
      </x:c>
      <x:c r="Q461" s="58" t="str">
        <x:f>IF($P461="","",INDEX('04_Tarifmodell'!$B$6:$B$12,$P461+4))</x:f>
      </x:c>
      <x:c r="R461" s="64" t="str">
        <x:f>IF($P461="","",INDEX('04_Tarifmodell'!$C$6:$C$12,$P461+4))</x:f>
      </x:c>
      <x:c r="S461" s="14" t="str">
        <x:f>IF(OR($I461="QUALITATIVE",$I461="MANUAL_HYBRID"),IF($K461="","Assurance-Score fehlt","Assurance-bewertet"),IF($I461="BENCHMARK",IF($W461&lt;&gt;"Aktiv",IF($K461="","Benchmark fehlt","Assurance-bewertet"),IF($J461="","Messwert fehlt",IF($P461="","Nicht bewertbar","Berechnet"))),IF(AND($J461="",$K461&lt;&gt;""),"Nur Assurance-Score",IF($J461="","Messwert fehlt",IF($P461="","Nicht bewertbar",IF($P461&lt;=-2,"Kritische Wirkung / Prüfung","Berechnet"))))))</x:f>
        <x:v>Messwert fehlt</x:v>
      </x:c>
      <x:c r="T461" s="14" t="str">
        <x:v>Automatik bildet nur die explizit vorhandenen Klassen ab.</x:v>
      </x:c>
      <x:c r="U461" s="14" t="str">
        <x:v>≤100:+3; 101–250:0; &gt;250:‑2</x:v>
      </x:c>
      <x:c r="V461" s="14" t="str">
        <x:v>ESRS E1, GHG Protocol (Corporate/Scope 1–3), ISO 14064/14067</x:v>
      </x:c>
      <x:c r="W461" s="14" t="str">
        <x:f>'02_Benchmarks'!$P461</x:f>
        <x:v>Optional – kein aktiver Benchmark</x:v>
      </x:c>
      <x:c r="X461" s="14" t="str">
        <x:v>Messgrundlage belegt; Schwellenkalibrierung offen</x:v>
      </x:c>
      <x:c r="Y461" s="14" t="str">
        <x:v>Mittel</x:v>
      </x:c>
      <x:c r="Z461" s="14" t="str">
        <x:v>Klassen +2 und −3 fehlen</x:v>
      </x:c>
      <x:c r="AA461" s="14" t="str">
        <x:v>Technologie-/Aktivitätsklasse; Anlagen-, Netz- oder Flottengrenze ausweisen</x:v>
      </x:c>
      <x:c r="AB461" s="14" t="str">
        <x:v>Primärdaten bevorzugt; Sekundärdaten nur transparent und versioniert; Methode und Systemgrenze dokumentieren</x:v>
      </x:c>
      <x:c r="AC461" s="14" t="str">
        <x:v>Limited Assurance; risikobasiert höhere Prüftiefe</x:v>
      </x:c>
    </x:row>
    <x:row r="462" ht="42" customHeight="1">
      <x:c r="A462" s="14" t="str">
        <x:v>WOK-POL-120</x:v>
      </x:c>
      <x:c r="B462" s="14" t="str">
        <x:v>SDG 17 – Partnerschaften</x:v>
      </x:c>
      <x:c r="C462" s="14" t="str">
        <x:v>17.19</x:v>
      </x:c>
      <x:c r="D462" s="14" t="str">
        <x:v>Taxonomie‑Reporting</x:v>
      </x:c>
      <x:c r="E462" s="14" t="str">
        <x:v>Taxonomie‑Reporting – DNSH‑Konformität</x:v>
      </x:c>
      <x:c r="F462" s="14" t="str">
        <x:v>% Aktivitäten</x:v>
      </x:c>
      <x:c r="G462" s="14" t="str">
        <x:v>higher_is_better</x:v>
      </x:c>
      <x:c r="H462" s="14" t="str">
        <x:v>R25</x:v>
      </x:c>
      <x:c r="I462" s="14" t="str">
        <x:v>NUM_HIGH</x:v>
      </x:c>
      <x:c r="J462" s="51"/>
      <x:c r="K462" s="51"/>
      <x:c r="L462" s="51"/>
      <x:c r="M462" s="54"/>
      <x:c r="N462" s="58" t="str">
        <x:f>IF($J462="","",IF($J462&lt;30,-3,IF($J462&lt;50,-2,IF($J462&lt;70,0,IF($J462&lt;90,2,3)))))</x:f>
      </x:c>
      <x:c r="O462" s="58" t="str">
        <x:f>IF($J462="","",IF(OR('02_Benchmarks'!$P462&lt;&gt;"Aktiv",COUNT('02_Benchmarks'!$J462:$M462)&lt;4),"",IF($G462="lower_is_better",IF($J462&lt;='02_Benchmarks'!$J462,3,IF($J462&lt;'02_Benchmarks'!$K462,2,IF($J462&lt;='02_Benchmarks'!$L462,0,IF($J462&lt;='02_Benchmarks'!$M462,-2,-3)))),IF($J462&gt;='02_Benchmarks'!$J462,3,IF($J462&gt;'02_Benchmarks'!$K462,2,IF($J462&gt;='02_Benchmarks'!$L462,0,IF($J462&gt;='02_Benchmarks'!$M462,-2,-3)))))))</x:f>
      </x:c>
      <x:c r="P462" s="58" t="str">
        <x:f>IF(COUNT($N462:$O462)+IF(ISNUMBER($K462),1,0)=0,"",MIN($N462:$O462,$K462))</x:f>
      </x:c>
      <x:c r="Q462" s="58" t="str">
        <x:f>IF($P462="","",INDEX('04_Tarifmodell'!$B$6:$B$12,$P462+4))</x:f>
      </x:c>
      <x:c r="R462" s="64" t="str">
        <x:f>IF($P462="","",INDEX('04_Tarifmodell'!$C$6:$C$12,$P462+4))</x:f>
      </x:c>
      <x:c r="S462" s="14" t="str">
        <x:f>IF(OR($I462="QUALITATIVE",$I462="MANUAL_HYBRID"),IF($K462="","Assurance-Score fehlt","Assurance-bewertet"),IF($I462="BENCHMARK",IF($W462&lt;&gt;"Aktiv",IF($K462="","Benchmark fehlt","Assurance-bewertet"),IF($J462="","Messwert fehlt",IF($P462="","Nicht bewertbar","Berechnet"))),IF(AND($J462="",$K462&lt;&gt;""),"Nur Assurance-Score",IF($J462="","Messwert fehlt",IF($P462="","Nicht bewertbar",IF($P462&lt;=-2,"Kritische Wirkung / Prüfung","Berechnet"))))))</x:f>
        <x:v>Messwert fehlt</x:v>
      </x:c>
      <x:c r="T462" s="14" t="str">
        <x:v>Vollständige fünfstufige Prozentregel.</x:v>
      </x:c>
      <x:c r="U462" s="14" t="str">
        <x:v>≥90%:+3; 70–89%:+2; 50–69%:0; 30–49%:‑2; &lt;30%:‑3</x:v>
      </x:c>
      <x:c r="V462" s="14" t="str">
        <x:v>EU‑Taxonomie (TSC &amp; DNSH)</x:v>
      </x:c>
      <x:c r="W462" s="14" t="str">
        <x:f>'02_Benchmarks'!$P462</x:f>
        <x:v>Optional – kein aktiver Benchmark</x:v>
      </x:c>
      <x:c r="X462" s="14" t="str">
        <x:v>Messgrundlage belegt; Schwellenkalibrierung offen</x:v>
      </x:c>
      <x:c r="Y462" s="14" t="str">
        <x:v>Mittel</x:v>
      </x:c>
      <x:c r="Z462" s="14" t="str">
        <x:v>Arbeitskalibrierung – fachlich zu validieren</x:v>
      </x:c>
      <x:c r="AA462" s="14" t="str">
        <x:v>Technologie-/Aktivitätsklasse; Anlagen-, Netz- oder Flottengrenze ausweisen</x:v>
      </x:c>
      <x:c r="AB462" s="14" t="str">
        <x:v>Primärdaten bevorzugt; Sekundärdaten nur transparent und versioniert; Methode und Systemgrenze dokumentieren</x:v>
      </x:c>
      <x:c r="AC462" s="14" t="str">
        <x:v>Limited Assurance; risikobasiert höhere Prüftiefe</x:v>
      </x:c>
    </x:row>
    <x:row r="463" ht="42" customHeight="1">
      <x:c r="A463" s="14" t="str">
        <x:v>WOK-POL-121</x:v>
      </x:c>
      <x:c r="B463" s="14" t="str">
        <x:v>SDG 17 – Partnerschaften</x:v>
      </x:c>
      <x:c r="C463" s="14" t="str">
        <x:v>17.19</x:v>
      </x:c>
      <x:c r="D463" s="14" t="str">
        <x:v>Taxonomie‑Reporting</x:v>
      </x:c>
      <x:c r="E463" s="14" t="str">
        <x:v>Taxonomie‑Reporting – TSC‑Schwellen</x:v>
      </x:c>
      <x:c r="F463" s="14" t="str">
        <x:v>% Aktivitäten</x:v>
      </x:c>
      <x:c r="G463" s="14" t="str">
        <x:v>higher_is_better</x:v>
      </x:c>
      <x:c r="H463" s="14" t="str">
        <x:v>R25</x:v>
      </x:c>
      <x:c r="I463" s="14" t="str">
        <x:v>NUM_HIGH</x:v>
      </x:c>
      <x:c r="J463" s="51"/>
      <x:c r="K463" s="51"/>
      <x:c r="L463" s="51"/>
      <x:c r="M463" s="54"/>
      <x:c r="N463" s="58" t="str">
        <x:f>IF($J463="","",IF($J463&lt;30,-3,IF($J463&lt;50,-2,IF($J463&lt;70,0,IF($J463&lt;90,2,3)))))</x:f>
      </x:c>
      <x:c r="O463" s="58" t="str">
        <x:f>IF($J463="","",IF(OR('02_Benchmarks'!$P463&lt;&gt;"Aktiv",COUNT('02_Benchmarks'!$J463:$M463)&lt;4),"",IF($G463="lower_is_better",IF($J463&lt;='02_Benchmarks'!$J463,3,IF($J463&lt;'02_Benchmarks'!$K463,2,IF($J463&lt;='02_Benchmarks'!$L463,0,IF($J463&lt;='02_Benchmarks'!$M463,-2,-3)))),IF($J463&gt;='02_Benchmarks'!$J463,3,IF($J463&gt;'02_Benchmarks'!$K463,2,IF($J463&gt;='02_Benchmarks'!$L463,0,IF($J463&gt;='02_Benchmarks'!$M463,-2,-3)))))))</x:f>
      </x:c>
      <x:c r="P463" s="58" t="str">
        <x:f>IF(COUNT($N463:$O463)+IF(ISNUMBER($K463),1,0)=0,"",MIN($N463:$O463,$K463))</x:f>
      </x:c>
      <x:c r="Q463" s="58" t="str">
        <x:f>IF($P463="","",INDEX('04_Tarifmodell'!$B$6:$B$12,$P463+4))</x:f>
      </x:c>
      <x:c r="R463" s="64" t="str">
        <x:f>IF($P463="","",INDEX('04_Tarifmodell'!$C$6:$C$12,$P463+4))</x:f>
      </x:c>
      <x:c r="S463" s="14" t="str">
        <x:f>IF(OR($I463="QUALITATIVE",$I463="MANUAL_HYBRID"),IF($K463="","Assurance-Score fehlt","Assurance-bewertet"),IF($I463="BENCHMARK",IF($W463&lt;&gt;"Aktiv",IF($K463="","Benchmark fehlt","Assurance-bewertet"),IF($J463="","Messwert fehlt",IF($P463="","Nicht bewertbar","Berechnet"))),IF(AND($J463="",$K463&lt;&gt;""),"Nur Assurance-Score",IF($J463="","Messwert fehlt",IF($P463="","Nicht bewertbar",IF($P463&lt;=-2,"Kritische Wirkung / Prüfung","Berechnet"))))))</x:f>
        <x:v>Messwert fehlt</x:v>
      </x:c>
      <x:c r="T463" s="14" t="str">
        <x:v>Vollständige fünfstufige Prozentregel.</x:v>
      </x:c>
      <x:c r="U463" s="14" t="str">
        <x:v>≥90%:+3; 70–89%:+2; 50–69%:0; 30–49%:‑2; &lt;30%:‑3</x:v>
      </x:c>
      <x:c r="V463" s="14" t="str">
        <x:v>EU‑Taxonomie (TSC &amp; DNSH)</x:v>
      </x:c>
      <x:c r="W463" s="14" t="str">
        <x:f>'02_Benchmarks'!$P463</x:f>
        <x:v>Optional – kein aktiver Benchmark</x:v>
      </x:c>
      <x:c r="X463" s="14" t="str">
        <x:v>Messgrundlage belegt; Schwellenkalibrierung offen</x:v>
      </x:c>
      <x:c r="Y463" s="14" t="str">
        <x:v>Mittel</x:v>
      </x:c>
      <x:c r="Z463" s="14" t="str">
        <x:v>Arbeitskalibrierung – fachlich zu validieren</x:v>
      </x:c>
      <x:c r="AA463" s="14" t="str">
        <x:v>Technologie-/Aktivitätsklasse; Anlagen-, Netz- oder Flottengrenze ausweisen</x:v>
      </x:c>
      <x:c r="AB463" s="14" t="str">
        <x:v>Primärdaten bevorzugt; Sekundärdaten nur transparent und versioniert; Methode und Systemgrenze dokumentieren</x:v>
      </x:c>
      <x:c r="AC463" s="14" t="str">
        <x:v>Limited Assurance; risikobasiert höhere Prüftiefe</x:v>
      </x:c>
    </x:row>
    <x:row r="464" ht="42" customHeight="1">
      <x:c r="A464" s="14" t="str">
        <x:v>WOK-SYS-158</x:v>
      </x:c>
      <x:c r="B464" s="14" t="str">
        <x:v>SDG+ – Demokratie</x:v>
      </x:c>
      <x:c r="C464" s="14" t="str">
        <x:v>—</x:v>
      </x:c>
      <x:c r="D464" s="14" t="str">
        <x:v>Demokratie‑Index</x:v>
      </x:c>
      <x:c r="E464" s="14" t="str">
        <x:v>Demokratie‑Index – Index</x:v>
      </x:c>
      <x:c r="F464" s="14" t="str">
        <x:v>0–1</x:v>
      </x:c>
      <x:c r="G464" s="14" t="str">
        <x:v>higher_is_better</x:v>
      </x:c>
      <x:c r="H464" s="14" t="str">
        <x:v>R15</x:v>
      </x:c>
      <x:c r="I464" s="14" t="str">
        <x:v>NUM_HIGH</x:v>
      </x:c>
      <x:c r="J464" s="51"/>
      <x:c r="K464" s="51"/>
      <x:c r="L464" s="51"/>
      <x:c r="M464" s="54"/>
      <x:c r="N464" s="58" t="str">
        <x:f>IF($J464="","",IF($J464&lt;0.5,-3,IF($J464&lt;0.6,-2,IF($J464&lt;0.7,0,IF($J464&lt;0.8,2,3)))))</x:f>
      </x:c>
      <x:c r="O464" s="58" t="str">
        <x:f>IF($J464="","",IF(OR('02_Benchmarks'!$P464&lt;&gt;"Aktiv",COUNT('02_Benchmarks'!$J464:$M464)&lt;4),"",IF($G464="lower_is_better",IF($J464&lt;='02_Benchmarks'!$J464,3,IF($J464&lt;'02_Benchmarks'!$K464,2,IF($J464&lt;='02_Benchmarks'!$L464,0,IF($J464&lt;='02_Benchmarks'!$M464,-2,-3)))),IF($J464&gt;='02_Benchmarks'!$J464,3,IF($J464&gt;'02_Benchmarks'!$K464,2,IF($J464&gt;='02_Benchmarks'!$L464,0,IF($J464&gt;='02_Benchmarks'!$M464,-2,-3)))))))</x:f>
      </x:c>
      <x:c r="P464" s="58" t="str">
        <x:f>IF(COUNT($N464:$O464)+IF(ISNUMBER($K464),1,0)=0,"",MIN($N464:$O464,$K464))</x:f>
      </x:c>
      <x:c r="Q464" s="58" t="str">
        <x:f>IF($P464="","",INDEX('04_Tarifmodell'!$B$6:$B$12,$P464+4))</x:f>
      </x:c>
      <x:c r="R464" s="64" t="str">
        <x:f>IF($P464="","",INDEX('04_Tarifmodell'!$C$6:$C$12,$P464+4))</x:f>
      </x:c>
      <x:c r="S464" s="14" t="str">
        <x:f>IF(OR($I464="QUALITATIVE",$I464="MANUAL_HYBRID"),IF($K464="","Assurance-Score fehlt","Assurance-bewertet"),IF($I464="BENCHMARK",IF($W464&lt;&gt;"Aktiv",IF($K464="","Benchmark fehlt","Assurance-bewertet"),IF($J464="","Messwert fehlt",IF($P464="","Nicht bewertbar","Berechnet"))),IF(AND($J464="",$K464&lt;&gt;""),"Nur Assurance-Score",IF($J464="","Messwert fehlt",IF($P464="","Nicht bewertbar",IF($P464&lt;=-2,"Kritische Wirkung / Prüfung","Berechnet"))))))</x:f>
        <x:v>Messwert fehlt</x:v>
      </x:c>
      <x:c r="T464" s="14" t="str">
        <x:v>SROI/SDG 17 ist keine hinreichend konkrete Mess- oder Schwellenquelle. Vollständige fünfstufige numerische Regel.</x:v>
      </x:c>
      <x:c r="U464" s="14" t="str">
        <x:v>≥0,8:+3; 0,7–0,79:+2; 0,6–0,69:0; 0,5–0,59:‑2; &lt;0,5:‑3</x:v>
      </x:c>
      <x:c r="V464" s="14" t="str">
        <x:v>SDG 16/17, WJP, V‑Dem</x:v>
      </x:c>
      <x:c r="W464" s="14" t="str">
        <x:f>'02_Benchmarks'!$P464</x:f>
        <x:v>Optional – kein aktiver Benchmark</x:v>
      </x:c>
      <x:c r="X464" s="14" t="str">
        <x:v>Platzhalter – fachliche Operationalisierung offen</x:v>
      </x:c>
      <x:c r="Y464" s="14" t="str">
        <x:v>Kritisch</x:v>
      </x:c>
      <x:c r="Z464" s="14" t="str">
        <x:v>Arbeitskalibrierung – fachlich zu validieren</x:v>
      </x:c>
      <x:c r="AA464" s="14" t="str">
        <x:v>Programm/Portfolio/Systemraum; Empfängergruppe, Region und Zeitraum explizit definieren</x:v>
      </x:c>
      <x:c r="AB464" s="14" t="str">
        <x:v>Primärdaten bevorzugt; Sekundärdaten nur transparent und versioniert; Methode und Systemgrenze dokumentieren</x:v>
      </x:c>
      <x:c r="AC464" s="14" t="str">
        <x:v>Limited Assurance; risikobasiert höhere Prüftiefe</x:v>
      </x:c>
    </x:row>
    <x:row r="465" ht="42" customHeight="1">
      <x:c r="A465" s="14" t="str">
        <x:v>WOK-SYS-159</x:v>
      </x:c>
      <x:c r="B465" s="14" t="str">
        <x:v>SDG+ – Demokratie</x:v>
      </x:c>
      <x:c r="C465" s="14" t="str">
        <x:v>—</x:v>
      </x:c>
      <x:c r="D465" s="14" t="str">
        <x:v>Demokratie‑Index</x:v>
      </x:c>
      <x:c r="E465" s="14" t="str">
        <x:v>Demokratie‑Index – Exposure</x:v>
      </x:c>
      <x:c r="F465" s="14" t="str">
        <x:v>%</x:v>
      </x:c>
      <x:c r="G465" s="14" t="str">
        <x:v>lower_is_better</x:v>
      </x:c>
      <x:c r="H465" s="14" t="str">
        <x:v>R13</x:v>
      </x:c>
      <x:c r="I465" s="14" t="str">
        <x:v>NUM_LOW</x:v>
      </x:c>
      <x:c r="J465" s="51"/>
      <x:c r="K465" s="51"/>
      <x:c r="L465" s="51"/>
      <x:c r="M465" s="54"/>
      <x:c r="N465" s="58" t="str">
        <x:f>IF($J465="","",IF($J465&lt;=5,3,IF($J465&lt;=10,2,IF($J465&lt;=20,0,IF($J465&lt;=30,-2,-3)))))</x:f>
      </x:c>
      <x:c r="O465" s="58" t="str">
        <x:f>IF($J465="","",IF(OR('02_Benchmarks'!$P465&lt;&gt;"Aktiv",COUNT('02_Benchmarks'!$J465:$M465)&lt;4),"",IF($G465="lower_is_better",IF($J465&lt;='02_Benchmarks'!$J465,3,IF($J465&lt;'02_Benchmarks'!$K465,2,IF($J465&lt;='02_Benchmarks'!$L465,0,IF($J465&lt;='02_Benchmarks'!$M465,-2,-3)))),IF($J465&gt;='02_Benchmarks'!$J465,3,IF($J465&gt;'02_Benchmarks'!$K465,2,IF($J465&gt;='02_Benchmarks'!$L465,0,IF($J465&gt;='02_Benchmarks'!$M465,-2,-3)))))))</x:f>
      </x:c>
      <x:c r="P465" s="58" t="str">
        <x:f>IF(COUNT($N465:$O465)+IF(ISNUMBER($K465),1,0)=0,"",MIN($N465:$O465,$K465))</x:f>
      </x:c>
      <x:c r="Q465" s="58" t="str">
        <x:f>IF($P465="","",INDEX('04_Tarifmodell'!$B$6:$B$12,$P465+4))</x:f>
      </x:c>
      <x:c r="R465" s="64" t="str">
        <x:f>IF($P465="","",INDEX('04_Tarifmodell'!$C$6:$C$12,$P465+4))</x:f>
      </x:c>
      <x:c r="S465" s="14" t="str">
        <x:f>IF(OR($I465="QUALITATIVE",$I465="MANUAL_HYBRID"),IF($K465="","Assurance-Score fehlt","Assurance-bewertet"),IF($I465="BENCHMARK",IF($W465&lt;&gt;"Aktiv",IF($K465="","Benchmark fehlt","Assurance-bewertet"),IF($J465="","Messwert fehlt",IF($P465="","Nicht bewertbar","Berechnet"))),IF(AND($J465="",$K465&lt;&gt;""),"Nur Assurance-Score",IF($J465="","Messwert fehlt",IF($P465="","Nicht bewertbar",IF($P465&lt;=-2,"Kritische Wirkung / Prüfung","Berechnet"))))))</x:f>
        <x:v>Messwert fehlt</x:v>
      </x:c>
      <x:c r="T465" s="14" t="str">
        <x:v>SROI/SDG 17 ist keine hinreichend konkrete Mess- oder Schwellenquelle. Vollständige fünfstufige numerische Regel.</x:v>
      </x:c>
      <x:c r="U465" s="14" t="str">
        <x:v>≤5:+3; 6–10:+2; 11–20:0; 21–30:‑2; &gt;30:‑3</x:v>
      </x:c>
      <x:c r="V465" s="14" t="str">
        <x:v>SDG 16/17, WJP, V‑Dem</x:v>
      </x:c>
      <x:c r="W465" s="14" t="str">
        <x:f>'02_Benchmarks'!$P465</x:f>
        <x:v>Optional – kein aktiver Benchmark</x:v>
      </x:c>
      <x:c r="X465" s="14" t="str">
        <x:v>Platzhalter – fachliche Operationalisierung offen</x:v>
      </x:c>
      <x:c r="Y465" s="14" t="str">
        <x:v>Kritisch</x:v>
      </x:c>
      <x:c r="Z465" s="14" t="str">
        <x:v>Arbeitskalibrierung – fachlich zu validieren</x:v>
      </x:c>
      <x:c r="AA465" s="14" t="str">
        <x:v>Programm/Portfolio/Systemraum; Empfängergruppe, Region und Zeitraum explizit definieren</x:v>
      </x:c>
      <x:c r="AB465" s="14" t="str">
        <x:v>Primärdaten bevorzugt; Sekundärdaten nur transparent und versioniert; Methode und Systemgrenze dokumentieren</x:v>
      </x:c>
      <x:c r="AC465" s="14" t="str">
        <x:v>Limited Assurance; risikobasiert höhere Prüftiefe</x:v>
      </x:c>
    </x:row>
    <x:row r="466" ht="42" customHeight="1">
      <x:c r="A466" s="14" t="str">
        <x:v>WOK-SYS-160</x:v>
      </x:c>
      <x:c r="B466" s="14" t="str">
        <x:v>SDG+ – Demokratie</x:v>
      </x:c>
      <x:c r="C466" s="14" t="str">
        <x:v>—</x:v>
      </x:c>
      <x:c r="D466" s="14" t="str">
        <x:v>Demokratie‑Index</x:v>
      </x:c>
      <x:c r="E466" s="14" t="str">
        <x:v>Demokratie‑Index – Kooperationen</x:v>
      </x:c>
      <x:c r="F466" s="14" t="str">
        <x:v>#/Jahr</x:v>
      </x:c>
      <x:c r="G466" s="14" t="str">
        <x:v>higher_is_better</x:v>
      </x:c>
      <x:c r="H466" s="14" t="str">
        <x:v>R20</x:v>
      </x:c>
      <x:c r="I466" s="14" t="str">
        <x:v>NUM_HIGH</x:v>
      </x:c>
      <x:c r="J466" s="51"/>
      <x:c r="K466" s="51"/>
      <x:c r="L466" s="51"/>
      <x:c r="M466" s="54"/>
      <x:c r="N466" s="58" t="str">
        <x:f>IF($J466="","",IF($J466&lt;0,-3,IF($J466&lt;1,-2,IF($J466&lt;3,0,IF($J466&lt;5,2,3)))))</x:f>
      </x:c>
      <x:c r="O466" s="58" t="str">
        <x:f>IF($J466="","",IF(OR('02_Benchmarks'!$P466&lt;&gt;"Aktiv",COUNT('02_Benchmarks'!$J466:$M466)&lt;4),"",IF($G466="lower_is_better",IF($J466&lt;='02_Benchmarks'!$J466,3,IF($J466&lt;'02_Benchmarks'!$K466,2,IF($J466&lt;='02_Benchmarks'!$L466,0,IF($J466&lt;='02_Benchmarks'!$M466,-2,-3)))),IF($J466&gt;='02_Benchmarks'!$J466,3,IF($J466&gt;'02_Benchmarks'!$K466,2,IF($J466&gt;='02_Benchmarks'!$L466,0,IF($J466&gt;='02_Benchmarks'!$M466,-2,-3)))))))</x:f>
      </x:c>
      <x:c r="P466" s="58" t="str">
        <x:f>IF(COUNT($N466:$O466)+IF(ISNUMBER($K466),1,0)=0,"",MIN($N466:$O466,$K466))</x:f>
      </x:c>
      <x:c r="Q466" s="58" t="str">
        <x:f>IF($P466="","",INDEX('04_Tarifmodell'!$B$6:$B$12,$P466+4))</x:f>
      </x:c>
      <x:c r="R466" s="64" t="str">
        <x:f>IF($P466="","",INDEX('04_Tarifmodell'!$C$6:$C$12,$P466+4))</x:f>
      </x:c>
      <x:c r="S466" s="14" t="str">
        <x:f>IF(OR($I466="QUALITATIVE",$I466="MANUAL_HYBRID"),IF($K466="","Assurance-Score fehlt","Assurance-bewertet"),IF($I466="BENCHMARK",IF($W466&lt;&gt;"Aktiv",IF($K466="","Benchmark fehlt","Assurance-bewertet"),IF($J466="","Messwert fehlt",IF($P466="","Nicht bewertbar","Berechnet"))),IF(AND($J466="",$K466&lt;&gt;""),"Nur Assurance-Score",IF($J466="","Messwert fehlt",IF($P466="","Nicht bewertbar",IF($P466&lt;=-2,"Kritische Wirkung / Prüfung","Berechnet"))))))</x:f>
        <x:v>Messwert fehlt</x:v>
      </x:c>
      <x:c r="T466" s="14" t="str">
        <x:v>SROI/SDG 17 ist keine hinreichend konkrete Mess- oder Schwellenquelle. Für sachlogisch nichtnegative Zählwerte ist 0 die schlechteste reguläre Klasse (−2).</x:v>
      </x:c>
      <x:c r="U466" s="14" t="str">
        <x:v>≥5:+3; 3–4:+2; 1–2:0; 0:‑2</x:v>
      </x:c>
      <x:c r="V466" s="14" t="str">
        <x:v>SDG 16/17, WJP, V‑Dem</x:v>
      </x:c>
      <x:c r="W466" s="14" t="str">
        <x:f>'02_Benchmarks'!$P466</x:f>
        <x:v>Optional – kein aktiver Benchmark</x:v>
      </x:c>
      <x:c r="X466" s="14" t="str">
        <x:v>Platzhalter – fachliche Operationalisierung offen</x:v>
      </x:c>
      <x:c r="Y466" s="14" t="str">
        <x:v>Kritisch</x:v>
      </x:c>
      <x:c r="Z466" s="14" t="str">
        <x:v>Klasse −3 nur für negative/unzulässige Werte ergänzt</x:v>
      </x:c>
      <x:c r="AA466" s="14" t="str">
        <x:v>Programm/Portfolio/Systemraum; Empfängergruppe, Region und Zeitraum explizit definieren</x:v>
      </x:c>
      <x:c r="AB466" s="14" t="str">
        <x:v>Primärdaten bevorzugt; Sekundärdaten nur transparent und versioniert; Methode und Systemgrenze dokumentieren</x:v>
      </x:c>
      <x:c r="AC466" s="14" t="str">
        <x:v>Limited Assurance; risikobasiert höhere Prüftiefe</x:v>
      </x:c>
    </x:row>
    <x:row r="467" ht="42" customHeight="1">
      <x:c r="A467" s="14" t="str">
        <x:v>WOK-SYS-161</x:v>
      </x:c>
      <x:c r="B467" s="14" t="str">
        <x:v>SDG+ – Demokratie</x:v>
      </x:c>
      <x:c r="C467" s="14" t="str">
        <x:v>—</x:v>
      </x:c>
      <x:c r="D467" s="14" t="str">
        <x:v>Pressefreiheit‑Exposure</x:v>
      </x:c>
      <x:c r="E467" s="14" t="str">
        <x:v>Pressefreiheit‑Exposure – Index</x:v>
      </x:c>
      <x:c r="F467" s="14" t="str">
        <x:v>0–1</x:v>
      </x:c>
      <x:c r="G467" s="14" t="str">
        <x:v>higher_is_better</x:v>
      </x:c>
      <x:c r="H467" s="14" t="str">
        <x:v>R15</x:v>
      </x:c>
      <x:c r="I467" s="14" t="str">
        <x:v>NUM_HIGH</x:v>
      </x:c>
      <x:c r="J467" s="51"/>
      <x:c r="K467" s="51"/>
      <x:c r="L467" s="51"/>
      <x:c r="M467" s="54"/>
      <x:c r="N467" s="58" t="str">
        <x:f>IF($J467="","",IF($J467&lt;0.5,-3,IF($J467&lt;0.6,-2,IF($J467&lt;0.7,0,IF($J467&lt;0.8,2,3)))))</x:f>
      </x:c>
      <x:c r="O467" s="58" t="str">
        <x:f>IF($J467="","",IF(OR('02_Benchmarks'!$P467&lt;&gt;"Aktiv",COUNT('02_Benchmarks'!$J467:$M467)&lt;4),"",IF($G467="lower_is_better",IF($J467&lt;='02_Benchmarks'!$J467,3,IF($J467&lt;'02_Benchmarks'!$K467,2,IF($J467&lt;='02_Benchmarks'!$L467,0,IF($J467&lt;='02_Benchmarks'!$M467,-2,-3)))),IF($J467&gt;='02_Benchmarks'!$J467,3,IF($J467&gt;'02_Benchmarks'!$K467,2,IF($J467&gt;='02_Benchmarks'!$L467,0,IF($J467&gt;='02_Benchmarks'!$M467,-2,-3)))))))</x:f>
      </x:c>
      <x:c r="P467" s="58" t="str">
        <x:f>IF(COUNT($N467:$O467)+IF(ISNUMBER($K467),1,0)=0,"",MIN($N467:$O467,$K467))</x:f>
      </x:c>
      <x:c r="Q467" s="58" t="str">
        <x:f>IF($P467="","",INDEX('04_Tarifmodell'!$B$6:$B$12,$P467+4))</x:f>
      </x:c>
      <x:c r="R467" s="64" t="str">
        <x:f>IF($P467="","",INDEX('04_Tarifmodell'!$C$6:$C$12,$P467+4))</x:f>
      </x:c>
      <x:c r="S467" s="14" t="str">
        <x:f>IF(OR($I467="QUALITATIVE",$I467="MANUAL_HYBRID"),IF($K467="","Assurance-Score fehlt","Assurance-bewertet"),IF($I467="BENCHMARK",IF($W467&lt;&gt;"Aktiv",IF($K467="","Benchmark fehlt","Assurance-bewertet"),IF($J467="","Messwert fehlt",IF($P467="","Nicht bewertbar","Berechnet"))),IF(AND($J467="",$K467&lt;&gt;""),"Nur Assurance-Score",IF($J467="","Messwert fehlt",IF($P467="","Nicht bewertbar",IF($P467&lt;=-2,"Kritische Wirkung / Prüfung","Berechnet"))))))</x:f>
        <x:v>Messwert fehlt</x:v>
      </x:c>
      <x:c r="T467" s="14" t="str">
        <x:v>SROI/SDG 17 ist keine hinreichend konkrete Mess- oder Schwellenquelle. Vollständige fünfstufige numerische Regel.</x:v>
      </x:c>
      <x:c r="U467" s="14" t="str">
        <x:v>≥0,8:+3; 0,7–0,79:+2; 0,6–0,69:0; 0,5–0,59:‑2; &lt;0,5:‑3</x:v>
      </x:c>
      <x:c r="V467" s="14" t="str">
        <x:v>SDG 16/17, WJP, V‑Dem</x:v>
      </x:c>
      <x:c r="W467" s="14" t="str">
        <x:f>'02_Benchmarks'!$P467</x:f>
        <x:v>Optional – kein aktiver Benchmark</x:v>
      </x:c>
      <x:c r="X467" s="14" t="str">
        <x:v>Platzhalter – fachliche Operationalisierung offen</x:v>
      </x:c>
      <x:c r="Y467" s="14" t="str">
        <x:v>Kritisch</x:v>
      </x:c>
      <x:c r="Z467" s="14" t="str">
        <x:v>Arbeitskalibrierung – fachlich zu validieren</x:v>
      </x:c>
      <x:c r="AA467" s="14" t="str">
        <x:v>Programm/Portfolio/Systemraum; Empfängergruppe, Region und Zeitraum explizit definieren</x:v>
      </x:c>
      <x:c r="AB467" s="14" t="str">
        <x:v>Primärdaten bevorzugt; Sekundärdaten nur transparent und versioniert; Methode und Systemgrenze dokumentieren</x:v>
      </x:c>
      <x:c r="AC467" s="14" t="str">
        <x:v>Limited Assurance; risikobasiert höhere Prüftiefe</x:v>
      </x:c>
    </x:row>
    <x:row r="468" ht="42" customHeight="1">
      <x:c r="A468" s="14" t="str">
        <x:v>WOK-SYS-162</x:v>
      </x:c>
      <x:c r="B468" s="14" t="str">
        <x:v>SDG+ – Demokratie</x:v>
      </x:c>
      <x:c r="C468" s="14" t="str">
        <x:v>—</x:v>
      </x:c>
      <x:c r="D468" s="14" t="str">
        <x:v>Pressefreiheit‑Exposure</x:v>
      </x:c>
      <x:c r="E468" s="14" t="str">
        <x:v>Pressefreiheit‑Exposure – Exposure</x:v>
      </x:c>
      <x:c r="F468" s="14" t="str">
        <x:v>%</x:v>
      </x:c>
      <x:c r="G468" s="14" t="str">
        <x:v>lower_is_better</x:v>
      </x:c>
      <x:c r="H468" s="14" t="str">
        <x:v>R13</x:v>
      </x:c>
      <x:c r="I468" s="14" t="str">
        <x:v>NUM_LOW</x:v>
      </x:c>
      <x:c r="J468" s="51"/>
      <x:c r="K468" s="51"/>
      <x:c r="L468" s="51"/>
      <x:c r="M468" s="54"/>
      <x:c r="N468" s="58" t="str">
        <x:f>IF($J468="","",IF($J468&lt;=5,3,IF($J468&lt;=10,2,IF($J468&lt;=20,0,IF($J468&lt;=30,-2,-3)))))</x:f>
      </x:c>
      <x:c r="O468" s="58" t="str">
        <x:f>IF($J468="","",IF(OR('02_Benchmarks'!$P468&lt;&gt;"Aktiv",COUNT('02_Benchmarks'!$J468:$M468)&lt;4),"",IF($G468="lower_is_better",IF($J468&lt;='02_Benchmarks'!$J468,3,IF($J468&lt;'02_Benchmarks'!$K468,2,IF($J468&lt;='02_Benchmarks'!$L468,0,IF($J468&lt;='02_Benchmarks'!$M468,-2,-3)))),IF($J468&gt;='02_Benchmarks'!$J468,3,IF($J468&gt;'02_Benchmarks'!$K468,2,IF($J468&gt;='02_Benchmarks'!$L468,0,IF($J468&gt;='02_Benchmarks'!$M468,-2,-3)))))))</x:f>
      </x:c>
      <x:c r="P468" s="58" t="str">
        <x:f>IF(COUNT($N468:$O468)+IF(ISNUMBER($K468),1,0)=0,"",MIN($N468:$O468,$K468))</x:f>
      </x:c>
      <x:c r="Q468" s="58" t="str">
        <x:f>IF($P468="","",INDEX('04_Tarifmodell'!$B$6:$B$12,$P468+4))</x:f>
      </x:c>
      <x:c r="R468" s="64" t="str">
        <x:f>IF($P468="","",INDEX('04_Tarifmodell'!$C$6:$C$12,$P468+4))</x:f>
      </x:c>
      <x:c r="S468" s="14" t="str">
        <x:f>IF(OR($I468="QUALITATIVE",$I468="MANUAL_HYBRID"),IF($K468="","Assurance-Score fehlt","Assurance-bewertet"),IF($I468="BENCHMARK",IF($W468&lt;&gt;"Aktiv",IF($K468="","Benchmark fehlt","Assurance-bewertet"),IF($J468="","Messwert fehlt",IF($P468="","Nicht bewertbar","Berechnet"))),IF(AND($J468="",$K468&lt;&gt;""),"Nur Assurance-Score",IF($J468="","Messwert fehlt",IF($P468="","Nicht bewertbar",IF($P468&lt;=-2,"Kritische Wirkung / Prüfung","Berechnet"))))))</x:f>
        <x:v>Messwert fehlt</x:v>
      </x:c>
      <x:c r="T468" s="14" t="str">
        <x:v>SROI/SDG 17 ist keine hinreichend konkrete Mess- oder Schwellenquelle. Vollständige fünfstufige numerische Regel.</x:v>
      </x:c>
      <x:c r="U468" s="14" t="str">
        <x:v>≤5:+3; 6–10:+2; 11–20:0; 21–30:‑2; &gt;30:‑3</x:v>
      </x:c>
      <x:c r="V468" s="14" t="str">
        <x:v>SROI/SDG17</x:v>
      </x:c>
      <x:c r="W468" s="14" t="str">
        <x:f>'02_Benchmarks'!$P468</x:f>
        <x:v>Optional – kein aktiver Benchmark</x:v>
      </x:c>
      <x:c r="X468" s="14" t="str">
        <x:v>Platzhalter – fachliche Operationalisierung offen</x:v>
      </x:c>
      <x:c r="Y468" s="14" t="str">
        <x:v>Kritisch</x:v>
      </x:c>
      <x:c r="Z468" s="14" t="str">
        <x:v>Arbeitskalibrierung – fachlich zu validieren</x:v>
      </x:c>
      <x:c r="AA468" s="14" t="str">
        <x:v>Programm/Portfolio/Systemraum; Empfängergruppe, Region und Zeitraum explizit definieren</x:v>
      </x:c>
      <x:c r="AB468" s="14" t="str">
        <x:v>Primärdaten bevorzugt; Sekundärdaten nur transparent und versioniert; Methode und Systemgrenze dokumentieren</x:v>
      </x:c>
      <x:c r="AC468" s="14" t="str">
        <x:v>Limited Assurance; risikobasiert höhere Prüftiefe</x:v>
      </x:c>
    </x:row>
    <x:row r="469" ht="42" customHeight="1">
      <x:c r="A469" s="14" t="str">
        <x:v>WOK-SYS-163</x:v>
      </x:c>
      <x:c r="B469" s="14" t="str">
        <x:v>SDG+ – Demokratie</x:v>
      </x:c>
      <x:c r="C469" s="14" t="str">
        <x:v>—</x:v>
      </x:c>
      <x:c r="D469" s="14" t="str">
        <x:v>Pressefreiheit‑Exposure</x:v>
      </x:c>
      <x:c r="E469" s="14" t="str">
        <x:v>Pressefreiheit‑Exposure – Kooperationen</x:v>
      </x:c>
      <x:c r="F469" s="14" t="str">
        <x:v>#/Jahr</x:v>
      </x:c>
      <x:c r="G469" s="14" t="str">
        <x:v>higher_is_better</x:v>
      </x:c>
      <x:c r="H469" s="14" t="str">
        <x:v>R20</x:v>
      </x:c>
      <x:c r="I469" s="14" t="str">
        <x:v>NUM_HIGH</x:v>
      </x:c>
      <x:c r="J469" s="51"/>
      <x:c r="K469" s="51"/>
      <x:c r="L469" s="51"/>
      <x:c r="M469" s="54"/>
      <x:c r="N469" s="58" t="str">
        <x:f>IF($J469="","",IF($J469&lt;0,-3,IF($J469&lt;1,-2,IF($J469&lt;3,0,IF($J469&lt;5,2,3)))))</x:f>
      </x:c>
      <x:c r="O469" s="58" t="str">
        <x:f>IF($J469="","",IF(OR('02_Benchmarks'!$P469&lt;&gt;"Aktiv",COUNT('02_Benchmarks'!$J469:$M469)&lt;4),"",IF($G469="lower_is_better",IF($J469&lt;='02_Benchmarks'!$J469,3,IF($J469&lt;'02_Benchmarks'!$K469,2,IF($J469&lt;='02_Benchmarks'!$L469,0,IF($J469&lt;='02_Benchmarks'!$M469,-2,-3)))),IF($J469&gt;='02_Benchmarks'!$J469,3,IF($J469&gt;'02_Benchmarks'!$K469,2,IF($J469&gt;='02_Benchmarks'!$L469,0,IF($J469&gt;='02_Benchmarks'!$M469,-2,-3)))))))</x:f>
      </x:c>
      <x:c r="P469" s="58" t="str">
        <x:f>IF(COUNT($N469:$O469)+IF(ISNUMBER($K469),1,0)=0,"",MIN($N469:$O469,$K469))</x:f>
      </x:c>
      <x:c r="Q469" s="58" t="str">
        <x:f>IF($P469="","",INDEX('04_Tarifmodell'!$B$6:$B$12,$P469+4))</x:f>
      </x:c>
      <x:c r="R469" s="64" t="str">
        <x:f>IF($P469="","",INDEX('04_Tarifmodell'!$C$6:$C$12,$P469+4))</x:f>
      </x:c>
      <x:c r="S469" s="14" t="str">
        <x:f>IF(OR($I469="QUALITATIVE",$I469="MANUAL_HYBRID"),IF($K469="","Assurance-Score fehlt","Assurance-bewertet"),IF($I469="BENCHMARK",IF($W469&lt;&gt;"Aktiv",IF($K469="","Benchmark fehlt","Assurance-bewertet"),IF($J469="","Messwert fehlt",IF($P469="","Nicht bewertbar","Berechnet"))),IF(AND($J469="",$K469&lt;&gt;""),"Nur Assurance-Score",IF($J469="","Messwert fehlt",IF($P469="","Nicht bewertbar",IF($P469&lt;=-2,"Kritische Wirkung / Prüfung","Berechnet"))))))</x:f>
        <x:v>Messwert fehlt</x:v>
      </x:c>
      <x:c r="T469" s="14" t="str">
        <x:v>SROI/SDG 17 ist keine hinreichend konkrete Mess- oder Schwellenquelle. Für sachlogisch nichtnegative Zählwerte ist 0 die schlechteste reguläre Klasse (−2).</x:v>
      </x:c>
      <x:c r="U469" s="14" t="str">
        <x:v>≥5:+3; 3–4:+2; 1–2:0; 0:‑2</x:v>
      </x:c>
      <x:c r="V469" s="14" t="str">
        <x:v>SDG 16/17, WJP, V‑Dem</x:v>
      </x:c>
      <x:c r="W469" s="14" t="str">
        <x:f>'02_Benchmarks'!$P469</x:f>
        <x:v>Optional – kein aktiver Benchmark</x:v>
      </x:c>
      <x:c r="X469" s="14" t="str">
        <x:v>Platzhalter – fachliche Operationalisierung offen</x:v>
      </x:c>
      <x:c r="Y469" s="14" t="str">
        <x:v>Kritisch</x:v>
      </x:c>
      <x:c r="Z469" s="14" t="str">
        <x:v>Klasse −3 nur für negative/unzulässige Werte ergänzt</x:v>
      </x:c>
      <x:c r="AA469" s="14" t="str">
        <x:v>Programm/Portfolio/Systemraum; Empfängergruppe, Region und Zeitraum explizit definieren</x:v>
      </x:c>
      <x:c r="AB469" s="14" t="str">
        <x:v>Primärdaten bevorzugt; Sekundärdaten nur transparent und versioniert; Methode und Systemgrenze dokumentieren</x:v>
      </x:c>
      <x:c r="AC469" s="14" t="str">
        <x:v>Limited Assurance; risikobasiert höhere Prüftiefe</x:v>
      </x:c>
    </x:row>
    <x:row r="470" ht="42" customHeight="1">
      <x:c r="A470" s="14" t="str">
        <x:v>WOK-G-194</x:v>
      </x:c>
      <x:c r="B470" s="14" t="str">
        <x:v>SDG+ – Demokratie</x:v>
      </x:c>
      <x:c r="C470" s="14" t="str">
        <x:v>—</x:v>
      </x:c>
      <x:c r="D470" s="14" t="str">
        <x:v>Transparenz/Anti‑Korruption</x:v>
      </x:c>
      <x:c r="E470" s="14" t="str">
        <x:v>Transparenz/Anti‑Korruption – Antikorruption</x:v>
      </x:c>
      <x:c r="F470" s="14" t="str">
        <x:v>Fälle/1.000 FTE</x:v>
      </x:c>
      <x:c r="G470" s="14" t="str">
        <x:v>lower_is_better</x:v>
      </x:c>
      <x:c r="H470" s="14" t="str">
        <x:v>R01</x:v>
      </x:c>
      <x:c r="I470" s="14" t="str">
        <x:v>NUM_LOW</x:v>
      </x:c>
      <x:c r="J470" s="51"/>
      <x:c r="K470" s="51"/>
      <x:c r="L470" s="51"/>
      <x:c r="M470" s="54"/>
      <x:c r="N470" s="58" t="str">
        <x:f>IF($J470="","",IF($J470&lt;=0,3,IF($J470&lt;=0.2,2,IF($J470&lt;=0.5,0,IF($J470&lt;=1,-2,-3)))))</x:f>
      </x:c>
      <x:c r="O470" s="58" t="str">
        <x:f>IF($J470="","",IF(OR('02_Benchmarks'!$P470&lt;&gt;"Aktiv",COUNT('02_Benchmarks'!$J470:$M470)&lt;4),"",IF($G470="lower_is_better",IF($J470&lt;='02_Benchmarks'!$J470,3,IF($J470&lt;'02_Benchmarks'!$K470,2,IF($J470&lt;='02_Benchmarks'!$L470,0,IF($J470&lt;='02_Benchmarks'!$M470,-2,-3)))),IF($J470&gt;='02_Benchmarks'!$J470,3,IF($J470&gt;'02_Benchmarks'!$K470,2,IF($J470&gt;='02_Benchmarks'!$L470,0,IF($J470&gt;='02_Benchmarks'!$M470,-2,-3)))))))</x:f>
      </x:c>
      <x:c r="P470" s="58" t="str">
        <x:f>IF(COUNT($N470:$O470)+IF(ISNUMBER($K470),1,0)=0,"",MIN($N470:$O470,$K470))</x:f>
      </x:c>
      <x:c r="Q470" s="58" t="str">
        <x:f>IF($P470="","",INDEX('04_Tarifmodell'!$B$6:$B$12,$P470+4))</x:f>
      </x:c>
      <x:c r="R470" s="64" t="str">
        <x:f>IF($P470="","",INDEX('04_Tarifmodell'!$C$6:$C$12,$P470+4))</x:f>
      </x:c>
      <x:c r="S470" s="14" t="str">
        <x:f>IF(OR($I470="QUALITATIVE",$I470="MANUAL_HYBRID"),IF($K470="","Assurance-Score fehlt","Assurance-bewertet"),IF($I470="BENCHMARK",IF($W470&lt;&gt;"Aktiv",IF($K470="","Benchmark fehlt","Assurance-bewertet"),IF($J470="","Messwert fehlt",IF($P470="","Nicht bewertbar","Berechnet"))),IF(AND($J470="",$K470&lt;&gt;""),"Nur Assurance-Score",IF($J470="","Messwert fehlt",IF($P470="","Nicht bewertbar",IF($P470&lt;=-2,"Kritische Wirkung / Prüfung","Berechnet"))))))</x:f>
        <x:v>Messwert fehlt</x:v>
      </x:c>
      <x:c r="T470" s="14" t="str">
        <x:v>Vollständige fünfstufige numerische Regel.</x:v>
      </x:c>
      <x:c r="U470" s="14" t="str">
        <x:v>0:+3; ≤0,2:+2; ≤0,5:0; ≤1:‑2; &gt;1:‑3</x:v>
      </x:c>
      <x:c r="V470" s="14" t="str">
        <x:v>ESRS G1, GRI 205/207, OECD Anti‑Bribery</x:v>
      </x:c>
      <x:c r="W470" s="14" t="str">
        <x:f>'02_Benchmarks'!$P470</x:f>
        <x:v>Optional – kein aktiver Benchmark</x:v>
      </x:c>
      <x:c r="X470" s="14" t="str">
        <x:v>Messgrundlage belegt; Schwellenkalibrierung offen</x:v>
      </x:c>
      <x:c r="Y470" s="14" t="str">
        <x:v>Mittel</x:v>
      </x:c>
      <x:c r="Z470" s="14" t="str">
        <x:v>Arbeitskalibrierung – fachlich zu validieren</x:v>
      </x:c>
      <x:c r="AA470" s="14" t="str">
        <x:v>Organisation/Governance; konsolidierter Kreis und relevante Rechtseinheiten</x:v>
      </x:c>
      <x:c r="AB470" s="14" t="str">
        <x:v>Primärdaten bevorzugt; Sekundärdaten nur transparent und versioniert; Methode und Systemgrenze dokumentieren</x:v>
      </x:c>
      <x:c r="AC470" s="14" t="str">
        <x:v>Limited Assurance; risikobasiert höhere Prüftiefe</x:v>
      </x:c>
    </x:row>
    <x:row r="471" ht="42" customHeight="1">
      <x:c r="A471" s="14" t="str">
        <x:v>WOK-G-195</x:v>
      </x:c>
      <x:c r="B471" s="14" t="str">
        <x:v>SDG+ – Demokratie</x:v>
      </x:c>
      <x:c r="C471" s="14" t="str">
        <x:v>—</x:v>
      </x:c>
      <x:c r="D471" s="14" t="str">
        <x:v>Transparenz/Anti‑Korruption</x:v>
      </x:c>
      <x:c r="E471" s="14" t="str">
        <x:v>Transparenz/Anti‑Korruption – Whistleblowing</x:v>
      </x:c>
      <x:c r="F471" s="14" t="str">
        <x:v>0–1</x:v>
      </x:c>
      <x:c r="G471" s="14" t="str">
        <x:v>higher_is_better</x:v>
      </x:c>
      <x:c r="H471" s="14" t="str">
        <x:v>R16</x:v>
      </x:c>
      <x:c r="I471" s="14" t="str">
        <x:v>NUM_HIGH</x:v>
      </x:c>
      <x:c r="J471" s="51"/>
      <x:c r="K471" s="51"/>
      <x:c r="L471" s="51"/>
      <x:c r="M471" s="54"/>
      <x:c r="N471" s="58" t="str">
        <x:f>IF($J471="","",IF($J471&lt;0.4,-3,IF($J471&lt;0.6,-2,IF($J471&lt;0.75,0,IF($J471&lt;0.9,2,3)))))</x:f>
      </x:c>
      <x:c r="O471" s="58" t="str">
        <x:f>IF($J471="","",IF(OR('02_Benchmarks'!$P471&lt;&gt;"Aktiv",COUNT('02_Benchmarks'!$J471:$M471)&lt;4),"",IF($G471="lower_is_better",IF($J471&lt;='02_Benchmarks'!$J471,3,IF($J471&lt;'02_Benchmarks'!$K471,2,IF($J471&lt;='02_Benchmarks'!$L471,0,IF($J471&lt;='02_Benchmarks'!$M471,-2,-3)))),IF($J471&gt;='02_Benchmarks'!$J471,3,IF($J471&gt;'02_Benchmarks'!$K471,2,IF($J471&gt;='02_Benchmarks'!$L471,0,IF($J471&gt;='02_Benchmarks'!$M471,-2,-3)))))))</x:f>
      </x:c>
      <x:c r="P471" s="58" t="str">
        <x:f>IF(COUNT($N471:$O471)+IF(ISNUMBER($K471),1,0)=0,"",MIN($N471:$O471,$K471))</x:f>
      </x:c>
      <x:c r="Q471" s="58" t="str">
        <x:f>IF($P471="","",INDEX('04_Tarifmodell'!$B$6:$B$12,$P471+4))</x:f>
      </x:c>
      <x:c r="R471" s="64" t="str">
        <x:f>IF($P471="","",INDEX('04_Tarifmodell'!$C$6:$C$12,$P471+4))</x:f>
      </x:c>
      <x:c r="S471" s="14" t="str">
        <x:f>IF(OR($I471="QUALITATIVE",$I471="MANUAL_HYBRID"),IF($K471="","Assurance-Score fehlt","Assurance-bewertet"),IF($I471="BENCHMARK",IF($W471&lt;&gt;"Aktiv",IF($K471="","Benchmark fehlt","Assurance-bewertet"),IF($J471="","Messwert fehlt",IF($P471="","Nicht bewertbar","Berechnet"))),IF(AND($J471="",$K471&lt;&gt;""),"Nur Assurance-Score",IF($J471="","Messwert fehlt",IF($P471="","Nicht bewertbar",IF($P471&lt;=-2,"Kritische Wirkung / Prüfung","Berechnet"))))))</x:f>
        <x:v>Messwert fehlt</x:v>
      </x:c>
      <x:c r="T471" s="14" t="str">
        <x:v>Vollständige fünfstufige numerische Regel.</x:v>
      </x:c>
      <x:c r="U471" s="14" t="str">
        <x:v>≥0,9:+3; 0,75–0,89:+2; 0,6–0,74:0; 0,4–0,59:‑2; &lt;0,4:‑3</x:v>
      </x:c>
      <x:c r="V471" s="14" t="str">
        <x:v>ESRS G1, GRI 205/207, OECD Anti‑Bribery</x:v>
      </x:c>
      <x:c r="W471" s="14" t="str">
        <x:f>'02_Benchmarks'!$P471</x:f>
        <x:v>Optional – kein aktiver Benchmark</x:v>
      </x:c>
      <x:c r="X471" s="14" t="str">
        <x:v>Messgrundlage belegt; Schwellenkalibrierung offen</x:v>
      </x:c>
      <x:c r="Y471" s="14" t="str">
        <x:v>Mittel</x:v>
      </x:c>
      <x:c r="Z471" s="14" t="str">
        <x:v>Arbeitskalibrierung – fachlich zu validieren</x:v>
      </x:c>
      <x:c r="AA471" s="14" t="str">
        <x:v>Organisation/Governance; konsolidierter Kreis und relevante Rechtseinheiten</x:v>
      </x:c>
      <x:c r="AB471" s="14" t="str">
        <x:v>Primärdaten bevorzugt; Sekundärdaten nur transparent und versioniert; Methode und Systemgrenze dokumentieren</x:v>
      </x:c>
      <x:c r="AC471" s="14" t="str">
        <x:v>Limited Assurance; risikobasiert höhere Prüftiefe</x:v>
      </x:c>
    </x:row>
    <x:row r="472" ht="42" customHeight="1">
      <x:c r="A472" s="14" t="str">
        <x:v>WOK-G-196</x:v>
      </x:c>
      <x:c r="B472" s="14" t="str">
        <x:v>SDG+ – Demokratie</x:v>
      </x:c>
      <x:c r="C472" s="14" t="str">
        <x:v>—</x:v>
      </x:c>
      <x:c r="D472" s="14" t="str">
        <x:v>Transparenz/Anti‑Korruption</x:v>
      </x:c>
      <x:c r="E472" s="14" t="str">
        <x:v>Transparenz/Anti‑Korruption – Steuertransparenz</x:v>
      </x:c>
      <x:c r="F472" s="14" t="str">
        <x:v>0–1</x:v>
      </x:c>
      <x:c r="G472" s="14" t="str">
        <x:v>higher_is_better</x:v>
      </x:c>
      <x:c r="H472" s="14" t="str">
        <x:v>R08</x:v>
      </x:c>
      <x:c r="I472" s="14" t="str">
        <x:v>QUALITATIVE</x:v>
      </x:c>
      <x:c r="J472" s="51"/>
      <x:c r="K472" s="51"/>
      <x:c r="L472" s="51"/>
      <x:c r="M472" s="54"/>
      <x:c r="N472" s="58" t="str">
        <x:f>""</x:f>
      </x:c>
      <x:c r="O472" s="58" t="str">
        <x:f>IF($J472="","",IF(OR('02_Benchmarks'!$P472&lt;&gt;"Aktiv",COUNT('02_Benchmarks'!$J472:$M472)&lt;4),"",IF($G472="lower_is_better",IF($J472&lt;='02_Benchmarks'!$J472,3,IF($J472&lt;'02_Benchmarks'!$K472,2,IF($J472&lt;='02_Benchmarks'!$L472,0,IF($J472&lt;='02_Benchmarks'!$M472,-2,-3)))),IF($J472&gt;='02_Benchmarks'!$J472,3,IF($J472&gt;'02_Benchmarks'!$K472,2,IF($J472&gt;='02_Benchmarks'!$L472,0,IF($J472&gt;='02_Benchmarks'!$M472,-2,-3)))))))</x:f>
      </x:c>
      <x:c r="P472" s="58" t="str">
        <x:f>IF(COUNT($N472:$O472)+IF(ISNUMBER($K472),1,0)=0,"",MIN($N472:$O472,$K472))</x:f>
      </x:c>
      <x:c r="Q472" s="58" t="str">
        <x:f>IF($P472="","",INDEX('04_Tarifmodell'!$B$6:$B$12,$P472+4))</x:f>
      </x:c>
      <x:c r="R472" s="64" t="str">
        <x:f>IF($P472="","",INDEX('04_Tarifmodell'!$C$6:$C$12,$P472+4))</x:f>
      </x:c>
      <x:c r="S472" s="14" t="str">
        <x:f>IF(OR($I472="QUALITATIVE",$I472="MANUAL_HYBRID"),IF($K472="","Assurance-Score fehlt","Assurance-bewertet"),IF($I472="BENCHMARK",IF($W472&lt;&gt;"Aktiv",IF($K472="","Benchmark fehlt","Assurance-bewertet"),IF($J472="","Messwert fehlt",IF($P472="","Nicht bewertbar","Berechnet"))),IF(AND($J472="",$K472&lt;&gt;""),"Nur Assurance-Score",IF($J472="","Messwert fehlt",IF($P472="","Nicht bewertbar",IF($P472&lt;=-2,"Kritische Wirkung / Prüfung","Berechnet"))))))</x:f>
        <x:v>Assurance-Score fehlt</x:v>
      </x:c>
      <x:c r="T472" s="14" t="str">
        <x:v>Die Kategorie −3 fehlt; Vollständigkeit und Wirksamkeit sind feldspezifisch zu definieren.</x:v>
      </x:c>
      <x:c r="U472" s="14" t="str">
        <x:v>vollständig:+3; teilweise:+2; minimal:0; schlecht:‑2</x:v>
      </x:c>
      <x:c r="V472" s="14" t="str">
        <x:v>ESRS G1, GRI 205/207, OECD Anti‑Bribery</x:v>
      </x:c>
      <x:c r="W472" s="14" t="str">
        <x:f>'02_Benchmarks'!$P472</x:f>
        <x:v>Optional – kein aktiver Benchmark</x:v>
      </x:c>
      <x:c r="X472" s="14" t="str">
        <x:v>Messgrundlage belegt; Schwellenkalibrierung offen</x:v>
      </x:c>
      <x:c r="Y472" s="14" t="str">
        <x:v>Hoch</x:v>
      </x:c>
      <x:c r="Z472" s="14" t="str">
        <x:v>Assurance und Kriterienkatalog erforderlich</x:v>
      </x:c>
      <x:c r="AA472" s="14" t="str">
        <x:v>Organisation/Governance; konsolidierter Kreis und relevante Rechtseinheiten</x:v>
      </x:c>
      <x:c r="AB472" s="14" t="str">
        <x:v>Dokumentierter Kriterienkatalog; nachvollziehbare Evidenz; DQR A/B bevorzugt</x:v>
      </x:c>
      <x:c r="AC472" s="14" t="str">
        <x:v>Unabhängige Fachprüfung/Limited Assurance; bei roten Linien Reasonable Assurance</x:v>
      </x:c>
    </x:row>
    <x:row r="473" ht="42" customHeight="1">
      <x:c r="A473" s="14" t="str">
        <x:v>WOK-SYS-164</x:v>
      </x:c>
      <x:c r="B473" s="14" t="str">
        <x:v>SDG+ – Demokratie</x:v>
      </x:c>
      <x:c r="C473" s="14" t="str">
        <x:v>—</x:v>
      </x:c>
      <x:c r="D473" s="14" t="str">
        <x:v>Civic Tech / Open Gov</x:v>
      </x:c>
      <x:c r="E473" s="14" t="str">
        <x:v>Civic Tech / Open Gov – Index</x:v>
      </x:c>
      <x:c r="F473" s="14" t="str">
        <x:v>0–1</x:v>
      </x:c>
      <x:c r="G473" s="14" t="str">
        <x:v>higher_is_better</x:v>
      </x:c>
      <x:c r="H473" s="14" t="str">
        <x:v>R15</x:v>
      </x:c>
      <x:c r="I473" s="14" t="str">
        <x:v>NUM_HIGH</x:v>
      </x:c>
      <x:c r="J473" s="51"/>
      <x:c r="K473" s="51"/>
      <x:c r="L473" s="51"/>
      <x:c r="M473" s="54"/>
      <x:c r="N473" s="58" t="str">
        <x:f>IF($J473="","",IF($J473&lt;0.5,-3,IF($J473&lt;0.6,-2,IF($J473&lt;0.7,0,IF($J473&lt;0.8,2,3)))))</x:f>
      </x:c>
      <x:c r="O473" s="58" t="str">
        <x:f>IF($J473="","",IF(OR('02_Benchmarks'!$P473&lt;&gt;"Aktiv",COUNT('02_Benchmarks'!$J473:$M473)&lt;4),"",IF($G473="lower_is_better",IF($J473&lt;='02_Benchmarks'!$J473,3,IF($J473&lt;'02_Benchmarks'!$K473,2,IF($J473&lt;='02_Benchmarks'!$L473,0,IF($J473&lt;='02_Benchmarks'!$M473,-2,-3)))),IF($J473&gt;='02_Benchmarks'!$J473,3,IF($J473&gt;'02_Benchmarks'!$K473,2,IF($J473&gt;='02_Benchmarks'!$L473,0,IF($J473&gt;='02_Benchmarks'!$M473,-2,-3)))))))</x:f>
      </x:c>
      <x:c r="P473" s="58" t="str">
        <x:f>IF(COUNT($N473:$O473)+IF(ISNUMBER($K473),1,0)=0,"",MIN($N473:$O473,$K473))</x:f>
      </x:c>
      <x:c r="Q473" s="58" t="str">
        <x:f>IF($P473="","",INDEX('04_Tarifmodell'!$B$6:$B$12,$P473+4))</x:f>
      </x:c>
      <x:c r="R473" s="64" t="str">
        <x:f>IF($P473="","",INDEX('04_Tarifmodell'!$C$6:$C$12,$P473+4))</x:f>
      </x:c>
      <x:c r="S473" s="14" t="str">
        <x:f>IF(OR($I473="QUALITATIVE",$I473="MANUAL_HYBRID"),IF($K473="","Assurance-Score fehlt","Assurance-bewertet"),IF($I473="BENCHMARK",IF($W473&lt;&gt;"Aktiv",IF($K473="","Benchmark fehlt","Assurance-bewertet"),IF($J473="","Messwert fehlt",IF($P473="","Nicht bewertbar","Berechnet"))),IF(AND($J473="",$K473&lt;&gt;""),"Nur Assurance-Score",IF($J473="","Messwert fehlt",IF($P473="","Nicht bewertbar",IF($P473&lt;=-2,"Kritische Wirkung / Prüfung","Berechnet"))))))</x:f>
        <x:v>Messwert fehlt</x:v>
      </x:c>
      <x:c r="T473" s="14" t="str">
        <x:v>SROI/SDG 17 ist keine hinreichend konkrete Mess- oder Schwellenquelle. Vollständige fünfstufige numerische Regel.</x:v>
      </x:c>
      <x:c r="U473" s="14" t="str">
        <x:v>≥0,8:+3; 0,7–0,79:+2; 0,6–0,69:0; 0,5–0,59:‑2; &lt;0,5:‑3</x:v>
      </x:c>
      <x:c r="V473" s="14" t="str">
        <x:v>SDG 16/17, WJP, V‑Dem</x:v>
      </x:c>
      <x:c r="W473" s="14" t="str">
        <x:f>'02_Benchmarks'!$P473</x:f>
        <x:v>Optional – kein aktiver Benchmark</x:v>
      </x:c>
      <x:c r="X473" s="14" t="str">
        <x:v>Platzhalter – fachliche Operationalisierung offen</x:v>
      </x:c>
      <x:c r="Y473" s="14" t="str">
        <x:v>Kritisch</x:v>
      </x:c>
      <x:c r="Z473" s="14" t="str">
        <x:v>Arbeitskalibrierung – fachlich zu validieren</x:v>
      </x:c>
      <x:c r="AA473" s="14" t="str">
        <x:v>Programm/Portfolio/Systemraum; Empfängergruppe, Region und Zeitraum explizit definieren</x:v>
      </x:c>
      <x:c r="AB473" s="14" t="str">
        <x:v>Primärdaten bevorzugt; Sekundärdaten nur transparent und versioniert; Methode und Systemgrenze dokumentieren</x:v>
      </x:c>
      <x:c r="AC473" s="14" t="str">
        <x:v>Limited Assurance; risikobasiert höhere Prüftiefe</x:v>
      </x:c>
    </x:row>
    <x:row r="474" ht="42" customHeight="1">
      <x:c r="A474" s="14" t="str">
        <x:v>WOK-SYS-165</x:v>
      </x:c>
      <x:c r="B474" s="14" t="str">
        <x:v>SDG+ – Demokratie</x:v>
      </x:c>
      <x:c r="C474" s="14" t="str">
        <x:v>—</x:v>
      </x:c>
      <x:c r="D474" s="14" t="str">
        <x:v>Civic Tech / Open Gov</x:v>
      </x:c>
      <x:c r="E474" s="14" t="str">
        <x:v>Civic Tech / Open Gov – Exposure</x:v>
      </x:c>
      <x:c r="F474" s="14" t="str">
        <x:v>%</x:v>
      </x:c>
      <x:c r="G474" s="14" t="str">
        <x:v>lower_is_better</x:v>
      </x:c>
      <x:c r="H474" s="14" t="str">
        <x:v>R13</x:v>
      </x:c>
      <x:c r="I474" s="14" t="str">
        <x:v>NUM_LOW</x:v>
      </x:c>
      <x:c r="J474" s="51"/>
      <x:c r="K474" s="51"/>
      <x:c r="L474" s="51"/>
      <x:c r="M474" s="54"/>
      <x:c r="N474" s="58" t="str">
        <x:f>IF($J474="","",IF($J474&lt;=5,3,IF($J474&lt;=10,2,IF($J474&lt;=20,0,IF($J474&lt;=30,-2,-3)))))</x:f>
      </x:c>
      <x:c r="O474" s="58" t="str">
        <x:f>IF($J474="","",IF(OR('02_Benchmarks'!$P474&lt;&gt;"Aktiv",COUNT('02_Benchmarks'!$J474:$M474)&lt;4),"",IF($G474="lower_is_better",IF($J474&lt;='02_Benchmarks'!$J474,3,IF($J474&lt;'02_Benchmarks'!$K474,2,IF($J474&lt;='02_Benchmarks'!$L474,0,IF($J474&lt;='02_Benchmarks'!$M474,-2,-3)))),IF($J474&gt;='02_Benchmarks'!$J474,3,IF($J474&gt;'02_Benchmarks'!$K474,2,IF($J474&gt;='02_Benchmarks'!$L474,0,IF($J474&gt;='02_Benchmarks'!$M474,-2,-3)))))))</x:f>
      </x:c>
      <x:c r="P474" s="58" t="str">
        <x:f>IF(COUNT($N474:$O474)+IF(ISNUMBER($K474),1,0)=0,"",MIN($N474:$O474,$K474))</x:f>
      </x:c>
      <x:c r="Q474" s="58" t="str">
        <x:f>IF($P474="","",INDEX('04_Tarifmodell'!$B$6:$B$12,$P474+4))</x:f>
      </x:c>
      <x:c r="R474" s="64" t="str">
        <x:f>IF($P474="","",INDEX('04_Tarifmodell'!$C$6:$C$12,$P474+4))</x:f>
      </x:c>
      <x:c r="S474" s="14" t="str">
        <x:f>IF(OR($I474="QUALITATIVE",$I474="MANUAL_HYBRID"),IF($K474="","Assurance-Score fehlt","Assurance-bewertet"),IF($I474="BENCHMARK",IF($W474&lt;&gt;"Aktiv",IF($K474="","Benchmark fehlt","Assurance-bewertet"),IF($J474="","Messwert fehlt",IF($P474="","Nicht bewertbar","Berechnet"))),IF(AND($J474="",$K474&lt;&gt;""),"Nur Assurance-Score",IF($J474="","Messwert fehlt",IF($P474="","Nicht bewertbar",IF($P474&lt;=-2,"Kritische Wirkung / Prüfung","Berechnet"))))))</x:f>
        <x:v>Messwert fehlt</x:v>
      </x:c>
      <x:c r="T474" s="14" t="str">
        <x:v>SROI/SDG 17 ist keine hinreichend konkrete Mess- oder Schwellenquelle. Vollständige fünfstufige numerische Regel.</x:v>
      </x:c>
      <x:c r="U474" s="14" t="str">
        <x:v>≤5:+3; 6–10:+2; 11–20:0; 21–30:‑2; &gt;30:‑3</x:v>
      </x:c>
      <x:c r="V474" s="14" t="str">
        <x:v>SROI/SDG17</x:v>
      </x:c>
      <x:c r="W474" s="14" t="str">
        <x:f>'02_Benchmarks'!$P474</x:f>
        <x:v>Optional – kein aktiver Benchmark</x:v>
      </x:c>
      <x:c r="X474" s="14" t="str">
        <x:v>Platzhalter – fachliche Operationalisierung offen</x:v>
      </x:c>
      <x:c r="Y474" s="14" t="str">
        <x:v>Kritisch</x:v>
      </x:c>
      <x:c r="Z474" s="14" t="str">
        <x:v>Arbeitskalibrierung – fachlich zu validieren</x:v>
      </x:c>
      <x:c r="AA474" s="14" t="str">
        <x:v>Programm/Portfolio/Systemraum; Empfängergruppe, Region und Zeitraum explizit definieren</x:v>
      </x:c>
      <x:c r="AB474" s="14" t="str">
        <x:v>Primärdaten bevorzugt; Sekundärdaten nur transparent und versioniert; Methode und Systemgrenze dokumentieren</x:v>
      </x:c>
      <x:c r="AC474" s="14" t="str">
        <x:v>Limited Assurance; risikobasiert höhere Prüftiefe</x:v>
      </x:c>
    </x:row>
    <x:row r="475" ht="42" customHeight="1">
      <x:c r="A475" s="14" t="str">
        <x:v>WOK-SYS-166</x:v>
      </x:c>
      <x:c r="B475" s="14" t="str">
        <x:v>SDG+ – Demokratie</x:v>
      </x:c>
      <x:c r="C475" s="14" t="str">
        <x:v>—</x:v>
      </x:c>
      <x:c r="D475" s="14" t="str">
        <x:v>Civic Tech / Open Gov</x:v>
      </x:c>
      <x:c r="E475" s="14" t="str">
        <x:v>Civic Tech / Open Gov – Kooperationen</x:v>
      </x:c>
      <x:c r="F475" s="14" t="str">
        <x:v>#/Jahr</x:v>
      </x:c>
      <x:c r="G475" s="14" t="str">
        <x:v>higher_is_better</x:v>
      </x:c>
      <x:c r="H475" s="14" t="str">
        <x:v>R20</x:v>
      </x:c>
      <x:c r="I475" s="14" t="str">
        <x:v>NUM_HIGH</x:v>
      </x:c>
      <x:c r="J475" s="51"/>
      <x:c r="K475" s="51"/>
      <x:c r="L475" s="51"/>
      <x:c r="M475" s="54"/>
      <x:c r="N475" s="58" t="str">
        <x:f>IF($J475="","",IF($J475&lt;0,-3,IF($J475&lt;1,-2,IF($J475&lt;3,0,IF($J475&lt;5,2,3)))))</x:f>
      </x:c>
      <x:c r="O475" s="58" t="str">
        <x:f>IF($J475="","",IF(OR('02_Benchmarks'!$P475&lt;&gt;"Aktiv",COUNT('02_Benchmarks'!$J475:$M475)&lt;4),"",IF($G475="lower_is_better",IF($J475&lt;='02_Benchmarks'!$J475,3,IF($J475&lt;'02_Benchmarks'!$K475,2,IF($J475&lt;='02_Benchmarks'!$L475,0,IF($J475&lt;='02_Benchmarks'!$M475,-2,-3)))),IF($J475&gt;='02_Benchmarks'!$J475,3,IF($J475&gt;'02_Benchmarks'!$K475,2,IF($J475&gt;='02_Benchmarks'!$L475,0,IF($J475&gt;='02_Benchmarks'!$M475,-2,-3)))))))</x:f>
      </x:c>
      <x:c r="P475" s="58" t="str">
        <x:f>IF(COUNT($N475:$O475)+IF(ISNUMBER($K475),1,0)=0,"",MIN($N475:$O475,$K475))</x:f>
      </x:c>
      <x:c r="Q475" s="58" t="str">
        <x:f>IF($P475="","",INDEX('04_Tarifmodell'!$B$6:$B$12,$P475+4))</x:f>
      </x:c>
      <x:c r="R475" s="64" t="str">
        <x:f>IF($P475="","",INDEX('04_Tarifmodell'!$C$6:$C$12,$P475+4))</x:f>
      </x:c>
      <x:c r="S475" s="14" t="str">
        <x:f>IF(OR($I475="QUALITATIVE",$I475="MANUAL_HYBRID"),IF($K475="","Assurance-Score fehlt","Assurance-bewertet"),IF($I475="BENCHMARK",IF($W475&lt;&gt;"Aktiv",IF($K475="","Benchmark fehlt","Assurance-bewertet"),IF($J475="","Messwert fehlt",IF($P475="","Nicht bewertbar","Berechnet"))),IF(AND($J475="",$K475&lt;&gt;""),"Nur Assurance-Score",IF($J475="","Messwert fehlt",IF($P475="","Nicht bewertbar",IF($P475&lt;=-2,"Kritische Wirkung / Prüfung","Berechnet"))))))</x:f>
        <x:v>Messwert fehlt</x:v>
      </x:c>
      <x:c r="T475" s="14" t="str">
        <x:v>SROI/SDG 17 ist keine hinreichend konkrete Mess- oder Schwellenquelle. Für sachlogisch nichtnegative Zählwerte ist 0 die schlechteste reguläre Klasse (−2).</x:v>
      </x:c>
      <x:c r="U475" s="14" t="str">
        <x:v>≥5:+3; 3–4:+2; 1–2:0; 0:‑2</x:v>
      </x:c>
      <x:c r="V475" s="14" t="str">
        <x:v>SDG 16/17, WJP, V‑Dem</x:v>
      </x:c>
      <x:c r="W475" s="14" t="str">
        <x:f>'02_Benchmarks'!$P475</x:f>
        <x:v>Optional – kein aktiver Benchmark</x:v>
      </x:c>
      <x:c r="X475" s="14" t="str">
        <x:v>Platzhalter – fachliche Operationalisierung offen</x:v>
      </x:c>
      <x:c r="Y475" s="14" t="str">
        <x:v>Kritisch</x:v>
      </x:c>
      <x:c r="Z475" s="14" t="str">
        <x:v>Klasse −3 nur für negative/unzulässige Werte ergänzt</x:v>
      </x:c>
      <x:c r="AA475" s="14" t="str">
        <x:v>Programm/Portfolio/Systemraum; Empfängergruppe, Region und Zeitraum explizit definieren</x:v>
      </x:c>
      <x:c r="AB475" s="14" t="str">
        <x:v>Primärdaten bevorzugt; Sekundärdaten nur transparent und versioniert; Methode und Systemgrenze dokumentieren</x:v>
      </x:c>
      <x:c r="AC475" s="14" t="str">
        <x:v>Limited Assurance; risikobasiert höhere Prüftiefe</x:v>
      </x:c>
    </x:row>
    <x:row r="476" ht="42" customHeight="1">
      <x:c r="A476" s="14" t="str">
        <x:v>WOK-G-197</x:v>
      </x:c>
      <x:c r="B476" s="14" t="str">
        <x:v>SDG+ – Demokratie</x:v>
      </x:c>
      <x:c r="C476" s="14" t="str">
        <x:v>—</x:v>
      </x:c>
      <x:c r="D476" s="14" t="str">
        <x:v>Unabhängigkeit Aufsicht</x:v>
      </x:c>
      <x:c r="E476" s="14" t="str">
        <x:v>Unabhängigkeit Aufsicht – Antikorruption</x:v>
      </x:c>
      <x:c r="F476" s="14" t="str">
        <x:v>Fälle/1.000 FTE</x:v>
      </x:c>
      <x:c r="G476" s="14" t="str">
        <x:v>lower_is_better</x:v>
      </x:c>
      <x:c r="H476" s="14" t="str">
        <x:v>R01</x:v>
      </x:c>
      <x:c r="I476" s="14" t="str">
        <x:v>NUM_LOW</x:v>
      </x:c>
      <x:c r="J476" s="51"/>
      <x:c r="K476" s="51"/>
      <x:c r="L476" s="51"/>
      <x:c r="M476" s="54"/>
      <x:c r="N476" s="58" t="str">
        <x:f>IF($J476="","",IF($J476&lt;=0,3,IF($J476&lt;=0.2,2,IF($J476&lt;=0.5,0,IF($J476&lt;=1,-2,-3)))))</x:f>
      </x:c>
      <x:c r="O476" s="58" t="str">
        <x:f>IF($J476="","",IF(OR('02_Benchmarks'!$P476&lt;&gt;"Aktiv",COUNT('02_Benchmarks'!$J476:$M476)&lt;4),"",IF($G476="lower_is_better",IF($J476&lt;='02_Benchmarks'!$J476,3,IF($J476&lt;'02_Benchmarks'!$K476,2,IF($J476&lt;='02_Benchmarks'!$L476,0,IF($J476&lt;='02_Benchmarks'!$M476,-2,-3)))),IF($J476&gt;='02_Benchmarks'!$J476,3,IF($J476&gt;'02_Benchmarks'!$K476,2,IF($J476&gt;='02_Benchmarks'!$L476,0,IF($J476&gt;='02_Benchmarks'!$M476,-2,-3)))))))</x:f>
      </x:c>
      <x:c r="P476" s="58" t="str">
        <x:f>IF(COUNT($N476:$O476)+IF(ISNUMBER($K476),1,0)=0,"",MIN($N476:$O476,$K476))</x:f>
      </x:c>
      <x:c r="Q476" s="58" t="str">
        <x:f>IF($P476="","",INDEX('04_Tarifmodell'!$B$6:$B$12,$P476+4))</x:f>
      </x:c>
      <x:c r="R476" s="64" t="str">
        <x:f>IF($P476="","",INDEX('04_Tarifmodell'!$C$6:$C$12,$P476+4))</x:f>
      </x:c>
      <x:c r="S476" s="14" t="str">
        <x:f>IF(OR($I476="QUALITATIVE",$I476="MANUAL_HYBRID"),IF($K476="","Assurance-Score fehlt","Assurance-bewertet"),IF($I476="BENCHMARK",IF($W476&lt;&gt;"Aktiv",IF($K476="","Benchmark fehlt","Assurance-bewertet"),IF($J476="","Messwert fehlt",IF($P476="","Nicht bewertbar","Berechnet"))),IF(AND($J476="",$K476&lt;&gt;""),"Nur Assurance-Score",IF($J476="","Messwert fehlt",IF($P476="","Nicht bewertbar",IF($P476&lt;=-2,"Kritische Wirkung / Prüfung","Berechnet"))))))</x:f>
        <x:v>Messwert fehlt</x:v>
      </x:c>
      <x:c r="T476" s="14" t="str">
        <x:v>Vollständige fünfstufige numerische Regel.</x:v>
      </x:c>
      <x:c r="U476" s="14" t="str">
        <x:v>0:+3; ≤0,2:+2; ≤0,5:0; ≤1:‑2; &gt;1:‑3</x:v>
      </x:c>
      <x:c r="V476" s="14" t="str">
        <x:v>ESRS G1, GRI 205/207, OECD Anti‑Bribery</x:v>
      </x:c>
      <x:c r="W476" s="14" t="str">
        <x:f>'02_Benchmarks'!$P476</x:f>
        <x:v>Optional – kein aktiver Benchmark</x:v>
      </x:c>
      <x:c r="X476" s="14" t="str">
        <x:v>Messgrundlage belegt; Schwellenkalibrierung offen</x:v>
      </x:c>
      <x:c r="Y476" s="14" t="str">
        <x:v>Mittel</x:v>
      </x:c>
      <x:c r="Z476" s="14" t="str">
        <x:v>Arbeitskalibrierung – fachlich zu validieren</x:v>
      </x:c>
      <x:c r="AA476" s="14" t="str">
        <x:v>Organisation/Governance; konsolidierter Kreis und relevante Rechtseinheiten</x:v>
      </x:c>
      <x:c r="AB476" s="14" t="str">
        <x:v>Primärdaten bevorzugt; Sekundärdaten nur transparent und versioniert; Methode und Systemgrenze dokumentieren</x:v>
      </x:c>
      <x:c r="AC476" s="14" t="str">
        <x:v>Limited Assurance; risikobasiert höhere Prüftiefe</x:v>
      </x:c>
    </x:row>
    <x:row r="477" ht="42" customHeight="1">
      <x:c r="A477" s="14" t="str">
        <x:v>WOK-G-198</x:v>
      </x:c>
      <x:c r="B477" s="14" t="str">
        <x:v>SDG+ – Demokratie</x:v>
      </x:c>
      <x:c r="C477" s="14" t="str">
        <x:v>—</x:v>
      </x:c>
      <x:c r="D477" s="14" t="str">
        <x:v>Unabhängigkeit Aufsicht</x:v>
      </x:c>
      <x:c r="E477" s="14" t="str">
        <x:v>Unabhängigkeit Aufsicht – Whistleblowing</x:v>
      </x:c>
      <x:c r="F477" s="14" t="str">
        <x:v>0–1</x:v>
      </x:c>
      <x:c r="G477" s="14" t="str">
        <x:v>higher_is_better</x:v>
      </x:c>
      <x:c r="H477" s="14" t="str">
        <x:v>R16</x:v>
      </x:c>
      <x:c r="I477" s="14" t="str">
        <x:v>NUM_HIGH</x:v>
      </x:c>
      <x:c r="J477" s="51"/>
      <x:c r="K477" s="51"/>
      <x:c r="L477" s="51"/>
      <x:c r="M477" s="54"/>
      <x:c r="N477" s="58" t="str">
        <x:f>IF($J477="","",IF($J477&lt;0.4,-3,IF($J477&lt;0.6,-2,IF($J477&lt;0.75,0,IF($J477&lt;0.9,2,3)))))</x:f>
      </x:c>
      <x:c r="O477" s="58" t="str">
        <x:f>IF($J477="","",IF(OR('02_Benchmarks'!$P477&lt;&gt;"Aktiv",COUNT('02_Benchmarks'!$J477:$M477)&lt;4),"",IF($G477="lower_is_better",IF($J477&lt;='02_Benchmarks'!$J477,3,IF($J477&lt;'02_Benchmarks'!$K477,2,IF($J477&lt;='02_Benchmarks'!$L477,0,IF($J477&lt;='02_Benchmarks'!$M477,-2,-3)))),IF($J477&gt;='02_Benchmarks'!$J477,3,IF($J477&gt;'02_Benchmarks'!$K477,2,IF($J477&gt;='02_Benchmarks'!$L477,0,IF($J477&gt;='02_Benchmarks'!$M477,-2,-3)))))))</x:f>
      </x:c>
      <x:c r="P477" s="58" t="str">
        <x:f>IF(COUNT($N477:$O477)+IF(ISNUMBER($K477),1,0)=0,"",MIN($N477:$O477,$K477))</x:f>
      </x:c>
      <x:c r="Q477" s="58" t="str">
        <x:f>IF($P477="","",INDEX('04_Tarifmodell'!$B$6:$B$12,$P477+4))</x:f>
      </x:c>
      <x:c r="R477" s="64" t="str">
        <x:f>IF($P477="","",INDEX('04_Tarifmodell'!$C$6:$C$12,$P477+4))</x:f>
      </x:c>
      <x:c r="S477" s="14" t="str">
        <x:f>IF(OR($I477="QUALITATIVE",$I477="MANUAL_HYBRID"),IF($K477="","Assurance-Score fehlt","Assurance-bewertet"),IF($I477="BENCHMARK",IF($W477&lt;&gt;"Aktiv",IF($K477="","Benchmark fehlt","Assurance-bewertet"),IF($J477="","Messwert fehlt",IF($P477="","Nicht bewertbar","Berechnet"))),IF(AND($J477="",$K477&lt;&gt;""),"Nur Assurance-Score",IF($J477="","Messwert fehlt",IF($P477="","Nicht bewertbar",IF($P477&lt;=-2,"Kritische Wirkung / Prüfung","Berechnet"))))))</x:f>
        <x:v>Messwert fehlt</x:v>
      </x:c>
      <x:c r="T477" s="14" t="str">
        <x:v>Vollständige fünfstufige numerische Regel.</x:v>
      </x:c>
      <x:c r="U477" s="14" t="str">
        <x:v>≥0,9:+3; 0,75–0,89:+2; 0,6–0,74:0; 0,4–0,59:‑2; &lt;0,4:‑3</x:v>
      </x:c>
      <x:c r="V477" s="14" t="str">
        <x:v>ESRS G1, GRI 205/207, OECD Anti‑Bribery</x:v>
      </x:c>
      <x:c r="W477" s="14" t="str">
        <x:f>'02_Benchmarks'!$P477</x:f>
        <x:v>Optional – kein aktiver Benchmark</x:v>
      </x:c>
      <x:c r="X477" s="14" t="str">
        <x:v>Messgrundlage belegt; Schwellenkalibrierung offen</x:v>
      </x:c>
      <x:c r="Y477" s="14" t="str">
        <x:v>Mittel</x:v>
      </x:c>
      <x:c r="Z477" s="14" t="str">
        <x:v>Arbeitskalibrierung – fachlich zu validieren</x:v>
      </x:c>
      <x:c r="AA477" s="14" t="str">
        <x:v>Organisation/Governance; konsolidierter Kreis und relevante Rechtseinheiten</x:v>
      </x:c>
      <x:c r="AB477" s="14" t="str">
        <x:v>Primärdaten bevorzugt; Sekundärdaten nur transparent und versioniert; Methode und Systemgrenze dokumentieren</x:v>
      </x:c>
      <x:c r="AC477" s="14" t="str">
        <x:v>Limited Assurance; risikobasiert höhere Prüftiefe</x:v>
      </x:c>
    </x:row>
    <x:row r="478" ht="42" customHeight="1">
      <x:c r="A478" s="14" t="str">
        <x:v>WOK-G-199</x:v>
      </x:c>
      <x:c r="B478" s="14" t="str">
        <x:v>SDG+ – Demokratie</x:v>
      </x:c>
      <x:c r="C478" s="14" t="str">
        <x:v>—</x:v>
      </x:c>
      <x:c r="D478" s="14" t="str">
        <x:v>Unabhängigkeit Aufsicht</x:v>
      </x:c>
      <x:c r="E478" s="14" t="str">
        <x:v>Unabhängigkeit Aufsicht – Steuertransparenz</x:v>
      </x:c>
      <x:c r="F478" s="14" t="str">
        <x:v>0–1</x:v>
      </x:c>
      <x:c r="G478" s="14" t="str">
        <x:v>higher_is_better</x:v>
      </x:c>
      <x:c r="H478" s="14" t="str">
        <x:v>R08</x:v>
      </x:c>
      <x:c r="I478" s="14" t="str">
        <x:v>QUALITATIVE</x:v>
      </x:c>
      <x:c r="J478" s="51"/>
      <x:c r="K478" s="51"/>
      <x:c r="L478" s="51"/>
      <x:c r="M478" s="54"/>
      <x:c r="N478" s="58" t="str">
        <x:f>""</x:f>
      </x:c>
      <x:c r="O478" s="58" t="str">
        <x:f>IF($J478="","",IF(OR('02_Benchmarks'!$P478&lt;&gt;"Aktiv",COUNT('02_Benchmarks'!$J478:$M478)&lt;4),"",IF($G478="lower_is_better",IF($J478&lt;='02_Benchmarks'!$J478,3,IF($J478&lt;'02_Benchmarks'!$K478,2,IF($J478&lt;='02_Benchmarks'!$L478,0,IF($J478&lt;='02_Benchmarks'!$M478,-2,-3)))),IF($J478&gt;='02_Benchmarks'!$J478,3,IF($J478&gt;'02_Benchmarks'!$K478,2,IF($J478&gt;='02_Benchmarks'!$L478,0,IF($J478&gt;='02_Benchmarks'!$M478,-2,-3)))))))</x:f>
      </x:c>
      <x:c r="P478" s="58" t="str">
        <x:f>IF(COUNT($N478:$O478)+IF(ISNUMBER($K478),1,0)=0,"",MIN($N478:$O478,$K478))</x:f>
      </x:c>
      <x:c r="Q478" s="58" t="str">
        <x:f>IF($P478="","",INDEX('04_Tarifmodell'!$B$6:$B$12,$P478+4))</x:f>
      </x:c>
      <x:c r="R478" s="64" t="str">
        <x:f>IF($P478="","",INDEX('04_Tarifmodell'!$C$6:$C$12,$P478+4))</x:f>
      </x:c>
      <x:c r="S478" s="14" t="str">
        <x:f>IF(OR($I478="QUALITATIVE",$I478="MANUAL_HYBRID"),IF($K478="","Assurance-Score fehlt","Assurance-bewertet"),IF($I478="BENCHMARK",IF($W478&lt;&gt;"Aktiv",IF($K478="","Benchmark fehlt","Assurance-bewertet"),IF($J478="","Messwert fehlt",IF($P478="","Nicht bewertbar","Berechnet"))),IF(AND($J478="",$K478&lt;&gt;""),"Nur Assurance-Score",IF($J478="","Messwert fehlt",IF($P478="","Nicht bewertbar",IF($P478&lt;=-2,"Kritische Wirkung / Prüfung","Berechnet"))))))</x:f>
        <x:v>Assurance-Score fehlt</x:v>
      </x:c>
      <x:c r="T478" s="14" t="str">
        <x:v>Die Kategorie −3 fehlt; Vollständigkeit und Wirksamkeit sind feldspezifisch zu definieren.</x:v>
      </x:c>
      <x:c r="U478" s="14" t="str">
        <x:v>vollständig:+3; teilweise:+2; minimal:0; schlecht:‑2</x:v>
      </x:c>
      <x:c r="V478" s="14" t="str">
        <x:v>ESRS G1, GRI 205/207, OECD Anti‑Bribery</x:v>
      </x:c>
      <x:c r="W478" s="14" t="str">
        <x:f>'02_Benchmarks'!$P478</x:f>
        <x:v>Optional – kein aktiver Benchmark</x:v>
      </x:c>
      <x:c r="X478" s="14" t="str">
        <x:v>Messgrundlage belegt; Schwellenkalibrierung offen</x:v>
      </x:c>
      <x:c r="Y478" s="14" t="str">
        <x:v>Hoch</x:v>
      </x:c>
      <x:c r="Z478" s="14" t="str">
        <x:v>Assurance und Kriterienkatalog erforderlich</x:v>
      </x:c>
      <x:c r="AA478" s="14" t="str">
        <x:v>Organisation/Governance; konsolidierter Kreis und relevante Rechtseinheiten</x:v>
      </x:c>
      <x:c r="AB478" s="14" t="str">
        <x:v>Dokumentierter Kriterienkatalog; nachvollziehbare Evidenz; DQR A/B bevorzugt</x:v>
      </x:c>
      <x:c r="AC478" s="14" t="str">
        <x:v>Unabhängige Fachprüfung/Limited Assurance; bei roten Linien Reasonable Assurance</x:v>
      </x:c>
    </x:row>
    <x:row r="479" ht="42" customHeight="1">
      <x:c r="A479" s="14" t="str">
        <x:v>WOK-SC-146</x:v>
      </x:c>
      <x:c r="B479" s="14" t="str">
        <x:v>SDG+ – Demokratie</x:v>
      </x:c>
      <x:c r="C479" s="14" t="str">
        <x:v>—</x:v>
      </x:c>
      <x:c r="D479" s="14" t="str">
        <x:v>Lieferkette in Autokratien</x:v>
      </x:c>
      <x:c r="E479" s="14" t="str">
        <x:v>Lieferkette in Autokratien – ESG‑Spend‑Coverage</x:v>
      </x:c>
      <x:c r="F479" s="14" t="str">
        <x:v>%</x:v>
      </x:c>
      <x:c r="G479" s="14" t="str">
        <x:v>higher_is_better</x:v>
      </x:c>
      <x:c r="H479" s="14" t="str">
        <x:v>R26</x:v>
      </x:c>
      <x:c r="I479" s="14" t="str">
        <x:v>NUM_HIGH</x:v>
      </x:c>
      <x:c r="J479" s="51"/>
      <x:c r="K479" s="51"/>
      <x:c r="L479" s="51"/>
      <x:c r="M479" s="54"/>
      <x:c r="N479" s="58" t="str">
        <x:f>IF($J479="","",IF($J479&lt;30,-3,IF($J479&lt;50,-2,IF($J479&lt;70,0,IF($J479&lt;90,2,3)))))</x:f>
      </x:c>
      <x:c r="O479" s="58" t="str">
        <x:f>IF($J479="","",IF(OR('02_Benchmarks'!$P479&lt;&gt;"Aktiv",COUNT('02_Benchmarks'!$J479:$M479)&lt;4),"",IF($G479="lower_is_better",IF($J479&lt;='02_Benchmarks'!$J479,3,IF($J479&lt;'02_Benchmarks'!$K479,2,IF($J479&lt;='02_Benchmarks'!$L479,0,IF($J479&lt;='02_Benchmarks'!$M479,-2,-3)))),IF($J479&gt;='02_Benchmarks'!$J479,3,IF($J479&gt;'02_Benchmarks'!$K479,2,IF($J479&gt;='02_Benchmarks'!$L479,0,IF($J479&gt;='02_Benchmarks'!$M479,-2,-3)))))))</x:f>
      </x:c>
      <x:c r="P479" s="58" t="str">
        <x:f>IF(COUNT($N479:$O479)+IF(ISNUMBER($K479),1,0)=0,"",MIN($N479:$O479,$K479))</x:f>
      </x:c>
      <x:c r="Q479" s="58" t="str">
        <x:f>IF($P479="","",INDEX('04_Tarifmodell'!$B$6:$B$12,$P479+4))</x:f>
      </x:c>
      <x:c r="R479" s="64" t="str">
        <x:f>IF($P479="","",INDEX('04_Tarifmodell'!$C$6:$C$12,$P479+4))</x:f>
      </x:c>
      <x:c r="S479" s="14" t="str">
        <x:f>IF(OR($I479="QUALITATIVE",$I479="MANUAL_HYBRID"),IF($K479="","Assurance-Score fehlt","Assurance-bewertet"),IF($I479="BENCHMARK",IF($W479&lt;&gt;"Aktiv",IF($K479="","Benchmark fehlt","Assurance-bewertet"),IF($J479="","Messwert fehlt",IF($P479="","Nicht bewertbar","Berechnet"))),IF(AND($J479="",$K479&lt;&gt;""),"Nur Assurance-Score",IF($J479="","Messwert fehlt",IF($P479="","Nicht bewertbar",IF($P479&lt;=-2,"Kritische Wirkung / Prüfung","Berechnet"))))))</x:f>
        <x:v>Messwert fehlt</x:v>
      </x:c>
      <x:c r="T479" s="14" t="str">
        <x:v>Vollständige fünfstufige numerische Regel.</x:v>
      </x:c>
      <x:c r="U479" s="14" t="str">
        <x:v>≥90:+3; 70–89:+2; 50–69:0; 30–49:‑2; &lt;30:‑3</x:v>
      </x:c>
      <x:c r="V479" s="14" t="str">
        <x:v>ESRS S2, GRI 308/414, OECD Due Diligence</x:v>
      </x:c>
      <x:c r="W479" s="14" t="str">
        <x:f>'02_Benchmarks'!$P479</x:f>
        <x:v>Optional – kein aktiver Benchmark</x:v>
      </x:c>
      <x:c r="X479" s="14" t="str">
        <x:v>Messgrundlage belegt; Schwellenkalibrierung offen</x:v>
      </x:c>
      <x:c r="Y479" s="14" t="str">
        <x:v>Mittel</x:v>
      </x:c>
      <x:c r="Z479" s="14" t="str">
        <x:v>Arbeitskalibrierung – fachlich zu validieren</x:v>
      </x:c>
      <x:c r="AA479" s="14" t="str">
        <x:v>Vorgelagerte Lieferkette; relevante Tier-Stufen und Beschaffungsvolumen</x:v>
      </x:c>
      <x:c r="AB479" s="14" t="str">
        <x:v>Primärdaten bevorzugt; Sekundärdaten nur transparent und versioniert; Methode und Systemgrenze dokumentieren</x:v>
      </x:c>
      <x:c r="AC479" s="14" t="str">
        <x:v>Limited Assurance; risikobasiert höhere Prüftiefe</x:v>
      </x:c>
    </x:row>
    <x:row r="480" ht="42" customHeight="1">
      <x:c r="A480" s="14" t="str">
        <x:v>WOK-SC-147</x:v>
      </x:c>
      <x:c r="B480" s="14" t="str">
        <x:v>SDG+ – Demokratie</x:v>
      </x:c>
      <x:c r="C480" s="14" t="str">
        <x:v>—</x:v>
      </x:c>
      <x:c r="D480" s="14" t="str">
        <x:v>Lieferkette in Autokratien</x:v>
      </x:c>
      <x:c r="E480" s="14" t="str">
        <x:v>Lieferkette in Autokratien – Kinder/Zwangsarbeit</x:v>
      </x:c>
      <x:c r="F480" s="14" t="str">
        <x:v>% Lieferanten</x:v>
      </x:c>
      <x:c r="G480" s="14" t="str">
        <x:v>higher_is_better</x:v>
      </x:c>
      <x:c r="H480" s="14" t="str">
        <x:v>R28</x:v>
      </x:c>
      <x:c r="I480" s="14" t="str">
        <x:v>NUM_HIGH</x:v>
      </x:c>
      <x:c r="J480" s="51"/>
      <x:c r="K480" s="51"/>
      <x:c r="L480" s="51"/>
      <x:c r="M480" s="54"/>
      <x:c r="N480" s="58" t="str">
        <x:f>IF($J480="","",IF($J480&lt;50,-3,IF($J480&lt;75,-2,IF($J480&lt;90,0,IF($J480&lt;98,2,3)))))</x:f>
      </x:c>
      <x:c r="O480" s="58" t="str">
        <x:f>IF($J480="","",IF(OR('02_Benchmarks'!$P480&lt;&gt;"Aktiv",COUNT('02_Benchmarks'!$J480:$M480)&lt;4),"",IF($G480="lower_is_better",IF($J480&lt;='02_Benchmarks'!$J480,3,IF($J480&lt;'02_Benchmarks'!$K480,2,IF($J480&lt;='02_Benchmarks'!$L480,0,IF($J480&lt;='02_Benchmarks'!$M480,-2,-3)))),IF($J480&gt;='02_Benchmarks'!$J480,3,IF($J480&gt;'02_Benchmarks'!$K480,2,IF($J480&gt;='02_Benchmarks'!$L480,0,IF($J480&gt;='02_Benchmarks'!$M480,-2,-3)))))))</x:f>
      </x:c>
      <x:c r="P480" s="58" t="str">
        <x:f>IF(COUNT($N480:$O480)+IF(ISNUMBER($K480),1,0)=0,"",MIN($N480:$O480,$K480))</x:f>
      </x:c>
      <x:c r="Q480" s="58" t="str">
        <x:f>IF($P480="","",INDEX('04_Tarifmodell'!$B$6:$B$12,$P480+4))</x:f>
      </x:c>
      <x:c r="R480" s="64" t="str">
        <x:f>IF($P480="","",INDEX('04_Tarifmodell'!$C$6:$C$12,$P480+4))</x:f>
      </x:c>
      <x:c r="S480" s="14" t="str">
        <x:f>IF(OR($I480="QUALITATIVE",$I480="MANUAL_HYBRID"),IF($K480="","Assurance-Score fehlt","Assurance-bewertet"),IF($I480="BENCHMARK",IF($W480&lt;&gt;"Aktiv",IF($K480="","Benchmark fehlt","Assurance-bewertet"),IF($J480="","Messwert fehlt",IF($P480="","Nicht bewertbar","Berechnet"))),IF(AND($J480="",$K480&lt;&gt;""),"Nur Assurance-Score",IF($J480="","Messwert fehlt",IF($P480="","Nicht bewertbar",IF($P480&lt;=-2,"Kritische Wirkung / Prüfung","Berechnet"))))))</x:f>
        <x:v>Messwert fehlt</x:v>
      </x:c>
      <x:c r="T480" s="14" t="str">
        <x:v>Vollständige fünfstufige numerische Regel.</x:v>
      </x:c>
      <x:c r="U480" s="14" t="str">
        <x:v>≥98:+3; 90–97:+2; 75–89:0; 50–74:‑2; &lt;50:‑3</x:v>
      </x:c>
      <x:c r="V480" s="14" t="str">
        <x:v>ESRS S2, GRI 308/414, OECD Due Diligence</x:v>
      </x:c>
      <x:c r="W480" s="14" t="str">
        <x:f>'02_Benchmarks'!$P480</x:f>
        <x:v>Optional – kein aktiver Benchmark</x:v>
      </x:c>
      <x:c r="X480" s="14" t="str">
        <x:v>Messgrundlage belegt; Schwellenkalibrierung offen</x:v>
      </x:c>
      <x:c r="Y480" s="14" t="str">
        <x:v>Mittel</x:v>
      </x:c>
      <x:c r="Z480" s="14" t="str">
        <x:v>Arbeitskalibrierung – fachlich zu validieren</x:v>
      </x:c>
      <x:c r="AA480" s="14" t="str">
        <x:v>Vorgelagerte Lieferkette; relevante Tier-Stufen und Beschaffungsvolumen</x:v>
      </x:c>
      <x:c r="AB480" s="14" t="str">
        <x:v>Primärdaten bevorzugt; Sekundärdaten nur transparent und versioniert; Methode und Systemgrenze dokumentieren</x:v>
      </x:c>
      <x:c r="AC480" s="14" t="str">
        <x:v>Limited Assurance; risikobasiert höhere Prüftiefe</x:v>
      </x:c>
    </x:row>
    <x:row r="481" ht="42" customHeight="1">
      <x:c r="A481" s="14" t="str">
        <x:v>WOK-SC-148</x:v>
      </x:c>
      <x:c r="B481" s="14" t="str">
        <x:v>SDG+ – Demokratie</x:v>
      </x:c>
      <x:c r="C481" s="14" t="str">
        <x:v>—</x:v>
      </x:c>
      <x:c r="D481" s="14" t="str">
        <x:v>Lieferkette in Autokratien</x:v>
      </x:c>
      <x:c r="E481" s="14" t="str">
        <x:v>Lieferkette in Autokratien – Scope‑3 Daten</x:v>
      </x:c>
      <x:c r="F481" s="14" t="str">
        <x:v>% Kategorien</x:v>
      </x:c>
      <x:c r="G481" s="14" t="str">
        <x:v>higher_is_better</x:v>
      </x:c>
      <x:c r="H481" s="14" t="str">
        <x:v>R23</x:v>
      </x:c>
      <x:c r="I481" s="14" t="str">
        <x:v>NUM_HIGH</x:v>
      </x:c>
      <x:c r="J481" s="51"/>
      <x:c r="K481" s="51"/>
      <x:c r="L481" s="51"/>
      <x:c r="M481" s="54"/>
      <x:c r="N481" s="58" t="str">
        <x:f>IF($J481="","",IF($J481&lt;20,-3,IF($J481&lt;40,-2,IF($J481&lt;60,0,IF($J481&lt;80,2,3)))))</x:f>
      </x:c>
      <x:c r="O481" s="58" t="str">
        <x:f>IF($J481="","",IF(OR('02_Benchmarks'!$P481&lt;&gt;"Aktiv",COUNT('02_Benchmarks'!$J481:$M481)&lt;4),"",IF($G481="lower_is_better",IF($J481&lt;='02_Benchmarks'!$J481,3,IF($J481&lt;'02_Benchmarks'!$K481,2,IF($J481&lt;='02_Benchmarks'!$L481,0,IF($J481&lt;='02_Benchmarks'!$M481,-2,-3)))),IF($J481&gt;='02_Benchmarks'!$J481,3,IF($J481&gt;'02_Benchmarks'!$K481,2,IF($J481&gt;='02_Benchmarks'!$L481,0,IF($J481&gt;='02_Benchmarks'!$M481,-2,-3)))))))</x:f>
      </x:c>
      <x:c r="P481" s="58" t="str">
        <x:f>IF(COUNT($N481:$O481)+IF(ISNUMBER($K481),1,0)=0,"",MIN($N481:$O481,$K481))</x:f>
      </x:c>
      <x:c r="Q481" s="58" t="str">
        <x:f>IF($P481="","",INDEX('04_Tarifmodell'!$B$6:$B$12,$P481+4))</x:f>
      </x:c>
      <x:c r="R481" s="64" t="str">
        <x:f>IF($P481="","",INDEX('04_Tarifmodell'!$C$6:$C$12,$P481+4))</x:f>
      </x:c>
      <x:c r="S481" s="14" t="str">
        <x:f>IF(OR($I481="QUALITATIVE",$I481="MANUAL_HYBRID"),IF($K481="","Assurance-Score fehlt","Assurance-bewertet"),IF($I481="BENCHMARK",IF($W481&lt;&gt;"Aktiv",IF($K481="","Benchmark fehlt","Assurance-bewertet"),IF($J481="","Messwert fehlt",IF($P481="","Nicht bewertbar","Berechnet"))),IF(AND($J481="",$K481&lt;&gt;""),"Nur Assurance-Score",IF($J481="","Messwert fehlt",IF($P481="","Nicht bewertbar",IF($P481&lt;=-2,"Kritische Wirkung / Prüfung","Berechnet"))))))</x:f>
        <x:v>Messwert fehlt</x:v>
      </x:c>
      <x:c r="T481" s="14" t="str">
        <x:v>Vollständige fünfstufige numerische Regel.</x:v>
      </x:c>
      <x:c r="U481" s="14" t="str">
        <x:v>≥80:+3; 60–79:+2; 40–59:0; 20–39:‑2; &lt;20:‑3</x:v>
      </x:c>
      <x:c r="V481" s="14" t="str">
        <x:v>ESRS E1, GHG Protocol (Corporate/Scope 1–3), ISO 14064/14067</x:v>
      </x:c>
      <x:c r="W481" s="14" t="str">
        <x:f>'02_Benchmarks'!$P481</x:f>
        <x:v>Optional – kein aktiver Benchmark</x:v>
      </x:c>
      <x:c r="X481" s="14" t="str">
        <x:v>Messgrundlage belegt; Schwellenkalibrierung offen</x:v>
      </x:c>
      <x:c r="Y481" s="14" t="str">
        <x:v>Mittel</x:v>
      </x:c>
      <x:c r="Z481" s="14" t="str">
        <x:v>Arbeitskalibrierung – fachlich zu validieren</x:v>
      </x:c>
      <x:c r="AA481" s="14" t="str">
        <x:v>Vorgelagerte Lieferkette; relevante Tier-Stufen und Beschaffungsvolumen</x:v>
      </x:c>
      <x:c r="AB481" s="14" t="str">
        <x:v>Primärdaten bevorzugt; Sekundärdaten nur transparent und versioniert; Methode und Systemgrenze dokumentieren</x:v>
      </x:c>
      <x:c r="AC481" s="14" t="str">
        <x:v>Limited Assurance; risikobasiert höhere Prüftiefe</x:v>
      </x:c>
    </x:row>
    <x:row r="482" ht="42" customHeight="1">
      <x:c r="A482" s="14" t="str">
        <x:v>WOK-SYS-167</x:v>
      </x:c>
      <x:c r="B482" s="14" t="str">
        <x:v>SDG+ – Medienvielfalt</x:v>
      </x:c>
      <x:c r="C482" s="14" t="str">
        <x:v>—</x:v>
      </x:c>
      <x:c r="D482" s="14" t="str">
        <x:v>Medien‑Konzentration</x:v>
      </x:c>
      <x:c r="E482" s="14" t="str">
        <x:v>Medien‑Konzentration – Index</x:v>
      </x:c>
      <x:c r="F482" s="14" t="str">
        <x:v>0–1</x:v>
      </x:c>
      <x:c r="G482" s="14" t="str">
        <x:v>higher_is_better</x:v>
      </x:c>
      <x:c r="H482" s="14" t="str">
        <x:v>R15</x:v>
      </x:c>
      <x:c r="I482" s="14" t="str">
        <x:v>NUM_HIGH</x:v>
      </x:c>
      <x:c r="J482" s="51"/>
      <x:c r="K482" s="51"/>
      <x:c r="L482" s="51"/>
      <x:c r="M482" s="54"/>
      <x:c r="N482" s="58" t="str">
        <x:f>IF($J482="","",IF($J482&lt;0.5,-3,IF($J482&lt;0.6,-2,IF($J482&lt;0.7,0,IF($J482&lt;0.8,2,3)))))</x:f>
      </x:c>
      <x:c r="O482" s="58" t="str">
        <x:f>IF($J482="","",IF(OR('02_Benchmarks'!$P482&lt;&gt;"Aktiv",COUNT('02_Benchmarks'!$J482:$M482)&lt;4),"",IF($G482="lower_is_better",IF($J482&lt;='02_Benchmarks'!$J482,3,IF($J482&lt;'02_Benchmarks'!$K482,2,IF($J482&lt;='02_Benchmarks'!$L482,0,IF($J482&lt;='02_Benchmarks'!$M482,-2,-3)))),IF($J482&gt;='02_Benchmarks'!$J482,3,IF($J482&gt;'02_Benchmarks'!$K482,2,IF($J482&gt;='02_Benchmarks'!$L482,0,IF($J482&gt;='02_Benchmarks'!$M482,-2,-3)))))))</x:f>
      </x:c>
      <x:c r="P482" s="58" t="str">
        <x:f>IF(COUNT($N482:$O482)+IF(ISNUMBER($K482),1,0)=0,"",MIN($N482:$O482,$K482))</x:f>
      </x:c>
      <x:c r="Q482" s="58" t="str">
        <x:f>IF($P482="","",INDEX('04_Tarifmodell'!$B$6:$B$12,$P482+4))</x:f>
      </x:c>
      <x:c r="R482" s="64" t="str">
        <x:f>IF($P482="","",INDEX('04_Tarifmodell'!$C$6:$C$12,$P482+4))</x:f>
      </x:c>
      <x:c r="S482" s="14" t="str">
        <x:f>IF(OR($I482="QUALITATIVE",$I482="MANUAL_HYBRID"),IF($K482="","Assurance-Score fehlt","Assurance-bewertet"),IF($I482="BENCHMARK",IF($W482&lt;&gt;"Aktiv",IF($K482="","Benchmark fehlt","Assurance-bewertet"),IF($J482="","Messwert fehlt",IF($P482="","Nicht bewertbar","Berechnet"))),IF(AND($J482="",$K482&lt;&gt;""),"Nur Assurance-Score",IF($J482="","Messwert fehlt",IF($P482="","Nicht bewertbar",IF($P482&lt;=-2,"Kritische Wirkung / Prüfung","Berechnet"))))))</x:f>
        <x:v>Messwert fehlt</x:v>
      </x:c>
      <x:c r="T482" s="14" t="str">
        <x:v>SROI/SDG 17 ist keine hinreichend konkrete Mess- oder Schwellenquelle. Vollständige fünfstufige numerische Regel.</x:v>
      </x:c>
      <x:c r="U482" s="14" t="str">
        <x:v>≥0,8:+3; 0,7–0,79:+2; 0,6–0,69:0; 0,5–0,59:‑2; &lt;0,5:‑3</x:v>
      </x:c>
      <x:c r="V482" s="14" t="str">
        <x:v>SDG 16/17, WJP, V‑Dem</x:v>
      </x:c>
      <x:c r="W482" s="14" t="str">
        <x:f>'02_Benchmarks'!$P482</x:f>
        <x:v>Optional – kein aktiver Benchmark</x:v>
      </x:c>
      <x:c r="X482" s="14" t="str">
        <x:v>Platzhalter – fachliche Operationalisierung offen</x:v>
      </x:c>
      <x:c r="Y482" s="14" t="str">
        <x:v>Kritisch</x:v>
      </x:c>
      <x:c r="Z482" s="14" t="str">
        <x:v>Arbeitskalibrierung – fachlich zu validieren</x:v>
      </x:c>
      <x:c r="AA482" s="14" t="str">
        <x:v>Programm/Portfolio/Systemraum; Empfängergruppe, Region und Zeitraum explizit definieren</x:v>
      </x:c>
      <x:c r="AB482" s="14" t="str">
        <x:v>Primärdaten bevorzugt; Sekundärdaten nur transparent und versioniert; Methode und Systemgrenze dokumentieren</x:v>
      </x:c>
      <x:c r="AC482" s="14" t="str">
        <x:v>Limited Assurance; risikobasiert höhere Prüftiefe</x:v>
      </x:c>
    </x:row>
    <x:row r="483" ht="42" customHeight="1">
      <x:c r="A483" s="14" t="str">
        <x:v>WOK-SYS-168</x:v>
      </x:c>
      <x:c r="B483" s="14" t="str">
        <x:v>SDG+ – Medienvielfalt</x:v>
      </x:c>
      <x:c r="C483" s="14" t="str">
        <x:v>—</x:v>
      </x:c>
      <x:c r="D483" s="14" t="str">
        <x:v>Medien‑Konzentration</x:v>
      </x:c>
      <x:c r="E483" s="14" t="str">
        <x:v>Medien‑Konzentration – Exposure</x:v>
      </x:c>
      <x:c r="F483" s="14" t="str">
        <x:v>%</x:v>
      </x:c>
      <x:c r="G483" s="14" t="str">
        <x:v>lower_is_better</x:v>
      </x:c>
      <x:c r="H483" s="14" t="str">
        <x:v>R13</x:v>
      </x:c>
      <x:c r="I483" s="14" t="str">
        <x:v>NUM_LOW</x:v>
      </x:c>
      <x:c r="J483" s="51"/>
      <x:c r="K483" s="51"/>
      <x:c r="L483" s="51"/>
      <x:c r="M483" s="54"/>
      <x:c r="N483" s="58" t="str">
        <x:f>IF($J483="","",IF($J483&lt;=5,3,IF($J483&lt;=10,2,IF($J483&lt;=20,0,IF($J483&lt;=30,-2,-3)))))</x:f>
      </x:c>
      <x:c r="O483" s="58" t="str">
        <x:f>IF($J483="","",IF(OR('02_Benchmarks'!$P483&lt;&gt;"Aktiv",COUNT('02_Benchmarks'!$J483:$M483)&lt;4),"",IF($G483="lower_is_better",IF($J483&lt;='02_Benchmarks'!$J483,3,IF($J483&lt;'02_Benchmarks'!$K483,2,IF($J483&lt;='02_Benchmarks'!$L483,0,IF($J483&lt;='02_Benchmarks'!$M483,-2,-3)))),IF($J483&gt;='02_Benchmarks'!$J483,3,IF($J483&gt;'02_Benchmarks'!$K483,2,IF($J483&gt;='02_Benchmarks'!$L483,0,IF($J483&gt;='02_Benchmarks'!$M483,-2,-3)))))))</x:f>
      </x:c>
      <x:c r="P483" s="58" t="str">
        <x:f>IF(COUNT($N483:$O483)+IF(ISNUMBER($K483),1,0)=0,"",MIN($N483:$O483,$K483))</x:f>
      </x:c>
      <x:c r="Q483" s="58" t="str">
        <x:f>IF($P483="","",INDEX('04_Tarifmodell'!$B$6:$B$12,$P483+4))</x:f>
      </x:c>
      <x:c r="R483" s="64" t="str">
        <x:f>IF($P483="","",INDEX('04_Tarifmodell'!$C$6:$C$12,$P483+4))</x:f>
      </x:c>
      <x:c r="S483" s="14" t="str">
        <x:f>IF(OR($I483="QUALITATIVE",$I483="MANUAL_HYBRID"),IF($K483="","Assurance-Score fehlt","Assurance-bewertet"),IF($I483="BENCHMARK",IF($W483&lt;&gt;"Aktiv",IF($K483="","Benchmark fehlt","Assurance-bewertet"),IF($J483="","Messwert fehlt",IF($P483="","Nicht bewertbar","Berechnet"))),IF(AND($J483="",$K483&lt;&gt;""),"Nur Assurance-Score",IF($J483="","Messwert fehlt",IF($P483="","Nicht bewertbar",IF($P483&lt;=-2,"Kritische Wirkung / Prüfung","Berechnet"))))))</x:f>
        <x:v>Messwert fehlt</x:v>
      </x:c>
      <x:c r="T483" s="14" t="str">
        <x:v>SROI/SDG 17 ist keine hinreichend konkrete Mess- oder Schwellenquelle. Vollständige fünfstufige numerische Regel.</x:v>
      </x:c>
      <x:c r="U483" s="14" t="str">
        <x:v>≤5:+3; 6–10:+2; 11–20:0; 21–30:‑2; &gt;30:‑3</x:v>
      </x:c>
      <x:c r="V483" s="14" t="str">
        <x:v>SROI/SDG17</x:v>
      </x:c>
      <x:c r="W483" s="14" t="str">
        <x:f>'02_Benchmarks'!$P483</x:f>
        <x:v>Optional – kein aktiver Benchmark</x:v>
      </x:c>
      <x:c r="X483" s="14" t="str">
        <x:v>Platzhalter – fachliche Operationalisierung offen</x:v>
      </x:c>
      <x:c r="Y483" s="14" t="str">
        <x:v>Kritisch</x:v>
      </x:c>
      <x:c r="Z483" s="14" t="str">
        <x:v>Arbeitskalibrierung – fachlich zu validieren</x:v>
      </x:c>
      <x:c r="AA483" s="14" t="str">
        <x:v>Programm/Portfolio/Systemraum; Empfängergruppe, Region und Zeitraum explizit definieren</x:v>
      </x:c>
      <x:c r="AB483" s="14" t="str">
        <x:v>Primärdaten bevorzugt; Sekundärdaten nur transparent und versioniert; Methode und Systemgrenze dokumentieren</x:v>
      </x:c>
      <x:c r="AC483" s="14" t="str">
        <x:v>Limited Assurance; risikobasiert höhere Prüftiefe</x:v>
      </x:c>
    </x:row>
    <x:row r="484" ht="42" customHeight="1">
      <x:c r="A484" s="14" t="str">
        <x:v>WOK-SYS-169</x:v>
      </x:c>
      <x:c r="B484" s="14" t="str">
        <x:v>SDG+ – Medienvielfalt</x:v>
      </x:c>
      <x:c r="C484" s="14" t="str">
        <x:v>—</x:v>
      </x:c>
      <x:c r="D484" s="14" t="str">
        <x:v>Medien‑Konzentration</x:v>
      </x:c>
      <x:c r="E484" s="14" t="str">
        <x:v>Medien‑Konzentration – Kooperationen</x:v>
      </x:c>
      <x:c r="F484" s="14" t="str">
        <x:v>#/Jahr</x:v>
      </x:c>
      <x:c r="G484" s="14" t="str">
        <x:v>higher_is_better</x:v>
      </x:c>
      <x:c r="H484" s="14" t="str">
        <x:v>R20</x:v>
      </x:c>
      <x:c r="I484" s="14" t="str">
        <x:v>NUM_HIGH</x:v>
      </x:c>
      <x:c r="J484" s="51"/>
      <x:c r="K484" s="51"/>
      <x:c r="L484" s="51"/>
      <x:c r="M484" s="54"/>
      <x:c r="N484" s="58" t="str">
        <x:f>IF($J484="","",IF($J484&lt;0,-3,IF($J484&lt;1,-2,IF($J484&lt;3,0,IF($J484&lt;5,2,3)))))</x:f>
      </x:c>
      <x:c r="O484" s="58" t="str">
        <x:f>IF($J484="","",IF(OR('02_Benchmarks'!$P484&lt;&gt;"Aktiv",COUNT('02_Benchmarks'!$J484:$M484)&lt;4),"",IF($G484="lower_is_better",IF($J484&lt;='02_Benchmarks'!$J484,3,IF($J484&lt;'02_Benchmarks'!$K484,2,IF($J484&lt;='02_Benchmarks'!$L484,0,IF($J484&lt;='02_Benchmarks'!$M484,-2,-3)))),IF($J484&gt;='02_Benchmarks'!$J484,3,IF($J484&gt;'02_Benchmarks'!$K484,2,IF($J484&gt;='02_Benchmarks'!$L484,0,IF($J484&gt;='02_Benchmarks'!$M484,-2,-3)))))))</x:f>
      </x:c>
      <x:c r="P484" s="58" t="str">
        <x:f>IF(COUNT($N484:$O484)+IF(ISNUMBER($K484),1,0)=0,"",MIN($N484:$O484,$K484))</x:f>
      </x:c>
      <x:c r="Q484" s="58" t="str">
        <x:f>IF($P484="","",INDEX('04_Tarifmodell'!$B$6:$B$12,$P484+4))</x:f>
      </x:c>
      <x:c r="R484" s="64" t="str">
        <x:f>IF($P484="","",INDEX('04_Tarifmodell'!$C$6:$C$12,$P484+4))</x:f>
      </x:c>
      <x:c r="S484" s="14" t="str">
        <x:f>IF(OR($I484="QUALITATIVE",$I484="MANUAL_HYBRID"),IF($K484="","Assurance-Score fehlt","Assurance-bewertet"),IF($I484="BENCHMARK",IF($W484&lt;&gt;"Aktiv",IF($K484="","Benchmark fehlt","Assurance-bewertet"),IF($J484="","Messwert fehlt",IF($P484="","Nicht bewertbar","Berechnet"))),IF(AND($J484="",$K484&lt;&gt;""),"Nur Assurance-Score",IF($J484="","Messwert fehlt",IF($P484="","Nicht bewertbar",IF($P484&lt;=-2,"Kritische Wirkung / Prüfung","Berechnet"))))))</x:f>
        <x:v>Messwert fehlt</x:v>
      </x:c>
      <x:c r="T484" s="14" t="str">
        <x:v>SROI/SDG 17 ist keine hinreichend konkrete Mess- oder Schwellenquelle. Für sachlogisch nichtnegative Zählwerte ist 0 die schlechteste reguläre Klasse (−2).</x:v>
      </x:c>
      <x:c r="U484" s="14" t="str">
        <x:v>≥5:+3; 3–4:+2; 1–2:0; 0:‑2</x:v>
      </x:c>
      <x:c r="V484" s="14" t="str">
        <x:v>SDG 16/17, WJP, V‑Dem</x:v>
      </x:c>
      <x:c r="W484" s="14" t="str">
        <x:f>'02_Benchmarks'!$P484</x:f>
        <x:v>Optional – kein aktiver Benchmark</x:v>
      </x:c>
      <x:c r="X484" s="14" t="str">
        <x:v>Platzhalter – fachliche Operationalisierung offen</x:v>
      </x:c>
      <x:c r="Y484" s="14" t="str">
        <x:v>Kritisch</x:v>
      </x:c>
      <x:c r="Z484" s="14" t="str">
        <x:v>Klasse −3 nur für negative/unzulässige Werte ergänzt</x:v>
      </x:c>
      <x:c r="AA484" s="14" t="str">
        <x:v>Programm/Portfolio/Systemraum; Empfängergruppe, Region und Zeitraum explizit definieren</x:v>
      </x:c>
      <x:c r="AB484" s="14" t="str">
        <x:v>Primärdaten bevorzugt; Sekundärdaten nur transparent und versioniert; Methode und Systemgrenze dokumentieren</x:v>
      </x:c>
      <x:c r="AC484" s="14" t="str">
        <x:v>Limited Assurance; risikobasiert höhere Prüftiefe</x:v>
      </x:c>
    </x:row>
    <x:row r="485" ht="42" customHeight="1">
      <x:c r="A485" s="14" t="str">
        <x:v>WOK-SYS-170</x:v>
      </x:c>
      <x:c r="B485" s="14" t="str">
        <x:v>SDG+ – Medienvielfalt</x:v>
      </x:c>
      <x:c r="C485" s="14" t="str">
        <x:v>—</x:v>
      </x:c>
      <x:c r="D485" s="14" t="str">
        <x:v>Brand Safety</x:v>
      </x:c>
      <x:c r="E485" s="14" t="str">
        <x:v>Brand Safety – Index</x:v>
      </x:c>
      <x:c r="F485" s="14" t="str">
        <x:v>0–1</x:v>
      </x:c>
      <x:c r="G485" s="14" t="str">
        <x:v>higher_is_better</x:v>
      </x:c>
      <x:c r="H485" s="14" t="str">
        <x:v>R15</x:v>
      </x:c>
      <x:c r="I485" s="14" t="str">
        <x:v>NUM_HIGH</x:v>
      </x:c>
      <x:c r="J485" s="51"/>
      <x:c r="K485" s="51"/>
      <x:c r="L485" s="51"/>
      <x:c r="M485" s="54"/>
      <x:c r="N485" s="58" t="str">
        <x:f>IF($J485="","",IF($J485&lt;0.5,-3,IF($J485&lt;0.6,-2,IF($J485&lt;0.7,0,IF($J485&lt;0.8,2,3)))))</x:f>
      </x:c>
      <x:c r="O485" s="58" t="str">
        <x:f>IF($J485="","",IF(OR('02_Benchmarks'!$P485&lt;&gt;"Aktiv",COUNT('02_Benchmarks'!$J485:$M485)&lt;4),"",IF($G485="lower_is_better",IF($J485&lt;='02_Benchmarks'!$J485,3,IF($J485&lt;'02_Benchmarks'!$K485,2,IF($J485&lt;='02_Benchmarks'!$L485,0,IF($J485&lt;='02_Benchmarks'!$M485,-2,-3)))),IF($J485&gt;='02_Benchmarks'!$J485,3,IF($J485&gt;'02_Benchmarks'!$K485,2,IF($J485&gt;='02_Benchmarks'!$L485,0,IF($J485&gt;='02_Benchmarks'!$M485,-2,-3)))))))</x:f>
      </x:c>
      <x:c r="P485" s="58" t="str">
        <x:f>IF(COUNT($N485:$O485)+IF(ISNUMBER($K485),1,0)=0,"",MIN($N485:$O485,$K485))</x:f>
      </x:c>
      <x:c r="Q485" s="58" t="str">
        <x:f>IF($P485="","",INDEX('04_Tarifmodell'!$B$6:$B$12,$P485+4))</x:f>
      </x:c>
      <x:c r="R485" s="64" t="str">
        <x:f>IF($P485="","",INDEX('04_Tarifmodell'!$C$6:$C$12,$P485+4))</x:f>
      </x:c>
      <x:c r="S485" s="14" t="str">
        <x:f>IF(OR($I485="QUALITATIVE",$I485="MANUAL_HYBRID"),IF($K485="","Assurance-Score fehlt","Assurance-bewertet"),IF($I485="BENCHMARK",IF($W485&lt;&gt;"Aktiv",IF($K485="","Benchmark fehlt","Assurance-bewertet"),IF($J485="","Messwert fehlt",IF($P485="","Nicht bewertbar","Berechnet"))),IF(AND($J485="",$K485&lt;&gt;""),"Nur Assurance-Score",IF($J485="","Messwert fehlt",IF($P485="","Nicht bewertbar",IF($P485&lt;=-2,"Kritische Wirkung / Prüfung","Berechnet"))))))</x:f>
        <x:v>Messwert fehlt</x:v>
      </x:c>
      <x:c r="T485" s="14" t="str">
        <x:v>SROI/SDG 17 ist keine hinreichend konkrete Mess- oder Schwellenquelle. Vollständige fünfstufige numerische Regel.</x:v>
      </x:c>
      <x:c r="U485" s="14" t="str">
        <x:v>≥0,8:+3; 0,7–0,79:+2; 0,6–0,69:0; 0,5–0,59:‑2; &lt;0,5:‑3</x:v>
      </x:c>
      <x:c r="V485" s="14" t="str">
        <x:v>SDG 16/17, WJP, V‑Dem</x:v>
      </x:c>
      <x:c r="W485" s="14" t="str">
        <x:f>'02_Benchmarks'!$P485</x:f>
        <x:v>Optional – kein aktiver Benchmark</x:v>
      </x:c>
      <x:c r="X485" s="14" t="str">
        <x:v>Platzhalter – fachliche Operationalisierung offen</x:v>
      </x:c>
      <x:c r="Y485" s="14" t="str">
        <x:v>Kritisch</x:v>
      </x:c>
      <x:c r="Z485" s="14" t="str">
        <x:v>Arbeitskalibrierung – fachlich zu validieren</x:v>
      </x:c>
      <x:c r="AA485" s="14" t="str">
        <x:v>Programm/Portfolio/Systemraum; Empfängergruppe, Region und Zeitraum explizit definieren</x:v>
      </x:c>
      <x:c r="AB485" s="14" t="str">
        <x:v>Primärdaten bevorzugt; Sekundärdaten nur transparent und versioniert; Methode und Systemgrenze dokumentieren</x:v>
      </x:c>
      <x:c r="AC485" s="14" t="str">
        <x:v>Limited Assurance; risikobasiert höhere Prüftiefe</x:v>
      </x:c>
    </x:row>
    <x:row r="486" ht="42" customHeight="1">
      <x:c r="A486" s="14" t="str">
        <x:v>WOK-SYS-171</x:v>
      </x:c>
      <x:c r="B486" s="14" t="str">
        <x:v>SDG+ – Medienvielfalt</x:v>
      </x:c>
      <x:c r="C486" s="14" t="str">
        <x:v>—</x:v>
      </x:c>
      <x:c r="D486" s="14" t="str">
        <x:v>Brand Safety</x:v>
      </x:c>
      <x:c r="E486" s="14" t="str">
        <x:v>Brand Safety – Exposure</x:v>
      </x:c>
      <x:c r="F486" s="14" t="str">
        <x:v>%</x:v>
      </x:c>
      <x:c r="G486" s="14" t="str">
        <x:v>lower_is_better</x:v>
      </x:c>
      <x:c r="H486" s="14" t="str">
        <x:v>R13</x:v>
      </x:c>
      <x:c r="I486" s="14" t="str">
        <x:v>NUM_LOW</x:v>
      </x:c>
      <x:c r="J486" s="51"/>
      <x:c r="K486" s="51"/>
      <x:c r="L486" s="51"/>
      <x:c r="M486" s="54"/>
      <x:c r="N486" s="58" t="str">
        <x:f>IF($J486="","",IF($J486&lt;=5,3,IF($J486&lt;=10,2,IF($J486&lt;=20,0,IF($J486&lt;=30,-2,-3)))))</x:f>
      </x:c>
      <x:c r="O486" s="58" t="str">
        <x:f>IF($J486="","",IF(OR('02_Benchmarks'!$P486&lt;&gt;"Aktiv",COUNT('02_Benchmarks'!$J486:$M486)&lt;4),"",IF($G486="lower_is_better",IF($J486&lt;='02_Benchmarks'!$J486,3,IF($J486&lt;'02_Benchmarks'!$K486,2,IF($J486&lt;='02_Benchmarks'!$L486,0,IF($J486&lt;='02_Benchmarks'!$M486,-2,-3)))),IF($J486&gt;='02_Benchmarks'!$J486,3,IF($J486&gt;'02_Benchmarks'!$K486,2,IF($J486&gt;='02_Benchmarks'!$L486,0,IF($J486&gt;='02_Benchmarks'!$M486,-2,-3)))))))</x:f>
      </x:c>
      <x:c r="P486" s="58" t="str">
        <x:f>IF(COUNT($N486:$O486)+IF(ISNUMBER($K486),1,0)=0,"",MIN($N486:$O486,$K486))</x:f>
      </x:c>
      <x:c r="Q486" s="58" t="str">
        <x:f>IF($P486="","",INDEX('04_Tarifmodell'!$B$6:$B$12,$P486+4))</x:f>
      </x:c>
      <x:c r="R486" s="64" t="str">
        <x:f>IF($P486="","",INDEX('04_Tarifmodell'!$C$6:$C$12,$P486+4))</x:f>
      </x:c>
      <x:c r="S486" s="14" t="str">
        <x:f>IF(OR($I486="QUALITATIVE",$I486="MANUAL_HYBRID"),IF($K486="","Assurance-Score fehlt","Assurance-bewertet"),IF($I486="BENCHMARK",IF($W486&lt;&gt;"Aktiv",IF($K486="","Benchmark fehlt","Assurance-bewertet"),IF($J486="","Messwert fehlt",IF($P486="","Nicht bewertbar","Berechnet"))),IF(AND($J486="",$K486&lt;&gt;""),"Nur Assurance-Score",IF($J486="","Messwert fehlt",IF($P486="","Nicht bewertbar",IF($P486&lt;=-2,"Kritische Wirkung / Prüfung","Berechnet"))))))</x:f>
        <x:v>Messwert fehlt</x:v>
      </x:c>
      <x:c r="T486" s="14" t="str">
        <x:v>SROI/SDG 17 ist keine hinreichend konkrete Mess- oder Schwellenquelle. Vollständige fünfstufige numerische Regel.</x:v>
      </x:c>
      <x:c r="U486" s="14" t="str">
        <x:v>≤5:+3; 6–10:+2; 11–20:0; 21–30:‑2; &gt;30:‑3</x:v>
      </x:c>
      <x:c r="V486" s="14" t="str">
        <x:v>SROI/SDG17</x:v>
      </x:c>
      <x:c r="W486" s="14" t="str">
        <x:f>'02_Benchmarks'!$P486</x:f>
        <x:v>Optional – kein aktiver Benchmark</x:v>
      </x:c>
      <x:c r="X486" s="14" t="str">
        <x:v>Platzhalter – fachliche Operationalisierung offen</x:v>
      </x:c>
      <x:c r="Y486" s="14" t="str">
        <x:v>Kritisch</x:v>
      </x:c>
      <x:c r="Z486" s="14" t="str">
        <x:v>Arbeitskalibrierung – fachlich zu validieren</x:v>
      </x:c>
      <x:c r="AA486" s="14" t="str">
        <x:v>Programm/Portfolio/Systemraum; Empfängergruppe, Region und Zeitraum explizit definieren</x:v>
      </x:c>
      <x:c r="AB486" s="14" t="str">
        <x:v>Primärdaten bevorzugt; Sekundärdaten nur transparent und versioniert; Methode und Systemgrenze dokumentieren</x:v>
      </x:c>
      <x:c r="AC486" s="14" t="str">
        <x:v>Limited Assurance; risikobasiert höhere Prüftiefe</x:v>
      </x:c>
    </x:row>
    <x:row r="487" ht="42" customHeight="1">
      <x:c r="A487" s="14" t="str">
        <x:v>WOK-SYS-172</x:v>
      </x:c>
      <x:c r="B487" s="14" t="str">
        <x:v>SDG+ – Medienvielfalt</x:v>
      </x:c>
      <x:c r="C487" s="14" t="str">
        <x:v>—</x:v>
      </x:c>
      <x:c r="D487" s="14" t="str">
        <x:v>Brand Safety</x:v>
      </x:c>
      <x:c r="E487" s="14" t="str">
        <x:v>Brand Safety – Kooperationen</x:v>
      </x:c>
      <x:c r="F487" s="14" t="str">
        <x:v>#/Jahr</x:v>
      </x:c>
      <x:c r="G487" s="14" t="str">
        <x:v>higher_is_better</x:v>
      </x:c>
      <x:c r="H487" s="14" t="str">
        <x:v>R20</x:v>
      </x:c>
      <x:c r="I487" s="14" t="str">
        <x:v>NUM_HIGH</x:v>
      </x:c>
      <x:c r="J487" s="51"/>
      <x:c r="K487" s="51"/>
      <x:c r="L487" s="51"/>
      <x:c r="M487" s="54"/>
      <x:c r="N487" s="58" t="str">
        <x:f>IF($J487="","",IF($J487&lt;0,-3,IF($J487&lt;1,-2,IF($J487&lt;3,0,IF($J487&lt;5,2,3)))))</x:f>
      </x:c>
      <x:c r="O487" s="58" t="str">
        <x:f>IF($J487="","",IF(OR('02_Benchmarks'!$P487&lt;&gt;"Aktiv",COUNT('02_Benchmarks'!$J487:$M487)&lt;4),"",IF($G487="lower_is_better",IF($J487&lt;='02_Benchmarks'!$J487,3,IF($J487&lt;'02_Benchmarks'!$K487,2,IF($J487&lt;='02_Benchmarks'!$L487,0,IF($J487&lt;='02_Benchmarks'!$M487,-2,-3)))),IF($J487&gt;='02_Benchmarks'!$J487,3,IF($J487&gt;'02_Benchmarks'!$K487,2,IF($J487&gt;='02_Benchmarks'!$L487,0,IF($J487&gt;='02_Benchmarks'!$M487,-2,-3)))))))</x:f>
      </x:c>
      <x:c r="P487" s="58" t="str">
        <x:f>IF(COUNT($N487:$O487)+IF(ISNUMBER($K487),1,0)=0,"",MIN($N487:$O487,$K487))</x:f>
      </x:c>
      <x:c r="Q487" s="58" t="str">
        <x:f>IF($P487="","",INDEX('04_Tarifmodell'!$B$6:$B$12,$P487+4))</x:f>
      </x:c>
      <x:c r="R487" s="64" t="str">
        <x:f>IF($P487="","",INDEX('04_Tarifmodell'!$C$6:$C$12,$P487+4))</x:f>
      </x:c>
      <x:c r="S487" s="14" t="str">
        <x:f>IF(OR($I487="QUALITATIVE",$I487="MANUAL_HYBRID"),IF($K487="","Assurance-Score fehlt","Assurance-bewertet"),IF($I487="BENCHMARK",IF($W487&lt;&gt;"Aktiv",IF($K487="","Benchmark fehlt","Assurance-bewertet"),IF($J487="","Messwert fehlt",IF($P487="","Nicht bewertbar","Berechnet"))),IF(AND($J487="",$K487&lt;&gt;""),"Nur Assurance-Score",IF($J487="","Messwert fehlt",IF($P487="","Nicht bewertbar",IF($P487&lt;=-2,"Kritische Wirkung / Prüfung","Berechnet"))))))</x:f>
        <x:v>Messwert fehlt</x:v>
      </x:c>
      <x:c r="T487" s="14" t="str">
        <x:v>SROI/SDG 17 ist keine hinreichend konkrete Mess- oder Schwellenquelle. Für sachlogisch nichtnegative Zählwerte ist 0 die schlechteste reguläre Klasse (−2).</x:v>
      </x:c>
      <x:c r="U487" s="14" t="str">
        <x:v>≥5:+3; 3–4:+2; 1–2:0; 0:‑2</x:v>
      </x:c>
      <x:c r="V487" s="14" t="str">
        <x:v>SDG 16/17, WJP, V‑Dem</x:v>
      </x:c>
      <x:c r="W487" s="14" t="str">
        <x:f>'02_Benchmarks'!$P487</x:f>
        <x:v>Optional – kein aktiver Benchmark</x:v>
      </x:c>
      <x:c r="X487" s="14" t="str">
        <x:v>Platzhalter – fachliche Operationalisierung offen</x:v>
      </x:c>
      <x:c r="Y487" s="14" t="str">
        <x:v>Kritisch</x:v>
      </x:c>
      <x:c r="Z487" s="14" t="str">
        <x:v>Klasse −3 nur für negative/unzulässige Werte ergänzt</x:v>
      </x:c>
      <x:c r="AA487" s="14" t="str">
        <x:v>Programm/Portfolio/Systemraum; Empfängergruppe, Region und Zeitraum explizit definieren</x:v>
      </x:c>
      <x:c r="AB487" s="14" t="str">
        <x:v>Primärdaten bevorzugt; Sekundärdaten nur transparent und versioniert; Methode und Systemgrenze dokumentieren</x:v>
      </x:c>
      <x:c r="AC487" s="14" t="str">
        <x:v>Limited Assurance; risikobasiert höhere Prüftiefe</x:v>
      </x:c>
    </x:row>
    <x:row r="488" ht="42" customHeight="1">
      <x:c r="A488" s="14" t="str">
        <x:v>WOK-G-200</x:v>
      </x:c>
      <x:c r="B488" s="14" t="str">
        <x:v>SDG+ – Medienvielfalt</x:v>
      </x:c>
      <x:c r="C488" s="14" t="str">
        <x:v>—</x:v>
      </x:c>
      <x:c r="D488" s="14" t="str">
        <x:v>Unabhängigkeit Redaktion/Boards</x:v>
      </x:c>
      <x:c r="E488" s="14" t="str">
        <x:v>Unabhängigkeit Redaktion/Boards – Antikorruption</x:v>
      </x:c>
      <x:c r="F488" s="14" t="str">
        <x:v>Fälle/1.000 FTE</x:v>
      </x:c>
      <x:c r="G488" s="14" t="str">
        <x:v>lower_is_better</x:v>
      </x:c>
      <x:c r="H488" s="14" t="str">
        <x:v>R01</x:v>
      </x:c>
      <x:c r="I488" s="14" t="str">
        <x:v>NUM_LOW</x:v>
      </x:c>
      <x:c r="J488" s="51"/>
      <x:c r="K488" s="51"/>
      <x:c r="L488" s="51"/>
      <x:c r="M488" s="54"/>
      <x:c r="N488" s="58" t="str">
        <x:f>IF($J488="","",IF($J488&lt;=0,3,IF($J488&lt;=0.2,2,IF($J488&lt;=0.5,0,IF($J488&lt;=1,-2,-3)))))</x:f>
      </x:c>
      <x:c r="O488" s="58" t="str">
        <x:f>IF($J488="","",IF(OR('02_Benchmarks'!$P488&lt;&gt;"Aktiv",COUNT('02_Benchmarks'!$J488:$M488)&lt;4),"",IF($G488="lower_is_better",IF($J488&lt;='02_Benchmarks'!$J488,3,IF($J488&lt;'02_Benchmarks'!$K488,2,IF($J488&lt;='02_Benchmarks'!$L488,0,IF($J488&lt;='02_Benchmarks'!$M488,-2,-3)))),IF($J488&gt;='02_Benchmarks'!$J488,3,IF($J488&gt;'02_Benchmarks'!$K488,2,IF($J488&gt;='02_Benchmarks'!$L488,0,IF($J488&gt;='02_Benchmarks'!$M488,-2,-3)))))))</x:f>
      </x:c>
      <x:c r="P488" s="58" t="str">
        <x:f>IF(COUNT($N488:$O488)+IF(ISNUMBER($K488),1,0)=0,"",MIN($N488:$O488,$K488))</x:f>
      </x:c>
      <x:c r="Q488" s="58" t="str">
        <x:f>IF($P488="","",INDEX('04_Tarifmodell'!$B$6:$B$12,$P488+4))</x:f>
      </x:c>
      <x:c r="R488" s="64" t="str">
        <x:f>IF($P488="","",INDEX('04_Tarifmodell'!$C$6:$C$12,$P488+4))</x:f>
      </x:c>
      <x:c r="S488" s="14" t="str">
        <x:f>IF(OR($I488="QUALITATIVE",$I488="MANUAL_HYBRID"),IF($K488="","Assurance-Score fehlt","Assurance-bewertet"),IF($I488="BENCHMARK",IF($W488&lt;&gt;"Aktiv",IF($K488="","Benchmark fehlt","Assurance-bewertet"),IF($J488="","Messwert fehlt",IF($P488="","Nicht bewertbar","Berechnet"))),IF(AND($J488="",$K488&lt;&gt;""),"Nur Assurance-Score",IF($J488="","Messwert fehlt",IF($P488="","Nicht bewertbar",IF($P488&lt;=-2,"Kritische Wirkung / Prüfung","Berechnet"))))))</x:f>
        <x:v>Messwert fehlt</x:v>
      </x:c>
      <x:c r="T488" s="14" t="str">
        <x:v>Vollständige fünfstufige numerische Regel.</x:v>
      </x:c>
      <x:c r="U488" s="14" t="str">
        <x:v>0:+3; ≤0,2:+2; ≤0,5:0; ≤1:‑2; &gt;1:‑3</x:v>
      </x:c>
      <x:c r="V488" s="14" t="str">
        <x:v>ESRS G1, GRI 205/207, OECD Anti‑Bribery</x:v>
      </x:c>
      <x:c r="W488" s="14" t="str">
        <x:f>'02_Benchmarks'!$P488</x:f>
        <x:v>Optional – kein aktiver Benchmark</x:v>
      </x:c>
      <x:c r="X488" s="14" t="str">
        <x:v>Messgrundlage belegt; Schwellenkalibrierung offen</x:v>
      </x:c>
      <x:c r="Y488" s="14" t="str">
        <x:v>Mittel</x:v>
      </x:c>
      <x:c r="Z488" s="14" t="str">
        <x:v>Arbeitskalibrierung – fachlich zu validieren</x:v>
      </x:c>
      <x:c r="AA488" s="14" t="str">
        <x:v>Organisation/Governance; konsolidierter Kreis und relevante Rechtseinheiten</x:v>
      </x:c>
      <x:c r="AB488" s="14" t="str">
        <x:v>Primärdaten bevorzugt; Sekundärdaten nur transparent und versioniert; Methode und Systemgrenze dokumentieren</x:v>
      </x:c>
      <x:c r="AC488" s="14" t="str">
        <x:v>Limited Assurance; risikobasiert höhere Prüftiefe</x:v>
      </x:c>
    </x:row>
    <x:row r="489" ht="42" customHeight="1">
      <x:c r="A489" s="14" t="str">
        <x:v>WOK-G-201</x:v>
      </x:c>
      <x:c r="B489" s="14" t="str">
        <x:v>SDG+ – Medienvielfalt</x:v>
      </x:c>
      <x:c r="C489" s="14" t="str">
        <x:v>—</x:v>
      </x:c>
      <x:c r="D489" s="14" t="str">
        <x:v>Unabhängigkeit Redaktion/Boards</x:v>
      </x:c>
      <x:c r="E489" s="14" t="str">
        <x:v>Unabhängigkeit Redaktion/Boards – Whistleblowing</x:v>
      </x:c>
      <x:c r="F489" s="14" t="str">
        <x:v>0–1</x:v>
      </x:c>
      <x:c r="G489" s="14" t="str">
        <x:v>higher_is_better</x:v>
      </x:c>
      <x:c r="H489" s="14" t="str">
        <x:v>R16</x:v>
      </x:c>
      <x:c r="I489" s="14" t="str">
        <x:v>NUM_HIGH</x:v>
      </x:c>
      <x:c r="J489" s="51"/>
      <x:c r="K489" s="51"/>
      <x:c r="L489" s="51"/>
      <x:c r="M489" s="54"/>
      <x:c r="N489" s="58" t="str">
        <x:f>IF($J489="","",IF($J489&lt;0.4,-3,IF($J489&lt;0.6,-2,IF($J489&lt;0.75,0,IF($J489&lt;0.9,2,3)))))</x:f>
      </x:c>
      <x:c r="O489" s="58" t="str">
        <x:f>IF($J489="","",IF(OR('02_Benchmarks'!$P489&lt;&gt;"Aktiv",COUNT('02_Benchmarks'!$J489:$M489)&lt;4),"",IF($G489="lower_is_better",IF($J489&lt;='02_Benchmarks'!$J489,3,IF($J489&lt;'02_Benchmarks'!$K489,2,IF($J489&lt;='02_Benchmarks'!$L489,0,IF($J489&lt;='02_Benchmarks'!$M489,-2,-3)))),IF($J489&gt;='02_Benchmarks'!$J489,3,IF($J489&gt;'02_Benchmarks'!$K489,2,IF($J489&gt;='02_Benchmarks'!$L489,0,IF($J489&gt;='02_Benchmarks'!$M489,-2,-3)))))))</x:f>
      </x:c>
      <x:c r="P489" s="58" t="str">
        <x:f>IF(COUNT($N489:$O489)+IF(ISNUMBER($K489),1,0)=0,"",MIN($N489:$O489,$K489))</x:f>
      </x:c>
      <x:c r="Q489" s="58" t="str">
        <x:f>IF($P489="","",INDEX('04_Tarifmodell'!$B$6:$B$12,$P489+4))</x:f>
      </x:c>
      <x:c r="R489" s="64" t="str">
        <x:f>IF($P489="","",INDEX('04_Tarifmodell'!$C$6:$C$12,$P489+4))</x:f>
      </x:c>
      <x:c r="S489" s="14" t="str">
        <x:f>IF(OR($I489="QUALITATIVE",$I489="MANUAL_HYBRID"),IF($K489="","Assurance-Score fehlt","Assurance-bewertet"),IF($I489="BENCHMARK",IF($W489&lt;&gt;"Aktiv",IF($K489="","Benchmark fehlt","Assurance-bewertet"),IF($J489="","Messwert fehlt",IF($P489="","Nicht bewertbar","Berechnet"))),IF(AND($J489="",$K489&lt;&gt;""),"Nur Assurance-Score",IF($J489="","Messwert fehlt",IF($P489="","Nicht bewertbar",IF($P489&lt;=-2,"Kritische Wirkung / Prüfung","Berechnet"))))))</x:f>
        <x:v>Messwert fehlt</x:v>
      </x:c>
      <x:c r="T489" s="14" t="str">
        <x:v>Vollständige fünfstufige numerische Regel.</x:v>
      </x:c>
      <x:c r="U489" s="14" t="str">
        <x:v>≥0,9:+3; 0,75–0,89:+2; 0,6–0,74:0; 0,4–0,59:‑2; &lt;0,4:‑3</x:v>
      </x:c>
      <x:c r="V489" s="14" t="str">
        <x:v>ESRS G1, GRI 205/207, OECD Anti‑Bribery</x:v>
      </x:c>
      <x:c r="W489" s="14" t="str">
        <x:f>'02_Benchmarks'!$P489</x:f>
        <x:v>Optional – kein aktiver Benchmark</x:v>
      </x:c>
      <x:c r="X489" s="14" t="str">
        <x:v>Messgrundlage belegt; Schwellenkalibrierung offen</x:v>
      </x:c>
      <x:c r="Y489" s="14" t="str">
        <x:v>Mittel</x:v>
      </x:c>
      <x:c r="Z489" s="14" t="str">
        <x:v>Arbeitskalibrierung – fachlich zu validieren</x:v>
      </x:c>
      <x:c r="AA489" s="14" t="str">
        <x:v>Organisation/Governance; konsolidierter Kreis und relevante Rechtseinheiten</x:v>
      </x:c>
      <x:c r="AB489" s="14" t="str">
        <x:v>Primärdaten bevorzugt; Sekundärdaten nur transparent und versioniert; Methode und Systemgrenze dokumentieren</x:v>
      </x:c>
      <x:c r="AC489" s="14" t="str">
        <x:v>Limited Assurance; risikobasiert höhere Prüftiefe</x:v>
      </x:c>
    </x:row>
    <x:row r="490" ht="42" customHeight="1">
      <x:c r="A490" s="14" t="str">
        <x:v>WOK-G-202</x:v>
      </x:c>
      <x:c r="B490" s="14" t="str">
        <x:v>SDG+ – Medienvielfalt</x:v>
      </x:c>
      <x:c r="C490" s="14" t="str">
        <x:v>—</x:v>
      </x:c>
      <x:c r="D490" s="14" t="str">
        <x:v>Unabhängigkeit Redaktion/Boards</x:v>
      </x:c>
      <x:c r="E490" s="14" t="str">
        <x:v>Unabhängigkeit Redaktion/Boards – Steuertransparenz</x:v>
      </x:c>
      <x:c r="F490" s="14" t="str">
        <x:v>0–1</x:v>
      </x:c>
      <x:c r="G490" s="14" t="str">
        <x:v>higher_is_better</x:v>
      </x:c>
      <x:c r="H490" s="14" t="str">
        <x:v>R08</x:v>
      </x:c>
      <x:c r="I490" s="14" t="str">
        <x:v>QUALITATIVE</x:v>
      </x:c>
      <x:c r="J490" s="51"/>
      <x:c r="K490" s="51"/>
      <x:c r="L490" s="51"/>
      <x:c r="M490" s="54"/>
      <x:c r="N490" s="58" t="str">
        <x:f>""</x:f>
      </x:c>
      <x:c r="O490" s="58" t="str">
        <x:f>IF($J490="","",IF(OR('02_Benchmarks'!$P490&lt;&gt;"Aktiv",COUNT('02_Benchmarks'!$J490:$M490)&lt;4),"",IF($G490="lower_is_better",IF($J490&lt;='02_Benchmarks'!$J490,3,IF($J490&lt;'02_Benchmarks'!$K490,2,IF($J490&lt;='02_Benchmarks'!$L490,0,IF($J490&lt;='02_Benchmarks'!$M490,-2,-3)))),IF($J490&gt;='02_Benchmarks'!$J490,3,IF($J490&gt;'02_Benchmarks'!$K490,2,IF($J490&gt;='02_Benchmarks'!$L490,0,IF($J490&gt;='02_Benchmarks'!$M490,-2,-3)))))))</x:f>
      </x:c>
      <x:c r="P490" s="58" t="str">
        <x:f>IF(COUNT($N490:$O490)+IF(ISNUMBER($K490),1,0)=0,"",MIN($N490:$O490,$K490))</x:f>
      </x:c>
      <x:c r="Q490" s="58" t="str">
        <x:f>IF($P490="","",INDEX('04_Tarifmodell'!$B$6:$B$12,$P490+4))</x:f>
      </x:c>
      <x:c r="R490" s="64" t="str">
        <x:f>IF($P490="","",INDEX('04_Tarifmodell'!$C$6:$C$12,$P490+4))</x:f>
      </x:c>
      <x:c r="S490" s="14" t="str">
        <x:f>IF(OR($I490="QUALITATIVE",$I490="MANUAL_HYBRID"),IF($K490="","Assurance-Score fehlt","Assurance-bewertet"),IF($I490="BENCHMARK",IF($W490&lt;&gt;"Aktiv",IF($K490="","Benchmark fehlt","Assurance-bewertet"),IF($J490="","Messwert fehlt",IF($P490="","Nicht bewertbar","Berechnet"))),IF(AND($J490="",$K490&lt;&gt;""),"Nur Assurance-Score",IF($J490="","Messwert fehlt",IF($P490="","Nicht bewertbar",IF($P490&lt;=-2,"Kritische Wirkung / Prüfung","Berechnet"))))))</x:f>
        <x:v>Assurance-Score fehlt</x:v>
      </x:c>
      <x:c r="T490" s="14" t="str">
        <x:v>Die Kategorie −3 fehlt; Vollständigkeit und Wirksamkeit sind feldspezifisch zu definieren.</x:v>
      </x:c>
      <x:c r="U490" s="14" t="str">
        <x:v>vollständig:+3; teilweise:+2; minimal:0; schlecht:‑2</x:v>
      </x:c>
      <x:c r="V490" s="14" t="str">
        <x:v>ESRS G1, GRI 205/207, OECD Anti‑Bribery</x:v>
      </x:c>
      <x:c r="W490" s="14" t="str">
        <x:f>'02_Benchmarks'!$P490</x:f>
        <x:v>Optional – kein aktiver Benchmark</x:v>
      </x:c>
      <x:c r="X490" s="14" t="str">
        <x:v>Messgrundlage belegt; Schwellenkalibrierung offen</x:v>
      </x:c>
      <x:c r="Y490" s="14" t="str">
        <x:v>Hoch</x:v>
      </x:c>
      <x:c r="Z490" s="14" t="str">
        <x:v>Assurance und Kriterienkatalog erforderlich</x:v>
      </x:c>
      <x:c r="AA490" s="14" t="str">
        <x:v>Organisation/Governance; konsolidierter Kreis und relevante Rechtseinheiten</x:v>
      </x:c>
      <x:c r="AB490" s="14" t="str">
        <x:v>Dokumentierter Kriterienkatalog; nachvollziehbare Evidenz; DQR A/B bevorzugt</x:v>
      </x:c>
      <x:c r="AC490" s="14" t="str">
        <x:v>Unabhängige Fachprüfung/Limited Assurance; bei roten Linien Reasonable Assurance</x:v>
      </x:c>
    </x:row>
    <x:row r="491" ht="42" customHeight="1">
      <x:c r="A491" s="14" t="str">
        <x:v>WOK-SYS-173</x:v>
      </x:c>
      <x:c r="B491" s="14" t="str">
        <x:v>SDG+ – Medienvielfalt</x:v>
      </x:c>
      <x:c r="C491" s="14" t="str">
        <x:v>—</x:v>
      </x:c>
      <x:c r="D491" s="14" t="str">
        <x:v>Faktenchecks/Transparenz</x:v>
      </x:c>
      <x:c r="E491" s="14" t="str">
        <x:v>Faktenchecks/Transparenz – Index</x:v>
      </x:c>
      <x:c r="F491" s="14" t="str">
        <x:v>0–1</x:v>
      </x:c>
      <x:c r="G491" s="14" t="str">
        <x:v>higher_is_better</x:v>
      </x:c>
      <x:c r="H491" s="14" t="str">
        <x:v>R15</x:v>
      </x:c>
      <x:c r="I491" s="14" t="str">
        <x:v>NUM_HIGH</x:v>
      </x:c>
      <x:c r="J491" s="51"/>
      <x:c r="K491" s="51"/>
      <x:c r="L491" s="51"/>
      <x:c r="M491" s="54"/>
      <x:c r="N491" s="58" t="str">
        <x:f>IF($J491="","",IF($J491&lt;0.5,-3,IF($J491&lt;0.6,-2,IF($J491&lt;0.7,0,IF($J491&lt;0.8,2,3)))))</x:f>
      </x:c>
      <x:c r="O491" s="58" t="str">
        <x:f>IF($J491="","",IF(OR('02_Benchmarks'!$P491&lt;&gt;"Aktiv",COUNT('02_Benchmarks'!$J491:$M491)&lt;4),"",IF($G491="lower_is_better",IF($J491&lt;='02_Benchmarks'!$J491,3,IF($J491&lt;'02_Benchmarks'!$K491,2,IF($J491&lt;='02_Benchmarks'!$L491,0,IF($J491&lt;='02_Benchmarks'!$M491,-2,-3)))),IF($J491&gt;='02_Benchmarks'!$J491,3,IF($J491&gt;'02_Benchmarks'!$K491,2,IF($J491&gt;='02_Benchmarks'!$L491,0,IF($J491&gt;='02_Benchmarks'!$M491,-2,-3)))))))</x:f>
      </x:c>
      <x:c r="P491" s="58" t="str">
        <x:f>IF(COUNT($N491:$O491)+IF(ISNUMBER($K491),1,0)=0,"",MIN($N491:$O491,$K491))</x:f>
      </x:c>
      <x:c r="Q491" s="58" t="str">
        <x:f>IF($P491="","",INDEX('04_Tarifmodell'!$B$6:$B$12,$P491+4))</x:f>
      </x:c>
      <x:c r="R491" s="64" t="str">
        <x:f>IF($P491="","",INDEX('04_Tarifmodell'!$C$6:$C$12,$P491+4))</x:f>
      </x:c>
      <x:c r="S491" s="14" t="str">
        <x:f>IF(OR($I491="QUALITATIVE",$I491="MANUAL_HYBRID"),IF($K491="","Assurance-Score fehlt","Assurance-bewertet"),IF($I491="BENCHMARK",IF($W491&lt;&gt;"Aktiv",IF($K491="","Benchmark fehlt","Assurance-bewertet"),IF($J491="","Messwert fehlt",IF($P491="","Nicht bewertbar","Berechnet"))),IF(AND($J491="",$K491&lt;&gt;""),"Nur Assurance-Score",IF($J491="","Messwert fehlt",IF($P491="","Nicht bewertbar",IF($P491&lt;=-2,"Kritische Wirkung / Prüfung","Berechnet"))))))</x:f>
        <x:v>Messwert fehlt</x:v>
      </x:c>
      <x:c r="T491" s="14" t="str">
        <x:v>SROI/SDG 17 ist keine hinreichend konkrete Mess- oder Schwellenquelle. Vollständige fünfstufige numerische Regel.</x:v>
      </x:c>
      <x:c r="U491" s="14" t="str">
        <x:v>≥0,8:+3; 0,7–0,79:+2; 0,6–0,69:0; 0,5–0,59:‑2; &lt;0,5:‑3</x:v>
      </x:c>
      <x:c r="V491" s="14" t="str">
        <x:v>SDG 16/17, WJP, V‑Dem</x:v>
      </x:c>
      <x:c r="W491" s="14" t="str">
        <x:f>'02_Benchmarks'!$P491</x:f>
        <x:v>Optional – kein aktiver Benchmark</x:v>
      </x:c>
      <x:c r="X491" s="14" t="str">
        <x:v>Platzhalter – fachliche Operationalisierung offen</x:v>
      </x:c>
      <x:c r="Y491" s="14" t="str">
        <x:v>Kritisch</x:v>
      </x:c>
      <x:c r="Z491" s="14" t="str">
        <x:v>Arbeitskalibrierung – fachlich zu validieren</x:v>
      </x:c>
      <x:c r="AA491" s="14" t="str">
        <x:v>Programm/Portfolio/Systemraum; Empfängergruppe, Region und Zeitraum explizit definieren</x:v>
      </x:c>
      <x:c r="AB491" s="14" t="str">
        <x:v>Primärdaten bevorzugt; Sekundärdaten nur transparent und versioniert; Methode und Systemgrenze dokumentieren</x:v>
      </x:c>
      <x:c r="AC491" s="14" t="str">
        <x:v>Limited Assurance; risikobasiert höhere Prüftiefe</x:v>
      </x:c>
    </x:row>
    <x:row r="492" ht="42" customHeight="1">
      <x:c r="A492" s="14" t="str">
        <x:v>WOK-SYS-174</x:v>
      </x:c>
      <x:c r="B492" s="14" t="str">
        <x:v>SDG+ – Medienvielfalt</x:v>
      </x:c>
      <x:c r="C492" s="14" t="str">
        <x:v>—</x:v>
      </x:c>
      <x:c r="D492" s="14" t="str">
        <x:v>Faktenchecks/Transparenz</x:v>
      </x:c>
      <x:c r="E492" s="14" t="str">
        <x:v>Faktenchecks/Transparenz – Exposure</x:v>
      </x:c>
      <x:c r="F492" s="14" t="str">
        <x:v>%</x:v>
      </x:c>
      <x:c r="G492" s="14" t="str">
        <x:v>lower_is_better</x:v>
      </x:c>
      <x:c r="H492" s="14" t="str">
        <x:v>R13</x:v>
      </x:c>
      <x:c r="I492" s="14" t="str">
        <x:v>NUM_LOW</x:v>
      </x:c>
      <x:c r="J492" s="51"/>
      <x:c r="K492" s="51"/>
      <x:c r="L492" s="51"/>
      <x:c r="M492" s="54"/>
      <x:c r="N492" s="58" t="str">
        <x:f>IF($J492="","",IF($J492&lt;=5,3,IF($J492&lt;=10,2,IF($J492&lt;=20,0,IF($J492&lt;=30,-2,-3)))))</x:f>
      </x:c>
      <x:c r="O492" s="58" t="str">
        <x:f>IF($J492="","",IF(OR('02_Benchmarks'!$P492&lt;&gt;"Aktiv",COUNT('02_Benchmarks'!$J492:$M492)&lt;4),"",IF($G492="lower_is_better",IF($J492&lt;='02_Benchmarks'!$J492,3,IF($J492&lt;'02_Benchmarks'!$K492,2,IF($J492&lt;='02_Benchmarks'!$L492,0,IF($J492&lt;='02_Benchmarks'!$M492,-2,-3)))),IF($J492&gt;='02_Benchmarks'!$J492,3,IF($J492&gt;'02_Benchmarks'!$K492,2,IF($J492&gt;='02_Benchmarks'!$L492,0,IF($J492&gt;='02_Benchmarks'!$M492,-2,-3)))))))</x:f>
      </x:c>
      <x:c r="P492" s="58" t="str">
        <x:f>IF(COUNT($N492:$O492)+IF(ISNUMBER($K492),1,0)=0,"",MIN($N492:$O492,$K492))</x:f>
      </x:c>
      <x:c r="Q492" s="58" t="str">
        <x:f>IF($P492="","",INDEX('04_Tarifmodell'!$B$6:$B$12,$P492+4))</x:f>
      </x:c>
      <x:c r="R492" s="64" t="str">
        <x:f>IF($P492="","",INDEX('04_Tarifmodell'!$C$6:$C$12,$P492+4))</x:f>
      </x:c>
      <x:c r="S492" s="14" t="str">
        <x:f>IF(OR($I492="QUALITATIVE",$I492="MANUAL_HYBRID"),IF($K492="","Assurance-Score fehlt","Assurance-bewertet"),IF($I492="BENCHMARK",IF($W492&lt;&gt;"Aktiv",IF($K492="","Benchmark fehlt","Assurance-bewertet"),IF($J492="","Messwert fehlt",IF($P492="","Nicht bewertbar","Berechnet"))),IF(AND($J492="",$K492&lt;&gt;""),"Nur Assurance-Score",IF($J492="","Messwert fehlt",IF($P492="","Nicht bewertbar",IF($P492&lt;=-2,"Kritische Wirkung / Prüfung","Berechnet"))))))</x:f>
        <x:v>Messwert fehlt</x:v>
      </x:c>
      <x:c r="T492" s="14" t="str">
        <x:v>SROI/SDG 17 ist keine hinreichend konkrete Mess- oder Schwellenquelle. Vollständige fünfstufige numerische Regel.</x:v>
      </x:c>
      <x:c r="U492" s="14" t="str">
        <x:v>≤5:+3; 6–10:+2; 11–20:0; 21–30:‑2; &gt;30:‑3</x:v>
      </x:c>
      <x:c r="V492" s="14" t="str">
        <x:v>SDG 16/17, WJP, V‑Dem</x:v>
      </x:c>
      <x:c r="W492" s="14" t="str">
        <x:f>'02_Benchmarks'!$P492</x:f>
        <x:v>Optional – kein aktiver Benchmark</x:v>
      </x:c>
      <x:c r="X492" s="14" t="str">
        <x:v>Platzhalter – fachliche Operationalisierung offen</x:v>
      </x:c>
      <x:c r="Y492" s="14" t="str">
        <x:v>Kritisch</x:v>
      </x:c>
      <x:c r="Z492" s="14" t="str">
        <x:v>Arbeitskalibrierung – fachlich zu validieren</x:v>
      </x:c>
      <x:c r="AA492" s="14" t="str">
        <x:v>Programm/Portfolio/Systemraum; Empfängergruppe, Region und Zeitraum explizit definieren</x:v>
      </x:c>
      <x:c r="AB492" s="14" t="str">
        <x:v>Primärdaten bevorzugt; Sekundärdaten nur transparent und versioniert; Methode und Systemgrenze dokumentieren</x:v>
      </x:c>
      <x:c r="AC492" s="14" t="str">
        <x:v>Limited Assurance; risikobasiert höhere Prüftiefe</x:v>
      </x:c>
    </x:row>
    <x:row r="493" ht="42" customHeight="1">
      <x:c r="A493" s="14" t="str">
        <x:v>WOK-SYS-175</x:v>
      </x:c>
      <x:c r="B493" s="14" t="str">
        <x:v>SDG+ – Medienvielfalt</x:v>
      </x:c>
      <x:c r="C493" s="14" t="str">
        <x:v>—</x:v>
      </x:c>
      <x:c r="D493" s="14" t="str">
        <x:v>Faktenchecks/Transparenz</x:v>
      </x:c>
      <x:c r="E493" s="14" t="str">
        <x:v>Faktenchecks/Transparenz – Kooperationen</x:v>
      </x:c>
      <x:c r="F493" s="14" t="str">
        <x:v>#/Jahr</x:v>
      </x:c>
      <x:c r="G493" s="14" t="str">
        <x:v>higher_is_better</x:v>
      </x:c>
      <x:c r="H493" s="14" t="str">
        <x:v>R20</x:v>
      </x:c>
      <x:c r="I493" s="14" t="str">
        <x:v>NUM_HIGH</x:v>
      </x:c>
      <x:c r="J493" s="51"/>
      <x:c r="K493" s="51"/>
      <x:c r="L493" s="51"/>
      <x:c r="M493" s="54"/>
      <x:c r="N493" s="58" t="str">
        <x:f>IF($J493="","",IF($J493&lt;0,-3,IF($J493&lt;1,-2,IF($J493&lt;3,0,IF($J493&lt;5,2,3)))))</x:f>
      </x:c>
      <x:c r="O493" s="58" t="str">
        <x:f>IF($J493="","",IF(OR('02_Benchmarks'!$P493&lt;&gt;"Aktiv",COUNT('02_Benchmarks'!$J493:$M493)&lt;4),"",IF($G493="lower_is_better",IF($J493&lt;='02_Benchmarks'!$J493,3,IF($J493&lt;'02_Benchmarks'!$K493,2,IF($J493&lt;='02_Benchmarks'!$L493,0,IF($J493&lt;='02_Benchmarks'!$M493,-2,-3)))),IF($J493&gt;='02_Benchmarks'!$J493,3,IF($J493&gt;'02_Benchmarks'!$K493,2,IF($J493&gt;='02_Benchmarks'!$L493,0,IF($J493&gt;='02_Benchmarks'!$M493,-2,-3)))))))</x:f>
      </x:c>
      <x:c r="P493" s="58" t="str">
        <x:f>IF(COUNT($N493:$O493)+IF(ISNUMBER($K493),1,0)=0,"",MIN($N493:$O493,$K493))</x:f>
      </x:c>
      <x:c r="Q493" s="58" t="str">
        <x:f>IF($P493="","",INDEX('04_Tarifmodell'!$B$6:$B$12,$P493+4))</x:f>
      </x:c>
      <x:c r="R493" s="64" t="str">
        <x:f>IF($P493="","",INDEX('04_Tarifmodell'!$C$6:$C$12,$P493+4))</x:f>
      </x:c>
      <x:c r="S493" s="14" t="str">
        <x:f>IF(OR($I493="QUALITATIVE",$I493="MANUAL_HYBRID"),IF($K493="","Assurance-Score fehlt","Assurance-bewertet"),IF($I493="BENCHMARK",IF($W493&lt;&gt;"Aktiv",IF($K493="","Benchmark fehlt","Assurance-bewertet"),IF($J493="","Messwert fehlt",IF($P493="","Nicht bewertbar","Berechnet"))),IF(AND($J493="",$K493&lt;&gt;""),"Nur Assurance-Score",IF($J493="","Messwert fehlt",IF($P493="","Nicht bewertbar",IF($P493&lt;=-2,"Kritische Wirkung / Prüfung","Berechnet"))))))</x:f>
        <x:v>Messwert fehlt</x:v>
      </x:c>
      <x:c r="T493" s="14" t="str">
        <x:v>SROI/SDG 17 ist keine hinreichend konkrete Mess- oder Schwellenquelle. Für sachlogisch nichtnegative Zählwerte ist 0 die schlechteste reguläre Klasse (−2).</x:v>
      </x:c>
      <x:c r="U493" s="14" t="str">
        <x:v>≥5:+3; 3–4:+2; 1–2:0; 0:‑2</x:v>
      </x:c>
      <x:c r="V493" s="14" t="str">
        <x:v>SDG 16/17, WJP, V‑Dem</x:v>
      </x:c>
      <x:c r="W493" s="14" t="str">
        <x:f>'02_Benchmarks'!$P493</x:f>
        <x:v>Optional – kein aktiver Benchmark</x:v>
      </x:c>
      <x:c r="X493" s="14" t="str">
        <x:v>Platzhalter – fachliche Operationalisierung offen</x:v>
      </x:c>
      <x:c r="Y493" s="14" t="str">
        <x:v>Kritisch</x:v>
      </x:c>
      <x:c r="Z493" s="14" t="str">
        <x:v>Klasse −3 nur für negative/unzulässige Werte ergänzt</x:v>
      </x:c>
      <x:c r="AA493" s="14" t="str">
        <x:v>Programm/Portfolio/Systemraum; Empfängergruppe, Region und Zeitraum explizit definieren</x:v>
      </x:c>
      <x:c r="AB493" s="14" t="str">
        <x:v>Primärdaten bevorzugt; Sekundärdaten nur transparent und versioniert; Methode und Systemgrenze dokumentieren</x:v>
      </x:c>
      <x:c r="AC493" s="14" t="str">
        <x:v>Limited Assurance; risikobasiert höhere Prüftiefe</x:v>
      </x:c>
    </x:row>
    <x:row r="494" ht="42" customHeight="1">
      <x:c r="A494" s="14" t="str">
        <x:v>WOK-G-203</x:v>
      </x:c>
      <x:c r="B494" s="14" t="str">
        <x:v>SDG+ – Medienvielfalt</x:v>
      </x:c>
      <x:c r="C494" s="14" t="str">
        <x:v>—</x:v>
      </x:c>
      <x:c r="D494" s="14" t="str">
        <x:v>Werberegulierung/DSA</x:v>
      </x:c>
      <x:c r="E494" s="14" t="str">
        <x:v>Werberegulierung/DSA – Antikorruption</x:v>
      </x:c>
      <x:c r="F494" s="14" t="str">
        <x:v>Fälle/1.000 FTE</x:v>
      </x:c>
      <x:c r="G494" s="14" t="str">
        <x:v>lower_is_better</x:v>
      </x:c>
      <x:c r="H494" s="14" t="str">
        <x:v>R01</x:v>
      </x:c>
      <x:c r="I494" s="14" t="str">
        <x:v>NUM_LOW</x:v>
      </x:c>
      <x:c r="J494" s="51"/>
      <x:c r="K494" s="51"/>
      <x:c r="L494" s="51"/>
      <x:c r="M494" s="54"/>
      <x:c r="N494" s="58" t="str">
        <x:f>IF($J494="","",IF($J494&lt;=0,3,IF($J494&lt;=0.2,2,IF($J494&lt;=0.5,0,IF($J494&lt;=1,-2,-3)))))</x:f>
      </x:c>
      <x:c r="O494" s="58" t="str">
        <x:f>IF($J494="","",IF(OR('02_Benchmarks'!$P494&lt;&gt;"Aktiv",COUNT('02_Benchmarks'!$J494:$M494)&lt;4),"",IF($G494="lower_is_better",IF($J494&lt;='02_Benchmarks'!$J494,3,IF($J494&lt;'02_Benchmarks'!$K494,2,IF($J494&lt;='02_Benchmarks'!$L494,0,IF($J494&lt;='02_Benchmarks'!$M494,-2,-3)))),IF($J494&gt;='02_Benchmarks'!$J494,3,IF($J494&gt;'02_Benchmarks'!$K494,2,IF($J494&gt;='02_Benchmarks'!$L494,0,IF($J494&gt;='02_Benchmarks'!$M494,-2,-3)))))))</x:f>
      </x:c>
      <x:c r="P494" s="58" t="str">
        <x:f>IF(COUNT($N494:$O494)+IF(ISNUMBER($K494),1,0)=0,"",MIN($N494:$O494,$K494))</x:f>
      </x:c>
      <x:c r="Q494" s="58" t="str">
        <x:f>IF($P494="","",INDEX('04_Tarifmodell'!$B$6:$B$12,$P494+4))</x:f>
      </x:c>
      <x:c r="R494" s="64" t="str">
        <x:f>IF($P494="","",INDEX('04_Tarifmodell'!$C$6:$C$12,$P494+4))</x:f>
      </x:c>
      <x:c r="S494" s="14" t="str">
        <x:f>IF(OR($I494="QUALITATIVE",$I494="MANUAL_HYBRID"),IF($K494="","Assurance-Score fehlt","Assurance-bewertet"),IF($I494="BENCHMARK",IF($W494&lt;&gt;"Aktiv",IF($K494="","Benchmark fehlt","Assurance-bewertet"),IF($J494="","Messwert fehlt",IF($P494="","Nicht bewertbar","Berechnet"))),IF(AND($J494="",$K494&lt;&gt;""),"Nur Assurance-Score",IF($J494="","Messwert fehlt",IF($P494="","Nicht bewertbar",IF($P494&lt;=-2,"Kritische Wirkung / Prüfung","Berechnet"))))))</x:f>
        <x:v>Messwert fehlt</x:v>
      </x:c>
      <x:c r="T494" s="14" t="str">
        <x:v>Vollständige fünfstufige numerische Regel.</x:v>
      </x:c>
      <x:c r="U494" s="14" t="str">
        <x:v>0:+3; ≤0,2:+2; ≤0,5:0; ≤1:‑2; &gt;1:‑3</x:v>
      </x:c>
      <x:c r="V494" s="14" t="str">
        <x:v>ESRS G1, GRI 205/207, OECD Anti‑Bribery</x:v>
      </x:c>
      <x:c r="W494" s="14" t="str">
        <x:f>'02_Benchmarks'!$P494</x:f>
        <x:v>Optional – kein aktiver Benchmark</x:v>
      </x:c>
      <x:c r="X494" s="14" t="str">
        <x:v>Messgrundlage belegt; Schwellenkalibrierung offen</x:v>
      </x:c>
      <x:c r="Y494" s="14" t="str">
        <x:v>Mittel</x:v>
      </x:c>
      <x:c r="Z494" s="14" t="str">
        <x:v>Arbeitskalibrierung – fachlich zu validieren</x:v>
      </x:c>
      <x:c r="AA494" s="14" t="str">
        <x:v>Organisation/Governance; konsolidierter Kreis und relevante Rechtseinheiten</x:v>
      </x:c>
      <x:c r="AB494" s="14" t="str">
        <x:v>Primärdaten bevorzugt; Sekundärdaten nur transparent und versioniert; Methode und Systemgrenze dokumentieren</x:v>
      </x:c>
      <x:c r="AC494" s="14" t="str">
        <x:v>Limited Assurance; risikobasiert höhere Prüftiefe</x:v>
      </x:c>
    </x:row>
    <x:row r="495" ht="42" customHeight="1">
      <x:c r="A495" s="14" t="str">
        <x:v>WOK-G-204</x:v>
      </x:c>
      <x:c r="B495" s="14" t="str">
        <x:v>SDG+ – Medienvielfalt</x:v>
      </x:c>
      <x:c r="C495" s="14" t="str">
        <x:v>—</x:v>
      </x:c>
      <x:c r="D495" s="14" t="str">
        <x:v>Werberegulierung/DSA</x:v>
      </x:c>
      <x:c r="E495" s="14" t="str">
        <x:v>Werberegulierung/DSA – Whistleblowing</x:v>
      </x:c>
      <x:c r="F495" s="14" t="str">
        <x:v>0–1</x:v>
      </x:c>
      <x:c r="G495" s="14" t="str">
        <x:v>higher_is_better</x:v>
      </x:c>
      <x:c r="H495" s="14" t="str">
        <x:v>R16</x:v>
      </x:c>
      <x:c r="I495" s="14" t="str">
        <x:v>NUM_HIGH</x:v>
      </x:c>
      <x:c r="J495" s="51"/>
      <x:c r="K495" s="51"/>
      <x:c r="L495" s="51"/>
      <x:c r="M495" s="54"/>
      <x:c r="N495" s="58" t="str">
        <x:f>IF($J495="","",IF($J495&lt;0.4,-3,IF($J495&lt;0.6,-2,IF($J495&lt;0.75,0,IF($J495&lt;0.9,2,3)))))</x:f>
      </x:c>
      <x:c r="O495" s="58" t="str">
        <x:f>IF($J495="","",IF(OR('02_Benchmarks'!$P495&lt;&gt;"Aktiv",COUNT('02_Benchmarks'!$J495:$M495)&lt;4),"",IF($G495="lower_is_better",IF($J495&lt;='02_Benchmarks'!$J495,3,IF($J495&lt;'02_Benchmarks'!$K495,2,IF($J495&lt;='02_Benchmarks'!$L495,0,IF($J495&lt;='02_Benchmarks'!$M495,-2,-3)))),IF($J495&gt;='02_Benchmarks'!$J495,3,IF($J495&gt;'02_Benchmarks'!$K495,2,IF($J495&gt;='02_Benchmarks'!$L495,0,IF($J495&gt;='02_Benchmarks'!$M495,-2,-3)))))))</x:f>
      </x:c>
      <x:c r="P495" s="58" t="str">
        <x:f>IF(COUNT($N495:$O495)+IF(ISNUMBER($K495),1,0)=0,"",MIN($N495:$O495,$K495))</x:f>
      </x:c>
      <x:c r="Q495" s="58" t="str">
        <x:f>IF($P495="","",INDEX('04_Tarifmodell'!$B$6:$B$12,$P495+4))</x:f>
      </x:c>
      <x:c r="R495" s="64" t="str">
        <x:f>IF($P495="","",INDEX('04_Tarifmodell'!$C$6:$C$12,$P495+4))</x:f>
      </x:c>
      <x:c r="S495" s="14" t="str">
        <x:f>IF(OR($I495="QUALITATIVE",$I495="MANUAL_HYBRID"),IF($K495="","Assurance-Score fehlt","Assurance-bewertet"),IF($I495="BENCHMARK",IF($W495&lt;&gt;"Aktiv",IF($K495="","Benchmark fehlt","Assurance-bewertet"),IF($J495="","Messwert fehlt",IF($P495="","Nicht bewertbar","Berechnet"))),IF(AND($J495="",$K495&lt;&gt;""),"Nur Assurance-Score",IF($J495="","Messwert fehlt",IF($P495="","Nicht bewertbar",IF($P495&lt;=-2,"Kritische Wirkung / Prüfung","Berechnet"))))))</x:f>
        <x:v>Messwert fehlt</x:v>
      </x:c>
      <x:c r="T495" s="14" t="str">
        <x:v>Vollständige fünfstufige numerische Regel.</x:v>
      </x:c>
      <x:c r="U495" s="14" t="str">
        <x:v>≥0,9:+3; 0,75–0,89:+2; 0,6–0,74:0; 0,4–0,59:‑2; &lt;0,4:‑3</x:v>
      </x:c>
      <x:c r="V495" s="14" t="str">
        <x:v>ESRS G1, GRI 205/207, OECD Anti‑Bribery</x:v>
      </x:c>
      <x:c r="W495" s="14" t="str">
        <x:f>'02_Benchmarks'!$P495</x:f>
        <x:v>Optional – kein aktiver Benchmark</x:v>
      </x:c>
      <x:c r="X495" s="14" t="str">
        <x:v>Messgrundlage belegt; Schwellenkalibrierung offen</x:v>
      </x:c>
      <x:c r="Y495" s="14" t="str">
        <x:v>Mittel</x:v>
      </x:c>
      <x:c r="Z495" s="14" t="str">
        <x:v>Arbeitskalibrierung – fachlich zu validieren</x:v>
      </x:c>
      <x:c r="AA495" s="14" t="str">
        <x:v>Organisation/Governance; konsolidierter Kreis und relevante Rechtseinheiten</x:v>
      </x:c>
      <x:c r="AB495" s="14" t="str">
        <x:v>Primärdaten bevorzugt; Sekundärdaten nur transparent und versioniert; Methode und Systemgrenze dokumentieren</x:v>
      </x:c>
      <x:c r="AC495" s="14" t="str">
        <x:v>Limited Assurance; risikobasiert höhere Prüftiefe</x:v>
      </x:c>
    </x:row>
    <x:row r="496" ht="42" customHeight="1">
      <x:c r="A496" s="14" t="str">
        <x:v>WOK-G-205</x:v>
      </x:c>
      <x:c r="B496" s="14" t="str">
        <x:v>SDG+ – Medienvielfalt</x:v>
      </x:c>
      <x:c r="C496" s="14" t="str">
        <x:v>—</x:v>
      </x:c>
      <x:c r="D496" s="14" t="str">
        <x:v>Werberegulierung/DSA</x:v>
      </x:c>
      <x:c r="E496" s="14" t="str">
        <x:v>Werberegulierung/DSA – Steuertransparenz</x:v>
      </x:c>
      <x:c r="F496" s="14" t="str">
        <x:v>0–1</x:v>
      </x:c>
      <x:c r="G496" s="14" t="str">
        <x:v>higher_is_better</x:v>
      </x:c>
      <x:c r="H496" s="14" t="str">
        <x:v>R08</x:v>
      </x:c>
      <x:c r="I496" s="14" t="str">
        <x:v>QUALITATIVE</x:v>
      </x:c>
      <x:c r="J496" s="51"/>
      <x:c r="K496" s="51"/>
      <x:c r="L496" s="51"/>
      <x:c r="M496" s="54"/>
      <x:c r="N496" s="58" t="str">
        <x:f>""</x:f>
      </x:c>
      <x:c r="O496" s="58" t="str">
        <x:f>IF($J496="","",IF(OR('02_Benchmarks'!$P496&lt;&gt;"Aktiv",COUNT('02_Benchmarks'!$J496:$M496)&lt;4),"",IF($G496="lower_is_better",IF($J496&lt;='02_Benchmarks'!$J496,3,IF($J496&lt;'02_Benchmarks'!$K496,2,IF($J496&lt;='02_Benchmarks'!$L496,0,IF($J496&lt;='02_Benchmarks'!$M496,-2,-3)))),IF($J496&gt;='02_Benchmarks'!$J496,3,IF($J496&gt;'02_Benchmarks'!$K496,2,IF($J496&gt;='02_Benchmarks'!$L496,0,IF($J496&gt;='02_Benchmarks'!$M496,-2,-3)))))))</x:f>
      </x:c>
      <x:c r="P496" s="58" t="str">
        <x:f>IF(COUNT($N496:$O496)+IF(ISNUMBER($K496),1,0)=0,"",MIN($N496:$O496,$K496))</x:f>
      </x:c>
      <x:c r="Q496" s="58" t="str">
        <x:f>IF($P496="","",INDEX('04_Tarifmodell'!$B$6:$B$12,$P496+4))</x:f>
      </x:c>
      <x:c r="R496" s="64" t="str">
        <x:f>IF($P496="","",INDEX('04_Tarifmodell'!$C$6:$C$12,$P496+4))</x:f>
      </x:c>
      <x:c r="S496" s="14" t="str">
        <x:f>IF(OR($I496="QUALITATIVE",$I496="MANUAL_HYBRID"),IF($K496="","Assurance-Score fehlt","Assurance-bewertet"),IF($I496="BENCHMARK",IF($W496&lt;&gt;"Aktiv",IF($K496="","Benchmark fehlt","Assurance-bewertet"),IF($J496="","Messwert fehlt",IF($P496="","Nicht bewertbar","Berechnet"))),IF(AND($J496="",$K496&lt;&gt;""),"Nur Assurance-Score",IF($J496="","Messwert fehlt",IF($P496="","Nicht bewertbar",IF($P496&lt;=-2,"Kritische Wirkung / Prüfung","Berechnet"))))))</x:f>
        <x:v>Assurance-Score fehlt</x:v>
      </x:c>
      <x:c r="T496" s="14" t="str">
        <x:v>Die Kategorie −3 fehlt; Vollständigkeit und Wirksamkeit sind feldspezifisch zu definieren.</x:v>
      </x:c>
      <x:c r="U496" s="14" t="str">
        <x:v>vollständig:+3; teilweise:+2; minimal:0; schlecht:‑2</x:v>
      </x:c>
      <x:c r="V496" s="14" t="str">
        <x:v>ESRS G1, GRI 205/207, OECD Anti‑Bribery</x:v>
      </x:c>
      <x:c r="W496" s="14" t="str">
        <x:f>'02_Benchmarks'!$P496</x:f>
        <x:v>Optional – kein aktiver Benchmark</x:v>
      </x:c>
      <x:c r="X496" s="14" t="str">
        <x:v>Messgrundlage belegt; Schwellenkalibrierung offen</x:v>
      </x:c>
      <x:c r="Y496" s="14" t="str">
        <x:v>Hoch</x:v>
      </x:c>
      <x:c r="Z496" s="14" t="str">
        <x:v>Assurance und Kriterienkatalog erforderlich</x:v>
      </x:c>
      <x:c r="AA496" s="14" t="str">
        <x:v>Organisation/Governance; konsolidierter Kreis und relevante Rechtseinheiten</x:v>
      </x:c>
      <x:c r="AB496" s="14" t="str">
        <x:v>Dokumentierter Kriterienkatalog; nachvollziehbare Evidenz; DQR A/B bevorzugt</x:v>
      </x:c>
      <x:c r="AC496" s="14" t="str">
        <x:v>Unabhängige Fachprüfung/Limited Assurance; bei roten Linien Reasonable Assurance</x:v>
      </x:c>
    </x:row>
    <x:row r="497" ht="42" customHeight="1">
      <x:c r="A497" s="14" t="str">
        <x:v>WOK-SC-149</x:v>
      </x:c>
      <x:c r="B497" s="14" t="str">
        <x:v>SDG+ – Medienvielfalt</x:v>
      </x:c>
      <x:c r="C497" s="14" t="str">
        <x:v>—</x:v>
      </x:c>
      <x:c r="D497" s="14" t="str">
        <x:v>Verantwortliche Werbelieferkette</x:v>
      </x:c>
      <x:c r="E497" s="14" t="str">
        <x:v>Verantwortliche Werbelieferkette – ESG‑Spend‑Coverage</x:v>
      </x:c>
      <x:c r="F497" s="14" t="str">
        <x:v>%</x:v>
      </x:c>
      <x:c r="G497" s="14" t="str">
        <x:v>higher_is_better</x:v>
      </x:c>
      <x:c r="H497" s="14" t="str">
        <x:v>R26</x:v>
      </x:c>
      <x:c r="I497" s="14" t="str">
        <x:v>NUM_HIGH</x:v>
      </x:c>
      <x:c r="J497" s="51"/>
      <x:c r="K497" s="51"/>
      <x:c r="L497" s="51"/>
      <x:c r="M497" s="54"/>
      <x:c r="N497" s="58" t="str">
        <x:f>IF($J497="","",IF($J497&lt;30,-3,IF($J497&lt;50,-2,IF($J497&lt;70,0,IF($J497&lt;90,2,3)))))</x:f>
      </x:c>
      <x:c r="O497" s="58" t="str">
        <x:f>IF($J497="","",IF(OR('02_Benchmarks'!$P497&lt;&gt;"Aktiv",COUNT('02_Benchmarks'!$J497:$M497)&lt;4),"",IF($G497="lower_is_better",IF($J497&lt;='02_Benchmarks'!$J497,3,IF($J497&lt;'02_Benchmarks'!$K497,2,IF($J497&lt;='02_Benchmarks'!$L497,0,IF($J497&lt;='02_Benchmarks'!$M497,-2,-3)))),IF($J497&gt;='02_Benchmarks'!$J497,3,IF($J497&gt;'02_Benchmarks'!$K497,2,IF($J497&gt;='02_Benchmarks'!$L497,0,IF($J497&gt;='02_Benchmarks'!$M497,-2,-3)))))))</x:f>
      </x:c>
      <x:c r="P497" s="58" t="str">
        <x:f>IF(COUNT($N497:$O497)+IF(ISNUMBER($K497),1,0)=0,"",MIN($N497:$O497,$K497))</x:f>
      </x:c>
      <x:c r="Q497" s="58" t="str">
        <x:f>IF($P497="","",INDEX('04_Tarifmodell'!$B$6:$B$12,$P497+4))</x:f>
      </x:c>
      <x:c r="R497" s="64" t="str">
        <x:f>IF($P497="","",INDEX('04_Tarifmodell'!$C$6:$C$12,$P497+4))</x:f>
      </x:c>
      <x:c r="S497" s="14" t="str">
        <x:f>IF(OR($I497="QUALITATIVE",$I497="MANUAL_HYBRID"),IF($K497="","Assurance-Score fehlt","Assurance-bewertet"),IF($I497="BENCHMARK",IF($W497&lt;&gt;"Aktiv",IF($K497="","Benchmark fehlt","Assurance-bewertet"),IF($J497="","Messwert fehlt",IF($P497="","Nicht bewertbar","Berechnet"))),IF(AND($J497="",$K497&lt;&gt;""),"Nur Assurance-Score",IF($J497="","Messwert fehlt",IF($P497="","Nicht bewertbar",IF($P497&lt;=-2,"Kritische Wirkung / Prüfung","Berechnet"))))))</x:f>
        <x:v>Messwert fehlt</x:v>
      </x:c>
      <x:c r="T497" s="14" t="str">
        <x:v>Vollständige fünfstufige numerische Regel.</x:v>
      </x:c>
      <x:c r="U497" s="14" t="str">
        <x:v>≥90:+3; 70–89:+2; 50–69:0; 30–49:‑2; &lt;30:‑3</x:v>
      </x:c>
      <x:c r="V497" s="14" t="str">
        <x:v>ESRS S2, GRI 308/414, OECD Due Diligence</x:v>
      </x:c>
      <x:c r="W497" s="14" t="str">
        <x:f>'02_Benchmarks'!$P497</x:f>
        <x:v>Optional – kein aktiver Benchmark</x:v>
      </x:c>
      <x:c r="X497" s="14" t="str">
        <x:v>Messgrundlage belegt; Schwellenkalibrierung offen</x:v>
      </x:c>
      <x:c r="Y497" s="14" t="str">
        <x:v>Mittel</x:v>
      </x:c>
      <x:c r="Z497" s="14" t="str">
        <x:v>Arbeitskalibrierung – fachlich zu validieren</x:v>
      </x:c>
      <x:c r="AA497" s="14" t="str">
        <x:v>Vorgelagerte Lieferkette; relevante Tier-Stufen und Beschaffungsvolumen</x:v>
      </x:c>
      <x:c r="AB497" s="14" t="str">
        <x:v>Primärdaten bevorzugt; Sekundärdaten nur transparent und versioniert; Methode und Systemgrenze dokumentieren</x:v>
      </x:c>
      <x:c r="AC497" s="14" t="str">
        <x:v>Limited Assurance; risikobasiert höhere Prüftiefe</x:v>
      </x:c>
    </x:row>
    <x:row r="498" ht="42" customHeight="1">
      <x:c r="A498" s="14" t="str">
        <x:v>WOK-SC-150</x:v>
      </x:c>
      <x:c r="B498" s="14" t="str">
        <x:v>SDG+ – Medienvielfalt</x:v>
      </x:c>
      <x:c r="C498" s="14" t="str">
        <x:v>—</x:v>
      </x:c>
      <x:c r="D498" s="14" t="str">
        <x:v>Verantwortliche Werbelieferkette</x:v>
      </x:c>
      <x:c r="E498" s="14" t="str">
        <x:v>Verantwortliche Werbelieferkette – Kinder/Zwangsarbeit</x:v>
      </x:c>
      <x:c r="F498" s="14" t="str">
        <x:v>% Lieferanten</x:v>
      </x:c>
      <x:c r="G498" s="14" t="str">
        <x:v>higher_is_better</x:v>
      </x:c>
      <x:c r="H498" s="14" t="str">
        <x:v>R28</x:v>
      </x:c>
      <x:c r="I498" s="14" t="str">
        <x:v>NUM_HIGH</x:v>
      </x:c>
      <x:c r="J498" s="51"/>
      <x:c r="K498" s="51"/>
      <x:c r="L498" s="51"/>
      <x:c r="M498" s="54"/>
      <x:c r="N498" s="58" t="str">
        <x:f>IF($J498="","",IF($J498&lt;50,-3,IF($J498&lt;75,-2,IF($J498&lt;90,0,IF($J498&lt;98,2,3)))))</x:f>
      </x:c>
      <x:c r="O498" s="58" t="str">
        <x:f>IF($J498="","",IF(OR('02_Benchmarks'!$P498&lt;&gt;"Aktiv",COUNT('02_Benchmarks'!$J498:$M498)&lt;4),"",IF($G498="lower_is_better",IF($J498&lt;='02_Benchmarks'!$J498,3,IF($J498&lt;'02_Benchmarks'!$K498,2,IF($J498&lt;='02_Benchmarks'!$L498,0,IF($J498&lt;='02_Benchmarks'!$M498,-2,-3)))),IF($J498&gt;='02_Benchmarks'!$J498,3,IF($J498&gt;'02_Benchmarks'!$K498,2,IF($J498&gt;='02_Benchmarks'!$L498,0,IF($J498&gt;='02_Benchmarks'!$M498,-2,-3)))))))</x:f>
      </x:c>
      <x:c r="P498" s="58" t="str">
        <x:f>IF(COUNT($N498:$O498)+IF(ISNUMBER($K498),1,0)=0,"",MIN($N498:$O498,$K498))</x:f>
      </x:c>
      <x:c r="Q498" s="58" t="str">
        <x:f>IF($P498="","",INDEX('04_Tarifmodell'!$B$6:$B$12,$P498+4))</x:f>
      </x:c>
      <x:c r="R498" s="64" t="str">
        <x:f>IF($P498="","",INDEX('04_Tarifmodell'!$C$6:$C$12,$P498+4))</x:f>
      </x:c>
      <x:c r="S498" s="14" t="str">
        <x:f>IF(OR($I498="QUALITATIVE",$I498="MANUAL_HYBRID"),IF($K498="","Assurance-Score fehlt","Assurance-bewertet"),IF($I498="BENCHMARK",IF($W498&lt;&gt;"Aktiv",IF($K498="","Benchmark fehlt","Assurance-bewertet"),IF($J498="","Messwert fehlt",IF($P498="","Nicht bewertbar","Berechnet"))),IF(AND($J498="",$K498&lt;&gt;""),"Nur Assurance-Score",IF($J498="","Messwert fehlt",IF($P498="","Nicht bewertbar",IF($P498&lt;=-2,"Kritische Wirkung / Prüfung","Berechnet"))))))</x:f>
        <x:v>Messwert fehlt</x:v>
      </x:c>
      <x:c r="T498" s="14" t="str">
        <x:v>Vollständige fünfstufige numerische Regel.</x:v>
      </x:c>
      <x:c r="U498" s="14" t="str">
        <x:v>≥98:+3; 90–97:+2; 75–89:0; 50–74:‑2; &lt;50:‑3</x:v>
      </x:c>
      <x:c r="V498" s="14" t="str">
        <x:v>ESRS S2, GRI 308/414, OECD Due Diligence</x:v>
      </x:c>
      <x:c r="W498" s="14" t="str">
        <x:f>'02_Benchmarks'!$P498</x:f>
        <x:v>Optional – kein aktiver Benchmark</x:v>
      </x:c>
      <x:c r="X498" s="14" t="str">
        <x:v>Messgrundlage belegt; Schwellenkalibrierung offen</x:v>
      </x:c>
      <x:c r="Y498" s="14" t="str">
        <x:v>Mittel</x:v>
      </x:c>
      <x:c r="Z498" s="14" t="str">
        <x:v>Arbeitskalibrierung – fachlich zu validieren</x:v>
      </x:c>
      <x:c r="AA498" s="14" t="str">
        <x:v>Vorgelagerte Lieferkette; relevante Tier-Stufen und Beschaffungsvolumen</x:v>
      </x:c>
      <x:c r="AB498" s="14" t="str">
        <x:v>Primärdaten bevorzugt; Sekundärdaten nur transparent und versioniert; Methode und Systemgrenze dokumentieren</x:v>
      </x:c>
      <x:c r="AC498" s="14" t="str">
        <x:v>Limited Assurance; risikobasiert höhere Prüftiefe</x:v>
      </x:c>
    </x:row>
    <x:row r="499" ht="42" customHeight="1">
      <x:c r="A499" s="14" t="str">
        <x:v>WOK-SC-151</x:v>
      </x:c>
      <x:c r="B499" s="14" t="str">
        <x:v>SDG+ – Medienvielfalt</x:v>
      </x:c>
      <x:c r="C499" s="14" t="str">
        <x:v>—</x:v>
      </x:c>
      <x:c r="D499" s="14" t="str">
        <x:v>Verantwortliche Werbelieferkette</x:v>
      </x:c>
      <x:c r="E499" s="14" t="str">
        <x:v>Verantwortliche Werbelieferkette – Scope‑3 Daten</x:v>
      </x:c>
      <x:c r="F499" s="14" t="str">
        <x:v>% Kategorien</x:v>
      </x:c>
      <x:c r="G499" s="14" t="str">
        <x:v>higher_is_better</x:v>
      </x:c>
      <x:c r="H499" s="14" t="str">
        <x:v>R23</x:v>
      </x:c>
      <x:c r="I499" s="14" t="str">
        <x:v>NUM_HIGH</x:v>
      </x:c>
      <x:c r="J499" s="51"/>
      <x:c r="K499" s="51"/>
      <x:c r="L499" s="51"/>
      <x:c r="M499" s="54"/>
      <x:c r="N499" s="58" t="str">
        <x:f>IF($J499="","",IF($J499&lt;20,-3,IF($J499&lt;40,-2,IF($J499&lt;60,0,IF($J499&lt;80,2,3)))))</x:f>
      </x:c>
      <x:c r="O499" s="58" t="str">
        <x:f>IF($J499="","",IF(OR('02_Benchmarks'!$P499&lt;&gt;"Aktiv",COUNT('02_Benchmarks'!$J499:$M499)&lt;4),"",IF($G499="lower_is_better",IF($J499&lt;='02_Benchmarks'!$J499,3,IF($J499&lt;'02_Benchmarks'!$K499,2,IF($J499&lt;='02_Benchmarks'!$L499,0,IF($J499&lt;='02_Benchmarks'!$M499,-2,-3)))),IF($J499&gt;='02_Benchmarks'!$J499,3,IF($J499&gt;'02_Benchmarks'!$K499,2,IF($J499&gt;='02_Benchmarks'!$L499,0,IF($J499&gt;='02_Benchmarks'!$M499,-2,-3)))))))</x:f>
      </x:c>
      <x:c r="P499" s="58" t="str">
        <x:f>IF(COUNT($N499:$O499)+IF(ISNUMBER($K499),1,0)=0,"",MIN($N499:$O499,$K499))</x:f>
      </x:c>
      <x:c r="Q499" s="58" t="str">
        <x:f>IF($P499="","",INDEX('04_Tarifmodell'!$B$6:$B$12,$P499+4))</x:f>
      </x:c>
      <x:c r="R499" s="64" t="str">
        <x:f>IF($P499="","",INDEX('04_Tarifmodell'!$C$6:$C$12,$P499+4))</x:f>
      </x:c>
      <x:c r="S499" s="14" t="str">
        <x:f>IF(OR($I499="QUALITATIVE",$I499="MANUAL_HYBRID"),IF($K499="","Assurance-Score fehlt","Assurance-bewertet"),IF($I499="BENCHMARK",IF($W499&lt;&gt;"Aktiv",IF($K499="","Benchmark fehlt","Assurance-bewertet"),IF($J499="","Messwert fehlt",IF($P499="","Nicht bewertbar","Berechnet"))),IF(AND($J499="",$K499&lt;&gt;""),"Nur Assurance-Score",IF($J499="","Messwert fehlt",IF($P499="","Nicht bewertbar",IF($P499&lt;=-2,"Kritische Wirkung / Prüfung","Berechnet"))))))</x:f>
        <x:v>Messwert fehlt</x:v>
      </x:c>
      <x:c r="T499" s="14" t="str">
        <x:v>Vollständige fünfstufige numerische Regel.</x:v>
      </x:c>
      <x:c r="U499" s="14" t="str">
        <x:v>≥80:+3; 60–79:+2; 40–59:0; 20–39:‑2; &lt;20:‑3</x:v>
      </x:c>
      <x:c r="V499" s="14" t="str">
        <x:v>ESRS E1, GHG Protocol (Corporate/Scope 1–3), ISO 14064/14067</x:v>
      </x:c>
      <x:c r="W499" s="14" t="str">
        <x:f>'02_Benchmarks'!$P499</x:f>
        <x:v>Optional – kein aktiver Benchmark</x:v>
      </x:c>
      <x:c r="X499" s="14" t="str">
        <x:v>Messgrundlage belegt; Schwellenkalibrierung offen</x:v>
      </x:c>
      <x:c r="Y499" s="14" t="str">
        <x:v>Mittel</x:v>
      </x:c>
      <x:c r="Z499" s="14" t="str">
        <x:v>Arbeitskalibrierung – fachlich zu validieren</x:v>
      </x:c>
      <x:c r="AA499" s="14" t="str">
        <x:v>Vorgelagerte Lieferkette; relevante Tier-Stufen und Beschaffungsvolumen</x:v>
      </x:c>
      <x:c r="AB499" s="14" t="str">
        <x:v>Primärdaten bevorzugt; Sekundärdaten nur transparent und versioniert; Methode und Systemgrenze dokumentieren</x:v>
      </x:c>
      <x:c r="AC499" s="14" t="str">
        <x:v>Limited Assurance; risikobasiert höhere Prüftiefe</x:v>
      </x:c>
    </x:row>
    <x:row r="500" ht="42" customHeight="1">
      <x:c r="A500" s="14" t="str">
        <x:v>WOK-SYS-176</x:v>
      </x:c>
      <x:c r="B500" s="14" t="str">
        <x:v>SDG+ – Rechtsstaatlichkeit</x:v>
      </x:c>
      <x:c r="C500" s="14" t="str">
        <x:v>—</x:v>
      </x:c>
      <x:c r="D500" s="14" t="str">
        <x:v>Rule‑of‑Law Index</x:v>
      </x:c>
      <x:c r="E500" s="14" t="str">
        <x:v>Rule‑of‑Law Index – Index</x:v>
      </x:c>
      <x:c r="F500" s="14" t="str">
        <x:v>0–1</x:v>
      </x:c>
      <x:c r="G500" s="14" t="str">
        <x:v>higher_is_better</x:v>
      </x:c>
      <x:c r="H500" s="14" t="str">
        <x:v>R15</x:v>
      </x:c>
      <x:c r="I500" s="14" t="str">
        <x:v>NUM_HIGH</x:v>
      </x:c>
      <x:c r="J500" s="51"/>
      <x:c r="K500" s="51"/>
      <x:c r="L500" s="51"/>
      <x:c r="M500" s="54"/>
      <x:c r="N500" s="58" t="str">
        <x:f>IF($J500="","",IF($J500&lt;0.5,-3,IF($J500&lt;0.6,-2,IF($J500&lt;0.7,0,IF($J500&lt;0.8,2,3)))))</x:f>
      </x:c>
      <x:c r="O500" s="58" t="str">
        <x:f>IF($J500="","",IF(OR('02_Benchmarks'!$P500&lt;&gt;"Aktiv",COUNT('02_Benchmarks'!$J500:$M500)&lt;4),"",IF($G500="lower_is_better",IF($J500&lt;='02_Benchmarks'!$J500,3,IF($J500&lt;'02_Benchmarks'!$K500,2,IF($J500&lt;='02_Benchmarks'!$L500,0,IF($J500&lt;='02_Benchmarks'!$M500,-2,-3)))),IF($J500&gt;='02_Benchmarks'!$J500,3,IF($J500&gt;'02_Benchmarks'!$K500,2,IF($J500&gt;='02_Benchmarks'!$L500,0,IF($J500&gt;='02_Benchmarks'!$M500,-2,-3)))))))</x:f>
      </x:c>
      <x:c r="P500" s="58" t="str">
        <x:f>IF(COUNT($N500:$O500)+IF(ISNUMBER($K500),1,0)=0,"",MIN($N500:$O500,$K500))</x:f>
      </x:c>
      <x:c r="Q500" s="58" t="str">
        <x:f>IF($P500="","",INDEX('04_Tarifmodell'!$B$6:$B$12,$P500+4))</x:f>
      </x:c>
      <x:c r="R500" s="64" t="str">
        <x:f>IF($P500="","",INDEX('04_Tarifmodell'!$C$6:$C$12,$P500+4))</x:f>
      </x:c>
      <x:c r="S500" s="14" t="str">
        <x:f>IF(OR($I500="QUALITATIVE",$I500="MANUAL_HYBRID"),IF($K500="","Assurance-Score fehlt","Assurance-bewertet"),IF($I500="BENCHMARK",IF($W500&lt;&gt;"Aktiv",IF($K500="","Benchmark fehlt","Assurance-bewertet"),IF($J500="","Messwert fehlt",IF($P500="","Nicht bewertbar","Berechnet"))),IF(AND($J500="",$K500&lt;&gt;""),"Nur Assurance-Score",IF($J500="","Messwert fehlt",IF($P500="","Nicht bewertbar",IF($P500&lt;=-2,"Kritische Wirkung / Prüfung","Berechnet"))))))</x:f>
        <x:v>Messwert fehlt</x:v>
      </x:c>
      <x:c r="T500" s="14" t="str">
        <x:v>SROI/SDG 17 ist keine hinreichend konkrete Mess- oder Schwellenquelle. Vollständige fünfstufige numerische Regel.</x:v>
      </x:c>
      <x:c r="U500" s="14" t="str">
        <x:v>≥0,8:+3; 0,7–0,79:+2; 0,6–0,69:0; 0,5–0,59:‑2; &lt;0,5:‑3</x:v>
      </x:c>
      <x:c r="V500" s="14" t="str">
        <x:v>SDG 16/17, WJP, V‑Dem</x:v>
      </x:c>
      <x:c r="W500" s="14" t="str">
        <x:f>'02_Benchmarks'!$P500</x:f>
        <x:v>Optional – kein aktiver Benchmark</x:v>
      </x:c>
      <x:c r="X500" s="14" t="str">
        <x:v>Platzhalter – fachliche Operationalisierung offen</x:v>
      </x:c>
      <x:c r="Y500" s="14" t="str">
        <x:v>Kritisch</x:v>
      </x:c>
      <x:c r="Z500" s="14" t="str">
        <x:v>Arbeitskalibrierung – fachlich zu validieren</x:v>
      </x:c>
      <x:c r="AA500" s="14" t="str">
        <x:v>Programm/Portfolio/Systemraum; Empfängergruppe, Region und Zeitraum explizit definieren</x:v>
      </x:c>
      <x:c r="AB500" s="14" t="str">
        <x:v>Primärdaten bevorzugt; Sekundärdaten nur transparent und versioniert; Methode und Systemgrenze dokumentieren</x:v>
      </x:c>
      <x:c r="AC500" s="14" t="str">
        <x:v>Limited Assurance; risikobasiert höhere Prüftiefe</x:v>
      </x:c>
    </x:row>
    <x:row r="501" ht="42" customHeight="1">
      <x:c r="A501" s="14" t="str">
        <x:v>WOK-SYS-177</x:v>
      </x:c>
      <x:c r="B501" s="14" t="str">
        <x:v>SDG+ – Rechtsstaatlichkeit</x:v>
      </x:c>
      <x:c r="C501" s="14" t="str">
        <x:v>—</x:v>
      </x:c>
      <x:c r="D501" s="14" t="str">
        <x:v>Rule‑of‑Law Index</x:v>
      </x:c>
      <x:c r="E501" s="14" t="str">
        <x:v>Rule‑of‑Law Index – Exposure</x:v>
      </x:c>
      <x:c r="F501" s="14" t="str">
        <x:v>%</x:v>
      </x:c>
      <x:c r="G501" s="14" t="str">
        <x:v>lower_is_better</x:v>
      </x:c>
      <x:c r="H501" s="14" t="str">
        <x:v>R13</x:v>
      </x:c>
      <x:c r="I501" s="14" t="str">
        <x:v>NUM_LOW</x:v>
      </x:c>
      <x:c r="J501" s="51"/>
      <x:c r="K501" s="51"/>
      <x:c r="L501" s="51"/>
      <x:c r="M501" s="54"/>
      <x:c r="N501" s="58" t="str">
        <x:f>IF($J501="","",IF($J501&lt;=5,3,IF($J501&lt;=10,2,IF($J501&lt;=20,0,IF($J501&lt;=30,-2,-3)))))</x:f>
      </x:c>
      <x:c r="O501" s="58" t="str">
        <x:f>IF($J501="","",IF(OR('02_Benchmarks'!$P501&lt;&gt;"Aktiv",COUNT('02_Benchmarks'!$J501:$M501)&lt;4),"",IF($G501="lower_is_better",IF($J501&lt;='02_Benchmarks'!$J501,3,IF($J501&lt;'02_Benchmarks'!$K501,2,IF($J501&lt;='02_Benchmarks'!$L501,0,IF($J501&lt;='02_Benchmarks'!$M501,-2,-3)))),IF($J501&gt;='02_Benchmarks'!$J501,3,IF($J501&gt;'02_Benchmarks'!$K501,2,IF($J501&gt;='02_Benchmarks'!$L501,0,IF($J501&gt;='02_Benchmarks'!$M501,-2,-3)))))))</x:f>
      </x:c>
      <x:c r="P501" s="58" t="str">
        <x:f>IF(COUNT($N501:$O501)+IF(ISNUMBER($K501),1,0)=0,"",MIN($N501:$O501,$K501))</x:f>
      </x:c>
      <x:c r="Q501" s="58" t="str">
        <x:f>IF($P501="","",INDEX('04_Tarifmodell'!$B$6:$B$12,$P501+4))</x:f>
      </x:c>
      <x:c r="R501" s="64" t="str">
        <x:f>IF($P501="","",INDEX('04_Tarifmodell'!$C$6:$C$12,$P501+4))</x:f>
      </x:c>
      <x:c r="S501" s="14" t="str">
        <x:f>IF(OR($I501="QUALITATIVE",$I501="MANUAL_HYBRID"),IF($K501="","Assurance-Score fehlt","Assurance-bewertet"),IF($I501="BENCHMARK",IF($W501&lt;&gt;"Aktiv",IF($K501="","Benchmark fehlt","Assurance-bewertet"),IF($J501="","Messwert fehlt",IF($P501="","Nicht bewertbar","Berechnet"))),IF(AND($J501="",$K501&lt;&gt;""),"Nur Assurance-Score",IF($J501="","Messwert fehlt",IF($P501="","Nicht bewertbar",IF($P501&lt;=-2,"Kritische Wirkung / Prüfung","Berechnet"))))))</x:f>
        <x:v>Messwert fehlt</x:v>
      </x:c>
      <x:c r="T501" s="14" t="str">
        <x:v>SROI/SDG 17 ist keine hinreichend konkrete Mess- oder Schwellenquelle. Vollständige fünfstufige numerische Regel.</x:v>
      </x:c>
      <x:c r="U501" s="14" t="str">
        <x:v>≤5:+3; 6–10:+2; 11–20:0; 21–30:‑2; &gt;30:‑3</x:v>
      </x:c>
      <x:c r="V501" s="14" t="str">
        <x:v>SROI/SDG17</x:v>
      </x:c>
      <x:c r="W501" s="14" t="str">
        <x:f>'02_Benchmarks'!$P501</x:f>
        <x:v>Optional – kein aktiver Benchmark</x:v>
      </x:c>
      <x:c r="X501" s="14" t="str">
        <x:v>Platzhalter – fachliche Operationalisierung offen</x:v>
      </x:c>
      <x:c r="Y501" s="14" t="str">
        <x:v>Kritisch</x:v>
      </x:c>
      <x:c r="Z501" s="14" t="str">
        <x:v>Arbeitskalibrierung – fachlich zu validieren</x:v>
      </x:c>
      <x:c r="AA501" s="14" t="str">
        <x:v>Programm/Portfolio/Systemraum; Empfängergruppe, Region und Zeitraum explizit definieren</x:v>
      </x:c>
      <x:c r="AB501" s="14" t="str">
        <x:v>Primärdaten bevorzugt; Sekundärdaten nur transparent und versioniert; Methode und Systemgrenze dokumentieren</x:v>
      </x:c>
      <x:c r="AC501" s="14" t="str">
        <x:v>Limited Assurance; risikobasiert höhere Prüftiefe</x:v>
      </x:c>
    </x:row>
    <x:row r="502" ht="42" customHeight="1">
      <x:c r="A502" s="14" t="str">
        <x:v>WOK-SYS-178</x:v>
      </x:c>
      <x:c r="B502" s="14" t="str">
        <x:v>SDG+ – Rechtsstaatlichkeit</x:v>
      </x:c>
      <x:c r="C502" s="14" t="str">
        <x:v>—</x:v>
      </x:c>
      <x:c r="D502" s="14" t="str">
        <x:v>Rule‑of‑Law Index</x:v>
      </x:c>
      <x:c r="E502" s="14" t="str">
        <x:v>Rule‑of‑Law Index – Kooperationen</x:v>
      </x:c>
      <x:c r="F502" s="14" t="str">
        <x:v>#/Jahr</x:v>
      </x:c>
      <x:c r="G502" s="14" t="str">
        <x:v>higher_is_better</x:v>
      </x:c>
      <x:c r="H502" s="14" t="str">
        <x:v>R20</x:v>
      </x:c>
      <x:c r="I502" s="14" t="str">
        <x:v>NUM_HIGH</x:v>
      </x:c>
      <x:c r="J502" s="51"/>
      <x:c r="K502" s="51"/>
      <x:c r="L502" s="51"/>
      <x:c r="M502" s="54"/>
      <x:c r="N502" s="58" t="str">
        <x:f>IF($J502="","",IF($J502&lt;0,-3,IF($J502&lt;1,-2,IF($J502&lt;3,0,IF($J502&lt;5,2,3)))))</x:f>
      </x:c>
      <x:c r="O502" s="58" t="str">
        <x:f>IF($J502="","",IF(OR('02_Benchmarks'!$P502&lt;&gt;"Aktiv",COUNT('02_Benchmarks'!$J502:$M502)&lt;4),"",IF($G502="lower_is_better",IF($J502&lt;='02_Benchmarks'!$J502,3,IF($J502&lt;'02_Benchmarks'!$K502,2,IF($J502&lt;='02_Benchmarks'!$L502,0,IF($J502&lt;='02_Benchmarks'!$M502,-2,-3)))),IF($J502&gt;='02_Benchmarks'!$J502,3,IF($J502&gt;'02_Benchmarks'!$K502,2,IF($J502&gt;='02_Benchmarks'!$L502,0,IF($J502&gt;='02_Benchmarks'!$M502,-2,-3)))))))</x:f>
      </x:c>
      <x:c r="P502" s="58" t="str">
        <x:f>IF(COUNT($N502:$O502)+IF(ISNUMBER($K502),1,0)=0,"",MIN($N502:$O502,$K502))</x:f>
      </x:c>
      <x:c r="Q502" s="58" t="str">
        <x:f>IF($P502="","",INDEX('04_Tarifmodell'!$B$6:$B$12,$P502+4))</x:f>
      </x:c>
      <x:c r="R502" s="64" t="str">
        <x:f>IF($P502="","",INDEX('04_Tarifmodell'!$C$6:$C$12,$P502+4))</x:f>
      </x:c>
      <x:c r="S502" s="14" t="str">
        <x:f>IF(OR($I502="QUALITATIVE",$I502="MANUAL_HYBRID"),IF($K502="","Assurance-Score fehlt","Assurance-bewertet"),IF($I502="BENCHMARK",IF($W502&lt;&gt;"Aktiv",IF($K502="","Benchmark fehlt","Assurance-bewertet"),IF($J502="","Messwert fehlt",IF($P502="","Nicht bewertbar","Berechnet"))),IF(AND($J502="",$K502&lt;&gt;""),"Nur Assurance-Score",IF($J502="","Messwert fehlt",IF($P502="","Nicht bewertbar",IF($P502&lt;=-2,"Kritische Wirkung / Prüfung","Berechnet"))))))</x:f>
        <x:v>Messwert fehlt</x:v>
      </x:c>
      <x:c r="T502" s="14" t="str">
        <x:v>SROI/SDG 17 ist keine hinreichend konkrete Mess- oder Schwellenquelle. Für sachlogisch nichtnegative Zählwerte ist 0 die schlechteste reguläre Klasse (−2).</x:v>
      </x:c>
      <x:c r="U502" s="14" t="str">
        <x:v>≥5:+3; 3–4:+2; 1–2:0; 0:‑2</x:v>
      </x:c>
      <x:c r="V502" s="14" t="str">
        <x:v>SDG 16/17, WJP, V‑Dem</x:v>
      </x:c>
      <x:c r="W502" s="14" t="str">
        <x:f>'02_Benchmarks'!$P502</x:f>
        <x:v>Optional – kein aktiver Benchmark</x:v>
      </x:c>
      <x:c r="X502" s="14" t="str">
        <x:v>Platzhalter – fachliche Operationalisierung offen</x:v>
      </x:c>
      <x:c r="Y502" s="14" t="str">
        <x:v>Kritisch</x:v>
      </x:c>
      <x:c r="Z502" s="14" t="str">
        <x:v>Klasse −3 nur für negative/unzulässige Werte ergänzt</x:v>
      </x:c>
      <x:c r="AA502" s="14" t="str">
        <x:v>Programm/Portfolio/Systemraum; Empfängergruppe, Region und Zeitraum explizit definieren</x:v>
      </x:c>
      <x:c r="AB502" s="14" t="str">
        <x:v>Primärdaten bevorzugt; Sekundärdaten nur transparent und versioniert; Methode und Systemgrenze dokumentieren</x:v>
      </x:c>
      <x:c r="AC502" s="14" t="str">
        <x:v>Limited Assurance; risikobasiert höhere Prüftiefe</x:v>
      </x:c>
    </x:row>
    <x:row r="503" ht="42" customHeight="1">
      <x:c r="A503" s="14" t="str">
        <x:v>WOK-G-206</x:v>
      </x:c>
      <x:c r="B503" s="14" t="str">
        <x:v>SDG+ – Rechtsstaatlichkeit</x:v>
      </x:c>
      <x:c r="C503" s="14" t="str">
        <x:v>—</x:v>
      </x:c>
      <x:c r="D503" s="14" t="str">
        <x:v>Compliance‑Verstöße</x:v>
      </x:c>
      <x:c r="E503" s="14" t="str">
        <x:v>Compliance‑Verstöße – Antikorruption</x:v>
      </x:c>
      <x:c r="F503" s="14" t="str">
        <x:v>Fälle/1.000 FTE</x:v>
      </x:c>
      <x:c r="G503" s="14" t="str">
        <x:v>lower_is_better</x:v>
      </x:c>
      <x:c r="H503" s="14" t="str">
        <x:v>R01</x:v>
      </x:c>
      <x:c r="I503" s="14" t="str">
        <x:v>NUM_LOW</x:v>
      </x:c>
      <x:c r="J503" s="51"/>
      <x:c r="K503" s="51"/>
      <x:c r="L503" s="51"/>
      <x:c r="M503" s="54"/>
      <x:c r="N503" s="58" t="str">
        <x:f>IF($J503="","",IF($J503&lt;=0,3,IF($J503&lt;=0.2,2,IF($J503&lt;=0.5,0,IF($J503&lt;=1,-2,-3)))))</x:f>
      </x:c>
      <x:c r="O503" s="58" t="str">
        <x:f>IF($J503="","",IF(OR('02_Benchmarks'!$P503&lt;&gt;"Aktiv",COUNT('02_Benchmarks'!$J503:$M503)&lt;4),"",IF($G503="lower_is_better",IF($J503&lt;='02_Benchmarks'!$J503,3,IF($J503&lt;'02_Benchmarks'!$K503,2,IF($J503&lt;='02_Benchmarks'!$L503,0,IF($J503&lt;='02_Benchmarks'!$M503,-2,-3)))),IF($J503&gt;='02_Benchmarks'!$J503,3,IF($J503&gt;'02_Benchmarks'!$K503,2,IF($J503&gt;='02_Benchmarks'!$L503,0,IF($J503&gt;='02_Benchmarks'!$M503,-2,-3)))))))</x:f>
      </x:c>
      <x:c r="P503" s="58" t="str">
        <x:f>IF(COUNT($N503:$O503)+IF(ISNUMBER($K503),1,0)=0,"",MIN($N503:$O503,$K503))</x:f>
      </x:c>
      <x:c r="Q503" s="58" t="str">
        <x:f>IF($P503="","",INDEX('04_Tarifmodell'!$B$6:$B$12,$P503+4))</x:f>
      </x:c>
      <x:c r="R503" s="64" t="str">
        <x:f>IF($P503="","",INDEX('04_Tarifmodell'!$C$6:$C$12,$P503+4))</x:f>
      </x:c>
      <x:c r="S503" s="14" t="str">
        <x:f>IF(OR($I503="QUALITATIVE",$I503="MANUAL_HYBRID"),IF($K503="","Assurance-Score fehlt","Assurance-bewertet"),IF($I503="BENCHMARK",IF($W503&lt;&gt;"Aktiv",IF($K503="","Benchmark fehlt","Assurance-bewertet"),IF($J503="","Messwert fehlt",IF($P503="","Nicht bewertbar","Berechnet"))),IF(AND($J503="",$K503&lt;&gt;""),"Nur Assurance-Score",IF($J503="","Messwert fehlt",IF($P503="","Nicht bewertbar",IF($P503&lt;=-2,"Kritische Wirkung / Prüfung","Berechnet"))))))</x:f>
        <x:v>Messwert fehlt</x:v>
      </x:c>
      <x:c r="T503" s="14" t="str">
        <x:v>Vollständige fünfstufige numerische Regel.</x:v>
      </x:c>
      <x:c r="U503" s="14" t="str">
        <x:v>0:+3; ≤0,2:+2; ≤0,5:0; ≤1:‑2; &gt;1:‑3</x:v>
      </x:c>
      <x:c r="V503" s="14" t="str">
        <x:v>ESRS G1, GRI 205/207, OECD Anti‑Bribery</x:v>
      </x:c>
      <x:c r="W503" s="14" t="str">
        <x:f>'02_Benchmarks'!$P503</x:f>
        <x:v>Optional – kein aktiver Benchmark</x:v>
      </x:c>
      <x:c r="X503" s="14" t="str">
        <x:v>Messgrundlage belegt; Schwellenkalibrierung offen</x:v>
      </x:c>
      <x:c r="Y503" s="14" t="str">
        <x:v>Mittel</x:v>
      </x:c>
      <x:c r="Z503" s="14" t="str">
        <x:v>Arbeitskalibrierung – fachlich zu validieren</x:v>
      </x:c>
      <x:c r="AA503" s="14" t="str">
        <x:v>Organisation/Governance; konsolidierter Kreis und relevante Rechtseinheiten</x:v>
      </x:c>
      <x:c r="AB503" s="14" t="str">
        <x:v>Primärdaten bevorzugt; Sekundärdaten nur transparent und versioniert; Methode und Systemgrenze dokumentieren</x:v>
      </x:c>
      <x:c r="AC503" s="14" t="str">
        <x:v>Limited Assurance; risikobasiert höhere Prüftiefe</x:v>
      </x:c>
    </x:row>
    <x:row r="504" ht="42" customHeight="1">
      <x:c r="A504" s="14" t="str">
        <x:v>WOK-G-207</x:v>
      </x:c>
      <x:c r="B504" s="14" t="str">
        <x:v>SDG+ – Rechtsstaatlichkeit</x:v>
      </x:c>
      <x:c r="C504" s="14" t="str">
        <x:v>—</x:v>
      </x:c>
      <x:c r="D504" s="14" t="str">
        <x:v>Compliance‑Verstöße</x:v>
      </x:c>
      <x:c r="E504" s="14" t="str">
        <x:v>Compliance‑Verstöße – Whistleblowing</x:v>
      </x:c>
      <x:c r="F504" s="14" t="str">
        <x:v>0–1</x:v>
      </x:c>
      <x:c r="G504" s="14" t="str">
        <x:v>higher_is_better</x:v>
      </x:c>
      <x:c r="H504" s="14" t="str">
        <x:v>R16</x:v>
      </x:c>
      <x:c r="I504" s="14" t="str">
        <x:v>NUM_HIGH</x:v>
      </x:c>
      <x:c r="J504" s="51"/>
      <x:c r="K504" s="51"/>
      <x:c r="L504" s="51"/>
      <x:c r="M504" s="54"/>
      <x:c r="N504" s="58" t="str">
        <x:f>IF($J504="","",IF($J504&lt;0.4,-3,IF($J504&lt;0.6,-2,IF($J504&lt;0.75,0,IF($J504&lt;0.9,2,3)))))</x:f>
      </x:c>
      <x:c r="O504" s="58" t="str">
        <x:f>IF($J504="","",IF(OR('02_Benchmarks'!$P504&lt;&gt;"Aktiv",COUNT('02_Benchmarks'!$J504:$M504)&lt;4),"",IF($G504="lower_is_better",IF($J504&lt;='02_Benchmarks'!$J504,3,IF($J504&lt;'02_Benchmarks'!$K504,2,IF($J504&lt;='02_Benchmarks'!$L504,0,IF($J504&lt;='02_Benchmarks'!$M504,-2,-3)))),IF($J504&gt;='02_Benchmarks'!$J504,3,IF($J504&gt;'02_Benchmarks'!$K504,2,IF($J504&gt;='02_Benchmarks'!$L504,0,IF($J504&gt;='02_Benchmarks'!$M504,-2,-3)))))))</x:f>
      </x:c>
      <x:c r="P504" s="58" t="str">
        <x:f>IF(COUNT($N504:$O504)+IF(ISNUMBER($K504),1,0)=0,"",MIN($N504:$O504,$K504))</x:f>
      </x:c>
      <x:c r="Q504" s="58" t="str">
        <x:f>IF($P504="","",INDEX('04_Tarifmodell'!$B$6:$B$12,$P504+4))</x:f>
      </x:c>
      <x:c r="R504" s="64" t="str">
        <x:f>IF($P504="","",INDEX('04_Tarifmodell'!$C$6:$C$12,$P504+4))</x:f>
      </x:c>
      <x:c r="S504" s="14" t="str">
        <x:f>IF(OR($I504="QUALITATIVE",$I504="MANUAL_HYBRID"),IF($K504="","Assurance-Score fehlt","Assurance-bewertet"),IF($I504="BENCHMARK",IF($W504&lt;&gt;"Aktiv",IF($K504="","Benchmark fehlt","Assurance-bewertet"),IF($J504="","Messwert fehlt",IF($P504="","Nicht bewertbar","Berechnet"))),IF(AND($J504="",$K504&lt;&gt;""),"Nur Assurance-Score",IF($J504="","Messwert fehlt",IF($P504="","Nicht bewertbar",IF($P504&lt;=-2,"Kritische Wirkung / Prüfung","Berechnet"))))))</x:f>
        <x:v>Messwert fehlt</x:v>
      </x:c>
      <x:c r="T504" s="14" t="str">
        <x:v>Vollständige fünfstufige numerische Regel.</x:v>
      </x:c>
      <x:c r="U504" s="14" t="str">
        <x:v>≥0,9:+3; 0,75–0,89:+2; 0,6–0,74:0; 0,4–0,59:‑2; &lt;0,4:‑3</x:v>
      </x:c>
      <x:c r="V504" s="14" t="str">
        <x:v>ESRS G1, GRI 205/207, OECD Anti‑Bribery</x:v>
      </x:c>
      <x:c r="W504" s="14" t="str">
        <x:f>'02_Benchmarks'!$P504</x:f>
        <x:v>Optional – kein aktiver Benchmark</x:v>
      </x:c>
      <x:c r="X504" s="14" t="str">
        <x:v>Messgrundlage belegt; Schwellenkalibrierung offen</x:v>
      </x:c>
      <x:c r="Y504" s="14" t="str">
        <x:v>Mittel</x:v>
      </x:c>
      <x:c r="Z504" s="14" t="str">
        <x:v>Arbeitskalibrierung – fachlich zu validieren</x:v>
      </x:c>
      <x:c r="AA504" s="14" t="str">
        <x:v>Organisation/Governance; konsolidierter Kreis und relevante Rechtseinheiten</x:v>
      </x:c>
      <x:c r="AB504" s="14" t="str">
        <x:v>Primärdaten bevorzugt; Sekundärdaten nur transparent und versioniert; Methode und Systemgrenze dokumentieren</x:v>
      </x:c>
      <x:c r="AC504" s="14" t="str">
        <x:v>Limited Assurance; risikobasiert höhere Prüftiefe</x:v>
      </x:c>
    </x:row>
    <x:row r="505" ht="42" customHeight="1">
      <x:c r="A505" s="14" t="str">
        <x:v>WOK-G-208</x:v>
      </x:c>
      <x:c r="B505" s="14" t="str">
        <x:v>SDG+ – Rechtsstaatlichkeit</x:v>
      </x:c>
      <x:c r="C505" s="14" t="str">
        <x:v>—</x:v>
      </x:c>
      <x:c r="D505" s="14" t="str">
        <x:v>Compliance‑Verstöße</x:v>
      </x:c>
      <x:c r="E505" s="14" t="str">
        <x:v>Compliance‑Verstöße – Steuertransparenz</x:v>
      </x:c>
      <x:c r="F505" s="14" t="str">
        <x:v>0–1</x:v>
      </x:c>
      <x:c r="G505" s="14" t="str">
        <x:v>higher_is_better</x:v>
      </x:c>
      <x:c r="H505" s="14" t="str">
        <x:v>R08</x:v>
      </x:c>
      <x:c r="I505" s="14" t="str">
        <x:v>QUALITATIVE</x:v>
      </x:c>
      <x:c r="J505" s="51"/>
      <x:c r="K505" s="51"/>
      <x:c r="L505" s="51"/>
      <x:c r="M505" s="54"/>
      <x:c r="N505" s="58" t="str">
        <x:f>""</x:f>
      </x:c>
      <x:c r="O505" s="58" t="str">
        <x:f>IF($J505="","",IF(OR('02_Benchmarks'!$P505&lt;&gt;"Aktiv",COUNT('02_Benchmarks'!$J505:$M505)&lt;4),"",IF($G505="lower_is_better",IF($J505&lt;='02_Benchmarks'!$J505,3,IF($J505&lt;'02_Benchmarks'!$K505,2,IF($J505&lt;='02_Benchmarks'!$L505,0,IF($J505&lt;='02_Benchmarks'!$M505,-2,-3)))),IF($J505&gt;='02_Benchmarks'!$J505,3,IF($J505&gt;'02_Benchmarks'!$K505,2,IF($J505&gt;='02_Benchmarks'!$L505,0,IF($J505&gt;='02_Benchmarks'!$M505,-2,-3)))))))</x:f>
      </x:c>
      <x:c r="P505" s="58" t="str">
        <x:f>IF(COUNT($N505:$O505)+IF(ISNUMBER($K505),1,0)=0,"",MIN($N505:$O505,$K505))</x:f>
      </x:c>
      <x:c r="Q505" s="58" t="str">
        <x:f>IF($P505="","",INDEX('04_Tarifmodell'!$B$6:$B$12,$P505+4))</x:f>
      </x:c>
      <x:c r="R505" s="64" t="str">
        <x:f>IF($P505="","",INDEX('04_Tarifmodell'!$C$6:$C$12,$P505+4))</x:f>
      </x:c>
      <x:c r="S505" s="14" t="str">
        <x:f>IF(OR($I505="QUALITATIVE",$I505="MANUAL_HYBRID"),IF($K505="","Assurance-Score fehlt","Assurance-bewertet"),IF($I505="BENCHMARK",IF($W505&lt;&gt;"Aktiv",IF($K505="","Benchmark fehlt","Assurance-bewertet"),IF($J505="","Messwert fehlt",IF($P505="","Nicht bewertbar","Berechnet"))),IF(AND($J505="",$K505&lt;&gt;""),"Nur Assurance-Score",IF($J505="","Messwert fehlt",IF($P505="","Nicht bewertbar",IF($P505&lt;=-2,"Kritische Wirkung / Prüfung","Berechnet"))))))</x:f>
        <x:v>Assurance-Score fehlt</x:v>
      </x:c>
      <x:c r="T505" s="14" t="str">
        <x:v>Die Kategorie −3 fehlt; Vollständigkeit und Wirksamkeit sind feldspezifisch zu definieren.</x:v>
      </x:c>
      <x:c r="U505" s="14" t="str">
        <x:v>vollständig:+3; teilweise:+2; minimal:0; schlecht:‑2</x:v>
      </x:c>
      <x:c r="V505" s="14" t="str">
        <x:v>ESRS G1, GRI 205/207, OECD Anti‑Bribery</x:v>
      </x:c>
      <x:c r="W505" s="14" t="str">
        <x:f>'02_Benchmarks'!$P505</x:f>
        <x:v>Optional – kein aktiver Benchmark</x:v>
      </x:c>
      <x:c r="X505" s="14" t="str">
        <x:v>Messgrundlage belegt; Schwellenkalibrierung offen</x:v>
      </x:c>
      <x:c r="Y505" s="14" t="str">
        <x:v>Hoch</x:v>
      </x:c>
      <x:c r="Z505" s="14" t="str">
        <x:v>Assurance und Kriterienkatalog erforderlich</x:v>
      </x:c>
      <x:c r="AA505" s="14" t="str">
        <x:v>Organisation/Governance; konsolidierter Kreis und relevante Rechtseinheiten</x:v>
      </x:c>
      <x:c r="AB505" s="14" t="str">
        <x:v>Dokumentierter Kriterienkatalog; nachvollziehbare Evidenz; DQR A/B bevorzugt</x:v>
      </x:c>
      <x:c r="AC505" s="14" t="str">
        <x:v>Unabhängige Fachprüfung/Limited Assurance; bei roten Linien Reasonable Assurance</x:v>
      </x:c>
    </x:row>
    <x:row r="506" ht="42" customHeight="1">
      <x:c r="A506" s="14" t="str">
        <x:v>WOK-G-209</x:v>
      </x:c>
      <x:c r="B506" s="14" t="str">
        <x:v>SDG+ – Rechtsstaatlichkeit</x:v>
      </x:c>
      <x:c r="C506" s="14" t="str">
        <x:v>—</x:v>
      </x:c>
      <x:c r="D506" s="14" t="str">
        <x:v>Beschwerdemechanismen Wirksamkeit</x:v>
      </x:c>
      <x:c r="E506" s="14" t="str">
        <x:v>Beschwerdemechanismen Wirksamkeit – Antikorruption</x:v>
      </x:c>
      <x:c r="F506" s="14" t="str">
        <x:v>Fälle/1.000 FTE</x:v>
      </x:c>
      <x:c r="G506" s="14" t="str">
        <x:v>lower_is_better</x:v>
      </x:c>
      <x:c r="H506" s="14" t="str">
        <x:v>R01</x:v>
      </x:c>
      <x:c r="I506" s="14" t="str">
        <x:v>NUM_LOW</x:v>
      </x:c>
      <x:c r="J506" s="51"/>
      <x:c r="K506" s="51"/>
      <x:c r="L506" s="51"/>
      <x:c r="M506" s="54"/>
      <x:c r="N506" s="58" t="str">
        <x:f>IF($J506="","",IF($J506&lt;=0,3,IF($J506&lt;=0.2,2,IF($J506&lt;=0.5,0,IF($J506&lt;=1,-2,-3)))))</x:f>
      </x:c>
      <x:c r="O506" s="58" t="str">
        <x:f>IF($J506="","",IF(OR('02_Benchmarks'!$P506&lt;&gt;"Aktiv",COUNT('02_Benchmarks'!$J506:$M506)&lt;4),"",IF($G506="lower_is_better",IF($J506&lt;='02_Benchmarks'!$J506,3,IF($J506&lt;'02_Benchmarks'!$K506,2,IF($J506&lt;='02_Benchmarks'!$L506,0,IF($J506&lt;='02_Benchmarks'!$M506,-2,-3)))),IF($J506&gt;='02_Benchmarks'!$J506,3,IF($J506&gt;'02_Benchmarks'!$K506,2,IF($J506&gt;='02_Benchmarks'!$L506,0,IF($J506&gt;='02_Benchmarks'!$M506,-2,-3)))))))</x:f>
      </x:c>
      <x:c r="P506" s="58" t="str">
        <x:f>IF(COUNT($N506:$O506)+IF(ISNUMBER($K506),1,0)=0,"",MIN($N506:$O506,$K506))</x:f>
      </x:c>
      <x:c r="Q506" s="58" t="str">
        <x:f>IF($P506="","",INDEX('04_Tarifmodell'!$B$6:$B$12,$P506+4))</x:f>
      </x:c>
      <x:c r="R506" s="64" t="str">
        <x:f>IF($P506="","",INDEX('04_Tarifmodell'!$C$6:$C$12,$P506+4))</x:f>
      </x:c>
      <x:c r="S506" s="14" t="str">
        <x:f>IF(OR($I506="QUALITATIVE",$I506="MANUAL_HYBRID"),IF($K506="","Assurance-Score fehlt","Assurance-bewertet"),IF($I506="BENCHMARK",IF($W506&lt;&gt;"Aktiv",IF($K506="","Benchmark fehlt","Assurance-bewertet"),IF($J506="","Messwert fehlt",IF($P506="","Nicht bewertbar","Berechnet"))),IF(AND($J506="",$K506&lt;&gt;""),"Nur Assurance-Score",IF($J506="","Messwert fehlt",IF($P506="","Nicht bewertbar",IF($P506&lt;=-2,"Kritische Wirkung / Prüfung","Berechnet"))))))</x:f>
        <x:v>Messwert fehlt</x:v>
      </x:c>
      <x:c r="T506" s="14" t="str">
        <x:v>Vollständige fünfstufige numerische Regel.</x:v>
      </x:c>
      <x:c r="U506" s="14" t="str">
        <x:v>0:+3; ≤0,2:+2; ≤0,5:0; ≤1:‑2; &gt;1:‑3</x:v>
      </x:c>
      <x:c r="V506" s="14" t="str">
        <x:v>ESRS G1, GRI 205/207, OECD Anti‑Bribery</x:v>
      </x:c>
      <x:c r="W506" s="14" t="str">
        <x:f>'02_Benchmarks'!$P506</x:f>
        <x:v>Optional – kein aktiver Benchmark</x:v>
      </x:c>
      <x:c r="X506" s="14" t="str">
        <x:v>Messgrundlage belegt; Schwellenkalibrierung offen</x:v>
      </x:c>
      <x:c r="Y506" s="14" t="str">
        <x:v>Mittel</x:v>
      </x:c>
      <x:c r="Z506" s="14" t="str">
        <x:v>Arbeitskalibrierung – fachlich zu validieren</x:v>
      </x:c>
      <x:c r="AA506" s="14" t="str">
        <x:v>Organisation/Governance; konsolidierter Kreis und relevante Rechtseinheiten</x:v>
      </x:c>
      <x:c r="AB506" s="14" t="str">
        <x:v>Primärdaten bevorzugt; Sekundärdaten nur transparent und versioniert; Methode und Systemgrenze dokumentieren</x:v>
      </x:c>
      <x:c r="AC506" s="14" t="str">
        <x:v>Limited Assurance; risikobasiert höhere Prüftiefe</x:v>
      </x:c>
    </x:row>
    <x:row r="507" ht="42" customHeight="1">
      <x:c r="A507" s="14" t="str">
        <x:v>WOK-G-210</x:v>
      </x:c>
      <x:c r="B507" s="14" t="str">
        <x:v>SDG+ – Rechtsstaatlichkeit</x:v>
      </x:c>
      <x:c r="C507" s="14" t="str">
        <x:v>—</x:v>
      </x:c>
      <x:c r="D507" s="14" t="str">
        <x:v>Beschwerdemechanismen Wirksamkeit</x:v>
      </x:c>
      <x:c r="E507" s="14" t="str">
        <x:v>Beschwerdemechanismen Wirksamkeit – Whistleblowing</x:v>
      </x:c>
      <x:c r="F507" s="14" t="str">
        <x:v>0–1</x:v>
      </x:c>
      <x:c r="G507" s="14" t="str">
        <x:v>higher_is_better</x:v>
      </x:c>
      <x:c r="H507" s="14" t="str">
        <x:v>R16</x:v>
      </x:c>
      <x:c r="I507" s="14" t="str">
        <x:v>NUM_HIGH</x:v>
      </x:c>
      <x:c r="J507" s="51"/>
      <x:c r="K507" s="51"/>
      <x:c r="L507" s="51"/>
      <x:c r="M507" s="54"/>
      <x:c r="N507" s="58" t="str">
        <x:f>IF($J507="","",IF($J507&lt;0.4,-3,IF($J507&lt;0.6,-2,IF($J507&lt;0.75,0,IF($J507&lt;0.9,2,3)))))</x:f>
      </x:c>
      <x:c r="O507" s="58" t="str">
        <x:f>IF($J507="","",IF(OR('02_Benchmarks'!$P507&lt;&gt;"Aktiv",COUNT('02_Benchmarks'!$J507:$M507)&lt;4),"",IF($G507="lower_is_better",IF($J507&lt;='02_Benchmarks'!$J507,3,IF($J507&lt;'02_Benchmarks'!$K507,2,IF($J507&lt;='02_Benchmarks'!$L507,0,IF($J507&lt;='02_Benchmarks'!$M507,-2,-3)))),IF($J507&gt;='02_Benchmarks'!$J507,3,IF($J507&gt;'02_Benchmarks'!$K507,2,IF($J507&gt;='02_Benchmarks'!$L507,0,IF($J507&gt;='02_Benchmarks'!$M507,-2,-3)))))))</x:f>
      </x:c>
      <x:c r="P507" s="58" t="str">
        <x:f>IF(COUNT($N507:$O507)+IF(ISNUMBER($K507),1,0)=0,"",MIN($N507:$O507,$K507))</x:f>
      </x:c>
      <x:c r="Q507" s="58" t="str">
        <x:f>IF($P507="","",INDEX('04_Tarifmodell'!$B$6:$B$12,$P507+4))</x:f>
      </x:c>
      <x:c r="R507" s="64" t="str">
        <x:f>IF($P507="","",INDEX('04_Tarifmodell'!$C$6:$C$12,$P507+4))</x:f>
      </x:c>
      <x:c r="S507" s="14" t="str">
        <x:f>IF(OR($I507="QUALITATIVE",$I507="MANUAL_HYBRID"),IF($K507="","Assurance-Score fehlt","Assurance-bewertet"),IF($I507="BENCHMARK",IF($W507&lt;&gt;"Aktiv",IF($K507="","Benchmark fehlt","Assurance-bewertet"),IF($J507="","Messwert fehlt",IF($P507="","Nicht bewertbar","Berechnet"))),IF(AND($J507="",$K507&lt;&gt;""),"Nur Assurance-Score",IF($J507="","Messwert fehlt",IF($P507="","Nicht bewertbar",IF($P507&lt;=-2,"Kritische Wirkung / Prüfung","Berechnet"))))))</x:f>
        <x:v>Messwert fehlt</x:v>
      </x:c>
      <x:c r="T507" s="14" t="str">
        <x:v>Vollständige fünfstufige numerische Regel.</x:v>
      </x:c>
      <x:c r="U507" s="14" t="str">
        <x:v>≥0,9:+3; 0,75–0,89:+2; 0,6–0,74:0; 0,4–0,59:‑2; &lt;0,4:‑3</x:v>
      </x:c>
      <x:c r="V507" s="14" t="str">
        <x:v>ESRS G1, GRI 205/207, OECD Anti‑Bribery</x:v>
      </x:c>
      <x:c r="W507" s="14" t="str">
        <x:f>'02_Benchmarks'!$P507</x:f>
        <x:v>Optional – kein aktiver Benchmark</x:v>
      </x:c>
      <x:c r="X507" s="14" t="str">
        <x:v>Messgrundlage belegt; Schwellenkalibrierung offen</x:v>
      </x:c>
      <x:c r="Y507" s="14" t="str">
        <x:v>Mittel</x:v>
      </x:c>
      <x:c r="Z507" s="14" t="str">
        <x:v>Arbeitskalibrierung – fachlich zu validieren</x:v>
      </x:c>
      <x:c r="AA507" s="14" t="str">
        <x:v>Organisation/Governance; konsolidierter Kreis und relevante Rechtseinheiten</x:v>
      </x:c>
      <x:c r="AB507" s="14" t="str">
        <x:v>Primärdaten bevorzugt; Sekundärdaten nur transparent und versioniert; Methode und Systemgrenze dokumentieren</x:v>
      </x:c>
      <x:c r="AC507" s="14" t="str">
        <x:v>Limited Assurance; risikobasiert höhere Prüftiefe</x:v>
      </x:c>
    </x:row>
    <x:row r="508" ht="42" customHeight="1">
      <x:c r="A508" s="14" t="str">
        <x:v>WOK-G-211</x:v>
      </x:c>
      <x:c r="B508" s="14" t="str">
        <x:v>SDG+ – Rechtsstaatlichkeit</x:v>
      </x:c>
      <x:c r="C508" s="14" t="str">
        <x:v>—</x:v>
      </x:c>
      <x:c r="D508" s="14" t="str">
        <x:v>Beschwerdemechanismen Wirksamkeit</x:v>
      </x:c>
      <x:c r="E508" s="14" t="str">
        <x:v>Beschwerdemechanismen Wirksamkeit – Steuertransparenz</x:v>
      </x:c>
      <x:c r="F508" s="14" t="str">
        <x:v>0–1</x:v>
      </x:c>
      <x:c r="G508" s="14" t="str">
        <x:v>higher_is_better</x:v>
      </x:c>
      <x:c r="H508" s="14" t="str">
        <x:v>R08</x:v>
      </x:c>
      <x:c r="I508" s="14" t="str">
        <x:v>QUALITATIVE</x:v>
      </x:c>
      <x:c r="J508" s="51"/>
      <x:c r="K508" s="51"/>
      <x:c r="L508" s="51"/>
      <x:c r="M508" s="54"/>
      <x:c r="N508" s="58" t="str">
        <x:f>""</x:f>
      </x:c>
      <x:c r="O508" s="58" t="str">
        <x:f>IF($J508="","",IF(OR('02_Benchmarks'!$P508&lt;&gt;"Aktiv",COUNT('02_Benchmarks'!$J508:$M508)&lt;4),"",IF($G508="lower_is_better",IF($J508&lt;='02_Benchmarks'!$J508,3,IF($J508&lt;'02_Benchmarks'!$K508,2,IF($J508&lt;='02_Benchmarks'!$L508,0,IF($J508&lt;='02_Benchmarks'!$M508,-2,-3)))),IF($J508&gt;='02_Benchmarks'!$J508,3,IF($J508&gt;'02_Benchmarks'!$K508,2,IF($J508&gt;='02_Benchmarks'!$L508,0,IF($J508&gt;='02_Benchmarks'!$M508,-2,-3)))))))</x:f>
      </x:c>
      <x:c r="P508" s="58" t="str">
        <x:f>IF(COUNT($N508:$O508)+IF(ISNUMBER($K508),1,0)=0,"",MIN($N508:$O508,$K508))</x:f>
      </x:c>
      <x:c r="Q508" s="58" t="str">
        <x:f>IF($P508="","",INDEX('04_Tarifmodell'!$B$6:$B$12,$P508+4))</x:f>
      </x:c>
      <x:c r="R508" s="64" t="str">
        <x:f>IF($P508="","",INDEX('04_Tarifmodell'!$C$6:$C$12,$P508+4))</x:f>
      </x:c>
      <x:c r="S508" s="14" t="str">
        <x:f>IF(OR($I508="QUALITATIVE",$I508="MANUAL_HYBRID"),IF($K508="","Assurance-Score fehlt","Assurance-bewertet"),IF($I508="BENCHMARK",IF($W508&lt;&gt;"Aktiv",IF($K508="","Benchmark fehlt","Assurance-bewertet"),IF($J508="","Messwert fehlt",IF($P508="","Nicht bewertbar","Berechnet"))),IF(AND($J508="",$K508&lt;&gt;""),"Nur Assurance-Score",IF($J508="","Messwert fehlt",IF($P508="","Nicht bewertbar",IF($P508&lt;=-2,"Kritische Wirkung / Prüfung","Berechnet"))))))</x:f>
        <x:v>Assurance-Score fehlt</x:v>
      </x:c>
      <x:c r="T508" s="14" t="str">
        <x:v>Die Kategorie −3 fehlt; Vollständigkeit und Wirksamkeit sind feldspezifisch zu definieren.</x:v>
      </x:c>
      <x:c r="U508" s="14" t="str">
        <x:v>vollständig:+3; teilweise:+2; minimal:0; schlecht:‑2</x:v>
      </x:c>
      <x:c r="V508" s="14" t="str">
        <x:v>ESRS G1, GRI 205/207, OECD Anti‑Bribery</x:v>
      </x:c>
      <x:c r="W508" s="14" t="str">
        <x:f>'02_Benchmarks'!$P508</x:f>
        <x:v>Optional – kein aktiver Benchmark</x:v>
      </x:c>
      <x:c r="X508" s="14" t="str">
        <x:v>Messgrundlage belegt; Schwellenkalibrierung offen</x:v>
      </x:c>
      <x:c r="Y508" s="14" t="str">
        <x:v>Hoch</x:v>
      </x:c>
      <x:c r="Z508" s="14" t="str">
        <x:v>Assurance und Kriterienkatalog erforderlich</x:v>
      </x:c>
      <x:c r="AA508" s="14" t="str">
        <x:v>Organisation/Governance; konsolidierter Kreis und relevante Rechtseinheiten</x:v>
      </x:c>
      <x:c r="AB508" s="14" t="str">
        <x:v>Dokumentierter Kriterienkatalog; nachvollziehbare Evidenz; DQR A/B bevorzugt</x:v>
      </x:c>
      <x:c r="AC508" s="14" t="str">
        <x:v>Unabhängige Fachprüfung/Limited Assurance; bei roten Linien Reasonable Assurance</x:v>
      </x:c>
    </x:row>
    <x:row r="509" ht="42" customHeight="1">
      <x:c r="A509" s="14" t="str">
        <x:v>WOK-SC-152</x:v>
      </x:c>
      <x:c r="B509" s="14" t="str">
        <x:v>SDG+ – Rechtsstaatlichkeit</x:v>
      </x:c>
      <x:c r="C509" s="14" t="str">
        <x:v>—</x:v>
      </x:c>
      <x:c r="D509" s="14" t="str">
        <x:v>Sorgfaltspflichten LkSG/EUDD</x:v>
      </x:c>
      <x:c r="E509" s="14" t="str">
        <x:v>Sorgfaltspflichten LkSG/EUDD – ESG‑Spend‑Coverage</x:v>
      </x:c>
      <x:c r="F509" s="14" t="str">
        <x:v>%</x:v>
      </x:c>
      <x:c r="G509" s="14" t="str">
        <x:v>higher_is_better</x:v>
      </x:c>
      <x:c r="H509" s="14" t="str">
        <x:v>R26</x:v>
      </x:c>
      <x:c r="I509" s="14" t="str">
        <x:v>NUM_HIGH</x:v>
      </x:c>
      <x:c r="J509" s="51"/>
      <x:c r="K509" s="51"/>
      <x:c r="L509" s="51"/>
      <x:c r="M509" s="54"/>
      <x:c r="N509" s="58" t="str">
        <x:f>IF($J509="","",IF($J509&lt;30,-3,IF($J509&lt;50,-2,IF($J509&lt;70,0,IF($J509&lt;90,2,3)))))</x:f>
      </x:c>
      <x:c r="O509" s="58" t="str">
        <x:f>IF($J509="","",IF(OR('02_Benchmarks'!$P509&lt;&gt;"Aktiv",COUNT('02_Benchmarks'!$J509:$M509)&lt;4),"",IF($G509="lower_is_better",IF($J509&lt;='02_Benchmarks'!$J509,3,IF($J509&lt;'02_Benchmarks'!$K509,2,IF($J509&lt;='02_Benchmarks'!$L509,0,IF($J509&lt;='02_Benchmarks'!$M509,-2,-3)))),IF($J509&gt;='02_Benchmarks'!$J509,3,IF($J509&gt;'02_Benchmarks'!$K509,2,IF($J509&gt;='02_Benchmarks'!$L509,0,IF($J509&gt;='02_Benchmarks'!$M509,-2,-3)))))))</x:f>
      </x:c>
      <x:c r="P509" s="58" t="str">
        <x:f>IF(COUNT($N509:$O509)+IF(ISNUMBER($K509),1,0)=0,"",MIN($N509:$O509,$K509))</x:f>
      </x:c>
      <x:c r="Q509" s="58" t="str">
        <x:f>IF($P509="","",INDEX('04_Tarifmodell'!$B$6:$B$12,$P509+4))</x:f>
      </x:c>
      <x:c r="R509" s="64" t="str">
        <x:f>IF($P509="","",INDEX('04_Tarifmodell'!$C$6:$C$12,$P509+4))</x:f>
      </x:c>
      <x:c r="S509" s="14" t="str">
        <x:f>IF(OR($I509="QUALITATIVE",$I509="MANUAL_HYBRID"),IF($K509="","Assurance-Score fehlt","Assurance-bewertet"),IF($I509="BENCHMARK",IF($W509&lt;&gt;"Aktiv",IF($K509="","Benchmark fehlt","Assurance-bewertet"),IF($J509="","Messwert fehlt",IF($P509="","Nicht bewertbar","Berechnet"))),IF(AND($J509="",$K509&lt;&gt;""),"Nur Assurance-Score",IF($J509="","Messwert fehlt",IF($P509="","Nicht bewertbar",IF($P509&lt;=-2,"Kritische Wirkung / Prüfung","Berechnet"))))))</x:f>
        <x:v>Messwert fehlt</x:v>
      </x:c>
      <x:c r="T509" s="14" t="str">
        <x:v>Vollständige fünfstufige numerische Regel.</x:v>
      </x:c>
      <x:c r="U509" s="14" t="str">
        <x:v>≥90:+3; 70–89:+2; 50–69:0; 30–49:‑2; &lt;30:‑3</x:v>
      </x:c>
      <x:c r="V509" s="14" t="str">
        <x:v>ESRS S2, GRI 308/414, OECD Due Diligence</x:v>
      </x:c>
      <x:c r="W509" s="14" t="str">
        <x:f>'02_Benchmarks'!$P509</x:f>
        <x:v>Optional – kein aktiver Benchmark</x:v>
      </x:c>
      <x:c r="X509" s="14" t="str">
        <x:v>Messgrundlage belegt; Schwellenkalibrierung offen</x:v>
      </x:c>
      <x:c r="Y509" s="14" t="str">
        <x:v>Mittel</x:v>
      </x:c>
      <x:c r="Z509" s="14" t="str">
        <x:v>Arbeitskalibrierung – fachlich zu validieren</x:v>
      </x:c>
      <x:c r="AA509" s="14" t="str">
        <x:v>Vorgelagerte Lieferkette; relevante Tier-Stufen und Beschaffungsvolumen</x:v>
      </x:c>
      <x:c r="AB509" s="14" t="str">
        <x:v>Primärdaten bevorzugt; Sekundärdaten nur transparent und versioniert; Methode und Systemgrenze dokumentieren</x:v>
      </x:c>
      <x:c r="AC509" s="14" t="str">
        <x:v>Limited Assurance; risikobasiert höhere Prüftiefe</x:v>
      </x:c>
    </x:row>
    <x:row r="510" ht="42" customHeight="1">
      <x:c r="A510" s="14" t="str">
        <x:v>WOK-SC-153</x:v>
      </x:c>
      <x:c r="B510" s="14" t="str">
        <x:v>SDG+ – Rechtsstaatlichkeit</x:v>
      </x:c>
      <x:c r="C510" s="14" t="str">
        <x:v>—</x:v>
      </x:c>
      <x:c r="D510" s="14" t="str">
        <x:v>Sorgfaltspflichten LkSG/EUDD</x:v>
      </x:c>
      <x:c r="E510" s="14" t="str">
        <x:v>Sorgfaltspflichten LkSG/EUDD – Kinder/Zwangsarbeit</x:v>
      </x:c>
      <x:c r="F510" s="14" t="str">
        <x:v>% Lieferanten</x:v>
      </x:c>
      <x:c r="G510" s="14" t="str">
        <x:v>higher_is_better</x:v>
      </x:c>
      <x:c r="H510" s="14" t="str">
        <x:v>R28</x:v>
      </x:c>
      <x:c r="I510" s="14" t="str">
        <x:v>NUM_HIGH</x:v>
      </x:c>
      <x:c r="J510" s="51"/>
      <x:c r="K510" s="51"/>
      <x:c r="L510" s="51"/>
      <x:c r="M510" s="54"/>
      <x:c r="N510" s="58" t="str">
        <x:f>IF($J510="","",IF($J510&lt;50,-3,IF($J510&lt;75,-2,IF($J510&lt;90,0,IF($J510&lt;98,2,3)))))</x:f>
      </x:c>
      <x:c r="O510" s="58" t="str">
        <x:f>IF($J510="","",IF(OR('02_Benchmarks'!$P510&lt;&gt;"Aktiv",COUNT('02_Benchmarks'!$J510:$M510)&lt;4),"",IF($G510="lower_is_better",IF($J510&lt;='02_Benchmarks'!$J510,3,IF($J510&lt;'02_Benchmarks'!$K510,2,IF($J510&lt;='02_Benchmarks'!$L510,0,IF($J510&lt;='02_Benchmarks'!$M510,-2,-3)))),IF($J510&gt;='02_Benchmarks'!$J510,3,IF($J510&gt;'02_Benchmarks'!$K510,2,IF($J510&gt;='02_Benchmarks'!$L510,0,IF($J510&gt;='02_Benchmarks'!$M510,-2,-3)))))))</x:f>
      </x:c>
      <x:c r="P510" s="58" t="str">
        <x:f>IF(COUNT($N510:$O510)+IF(ISNUMBER($K510),1,0)=0,"",MIN($N510:$O510,$K510))</x:f>
      </x:c>
      <x:c r="Q510" s="58" t="str">
        <x:f>IF($P510="","",INDEX('04_Tarifmodell'!$B$6:$B$12,$P510+4))</x:f>
      </x:c>
      <x:c r="R510" s="64" t="str">
        <x:f>IF($P510="","",INDEX('04_Tarifmodell'!$C$6:$C$12,$P510+4))</x:f>
      </x:c>
      <x:c r="S510" s="14" t="str">
        <x:f>IF(OR($I510="QUALITATIVE",$I510="MANUAL_HYBRID"),IF($K510="","Assurance-Score fehlt","Assurance-bewertet"),IF($I510="BENCHMARK",IF($W510&lt;&gt;"Aktiv",IF($K510="","Benchmark fehlt","Assurance-bewertet"),IF($J510="","Messwert fehlt",IF($P510="","Nicht bewertbar","Berechnet"))),IF(AND($J510="",$K510&lt;&gt;""),"Nur Assurance-Score",IF($J510="","Messwert fehlt",IF($P510="","Nicht bewertbar",IF($P510&lt;=-2,"Kritische Wirkung / Prüfung","Berechnet"))))))</x:f>
        <x:v>Messwert fehlt</x:v>
      </x:c>
      <x:c r="T510" s="14" t="str">
        <x:v>Vollständige fünfstufige numerische Regel.</x:v>
      </x:c>
      <x:c r="U510" s="14" t="str">
        <x:v>≥98:+3; 90–97:+2; 75–89:0; 50–74:‑2; &lt;50:‑3</x:v>
      </x:c>
      <x:c r="V510" s="14" t="str">
        <x:v>ESRS S2, GRI 308/414, OECD Due Diligence</x:v>
      </x:c>
      <x:c r="W510" s="14" t="str">
        <x:f>'02_Benchmarks'!$P510</x:f>
        <x:v>Optional – kein aktiver Benchmark</x:v>
      </x:c>
      <x:c r="X510" s="14" t="str">
        <x:v>Messgrundlage belegt; Schwellenkalibrierung offen</x:v>
      </x:c>
      <x:c r="Y510" s="14" t="str">
        <x:v>Mittel</x:v>
      </x:c>
      <x:c r="Z510" s="14" t="str">
        <x:v>Arbeitskalibrierung – fachlich zu validieren</x:v>
      </x:c>
      <x:c r="AA510" s="14" t="str">
        <x:v>Vorgelagerte Lieferkette; relevante Tier-Stufen und Beschaffungsvolumen</x:v>
      </x:c>
      <x:c r="AB510" s="14" t="str">
        <x:v>Primärdaten bevorzugt; Sekundärdaten nur transparent und versioniert; Methode und Systemgrenze dokumentieren</x:v>
      </x:c>
      <x:c r="AC510" s="14" t="str">
        <x:v>Limited Assurance; risikobasiert höhere Prüftiefe</x:v>
      </x:c>
    </x:row>
    <x:row r="511" ht="42" customHeight="1">
      <x:c r="A511" s="14" t="str">
        <x:v>WOK-SC-154</x:v>
      </x:c>
      <x:c r="B511" s="14" t="str">
        <x:v>SDG+ – Rechtsstaatlichkeit</x:v>
      </x:c>
      <x:c r="C511" s="14" t="str">
        <x:v>—</x:v>
      </x:c>
      <x:c r="D511" s="14" t="str">
        <x:v>Sorgfaltspflichten LkSG/EUDD</x:v>
      </x:c>
      <x:c r="E511" s="14" t="str">
        <x:v>Sorgfaltspflichten LkSG/EUDD – Scope‑3 Daten</x:v>
      </x:c>
      <x:c r="F511" s="14" t="str">
        <x:v>% Kategorien</x:v>
      </x:c>
      <x:c r="G511" s="14" t="str">
        <x:v>higher_is_better</x:v>
      </x:c>
      <x:c r="H511" s="14" t="str">
        <x:v>R23</x:v>
      </x:c>
      <x:c r="I511" s="14" t="str">
        <x:v>NUM_HIGH</x:v>
      </x:c>
      <x:c r="J511" s="51"/>
      <x:c r="K511" s="51"/>
      <x:c r="L511" s="51"/>
      <x:c r="M511" s="54"/>
      <x:c r="N511" s="58" t="str">
        <x:f>IF($J511="","",IF($J511&lt;20,-3,IF($J511&lt;40,-2,IF($J511&lt;60,0,IF($J511&lt;80,2,3)))))</x:f>
      </x:c>
      <x:c r="O511" s="58" t="str">
        <x:f>IF($J511="","",IF(OR('02_Benchmarks'!$P511&lt;&gt;"Aktiv",COUNT('02_Benchmarks'!$J511:$M511)&lt;4),"",IF($G511="lower_is_better",IF($J511&lt;='02_Benchmarks'!$J511,3,IF($J511&lt;'02_Benchmarks'!$K511,2,IF($J511&lt;='02_Benchmarks'!$L511,0,IF($J511&lt;='02_Benchmarks'!$M511,-2,-3)))),IF($J511&gt;='02_Benchmarks'!$J511,3,IF($J511&gt;'02_Benchmarks'!$K511,2,IF($J511&gt;='02_Benchmarks'!$L511,0,IF($J511&gt;='02_Benchmarks'!$M511,-2,-3)))))))</x:f>
      </x:c>
      <x:c r="P511" s="58" t="str">
        <x:f>IF(COUNT($N511:$O511)+IF(ISNUMBER($K511),1,0)=0,"",MIN($N511:$O511,$K511))</x:f>
      </x:c>
      <x:c r="Q511" s="58" t="str">
        <x:f>IF($P511="","",INDEX('04_Tarifmodell'!$B$6:$B$12,$P511+4))</x:f>
      </x:c>
      <x:c r="R511" s="64" t="str">
        <x:f>IF($P511="","",INDEX('04_Tarifmodell'!$C$6:$C$12,$P511+4))</x:f>
      </x:c>
      <x:c r="S511" s="14" t="str">
        <x:f>IF(OR($I511="QUALITATIVE",$I511="MANUAL_HYBRID"),IF($K511="","Assurance-Score fehlt","Assurance-bewertet"),IF($I511="BENCHMARK",IF($W511&lt;&gt;"Aktiv",IF($K511="","Benchmark fehlt","Assurance-bewertet"),IF($J511="","Messwert fehlt",IF($P511="","Nicht bewertbar","Berechnet"))),IF(AND($J511="",$K511&lt;&gt;""),"Nur Assurance-Score",IF($J511="","Messwert fehlt",IF($P511="","Nicht bewertbar",IF($P511&lt;=-2,"Kritische Wirkung / Prüfung","Berechnet"))))))</x:f>
        <x:v>Messwert fehlt</x:v>
      </x:c>
      <x:c r="T511" s="14" t="str">
        <x:v>Vollständige fünfstufige numerische Regel.</x:v>
      </x:c>
      <x:c r="U511" s="14" t="str">
        <x:v>≥80:+3; 60–79:+2; 40–59:0; 20–39:‑2; &lt;20:‑3</x:v>
      </x:c>
      <x:c r="V511" s="14" t="str">
        <x:v>ESRS E1, GHG Protocol (Corporate/Scope 1–3), ISO 14064/14067</x:v>
      </x:c>
      <x:c r="W511" s="14" t="str">
        <x:f>'02_Benchmarks'!$P511</x:f>
        <x:v>Optional – kein aktiver Benchmark</x:v>
      </x:c>
      <x:c r="X511" s="14" t="str">
        <x:v>Messgrundlage belegt; Schwellenkalibrierung offen</x:v>
      </x:c>
      <x:c r="Y511" s="14" t="str">
        <x:v>Mittel</x:v>
      </x:c>
      <x:c r="Z511" s="14" t="str">
        <x:v>Arbeitskalibrierung – fachlich zu validieren</x:v>
      </x:c>
      <x:c r="AA511" s="14" t="str">
        <x:v>Vorgelagerte Lieferkette; relevante Tier-Stufen und Beschaffungsvolumen</x:v>
      </x:c>
      <x:c r="AB511" s="14" t="str">
        <x:v>Primärdaten bevorzugt; Sekundärdaten nur transparent und versioniert; Methode und Systemgrenze dokumentieren</x:v>
      </x:c>
      <x:c r="AC511" s="14" t="str">
        <x:v>Limited Assurance; risikobasiert höhere Prüftiefe</x:v>
      </x:c>
    </x:row>
    <x:row r="512" ht="42" customHeight="1">
      <x:c r="A512" s="14" t="str">
        <x:v>WOK-G-212</x:v>
      </x:c>
      <x:c r="B512" s="14" t="str">
        <x:v>SDG+ – Rechtsstaatlichkeit</x:v>
      </x:c>
      <x:c r="C512" s="14" t="str">
        <x:v>—</x:v>
      </x:c>
      <x:c r="D512" s="14" t="str">
        <x:v>Transparenz Lobbying</x:v>
      </x:c>
      <x:c r="E512" s="14" t="str">
        <x:v>Transparenz Lobbying – Antikorruption</x:v>
      </x:c>
      <x:c r="F512" s="14" t="str">
        <x:v>Fälle/1.000 FTE</x:v>
      </x:c>
      <x:c r="G512" s="14" t="str">
        <x:v>lower_is_better</x:v>
      </x:c>
      <x:c r="H512" s="14" t="str">
        <x:v>R01</x:v>
      </x:c>
      <x:c r="I512" s="14" t="str">
        <x:v>NUM_LOW</x:v>
      </x:c>
      <x:c r="J512" s="51"/>
      <x:c r="K512" s="51"/>
      <x:c r="L512" s="51"/>
      <x:c r="M512" s="54"/>
      <x:c r="N512" s="58" t="str">
        <x:f>IF($J512="","",IF($J512&lt;=0,3,IF($J512&lt;=0.2,2,IF($J512&lt;=0.5,0,IF($J512&lt;=1,-2,-3)))))</x:f>
      </x:c>
      <x:c r="O512" s="58" t="str">
        <x:f>IF($J512="","",IF(OR('02_Benchmarks'!$P512&lt;&gt;"Aktiv",COUNT('02_Benchmarks'!$J512:$M512)&lt;4),"",IF($G512="lower_is_better",IF($J512&lt;='02_Benchmarks'!$J512,3,IF($J512&lt;'02_Benchmarks'!$K512,2,IF($J512&lt;='02_Benchmarks'!$L512,0,IF($J512&lt;='02_Benchmarks'!$M512,-2,-3)))),IF($J512&gt;='02_Benchmarks'!$J512,3,IF($J512&gt;'02_Benchmarks'!$K512,2,IF($J512&gt;='02_Benchmarks'!$L512,0,IF($J512&gt;='02_Benchmarks'!$M512,-2,-3)))))))</x:f>
      </x:c>
      <x:c r="P512" s="58" t="str">
        <x:f>IF(COUNT($N512:$O512)+IF(ISNUMBER($K512),1,0)=0,"",MIN($N512:$O512,$K512))</x:f>
      </x:c>
      <x:c r="Q512" s="58" t="str">
        <x:f>IF($P512="","",INDEX('04_Tarifmodell'!$B$6:$B$12,$P512+4))</x:f>
      </x:c>
      <x:c r="R512" s="64" t="str">
        <x:f>IF($P512="","",INDEX('04_Tarifmodell'!$C$6:$C$12,$P512+4))</x:f>
      </x:c>
      <x:c r="S512" s="14" t="str">
        <x:f>IF(OR($I512="QUALITATIVE",$I512="MANUAL_HYBRID"),IF($K512="","Assurance-Score fehlt","Assurance-bewertet"),IF($I512="BENCHMARK",IF($W512&lt;&gt;"Aktiv",IF($K512="","Benchmark fehlt","Assurance-bewertet"),IF($J512="","Messwert fehlt",IF($P512="","Nicht bewertbar","Berechnet"))),IF(AND($J512="",$K512&lt;&gt;""),"Nur Assurance-Score",IF($J512="","Messwert fehlt",IF($P512="","Nicht bewertbar",IF($P512&lt;=-2,"Kritische Wirkung / Prüfung","Berechnet"))))))</x:f>
        <x:v>Messwert fehlt</x:v>
      </x:c>
      <x:c r="T512" s="14" t="str">
        <x:v>Vollständige fünfstufige numerische Regel.</x:v>
      </x:c>
      <x:c r="U512" s="14" t="str">
        <x:v>0:+3; ≤0,2:+2; ≤0,5:0; ≤1:‑2; &gt;1:‑3</x:v>
      </x:c>
      <x:c r="V512" s="14" t="str">
        <x:v>ESRS G1, GRI 205/207, OECD Anti‑Bribery</x:v>
      </x:c>
      <x:c r="W512" s="14" t="str">
        <x:f>'02_Benchmarks'!$P512</x:f>
        <x:v>Optional – kein aktiver Benchmark</x:v>
      </x:c>
      <x:c r="X512" s="14" t="str">
        <x:v>Messgrundlage belegt; Schwellenkalibrierung offen</x:v>
      </x:c>
      <x:c r="Y512" s="14" t="str">
        <x:v>Mittel</x:v>
      </x:c>
      <x:c r="Z512" s="14" t="str">
        <x:v>Arbeitskalibrierung – fachlich zu validieren</x:v>
      </x:c>
      <x:c r="AA512" s="14" t="str">
        <x:v>Organisation/Governance; konsolidierter Kreis und relevante Rechtseinheiten</x:v>
      </x:c>
      <x:c r="AB512" s="14" t="str">
        <x:v>Primärdaten bevorzugt; Sekundärdaten nur transparent und versioniert; Methode und Systemgrenze dokumentieren</x:v>
      </x:c>
      <x:c r="AC512" s="14" t="str">
        <x:v>Limited Assurance; risikobasiert höhere Prüftiefe</x:v>
      </x:c>
    </x:row>
    <x:row r="513" ht="42" customHeight="1">
      <x:c r="A513" s="14" t="str">
        <x:v>WOK-G-213</x:v>
      </x:c>
      <x:c r="B513" s="14" t="str">
        <x:v>SDG+ – Rechtsstaatlichkeit</x:v>
      </x:c>
      <x:c r="C513" s="14" t="str">
        <x:v>—</x:v>
      </x:c>
      <x:c r="D513" s="14" t="str">
        <x:v>Transparenz Lobbying</x:v>
      </x:c>
      <x:c r="E513" s="14" t="str">
        <x:v>Transparenz Lobbying – Whistleblowing</x:v>
      </x:c>
      <x:c r="F513" s="14" t="str">
        <x:v>0–1</x:v>
      </x:c>
      <x:c r="G513" s="14" t="str">
        <x:v>higher_is_better</x:v>
      </x:c>
      <x:c r="H513" s="14" t="str">
        <x:v>R16</x:v>
      </x:c>
      <x:c r="I513" s="14" t="str">
        <x:v>NUM_HIGH</x:v>
      </x:c>
      <x:c r="J513" s="51"/>
      <x:c r="K513" s="51"/>
      <x:c r="L513" s="51"/>
      <x:c r="M513" s="54"/>
      <x:c r="N513" s="58" t="str">
        <x:f>IF($J513="","",IF($J513&lt;0.4,-3,IF($J513&lt;0.6,-2,IF($J513&lt;0.75,0,IF($J513&lt;0.9,2,3)))))</x:f>
      </x:c>
      <x:c r="O513" s="58" t="str">
        <x:f>IF($J513="","",IF(OR('02_Benchmarks'!$P513&lt;&gt;"Aktiv",COUNT('02_Benchmarks'!$J513:$M513)&lt;4),"",IF($G513="lower_is_better",IF($J513&lt;='02_Benchmarks'!$J513,3,IF($J513&lt;'02_Benchmarks'!$K513,2,IF($J513&lt;='02_Benchmarks'!$L513,0,IF($J513&lt;='02_Benchmarks'!$M513,-2,-3)))),IF($J513&gt;='02_Benchmarks'!$J513,3,IF($J513&gt;'02_Benchmarks'!$K513,2,IF($J513&gt;='02_Benchmarks'!$L513,0,IF($J513&gt;='02_Benchmarks'!$M513,-2,-3)))))))</x:f>
      </x:c>
      <x:c r="P513" s="58" t="str">
        <x:f>IF(COUNT($N513:$O513)+IF(ISNUMBER($K513),1,0)=0,"",MIN($N513:$O513,$K513))</x:f>
      </x:c>
      <x:c r="Q513" s="58" t="str">
        <x:f>IF($P513="","",INDEX('04_Tarifmodell'!$B$6:$B$12,$P513+4))</x:f>
      </x:c>
      <x:c r="R513" s="64" t="str">
        <x:f>IF($P513="","",INDEX('04_Tarifmodell'!$C$6:$C$12,$P513+4))</x:f>
      </x:c>
      <x:c r="S513" s="14" t="str">
        <x:f>IF(OR($I513="QUALITATIVE",$I513="MANUAL_HYBRID"),IF($K513="","Assurance-Score fehlt","Assurance-bewertet"),IF($I513="BENCHMARK",IF($W513&lt;&gt;"Aktiv",IF($K513="","Benchmark fehlt","Assurance-bewertet"),IF($J513="","Messwert fehlt",IF($P513="","Nicht bewertbar","Berechnet"))),IF(AND($J513="",$K513&lt;&gt;""),"Nur Assurance-Score",IF($J513="","Messwert fehlt",IF($P513="","Nicht bewertbar",IF($P513&lt;=-2,"Kritische Wirkung / Prüfung","Berechnet"))))))</x:f>
        <x:v>Messwert fehlt</x:v>
      </x:c>
      <x:c r="T513" s="14" t="str">
        <x:v>Vollständige fünfstufige numerische Regel.</x:v>
      </x:c>
      <x:c r="U513" s="14" t="str">
        <x:v>≥0,9:+3; 0,75–0,89:+2; 0,6–0,74:0; 0,4–0,59:‑2; &lt;0,4:‑3</x:v>
      </x:c>
      <x:c r="V513" s="14" t="str">
        <x:v>ESRS G1, GRI 205/207, OECD Anti‑Bribery</x:v>
      </x:c>
      <x:c r="W513" s="14" t="str">
        <x:f>'02_Benchmarks'!$P513</x:f>
        <x:v>Optional – kein aktiver Benchmark</x:v>
      </x:c>
      <x:c r="X513" s="14" t="str">
        <x:v>Messgrundlage belegt; Schwellenkalibrierung offen</x:v>
      </x:c>
      <x:c r="Y513" s="14" t="str">
        <x:v>Mittel</x:v>
      </x:c>
      <x:c r="Z513" s="14" t="str">
        <x:v>Arbeitskalibrierung – fachlich zu validieren</x:v>
      </x:c>
      <x:c r="AA513" s="14" t="str">
        <x:v>Organisation/Governance; konsolidierter Kreis und relevante Rechtseinheiten</x:v>
      </x:c>
      <x:c r="AB513" s="14" t="str">
        <x:v>Primärdaten bevorzugt; Sekundärdaten nur transparent und versioniert; Methode und Systemgrenze dokumentieren</x:v>
      </x:c>
      <x:c r="AC513" s="14" t="str">
        <x:v>Limited Assurance; risikobasiert höhere Prüftiefe</x:v>
      </x:c>
    </x:row>
    <x:row r="514" ht="42" customHeight="1">
      <x:c r="A514" s="14" t="str">
        <x:v>WOK-G-214</x:v>
      </x:c>
      <x:c r="B514" s="14" t="str">
        <x:v>SDG+ – Rechtsstaatlichkeit</x:v>
      </x:c>
      <x:c r="C514" s="14" t="str">
        <x:v>—</x:v>
      </x:c>
      <x:c r="D514" s="14" t="str">
        <x:v>Transparenz Lobbying</x:v>
      </x:c>
      <x:c r="E514" s="14" t="str">
        <x:v>Transparenz Lobbying – Steuertransparenz</x:v>
      </x:c>
      <x:c r="F514" s="14" t="str">
        <x:v>0–1</x:v>
      </x:c>
      <x:c r="G514" s="14" t="str">
        <x:v>higher_is_better</x:v>
      </x:c>
      <x:c r="H514" s="14" t="str">
        <x:v>R08</x:v>
      </x:c>
      <x:c r="I514" s="14" t="str">
        <x:v>QUALITATIVE</x:v>
      </x:c>
      <x:c r="J514" s="51"/>
      <x:c r="K514" s="51"/>
      <x:c r="L514" s="51"/>
      <x:c r="M514" s="54"/>
      <x:c r="N514" s="58" t="str">
        <x:f>""</x:f>
      </x:c>
      <x:c r="O514" s="58" t="str">
        <x:f>IF($J514="","",IF(OR('02_Benchmarks'!$P514&lt;&gt;"Aktiv",COUNT('02_Benchmarks'!$J514:$M514)&lt;4),"",IF($G514="lower_is_better",IF($J514&lt;='02_Benchmarks'!$J514,3,IF($J514&lt;'02_Benchmarks'!$K514,2,IF($J514&lt;='02_Benchmarks'!$L514,0,IF($J514&lt;='02_Benchmarks'!$M514,-2,-3)))),IF($J514&gt;='02_Benchmarks'!$J514,3,IF($J514&gt;'02_Benchmarks'!$K514,2,IF($J514&gt;='02_Benchmarks'!$L514,0,IF($J514&gt;='02_Benchmarks'!$M514,-2,-3)))))))</x:f>
      </x:c>
      <x:c r="P514" s="58" t="str">
        <x:f>IF(COUNT($N514:$O514)+IF(ISNUMBER($K514),1,0)=0,"",MIN($N514:$O514,$K514))</x:f>
      </x:c>
      <x:c r="Q514" s="58" t="str">
        <x:f>IF($P514="","",INDEX('04_Tarifmodell'!$B$6:$B$12,$P514+4))</x:f>
      </x:c>
      <x:c r="R514" s="64" t="str">
        <x:f>IF($P514="","",INDEX('04_Tarifmodell'!$C$6:$C$12,$P514+4))</x:f>
      </x:c>
      <x:c r="S514" s="14" t="str">
        <x:f>IF(OR($I514="QUALITATIVE",$I514="MANUAL_HYBRID"),IF($K514="","Assurance-Score fehlt","Assurance-bewertet"),IF($I514="BENCHMARK",IF($W514&lt;&gt;"Aktiv",IF($K514="","Benchmark fehlt","Assurance-bewertet"),IF($J514="","Messwert fehlt",IF($P514="","Nicht bewertbar","Berechnet"))),IF(AND($J514="",$K514&lt;&gt;""),"Nur Assurance-Score",IF($J514="","Messwert fehlt",IF($P514="","Nicht bewertbar",IF($P514&lt;=-2,"Kritische Wirkung / Prüfung","Berechnet"))))))</x:f>
        <x:v>Assurance-Score fehlt</x:v>
      </x:c>
      <x:c r="T514" s="14" t="str">
        <x:v>Die Kategorie −3 fehlt; Vollständigkeit und Wirksamkeit sind feldspezifisch zu definieren.</x:v>
      </x:c>
      <x:c r="U514" s="14" t="str">
        <x:v>vollständig:+3; teilweise:+2; minimal:0; schlecht:‑2</x:v>
      </x:c>
      <x:c r="V514" s="14" t="str">
        <x:v>ESRS G1, GRI 205/207, OECD Anti‑Bribery</x:v>
      </x:c>
      <x:c r="W514" s="14" t="str">
        <x:f>'02_Benchmarks'!$P514</x:f>
        <x:v>Optional – kein aktiver Benchmark</x:v>
      </x:c>
      <x:c r="X514" s="14" t="str">
        <x:v>Messgrundlage belegt; Schwellenkalibrierung offen</x:v>
      </x:c>
      <x:c r="Y514" s="14" t="str">
        <x:v>Hoch</x:v>
      </x:c>
      <x:c r="Z514" s="14" t="str">
        <x:v>Assurance und Kriterienkatalog erforderlich</x:v>
      </x:c>
      <x:c r="AA514" s="14" t="str">
        <x:v>Organisation/Governance; konsolidierter Kreis und relevante Rechtseinheiten</x:v>
      </x:c>
      <x:c r="AB514" s="14" t="str">
        <x:v>Dokumentierter Kriterienkatalog; nachvollziehbare Evidenz; DQR A/B bevorzugt</x:v>
      </x:c>
      <x:c r="AC514" s="14" t="str">
        <x:v>Unabhängige Fachprüfung/Limited Assurance; bei roten Linien Reasonable Assurance</x:v>
      </x:c>
    </x:row>
    <x:row r="515" ht="42" customHeight="1">
      <x:c r="A515" s="14" t="str">
        <x:v>WOK-SYS-179</x:v>
      </x:c>
      <x:c r="B515" s="14" t="str">
        <x:v>SDG+ – Rechtsstaatlichkeit</x:v>
      </x:c>
      <x:c r="C515" s="14" t="str">
        <x:v>—</x:v>
      </x:c>
      <x:c r="D515" s="14" t="str">
        <x:v>Strategische Klagen (SLAPP)</x:v>
      </x:c>
      <x:c r="E515" s="14" t="str">
        <x:v>Strategische Klagen (SLAPP) – Index</x:v>
      </x:c>
      <x:c r="F515" s="14" t="str">
        <x:v>0–1</x:v>
      </x:c>
      <x:c r="G515" s="14" t="str">
        <x:v>higher_is_better</x:v>
      </x:c>
      <x:c r="H515" s="14" t="str">
        <x:v>R15</x:v>
      </x:c>
      <x:c r="I515" s="14" t="str">
        <x:v>NUM_HIGH</x:v>
      </x:c>
      <x:c r="J515" s="51"/>
      <x:c r="K515" s="51"/>
      <x:c r="L515" s="51"/>
      <x:c r="M515" s="54"/>
      <x:c r="N515" s="58" t="str">
        <x:f>IF($J515="","",IF($J515&lt;0.5,-3,IF($J515&lt;0.6,-2,IF($J515&lt;0.7,0,IF($J515&lt;0.8,2,3)))))</x:f>
      </x:c>
      <x:c r="O515" s="58" t="str">
        <x:f>IF($J515="","",IF(OR('02_Benchmarks'!$P515&lt;&gt;"Aktiv",COUNT('02_Benchmarks'!$J515:$M515)&lt;4),"",IF($G515="lower_is_better",IF($J515&lt;='02_Benchmarks'!$J515,3,IF($J515&lt;'02_Benchmarks'!$K515,2,IF($J515&lt;='02_Benchmarks'!$L515,0,IF($J515&lt;='02_Benchmarks'!$M515,-2,-3)))),IF($J515&gt;='02_Benchmarks'!$J515,3,IF($J515&gt;'02_Benchmarks'!$K515,2,IF($J515&gt;='02_Benchmarks'!$L515,0,IF($J515&gt;='02_Benchmarks'!$M515,-2,-3)))))))</x:f>
      </x:c>
      <x:c r="P515" s="58" t="str">
        <x:f>IF(COUNT($N515:$O515)+IF(ISNUMBER($K515),1,0)=0,"",MIN($N515:$O515,$K515))</x:f>
      </x:c>
      <x:c r="Q515" s="58" t="str">
        <x:f>IF($P515="","",INDEX('04_Tarifmodell'!$B$6:$B$12,$P515+4))</x:f>
      </x:c>
      <x:c r="R515" s="64" t="str">
        <x:f>IF($P515="","",INDEX('04_Tarifmodell'!$C$6:$C$12,$P515+4))</x:f>
      </x:c>
      <x:c r="S515" s="14" t="str">
        <x:f>IF(OR($I515="QUALITATIVE",$I515="MANUAL_HYBRID"),IF($K515="","Assurance-Score fehlt","Assurance-bewertet"),IF($I515="BENCHMARK",IF($W515&lt;&gt;"Aktiv",IF($K515="","Benchmark fehlt","Assurance-bewertet"),IF($J515="","Messwert fehlt",IF($P515="","Nicht bewertbar","Berechnet"))),IF(AND($J515="",$K515&lt;&gt;""),"Nur Assurance-Score",IF($J515="","Messwert fehlt",IF($P515="","Nicht bewertbar",IF($P515&lt;=-2,"Kritische Wirkung / Prüfung","Berechnet"))))))</x:f>
        <x:v>Messwert fehlt</x:v>
      </x:c>
      <x:c r="T515" s="14" t="str">
        <x:v>SROI/SDG 17 ist keine hinreichend konkrete Mess- oder Schwellenquelle. Vollständige fünfstufige numerische Regel.</x:v>
      </x:c>
      <x:c r="U515" s="14" t="str">
        <x:v>≥0,8:+3; 0,7–0,79:+2; 0,6–0,69:0; 0,5–0,59:‑2; &lt;0,5:‑3</x:v>
      </x:c>
      <x:c r="V515" s="14" t="str">
        <x:v>ITU L.1300/L.1310, ETSI EN 305 200</x:v>
      </x:c>
      <x:c r="W515" s="14" t="str">
        <x:f>'02_Benchmarks'!$P515</x:f>
        <x:v>Optional – kein aktiver Benchmark</x:v>
      </x:c>
      <x:c r="X515" s="14" t="str">
        <x:v>Platzhalter – fachliche Operationalisierung offen</x:v>
      </x:c>
      <x:c r="Y515" s="14" t="str">
        <x:v>Kritisch</x:v>
      </x:c>
      <x:c r="Z515" s="14" t="str">
        <x:v>Arbeitskalibrierung – fachlich zu validieren</x:v>
      </x:c>
      <x:c r="AA515" s="14" t="str">
        <x:v>Programm/Portfolio/Systemraum; Empfängergruppe, Region und Zeitraum explizit definieren</x:v>
      </x:c>
      <x:c r="AB515" s="14" t="str">
        <x:v>Primärdaten bevorzugt; Sekundärdaten nur transparent und versioniert; Methode und Systemgrenze dokumentieren</x:v>
      </x:c>
      <x:c r="AC515" s="14" t="str">
        <x:v>Limited Assurance; risikobasiert höhere Prüftiefe</x:v>
      </x:c>
    </x:row>
    <x:row r="516" ht="42" customHeight="1">
      <x:c r="A516" s="14" t="str">
        <x:v>WOK-SYS-180</x:v>
      </x:c>
      <x:c r="B516" s="14" t="str">
        <x:v>SDG+ – Rechtsstaatlichkeit</x:v>
      </x:c>
      <x:c r="C516" s="14" t="str">
        <x:v>—</x:v>
      </x:c>
      <x:c r="D516" s="14" t="str">
        <x:v>Strategische Klagen (SLAPP)</x:v>
      </x:c>
      <x:c r="E516" s="14" t="str">
        <x:v>Strategische Klagen (SLAPP) – Exposure</x:v>
      </x:c>
      <x:c r="F516" s="14" t="str">
        <x:v>%</x:v>
      </x:c>
      <x:c r="G516" s="14" t="str">
        <x:v>lower_is_better</x:v>
      </x:c>
      <x:c r="H516" s="14" t="str">
        <x:v>R13</x:v>
      </x:c>
      <x:c r="I516" s="14" t="str">
        <x:v>NUM_LOW</x:v>
      </x:c>
      <x:c r="J516" s="51"/>
      <x:c r="K516" s="51"/>
      <x:c r="L516" s="51"/>
      <x:c r="M516" s="54"/>
      <x:c r="N516" s="58" t="str">
        <x:f>IF($J516="","",IF($J516&lt;=5,3,IF($J516&lt;=10,2,IF($J516&lt;=20,0,IF($J516&lt;=30,-2,-3)))))</x:f>
      </x:c>
      <x:c r="O516" s="58" t="str">
        <x:f>IF($J516="","",IF(OR('02_Benchmarks'!$P516&lt;&gt;"Aktiv",COUNT('02_Benchmarks'!$J516:$M516)&lt;4),"",IF($G516="lower_is_better",IF($J516&lt;='02_Benchmarks'!$J516,3,IF($J516&lt;'02_Benchmarks'!$K516,2,IF($J516&lt;='02_Benchmarks'!$L516,0,IF($J516&lt;='02_Benchmarks'!$M516,-2,-3)))),IF($J516&gt;='02_Benchmarks'!$J516,3,IF($J516&gt;'02_Benchmarks'!$K516,2,IF($J516&gt;='02_Benchmarks'!$L516,0,IF($J516&gt;='02_Benchmarks'!$M516,-2,-3)))))))</x:f>
      </x:c>
      <x:c r="P516" s="58" t="str">
        <x:f>IF(COUNT($N516:$O516)+IF(ISNUMBER($K516),1,0)=0,"",MIN($N516:$O516,$K516))</x:f>
      </x:c>
      <x:c r="Q516" s="58" t="str">
        <x:f>IF($P516="","",INDEX('04_Tarifmodell'!$B$6:$B$12,$P516+4))</x:f>
      </x:c>
      <x:c r="R516" s="64" t="str">
        <x:f>IF($P516="","",INDEX('04_Tarifmodell'!$C$6:$C$12,$P516+4))</x:f>
      </x:c>
      <x:c r="S516" s="14" t="str">
        <x:f>IF(OR($I516="QUALITATIVE",$I516="MANUAL_HYBRID"),IF($K516="","Assurance-Score fehlt","Assurance-bewertet"),IF($I516="BENCHMARK",IF($W516&lt;&gt;"Aktiv",IF($K516="","Benchmark fehlt","Assurance-bewertet"),IF($J516="","Messwert fehlt",IF($P516="","Nicht bewertbar","Berechnet"))),IF(AND($J516="",$K516&lt;&gt;""),"Nur Assurance-Score",IF($J516="","Messwert fehlt",IF($P516="","Nicht bewertbar",IF($P516&lt;=-2,"Kritische Wirkung / Prüfung","Berechnet"))))))</x:f>
        <x:v>Messwert fehlt</x:v>
      </x:c>
      <x:c r="T516" s="14" t="str">
        <x:v>SROI/SDG 17 ist keine hinreichend konkrete Mess- oder Schwellenquelle. Vollständige fünfstufige numerische Regel.</x:v>
      </x:c>
      <x:c r="U516" s="14" t="str">
        <x:v>≤5:+3; 6–10:+2; 11–20:0; 21–30:‑2; &gt;30:‑3</x:v>
      </x:c>
      <x:c r="V516" s="14" t="str">
        <x:v>ITU L.1300/L.1310, ETSI EN 305 200</x:v>
      </x:c>
      <x:c r="W516" s="14" t="str">
        <x:f>'02_Benchmarks'!$P516</x:f>
        <x:v>Optional – kein aktiver Benchmark</x:v>
      </x:c>
      <x:c r="X516" s="14" t="str">
        <x:v>Platzhalter – fachliche Operationalisierung offen</x:v>
      </x:c>
      <x:c r="Y516" s="14" t="str">
        <x:v>Kritisch</x:v>
      </x:c>
      <x:c r="Z516" s="14" t="str">
        <x:v>Arbeitskalibrierung – fachlich zu validieren</x:v>
      </x:c>
      <x:c r="AA516" s="14" t="str">
        <x:v>Programm/Portfolio/Systemraum; Empfängergruppe, Region und Zeitraum explizit definieren</x:v>
      </x:c>
      <x:c r="AB516" s="14" t="str">
        <x:v>Primärdaten bevorzugt; Sekundärdaten nur transparent und versioniert; Methode und Systemgrenze dokumentieren</x:v>
      </x:c>
      <x:c r="AC516" s="14" t="str">
        <x:v>Limited Assurance; risikobasiert höhere Prüftiefe</x:v>
      </x:c>
    </x:row>
    <x:row r="517" ht="42" customHeight="1">
      <x:c r="A517" s="14" t="str">
        <x:v>WOK-SYS-181</x:v>
      </x:c>
      <x:c r="B517" s="14" t="str">
        <x:v>SDG+ – Rechtsstaatlichkeit</x:v>
      </x:c>
      <x:c r="C517" s="14" t="str">
        <x:v>—</x:v>
      </x:c>
      <x:c r="D517" s="14" t="str">
        <x:v>Strategische Klagen (SLAPP)</x:v>
      </x:c>
      <x:c r="E517" s="14" t="str">
        <x:v>Strategische Klagen (SLAPP) – Kooperationen</x:v>
      </x:c>
      <x:c r="F517" s="14" t="str">
        <x:v>#/Jahr</x:v>
      </x:c>
      <x:c r="G517" s="14" t="str">
        <x:v>higher_is_better</x:v>
      </x:c>
      <x:c r="H517" s="14" t="str">
        <x:v>R20</x:v>
      </x:c>
      <x:c r="I517" s="14" t="str">
        <x:v>NUM_HIGH</x:v>
      </x:c>
      <x:c r="J517" s="51"/>
      <x:c r="K517" s="51"/>
      <x:c r="L517" s="51"/>
      <x:c r="M517" s="54"/>
      <x:c r="N517" s="58" t="str">
        <x:f>IF($J517="","",IF($J517&lt;0,-3,IF($J517&lt;1,-2,IF($J517&lt;3,0,IF($J517&lt;5,2,3)))))</x:f>
      </x:c>
      <x:c r="O517" s="58" t="str">
        <x:f>IF($J517="","",IF(OR('02_Benchmarks'!$P517&lt;&gt;"Aktiv",COUNT('02_Benchmarks'!$J517:$M517)&lt;4),"",IF($G517="lower_is_better",IF($J517&lt;='02_Benchmarks'!$J517,3,IF($J517&lt;'02_Benchmarks'!$K517,2,IF($J517&lt;='02_Benchmarks'!$L517,0,IF($J517&lt;='02_Benchmarks'!$M517,-2,-3)))),IF($J517&gt;='02_Benchmarks'!$J517,3,IF($J517&gt;'02_Benchmarks'!$K517,2,IF($J517&gt;='02_Benchmarks'!$L517,0,IF($J517&gt;='02_Benchmarks'!$M517,-2,-3)))))))</x:f>
      </x:c>
      <x:c r="P517" s="58" t="str">
        <x:f>IF(COUNT($N517:$O517)+IF(ISNUMBER($K517),1,0)=0,"",MIN($N517:$O517,$K517))</x:f>
      </x:c>
      <x:c r="Q517" s="58" t="str">
        <x:f>IF($P517="","",INDEX('04_Tarifmodell'!$B$6:$B$12,$P517+4))</x:f>
      </x:c>
      <x:c r="R517" s="64" t="str">
        <x:f>IF($P517="","",INDEX('04_Tarifmodell'!$C$6:$C$12,$P517+4))</x:f>
      </x:c>
      <x:c r="S517" s="14" t="str">
        <x:f>IF(OR($I517="QUALITATIVE",$I517="MANUAL_HYBRID"),IF($K517="","Assurance-Score fehlt","Assurance-bewertet"),IF($I517="BENCHMARK",IF($W517&lt;&gt;"Aktiv",IF($K517="","Benchmark fehlt","Assurance-bewertet"),IF($J517="","Messwert fehlt",IF($P517="","Nicht bewertbar","Berechnet"))),IF(AND($J517="",$K517&lt;&gt;""),"Nur Assurance-Score",IF($J517="","Messwert fehlt",IF($P517="","Nicht bewertbar",IF($P517&lt;=-2,"Kritische Wirkung / Prüfung","Berechnet"))))))</x:f>
        <x:v>Messwert fehlt</x:v>
      </x:c>
      <x:c r="T517" s="14" t="str">
        <x:v>SROI/SDG 17 ist keine hinreichend konkrete Mess- oder Schwellenquelle. Für sachlogisch nichtnegative Zählwerte ist 0 die schlechteste reguläre Klasse (−2).</x:v>
      </x:c>
      <x:c r="U517" s="14" t="str">
        <x:v>≥5:+3; 3–4:+2; 1–2:0; 0:‑2</x:v>
      </x:c>
      <x:c r="V517" s="14" t="str">
        <x:v>ITU L.1300/L.1310, ETSI EN 305 200</x:v>
      </x:c>
      <x:c r="W517" s="14" t="str">
        <x:f>'02_Benchmarks'!$P517</x:f>
        <x:v>Optional – kein aktiver Benchmark</x:v>
      </x:c>
      <x:c r="X517" s="14" t="str">
        <x:v>Platzhalter – fachliche Operationalisierung offen</x:v>
      </x:c>
      <x:c r="Y517" s="14" t="str">
        <x:v>Kritisch</x:v>
      </x:c>
      <x:c r="Z517" s="14" t="str">
        <x:v>Klasse −3 nur für negative/unzulässige Werte ergänzt</x:v>
      </x:c>
      <x:c r="AA517" s="14" t="str">
        <x:v>Programm/Portfolio/Systemraum; Empfängergruppe, Region und Zeitraum explizit definieren</x:v>
      </x:c>
      <x:c r="AB517" s="14" t="str">
        <x:v>Primärdaten bevorzugt; Sekundärdaten nur transparent und versioniert; Methode und Systemgrenze dokumentieren</x:v>
      </x:c>
      <x:c r="AC517" s="14" t="str">
        <x:v>Limited Assurance; risikobasiert höhere Prüftiefe</x:v>
      </x:c>
    </x:row>
    <x:row r="518" ht="42" customHeight="1">
      <x:c r="A518" s="14" t="str">
        <x:v>WOK-SYS-182</x:v>
      </x:c>
      <x:c r="B518" s="14" t="str">
        <x:v>SDG+ – Diskurskultur</x:v>
      </x:c>
      <x:c r="C518" s="14" t="str">
        <x:v>—</x:v>
      </x:c>
      <x:c r="D518" s="14" t="str">
        <x:v>Hate‑Speech Inzidenz</x:v>
      </x:c>
      <x:c r="E518" s="14" t="str">
        <x:v>Hate‑Speech Inzidenz – Index</x:v>
      </x:c>
      <x:c r="F518" s="14" t="str">
        <x:v>0–1</x:v>
      </x:c>
      <x:c r="G518" s="14" t="str">
        <x:v>higher_is_better</x:v>
      </x:c>
      <x:c r="H518" s="14" t="str">
        <x:v>R15</x:v>
      </x:c>
      <x:c r="I518" s="14" t="str">
        <x:v>NUM_HIGH</x:v>
      </x:c>
      <x:c r="J518" s="51"/>
      <x:c r="K518" s="51"/>
      <x:c r="L518" s="51"/>
      <x:c r="M518" s="54"/>
      <x:c r="N518" s="58" t="str">
        <x:f>IF($J518="","",IF($J518&lt;0.5,-3,IF($J518&lt;0.6,-2,IF($J518&lt;0.7,0,IF($J518&lt;0.8,2,3)))))</x:f>
      </x:c>
      <x:c r="O518" s="58" t="str">
        <x:f>IF($J518="","",IF(OR('02_Benchmarks'!$P518&lt;&gt;"Aktiv",COUNT('02_Benchmarks'!$J518:$M518)&lt;4),"",IF($G518="lower_is_better",IF($J518&lt;='02_Benchmarks'!$J518,3,IF($J518&lt;'02_Benchmarks'!$K518,2,IF($J518&lt;='02_Benchmarks'!$L518,0,IF($J518&lt;='02_Benchmarks'!$M518,-2,-3)))),IF($J518&gt;='02_Benchmarks'!$J518,3,IF($J518&gt;'02_Benchmarks'!$K518,2,IF($J518&gt;='02_Benchmarks'!$L518,0,IF($J518&gt;='02_Benchmarks'!$M518,-2,-3)))))))</x:f>
      </x:c>
      <x:c r="P518" s="58" t="str">
        <x:f>IF(COUNT($N518:$O518)+IF(ISNUMBER($K518),1,0)=0,"",MIN($N518:$O518,$K518))</x:f>
      </x:c>
      <x:c r="Q518" s="58" t="str">
        <x:f>IF($P518="","",INDEX('04_Tarifmodell'!$B$6:$B$12,$P518+4))</x:f>
      </x:c>
      <x:c r="R518" s="64" t="str">
        <x:f>IF($P518="","",INDEX('04_Tarifmodell'!$C$6:$C$12,$P518+4))</x:f>
      </x:c>
      <x:c r="S518" s="14" t="str">
        <x:f>IF(OR($I518="QUALITATIVE",$I518="MANUAL_HYBRID"),IF($K518="","Assurance-Score fehlt","Assurance-bewertet"),IF($I518="BENCHMARK",IF($W518&lt;&gt;"Aktiv",IF($K518="","Benchmark fehlt","Assurance-bewertet"),IF($J518="","Messwert fehlt",IF($P518="","Nicht bewertbar","Berechnet"))),IF(AND($J518="",$K518&lt;&gt;""),"Nur Assurance-Score",IF($J518="","Messwert fehlt",IF($P518="","Nicht bewertbar",IF($P518&lt;=-2,"Kritische Wirkung / Prüfung","Berechnet"))))))</x:f>
        <x:v>Messwert fehlt</x:v>
      </x:c>
      <x:c r="T518" s="14" t="str">
        <x:v>SROI/SDG 17 ist keine hinreichend konkrete Mess- oder Schwellenquelle. Vollständige fünfstufige numerische Regel.</x:v>
      </x:c>
      <x:c r="U518" s="14" t="str">
        <x:v>≥0,8:+3; 0,7–0,79:+2; 0,6–0,69:0; 0,5–0,59:‑2; &lt;0,5:‑3</x:v>
      </x:c>
      <x:c r="V518" s="14" t="str">
        <x:v>SDG 16/17, WJP, V‑Dem</x:v>
      </x:c>
      <x:c r="W518" s="14" t="str">
        <x:f>'02_Benchmarks'!$P518</x:f>
        <x:v>Optional – kein aktiver Benchmark</x:v>
      </x:c>
      <x:c r="X518" s="14" t="str">
        <x:v>Platzhalter – fachliche Operationalisierung offen</x:v>
      </x:c>
      <x:c r="Y518" s="14" t="str">
        <x:v>Kritisch</x:v>
      </x:c>
      <x:c r="Z518" s="14" t="str">
        <x:v>Arbeitskalibrierung – fachlich zu validieren</x:v>
      </x:c>
      <x:c r="AA518" s="14" t="str">
        <x:v>Programm/Portfolio/Systemraum; Empfängergruppe, Region und Zeitraum explizit definieren</x:v>
      </x:c>
      <x:c r="AB518" s="14" t="str">
        <x:v>Primärdaten bevorzugt; Sekundärdaten nur transparent und versioniert; Methode und Systemgrenze dokumentieren</x:v>
      </x:c>
      <x:c r="AC518" s="14" t="str">
        <x:v>Limited Assurance; risikobasiert höhere Prüftiefe</x:v>
      </x:c>
    </x:row>
    <x:row r="519" ht="42" customHeight="1">
      <x:c r="A519" s="14" t="str">
        <x:v>WOK-SYS-183</x:v>
      </x:c>
      <x:c r="B519" s="14" t="str">
        <x:v>SDG+ – Diskurskultur</x:v>
      </x:c>
      <x:c r="C519" s="14" t="str">
        <x:v>—</x:v>
      </x:c>
      <x:c r="D519" s="14" t="str">
        <x:v>Hate‑Speech Inzidenz</x:v>
      </x:c>
      <x:c r="E519" s="14" t="str">
        <x:v>Hate‑Speech Inzidenz – Exposure</x:v>
      </x:c>
      <x:c r="F519" s="14" t="str">
        <x:v>%</x:v>
      </x:c>
      <x:c r="G519" s="14" t="str">
        <x:v>lower_is_better</x:v>
      </x:c>
      <x:c r="H519" s="14" t="str">
        <x:v>R13</x:v>
      </x:c>
      <x:c r="I519" s="14" t="str">
        <x:v>NUM_LOW</x:v>
      </x:c>
      <x:c r="J519" s="51"/>
      <x:c r="K519" s="51"/>
      <x:c r="L519" s="51"/>
      <x:c r="M519" s="54"/>
      <x:c r="N519" s="58" t="str">
        <x:f>IF($J519="","",IF($J519&lt;=5,3,IF($J519&lt;=10,2,IF($J519&lt;=20,0,IF($J519&lt;=30,-2,-3)))))</x:f>
      </x:c>
      <x:c r="O519" s="58" t="str">
        <x:f>IF($J519="","",IF(OR('02_Benchmarks'!$P519&lt;&gt;"Aktiv",COUNT('02_Benchmarks'!$J519:$M519)&lt;4),"",IF($G519="lower_is_better",IF($J519&lt;='02_Benchmarks'!$J519,3,IF($J519&lt;'02_Benchmarks'!$K519,2,IF($J519&lt;='02_Benchmarks'!$L519,0,IF($J519&lt;='02_Benchmarks'!$M519,-2,-3)))),IF($J519&gt;='02_Benchmarks'!$J519,3,IF($J519&gt;'02_Benchmarks'!$K519,2,IF($J519&gt;='02_Benchmarks'!$L519,0,IF($J519&gt;='02_Benchmarks'!$M519,-2,-3)))))))</x:f>
      </x:c>
      <x:c r="P519" s="58" t="str">
        <x:f>IF(COUNT($N519:$O519)+IF(ISNUMBER($K519),1,0)=0,"",MIN($N519:$O519,$K519))</x:f>
      </x:c>
      <x:c r="Q519" s="58" t="str">
        <x:f>IF($P519="","",INDEX('04_Tarifmodell'!$B$6:$B$12,$P519+4))</x:f>
      </x:c>
      <x:c r="R519" s="64" t="str">
        <x:f>IF($P519="","",INDEX('04_Tarifmodell'!$C$6:$C$12,$P519+4))</x:f>
      </x:c>
      <x:c r="S519" s="14" t="str">
        <x:f>IF(OR($I519="QUALITATIVE",$I519="MANUAL_HYBRID"),IF($K519="","Assurance-Score fehlt","Assurance-bewertet"),IF($I519="BENCHMARK",IF($W519&lt;&gt;"Aktiv",IF($K519="","Benchmark fehlt","Assurance-bewertet"),IF($J519="","Messwert fehlt",IF($P519="","Nicht bewertbar","Berechnet"))),IF(AND($J519="",$K519&lt;&gt;""),"Nur Assurance-Score",IF($J519="","Messwert fehlt",IF($P519="","Nicht bewertbar",IF($P519&lt;=-2,"Kritische Wirkung / Prüfung","Berechnet"))))))</x:f>
        <x:v>Messwert fehlt</x:v>
      </x:c>
      <x:c r="T519" s="14" t="str">
        <x:v>SROI/SDG 17 ist keine hinreichend konkrete Mess- oder Schwellenquelle. Vollständige fünfstufige numerische Regel.</x:v>
      </x:c>
      <x:c r="U519" s="14" t="str">
        <x:v>≤5:+3; 6–10:+2; 11–20:0; 21–30:‑2; &gt;30:‑3</x:v>
      </x:c>
      <x:c r="V519" s="14" t="str">
        <x:v>SROI/SDG17</x:v>
      </x:c>
      <x:c r="W519" s="14" t="str">
        <x:f>'02_Benchmarks'!$P519</x:f>
        <x:v>Optional – kein aktiver Benchmark</x:v>
      </x:c>
      <x:c r="X519" s="14" t="str">
        <x:v>Platzhalter – fachliche Operationalisierung offen</x:v>
      </x:c>
      <x:c r="Y519" s="14" t="str">
        <x:v>Kritisch</x:v>
      </x:c>
      <x:c r="Z519" s="14" t="str">
        <x:v>Arbeitskalibrierung – fachlich zu validieren</x:v>
      </x:c>
      <x:c r="AA519" s="14" t="str">
        <x:v>Programm/Portfolio/Systemraum; Empfängergruppe, Region und Zeitraum explizit definieren</x:v>
      </x:c>
      <x:c r="AB519" s="14" t="str">
        <x:v>Primärdaten bevorzugt; Sekundärdaten nur transparent und versioniert; Methode und Systemgrenze dokumentieren</x:v>
      </x:c>
      <x:c r="AC519" s="14" t="str">
        <x:v>Limited Assurance; risikobasiert höhere Prüftiefe</x:v>
      </x:c>
    </x:row>
    <x:row r="520" ht="42" customHeight="1">
      <x:c r="A520" s="14" t="str">
        <x:v>WOK-SYS-184</x:v>
      </x:c>
      <x:c r="B520" s="14" t="str">
        <x:v>SDG+ – Diskurskultur</x:v>
      </x:c>
      <x:c r="C520" s="14" t="str">
        <x:v>—</x:v>
      </x:c>
      <x:c r="D520" s="14" t="str">
        <x:v>Hate‑Speech Inzidenz</x:v>
      </x:c>
      <x:c r="E520" s="14" t="str">
        <x:v>Hate‑Speech Inzidenz – Kooperationen</x:v>
      </x:c>
      <x:c r="F520" s="14" t="str">
        <x:v>#/Jahr</x:v>
      </x:c>
      <x:c r="G520" s="14" t="str">
        <x:v>higher_is_better</x:v>
      </x:c>
      <x:c r="H520" s="14" t="str">
        <x:v>R20</x:v>
      </x:c>
      <x:c r="I520" s="14" t="str">
        <x:v>NUM_HIGH</x:v>
      </x:c>
      <x:c r="J520" s="51"/>
      <x:c r="K520" s="51"/>
      <x:c r="L520" s="51"/>
      <x:c r="M520" s="54"/>
      <x:c r="N520" s="58" t="str">
        <x:f>IF($J520="","",IF($J520&lt;0,-3,IF($J520&lt;1,-2,IF($J520&lt;3,0,IF($J520&lt;5,2,3)))))</x:f>
      </x:c>
      <x:c r="O520" s="58" t="str">
        <x:f>IF($J520="","",IF(OR('02_Benchmarks'!$P520&lt;&gt;"Aktiv",COUNT('02_Benchmarks'!$J520:$M520)&lt;4),"",IF($G520="lower_is_better",IF($J520&lt;='02_Benchmarks'!$J520,3,IF($J520&lt;'02_Benchmarks'!$K520,2,IF($J520&lt;='02_Benchmarks'!$L520,0,IF($J520&lt;='02_Benchmarks'!$M520,-2,-3)))),IF($J520&gt;='02_Benchmarks'!$J520,3,IF($J520&gt;'02_Benchmarks'!$K520,2,IF($J520&gt;='02_Benchmarks'!$L520,0,IF($J520&gt;='02_Benchmarks'!$M520,-2,-3)))))))</x:f>
      </x:c>
      <x:c r="P520" s="58" t="str">
        <x:f>IF(COUNT($N520:$O520)+IF(ISNUMBER($K520),1,0)=0,"",MIN($N520:$O520,$K520))</x:f>
      </x:c>
      <x:c r="Q520" s="58" t="str">
        <x:f>IF($P520="","",INDEX('04_Tarifmodell'!$B$6:$B$12,$P520+4))</x:f>
      </x:c>
      <x:c r="R520" s="64" t="str">
        <x:f>IF($P520="","",INDEX('04_Tarifmodell'!$C$6:$C$12,$P520+4))</x:f>
      </x:c>
      <x:c r="S520" s="14" t="str">
        <x:f>IF(OR($I520="QUALITATIVE",$I520="MANUAL_HYBRID"),IF($K520="","Assurance-Score fehlt","Assurance-bewertet"),IF($I520="BENCHMARK",IF($W520&lt;&gt;"Aktiv",IF($K520="","Benchmark fehlt","Assurance-bewertet"),IF($J520="","Messwert fehlt",IF($P520="","Nicht bewertbar","Berechnet"))),IF(AND($J520="",$K520&lt;&gt;""),"Nur Assurance-Score",IF($J520="","Messwert fehlt",IF($P520="","Nicht bewertbar",IF($P520&lt;=-2,"Kritische Wirkung / Prüfung","Berechnet"))))))</x:f>
        <x:v>Messwert fehlt</x:v>
      </x:c>
      <x:c r="T520" s="14" t="str">
        <x:v>SROI/SDG 17 ist keine hinreichend konkrete Mess- oder Schwellenquelle. Für sachlogisch nichtnegative Zählwerte ist 0 die schlechteste reguläre Klasse (−2).</x:v>
      </x:c>
      <x:c r="U520" s="14" t="str">
        <x:v>≥5:+3; 3–4:+2; 1–2:0; 0:‑2</x:v>
      </x:c>
      <x:c r="V520" s="14" t="str">
        <x:v>SDG 16/17, WJP, V‑Dem</x:v>
      </x:c>
      <x:c r="W520" s="14" t="str">
        <x:f>'02_Benchmarks'!$P520</x:f>
        <x:v>Optional – kein aktiver Benchmark</x:v>
      </x:c>
      <x:c r="X520" s="14" t="str">
        <x:v>Platzhalter – fachliche Operationalisierung offen</x:v>
      </x:c>
      <x:c r="Y520" s="14" t="str">
        <x:v>Kritisch</x:v>
      </x:c>
      <x:c r="Z520" s="14" t="str">
        <x:v>Klasse −3 nur für negative/unzulässige Werte ergänzt</x:v>
      </x:c>
      <x:c r="AA520" s="14" t="str">
        <x:v>Programm/Portfolio/Systemraum; Empfängergruppe, Region und Zeitraum explizit definieren</x:v>
      </x:c>
      <x:c r="AB520" s="14" t="str">
        <x:v>Primärdaten bevorzugt; Sekundärdaten nur transparent und versioniert; Methode und Systemgrenze dokumentieren</x:v>
      </x:c>
      <x:c r="AC520" s="14" t="str">
        <x:v>Limited Assurance; risikobasiert höhere Prüftiefe</x:v>
      </x:c>
    </x:row>
    <x:row r="521" ht="42" customHeight="1">
      <x:c r="A521" s="14" t="str">
        <x:v>WOK-SYS-185</x:v>
      </x:c>
      <x:c r="B521" s="14" t="str">
        <x:v>SDG+ – Diskurskultur</x:v>
      </x:c>
      <x:c r="C521" s="14" t="str">
        <x:v>—</x:v>
      </x:c>
      <x:c r="D521" s="14" t="str">
        <x:v>Moderations‑Transparenz</x:v>
      </x:c>
      <x:c r="E521" s="14" t="str">
        <x:v>Moderations‑Transparenz – Index</x:v>
      </x:c>
      <x:c r="F521" s="14" t="str">
        <x:v>0–1</x:v>
      </x:c>
      <x:c r="G521" s="14" t="str">
        <x:v>higher_is_better</x:v>
      </x:c>
      <x:c r="H521" s="14" t="str">
        <x:v>R15</x:v>
      </x:c>
      <x:c r="I521" s="14" t="str">
        <x:v>NUM_HIGH</x:v>
      </x:c>
      <x:c r="J521" s="51"/>
      <x:c r="K521" s="51"/>
      <x:c r="L521" s="51"/>
      <x:c r="M521" s="54"/>
      <x:c r="N521" s="58" t="str">
        <x:f>IF($J521="","",IF($J521&lt;0.5,-3,IF($J521&lt;0.6,-2,IF($J521&lt;0.7,0,IF($J521&lt;0.8,2,3)))))</x:f>
      </x:c>
      <x:c r="O521" s="58" t="str">
        <x:f>IF($J521="","",IF(OR('02_Benchmarks'!$P521&lt;&gt;"Aktiv",COUNT('02_Benchmarks'!$J521:$M521)&lt;4),"",IF($G521="lower_is_better",IF($J521&lt;='02_Benchmarks'!$J521,3,IF($J521&lt;'02_Benchmarks'!$K521,2,IF($J521&lt;='02_Benchmarks'!$L521,0,IF($J521&lt;='02_Benchmarks'!$M521,-2,-3)))),IF($J521&gt;='02_Benchmarks'!$J521,3,IF($J521&gt;'02_Benchmarks'!$K521,2,IF($J521&gt;='02_Benchmarks'!$L521,0,IF($J521&gt;='02_Benchmarks'!$M521,-2,-3)))))))</x:f>
      </x:c>
      <x:c r="P521" s="58" t="str">
        <x:f>IF(COUNT($N521:$O521)+IF(ISNUMBER($K521),1,0)=0,"",MIN($N521:$O521,$K521))</x:f>
      </x:c>
      <x:c r="Q521" s="58" t="str">
        <x:f>IF($P521="","",INDEX('04_Tarifmodell'!$B$6:$B$12,$P521+4))</x:f>
      </x:c>
      <x:c r="R521" s="64" t="str">
        <x:f>IF($P521="","",INDEX('04_Tarifmodell'!$C$6:$C$12,$P521+4))</x:f>
      </x:c>
      <x:c r="S521" s="14" t="str">
        <x:f>IF(OR($I521="QUALITATIVE",$I521="MANUAL_HYBRID"),IF($K521="","Assurance-Score fehlt","Assurance-bewertet"),IF($I521="BENCHMARK",IF($W521&lt;&gt;"Aktiv",IF($K521="","Benchmark fehlt","Assurance-bewertet"),IF($J521="","Messwert fehlt",IF($P521="","Nicht bewertbar","Berechnet"))),IF(AND($J521="",$K521&lt;&gt;""),"Nur Assurance-Score",IF($J521="","Messwert fehlt",IF($P521="","Nicht bewertbar",IF($P521&lt;=-2,"Kritische Wirkung / Prüfung","Berechnet"))))))</x:f>
        <x:v>Messwert fehlt</x:v>
      </x:c>
      <x:c r="T521" s="14" t="str">
        <x:v>SROI/SDG 17 ist keine hinreichend konkrete Mess- oder Schwellenquelle. Vollständige fünfstufige numerische Regel.</x:v>
      </x:c>
      <x:c r="U521" s="14" t="str">
        <x:v>≥0,8:+3; 0,7–0,79:+2; 0,6–0,69:0; 0,5–0,59:‑2; &lt;0,5:‑3</x:v>
      </x:c>
      <x:c r="V521" s="14" t="str">
        <x:v>SDG 16/17, WJP, V‑Dem</x:v>
      </x:c>
      <x:c r="W521" s="14" t="str">
        <x:f>'02_Benchmarks'!$P521</x:f>
        <x:v>Optional – kein aktiver Benchmark</x:v>
      </x:c>
      <x:c r="X521" s="14" t="str">
        <x:v>Platzhalter – fachliche Operationalisierung offen</x:v>
      </x:c>
      <x:c r="Y521" s="14" t="str">
        <x:v>Kritisch</x:v>
      </x:c>
      <x:c r="Z521" s="14" t="str">
        <x:v>Arbeitskalibrierung – fachlich zu validieren</x:v>
      </x:c>
      <x:c r="AA521" s="14" t="str">
        <x:v>Programm/Portfolio/Systemraum; Empfängergruppe, Region und Zeitraum explizit definieren</x:v>
      </x:c>
      <x:c r="AB521" s="14" t="str">
        <x:v>Primärdaten bevorzugt; Sekundärdaten nur transparent und versioniert; Methode und Systemgrenze dokumentieren</x:v>
      </x:c>
      <x:c r="AC521" s="14" t="str">
        <x:v>Limited Assurance; risikobasiert höhere Prüftiefe</x:v>
      </x:c>
    </x:row>
    <x:row r="522" ht="42" customHeight="1">
      <x:c r="A522" s="14" t="str">
        <x:v>WOK-SYS-186</x:v>
      </x:c>
      <x:c r="B522" s="14" t="str">
        <x:v>SDG+ – Diskurskultur</x:v>
      </x:c>
      <x:c r="C522" s="14" t="str">
        <x:v>—</x:v>
      </x:c>
      <x:c r="D522" s="14" t="str">
        <x:v>Moderations‑Transparenz</x:v>
      </x:c>
      <x:c r="E522" s="14" t="str">
        <x:v>Moderations‑Transparenz – Exposure</x:v>
      </x:c>
      <x:c r="F522" s="14" t="str">
        <x:v>%</x:v>
      </x:c>
      <x:c r="G522" s="14" t="str">
        <x:v>lower_is_better</x:v>
      </x:c>
      <x:c r="H522" s="14" t="str">
        <x:v>R13</x:v>
      </x:c>
      <x:c r="I522" s="14" t="str">
        <x:v>NUM_LOW</x:v>
      </x:c>
      <x:c r="J522" s="51"/>
      <x:c r="K522" s="51"/>
      <x:c r="L522" s="51"/>
      <x:c r="M522" s="54"/>
      <x:c r="N522" s="58" t="str">
        <x:f>IF($J522="","",IF($J522&lt;=5,3,IF($J522&lt;=10,2,IF($J522&lt;=20,0,IF($J522&lt;=30,-2,-3)))))</x:f>
      </x:c>
      <x:c r="O522" s="58" t="str">
        <x:f>IF($J522="","",IF(OR('02_Benchmarks'!$P522&lt;&gt;"Aktiv",COUNT('02_Benchmarks'!$J522:$M522)&lt;4),"",IF($G522="lower_is_better",IF($J522&lt;='02_Benchmarks'!$J522,3,IF($J522&lt;'02_Benchmarks'!$K522,2,IF($J522&lt;='02_Benchmarks'!$L522,0,IF($J522&lt;='02_Benchmarks'!$M522,-2,-3)))),IF($J522&gt;='02_Benchmarks'!$J522,3,IF($J522&gt;'02_Benchmarks'!$K522,2,IF($J522&gt;='02_Benchmarks'!$L522,0,IF($J522&gt;='02_Benchmarks'!$M522,-2,-3)))))))</x:f>
      </x:c>
      <x:c r="P522" s="58" t="str">
        <x:f>IF(COUNT($N522:$O522)+IF(ISNUMBER($K522),1,0)=0,"",MIN($N522:$O522,$K522))</x:f>
      </x:c>
      <x:c r="Q522" s="58" t="str">
        <x:f>IF($P522="","",INDEX('04_Tarifmodell'!$B$6:$B$12,$P522+4))</x:f>
      </x:c>
      <x:c r="R522" s="64" t="str">
        <x:f>IF($P522="","",INDEX('04_Tarifmodell'!$C$6:$C$12,$P522+4))</x:f>
      </x:c>
      <x:c r="S522" s="14" t="str">
        <x:f>IF(OR($I522="QUALITATIVE",$I522="MANUAL_HYBRID"),IF($K522="","Assurance-Score fehlt","Assurance-bewertet"),IF($I522="BENCHMARK",IF($W522&lt;&gt;"Aktiv",IF($K522="","Benchmark fehlt","Assurance-bewertet"),IF($J522="","Messwert fehlt",IF($P522="","Nicht bewertbar","Berechnet"))),IF(AND($J522="",$K522&lt;&gt;""),"Nur Assurance-Score",IF($J522="","Messwert fehlt",IF($P522="","Nicht bewertbar",IF($P522&lt;=-2,"Kritische Wirkung / Prüfung","Berechnet"))))))</x:f>
        <x:v>Messwert fehlt</x:v>
      </x:c>
      <x:c r="T522" s="14" t="str">
        <x:v>SROI/SDG 17 ist keine hinreichend konkrete Mess- oder Schwellenquelle. Vollständige fünfstufige numerische Regel.</x:v>
      </x:c>
      <x:c r="U522" s="14" t="str">
        <x:v>≤5:+3; 6–10:+2; 11–20:0; 21–30:‑2; &gt;30:‑3</x:v>
      </x:c>
      <x:c r="V522" s="14" t="str">
        <x:v>SDG 16/17, WJP, V‑Dem</x:v>
      </x:c>
      <x:c r="W522" s="14" t="str">
        <x:f>'02_Benchmarks'!$P522</x:f>
        <x:v>Optional – kein aktiver Benchmark</x:v>
      </x:c>
      <x:c r="X522" s="14" t="str">
        <x:v>Platzhalter – fachliche Operationalisierung offen</x:v>
      </x:c>
      <x:c r="Y522" s="14" t="str">
        <x:v>Kritisch</x:v>
      </x:c>
      <x:c r="Z522" s="14" t="str">
        <x:v>Arbeitskalibrierung – fachlich zu validieren</x:v>
      </x:c>
      <x:c r="AA522" s="14" t="str">
        <x:v>Programm/Portfolio/Systemraum; Empfängergruppe, Region und Zeitraum explizit definieren</x:v>
      </x:c>
      <x:c r="AB522" s="14" t="str">
        <x:v>Primärdaten bevorzugt; Sekundärdaten nur transparent und versioniert; Methode und Systemgrenze dokumentieren</x:v>
      </x:c>
      <x:c r="AC522" s="14" t="str">
        <x:v>Limited Assurance; risikobasiert höhere Prüftiefe</x:v>
      </x:c>
    </x:row>
    <x:row r="523" ht="42" customHeight="1">
      <x:c r="A523" s="14" t="str">
        <x:v>WOK-SYS-187</x:v>
      </x:c>
      <x:c r="B523" s="14" t="str">
        <x:v>SDG+ – Diskurskultur</x:v>
      </x:c>
      <x:c r="C523" s="14" t="str">
        <x:v>—</x:v>
      </x:c>
      <x:c r="D523" s="14" t="str">
        <x:v>Moderations‑Transparenz</x:v>
      </x:c>
      <x:c r="E523" s="14" t="str">
        <x:v>Moderations‑Transparenz – Kooperationen</x:v>
      </x:c>
      <x:c r="F523" s="14" t="str">
        <x:v>#/Jahr</x:v>
      </x:c>
      <x:c r="G523" s="14" t="str">
        <x:v>higher_is_better</x:v>
      </x:c>
      <x:c r="H523" s="14" t="str">
        <x:v>R20</x:v>
      </x:c>
      <x:c r="I523" s="14" t="str">
        <x:v>NUM_HIGH</x:v>
      </x:c>
      <x:c r="J523" s="51"/>
      <x:c r="K523" s="51"/>
      <x:c r="L523" s="51"/>
      <x:c r="M523" s="54"/>
      <x:c r="N523" s="58" t="str">
        <x:f>IF($J523="","",IF($J523&lt;0,-3,IF($J523&lt;1,-2,IF($J523&lt;3,0,IF($J523&lt;5,2,3)))))</x:f>
      </x:c>
      <x:c r="O523" s="58" t="str">
        <x:f>IF($J523="","",IF(OR('02_Benchmarks'!$P523&lt;&gt;"Aktiv",COUNT('02_Benchmarks'!$J523:$M523)&lt;4),"",IF($G523="lower_is_better",IF($J523&lt;='02_Benchmarks'!$J523,3,IF($J523&lt;'02_Benchmarks'!$K523,2,IF($J523&lt;='02_Benchmarks'!$L523,0,IF($J523&lt;='02_Benchmarks'!$M523,-2,-3)))),IF($J523&gt;='02_Benchmarks'!$J523,3,IF($J523&gt;'02_Benchmarks'!$K523,2,IF($J523&gt;='02_Benchmarks'!$L523,0,IF($J523&gt;='02_Benchmarks'!$M523,-2,-3)))))))</x:f>
      </x:c>
      <x:c r="P523" s="58" t="str">
        <x:f>IF(COUNT($N523:$O523)+IF(ISNUMBER($K523),1,0)=0,"",MIN($N523:$O523,$K523))</x:f>
      </x:c>
      <x:c r="Q523" s="58" t="str">
        <x:f>IF($P523="","",INDEX('04_Tarifmodell'!$B$6:$B$12,$P523+4))</x:f>
      </x:c>
      <x:c r="R523" s="64" t="str">
        <x:f>IF($P523="","",INDEX('04_Tarifmodell'!$C$6:$C$12,$P523+4))</x:f>
      </x:c>
      <x:c r="S523" s="14" t="str">
        <x:f>IF(OR($I523="QUALITATIVE",$I523="MANUAL_HYBRID"),IF($K523="","Assurance-Score fehlt","Assurance-bewertet"),IF($I523="BENCHMARK",IF($W523&lt;&gt;"Aktiv",IF($K523="","Benchmark fehlt","Assurance-bewertet"),IF($J523="","Messwert fehlt",IF($P523="","Nicht bewertbar","Berechnet"))),IF(AND($J523="",$K523&lt;&gt;""),"Nur Assurance-Score",IF($J523="","Messwert fehlt",IF($P523="","Nicht bewertbar",IF($P523&lt;=-2,"Kritische Wirkung / Prüfung","Berechnet"))))))</x:f>
        <x:v>Messwert fehlt</x:v>
      </x:c>
      <x:c r="T523" s="14" t="str">
        <x:v>SROI/SDG 17 ist keine hinreichend konkrete Mess- oder Schwellenquelle. Für sachlogisch nichtnegative Zählwerte ist 0 die schlechteste reguläre Klasse (−2).</x:v>
      </x:c>
      <x:c r="U523" s="14" t="str">
        <x:v>≥5:+3; 3–4:+2; 1–2:0; 0:‑2</x:v>
      </x:c>
      <x:c r="V523" s="14" t="str">
        <x:v>SDG 16/17, WJP, V‑Dem</x:v>
      </x:c>
      <x:c r="W523" s="14" t="str">
        <x:f>'02_Benchmarks'!$P523</x:f>
        <x:v>Optional – kein aktiver Benchmark</x:v>
      </x:c>
      <x:c r="X523" s="14" t="str">
        <x:v>Platzhalter – fachliche Operationalisierung offen</x:v>
      </x:c>
      <x:c r="Y523" s="14" t="str">
        <x:v>Kritisch</x:v>
      </x:c>
      <x:c r="Z523" s="14" t="str">
        <x:v>Klasse −3 nur für negative/unzulässige Werte ergänzt</x:v>
      </x:c>
      <x:c r="AA523" s="14" t="str">
        <x:v>Programm/Portfolio/Systemraum; Empfängergruppe, Region und Zeitraum explizit definieren</x:v>
      </x:c>
      <x:c r="AB523" s="14" t="str">
        <x:v>Primärdaten bevorzugt; Sekundärdaten nur transparent und versioniert; Methode und Systemgrenze dokumentieren</x:v>
      </x:c>
      <x:c r="AC523" s="14" t="str">
        <x:v>Limited Assurance; risikobasiert höhere Prüftiefe</x:v>
      </x:c>
    </x:row>
    <x:row r="524" ht="42" customHeight="1">
      <x:c r="A524" s="14" t="str">
        <x:v>WOK-G-215</x:v>
      </x:c>
      <x:c r="B524" s="14" t="str">
        <x:v>SDG+ – Diskurskultur</x:v>
      </x:c>
      <x:c r="C524" s="14" t="str">
        <x:v>—</x:v>
      </x:c>
      <x:c r="D524" s="14" t="str">
        <x:v>Algorithmen‑Audit</x:v>
      </x:c>
      <x:c r="E524" s="14" t="str">
        <x:v>Algorithmen‑Audit – Antikorruption</x:v>
      </x:c>
      <x:c r="F524" s="14" t="str">
        <x:v>Fälle/1.000 FTE</x:v>
      </x:c>
      <x:c r="G524" s="14" t="str">
        <x:v>lower_is_better</x:v>
      </x:c>
      <x:c r="H524" s="14" t="str">
        <x:v>R01</x:v>
      </x:c>
      <x:c r="I524" s="14" t="str">
        <x:v>NUM_LOW</x:v>
      </x:c>
      <x:c r="J524" s="51"/>
      <x:c r="K524" s="51"/>
      <x:c r="L524" s="51"/>
      <x:c r="M524" s="54"/>
      <x:c r="N524" s="58" t="str">
        <x:f>IF($J524="","",IF($J524&lt;=0,3,IF($J524&lt;=0.2,2,IF($J524&lt;=0.5,0,IF($J524&lt;=1,-2,-3)))))</x:f>
      </x:c>
      <x:c r="O524" s="58" t="str">
        <x:f>IF($J524="","",IF(OR('02_Benchmarks'!$P524&lt;&gt;"Aktiv",COUNT('02_Benchmarks'!$J524:$M524)&lt;4),"",IF($G524="lower_is_better",IF($J524&lt;='02_Benchmarks'!$J524,3,IF($J524&lt;'02_Benchmarks'!$K524,2,IF($J524&lt;='02_Benchmarks'!$L524,0,IF($J524&lt;='02_Benchmarks'!$M524,-2,-3)))),IF($J524&gt;='02_Benchmarks'!$J524,3,IF($J524&gt;'02_Benchmarks'!$K524,2,IF($J524&gt;='02_Benchmarks'!$L524,0,IF($J524&gt;='02_Benchmarks'!$M524,-2,-3)))))))</x:f>
      </x:c>
      <x:c r="P524" s="58" t="str">
        <x:f>IF(COUNT($N524:$O524)+IF(ISNUMBER($K524),1,0)=0,"",MIN($N524:$O524,$K524))</x:f>
      </x:c>
      <x:c r="Q524" s="58" t="str">
        <x:f>IF($P524="","",INDEX('04_Tarifmodell'!$B$6:$B$12,$P524+4))</x:f>
      </x:c>
      <x:c r="R524" s="64" t="str">
        <x:f>IF($P524="","",INDEX('04_Tarifmodell'!$C$6:$C$12,$P524+4))</x:f>
      </x:c>
      <x:c r="S524" s="14" t="str">
        <x:f>IF(OR($I524="QUALITATIVE",$I524="MANUAL_HYBRID"),IF($K524="","Assurance-Score fehlt","Assurance-bewertet"),IF($I524="BENCHMARK",IF($W524&lt;&gt;"Aktiv",IF($K524="","Benchmark fehlt","Assurance-bewertet"),IF($J524="","Messwert fehlt",IF($P524="","Nicht bewertbar","Berechnet"))),IF(AND($J524="",$K524&lt;&gt;""),"Nur Assurance-Score",IF($J524="","Messwert fehlt",IF($P524="","Nicht bewertbar",IF($P524&lt;=-2,"Kritische Wirkung / Prüfung","Berechnet"))))))</x:f>
        <x:v>Messwert fehlt</x:v>
      </x:c>
      <x:c r="T524" s="14" t="str">
        <x:v>Vollständige fünfstufige numerische Regel.</x:v>
      </x:c>
      <x:c r="U524" s="14" t="str">
        <x:v>0:+3; ≤0,2:+2; ≤0,5:0; ≤1:‑2; &gt;1:‑3</x:v>
      </x:c>
      <x:c r="V524" s="14" t="str">
        <x:v>ESRS S2, GRI 308/414, OECD Due Diligence</x:v>
      </x:c>
      <x:c r="W524" s="14" t="str">
        <x:f>'02_Benchmarks'!$P524</x:f>
        <x:v>Optional – kein aktiver Benchmark</x:v>
      </x:c>
      <x:c r="X524" s="14" t="str">
        <x:v>Messgrundlage belegt; Schwellenkalibrierung offen</x:v>
      </x:c>
      <x:c r="Y524" s="14" t="str">
        <x:v>Mittel</x:v>
      </x:c>
      <x:c r="Z524" s="14" t="str">
        <x:v>Arbeitskalibrierung – fachlich zu validieren</x:v>
      </x:c>
      <x:c r="AA524" s="14" t="str">
        <x:v>Organisation/Governance; konsolidierter Kreis und relevante Rechtseinheiten</x:v>
      </x:c>
      <x:c r="AB524" s="14" t="str">
        <x:v>Primärdaten bevorzugt; Sekundärdaten nur transparent und versioniert; Methode und Systemgrenze dokumentieren</x:v>
      </x:c>
      <x:c r="AC524" s="14" t="str">
        <x:v>Limited Assurance; risikobasiert höhere Prüftiefe</x:v>
      </x:c>
    </x:row>
    <x:row r="525" ht="42" customHeight="1">
      <x:c r="A525" s="14" t="str">
        <x:v>WOK-G-216</x:v>
      </x:c>
      <x:c r="B525" s="14" t="str">
        <x:v>SDG+ – Diskurskultur</x:v>
      </x:c>
      <x:c r="C525" s="14" t="str">
        <x:v>—</x:v>
      </x:c>
      <x:c r="D525" s="14" t="str">
        <x:v>Algorithmen‑Audit</x:v>
      </x:c>
      <x:c r="E525" s="14" t="str">
        <x:v>Algorithmen‑Audit – Whistleblowing</x:v>
      </x:c>
      <x:c r="F525" s="14" t="str">
        <x:v>0–1</x:v>
      </x:c>
      <x:c r="G525" s="14" t="str">
        <x:v>higher_is_better</x:v>
      </x:c>
      <x:c r="H525" s="14" t="str">
        <x:v>R16</x:v>
      </x:c>
      <x:c r="I525" s="14" t="str">
        <x:v>NUM_HIGH</x:v>
      </x:c>
      <x:c r="J525" s="51"/>
      <x:c r="K525" s="51"/>
      <x:c r="L525" s="51"/>
      <x:c r="M525" s="54"/>
      <x:c r="N525" s="58" t="str">
        <x:f>IF($J525="","",IF($J525&lt;0.4,-3,IF($J525&lt;0.6,-2,IF($J525&lt;0.75,0,IF($J525&lt;0.9,2,3)))))</x:f>
      </x:c>
      <x:c r="O525" s="58" t="str">
        <x:f>IF($J525="","",IF(OR('02_Benchmarks'!$P525&lt;&gt;"Aktiv",COUNT('02_Benchmarks'!$J525:$M525)&lt;4),"",IF($G525="lower_is_better",IF($J525&lt;='02_Benchmarks'!$J525,3,IF($J525&lt;'02_Benchmarks'!$K525,2,IF($J525&lt;='02_Benchmarks'!$L525,0,IF($J525&lt;='02_Benchmarks'!$M525,-2,-3)))),IF($J525&gt;='02_Benchmarks'!$J525,3,IF($J525&gt;'02_Benchmarks'!$K525,2,IF($J525&gt;='02_Benchmarks'!$L525,0,IF($J525&gt;='02_Benchmarks'!$M525,-2,-3)))))))</x:f>
      </x:c>
      <x:c r="P525" s="58" t="str">
        <x:f>IF(COUNT($N525:$O525)+IF(ISNUMBER($K525),1,0)=0,"",MIN($N525:$O525,$K525))</x:f>
      </x:c>
      <x:c r="Q525" s="58" t="str">
        <x:f>IF($P525="","",INDEX('04_Tarifmodell'!$B$6:$B$12,$P525+4))</x:f>
      </x:c>
      <x:c r="R525" s="64" t="str">
        <x:f>IF($P525="","",INDEX('04_Tarifmodell'!$C$6:$C$12,$P525+4))</x:f>
      </x:c>
      <x:c r="S525" s="14" t="str">
        <x:f>IF(OR($I525="QUALITATIVE",$I525="MANUAL_HYBRID"),IF($K525="","Assurance-Score fehlt","Assurance-bewertet"),IF($I525="BENCHMARK",IF($W525&lt;&gt;"Aktiv",IF($K525="","Benchmark fehlt","Assurance-bewertet"),IF($J525="","Messwert fehlt",IF($P525="","Nicht bewertbar","Berechnet"))),IF(AND($J525="",$K525&lt;&gt;""),"Nur Assurance-Score",IF($J525="","Messwert fehlt",IF($P525="","Nicht bewertbar",IF($P525&lt;=-2,"Kritische Wirkung / Prüfung","Berechnet"))))))</x:f>
        <x:v>Messwert fehlt</x:v>
      </x:c>
      <x:c r="T525" s="14" t="str">
        <x:v>Vollständige fünfstufige numerische Regel.</x:v>
      </x:c>
      <x:c r="U525" s="14" t="str">
        <x:v>≥0,9:+3; 0,75–0,89:+2; 0,6–0,74:0; 0,4–0,59:‑2; &lt;0,4:‑3</x:v>
      </x:c>
      <x:c r="V525" s="14" t="str">
        <x:v>ESRS S2, GRI 308/414, OECD Due Diligence</x:v>
      </x:c>
      <x:c r="W525" s="14" t="str">
        <x:f>'02_Benchmarks'!$P525</x:f>
        <x:v>Optional – kein aktiver Benchmark</x:v>
      </x:c>
      <x:c r="X525" s="14" t="str">
        <x:v>Messgrundlage belegt; Schwellenkalibrierung offen</x:v>
      </x:c>
      <x:c r="Y525" s="14" t="str">
        <x:v>Mittel</x:v>
      </x:c>
      <x:c r="Z525" s="14" t="str">
        <x:v>Arbeitskalibrierung – fachlich zu validieren</x:v>
      </x:c>
      <x:c r="AA525" s="14" t="str">
        <x:v>Organisation/Governance; konsolidierter Kreis und relevante Rechtseinheiten</x:v>
      </x:c>
      <x:c r="AB525" s="14" t="str">
        <x:v>Primärdaten bevorzugt; Sekundärdaten nur transparent und versioniert; Methode und Systemgrenze dokumentieren</x:v>
      </x:c>
      <x:c r="AC525" s="14" t="str">
        <x:v>Limited Assurance; risikobasiert höhere Prüftiefe</x:v>
      </x:c>
    </x:row>
    <x:row r="526" ht="42" customHeight="1">
      <x:c r="A526" s="14" t="str">
        <x:v>WOK-G-217</x:v>
      </x:c>
      <x:c r="B526" s="14" t="str">
        <x:v>SDG+ – Diskurskultur</x:v>
      </x:c>
      <x:c r="C526" s="14" t="str">
        <x:v>—</x:v>
      </x:c>
      <x:c r="D526" s="14" t="str">
        <x:v>Algorithmen‑Audit</x:v>
      </x:c>
      <x:c r="E526" s="14" t="str">
        <x:v>Algorithmen‑Audit – Steuertransparenz</x:v>
      </x:c>
      <x:c r="F526" s="14" t="str">
        <x:v>0–1</x:v>
      </x:c>
      <x:c r="G526" s="14" t="str">
        <x:v>higher_is_better</x:v>
      </x:c>
      <x:c r="H526" s="14" t="str">
        <x:v>R08</x:v>
      </x:c>
      <x:c r="I526" s="14" t="str">
        <x:v>QUALITATIVE</x:v>
      </x:c>
      <x:c r="J526" s="51"/>
      <x:c r="K526" s="51"/>
      <x:c r="L526" s="51"/>
      <x:c r="M526" s="54"/>
      <x:c r="N526" s="58" t="str">
        <x:f>""</x:f>
      </x:c>
      <x:c r="O526" s="58" t="str">
        <x:f>IF($J526="","",IF(OR('02_Benchmarks'!$P526&lt;&gt;"Aktiv",COUNT('02_Benchmarks'!$J526:$M526)&lt;4),"",IF($G526="lower_is_better",IF($J526&lt;='02_Benchmarks'!$J526,3,IF($J526&lt;'02_Benchmarks'!$K526,2,IF($J526&lt;='02_Benchmarks'!$L526,0,IF($J526&lt;='02_Benchmarks'!$M526,-2,-3)))),IF($J526&gt;='02_Benchmarks'!$J526,3,IF($J526&gt;'02_Benchmarks'!$K526,2,IF($J526&gt;='02_Benchmarks'!$L526,0,IF($J526&gt;='02_Benchmarks'!$M526,-2,-3)))))))</x:f>
      </x:c>
      <x:c r="P526" s="58" t="str">
        <x:f>IF(COUNT($N526:$O526)+IF(ISNUMBER($K526),1,0)=0,"",MIN($N526:$O526,$K526))</x:f>
      </x:c>
      <x:c r="Q526" s="58" t="str">
        <x:f>IF($P526="","",INDEX('04_Tarifmodell'!$B$6:$B$12,$P526+4))</x:f>
      </x:c>
      <x:c r="R526" s="64" t="str">
        <x:f>IF($P526="","",INDEX('04_Tarifmodell'!$C$6:$C$12,$P526+4))</x:f>
      </x:c>
      <x:c r="S526" s="14" t="str">
        <x:f>IF(OR($I526="QUALITATIVE",$I526="MANUAL_HYBRID"),IF($K526="","Assurance-Score fehlt","Assurance-bewertet"),IF($I526="BENCHMARK",IF($W526&lt;&gt;"Aktiv",IF($K526="","Benchmark fehlt","Assurance-bewertet"),IF($J526="","Messwert fehlt",IF($P526="","Nicht bewertbar","Berechnet"))),IF(AND($J526="",$K526&lt;&gt;""),"Nur Assurance-Score",IF($J526="","Messwert fehlt",IF($P526="","Nicht bewertbar",IF($P526&lt;=-2,"Kritische Wirkung / Prüfung","Berechnet"))))))</x:f>
        <x:v>Assurance-Score fehlt</x:v>
      </x:c>
      <x:c r="T526" s="14" t="str">
        <x:v>Die Kategorie −3 fehlt; Vollständigkeit und Wirksamkeit sind feldspezifisch zu definieren.</x:v>
      </x:c>
      <x:c r="U526" s="14" t="str">
        <x:v>vollständig:+3; teilweise:+2; minimal:0; schlecht:‑2</x:v>
      </x:c>
      <x:c r="V526" s="14" t="str">
        <x:v>ESRS S2, GRI 308/414, OECD Due Diligence</x:v>
      </x:c>
      <x:c r="W526" s="14" t="str">
        <x:f>'02_Benchmarks'!$P526</x:f>
        <x:v>Optional – kein aktiver Benchmark</x:v>
      </x:c>
      <x:c r="X526" s="14" t="str">
        <x:v>Messgrundlage belegt; Schwellenkalibrierung offen</x:v>
      </x:c>
      <x:c r="Y526" s="14" t="str">
        <x:v>Hoch</x:v>
      </x:c>
      <x:c r="Z526" s="14" t="str">
        <x:v>Assurance und Kriterienkatalog erforderlich</x:v>
      </x:c>
      <x:c r="AA526" s="14" t="str">
        <x:v>Organisation/Governance; konsolidierter Kreis und relevante Rechtseinheiten</x:v>
      </x:c>
      <x:c r="AB526" s="14" t="str">
        <x:v>Dokumentierter Kriterienkatalog; nachvollziehbare Evidenz; DQR A/B bevorzugt</x:v>
      </x:c>
      <x:c r="AC526" s="14" t="str">
        <x:v>Unabhängige Fachprüfung/Limited Assurance; bei roten Linien Reasonable Assurance</x:v>
      </x:c>
    </x:row>
    <x:row r="527" ht="42" customHeight="1">
      <x:c r="A527" s="14" t="str">
        <x:v>WOK-SYS-188</x:v>
      </x:c>
      <x:c r="B527" s="14" t="str">
        <x:v>SDG+ – Diskurskultur</x:v>
      </x:c>
      <x:c r="C527" s="14" t="str">
        <x:v>—</x:v>
      </x:c>
      <x:c r="D527" s="14" t="str">
        <x:v>Zugang marginalisierte Gruppen</x:v>
      </x:c>
      <x:c r="E527" s="14" t="str">
        <x:v>Zugang marginalisierte Gruppen – Index</x:v>
      </x:c>
      <x:c r="F527" s="14" t="str">
        <x:v>0–1</x:v>
      </x:c>
      <x:c r="G527" s="14" t="str">
        <x:v>higher_is_better</x:v>
      </x:c>
      <x:c r="H527" s="14" t="str">
        <x:v>R15</x:v>
      </x:c>
      <x:c r="I527" s="14" t="str">
        <x:v>NUM_HIGH</x:v>
      </x:c>
      <x:c r="J527" s="51"/>
      <x:c r="K527" s="51"/>
      <x:c r="L527" s="51"/>
      <x:c r="M527" s="54"/>
      <x:c r="N527" s="58" t="str">
        <x:f>IF($J527="","",IF($J527&lt;0.5,-3,IF($J527&lt;0.6,-2,IF($J527&lt;0.7,0,IF($J527&lt;0.8,2,3)))))</x:f>
      </x:c>
      <x:c r="O527" s="58" t="str">
        <x:f>IF($J527="","",IF(OR('02_Benchmarks'!$P527&lt;&gt;"Aktiv",COUNT('02_Benchmarks'!$J527:$M527)&lt;4),"",IF($G527="lower_is_better",IF($J527&lt;='02_Benchmarks'!$J527,3,IF($J527&lt;'02_Benchmarks'!$K527,2,IF($J527&lt;='02_Benchmarks'!$L527,0,IF($J527&lt;='02_Benchmarks'!$M527,-2,-3)))),IF($J527&gt;='02_Benchmarks'!$J527,3,IF($J527&gt;'02_Benchmarks'!$K527,2,IF($J527&gt;='02_Benchmarks'!$L527,0,IF($J527&gt;='02_Benchmarks'!$M527,-2,-3)))))))</x:f>
      </x:c>
      <x:c r="P527" s="58" t="str">
        <x:f>IF(COUNT($N527:$O527)+IF(ISNUMBER($K527),1,0)=0,"",MIN($N527:$O527,$K527))</x:f>
      </x:c>
      <x:c r="Q527" s="58" t="str">
        <x:f>IF($P527="","",INDEX('04_Tarifmodell'!$B$6:$B$12,$P527+4))</x:f>
      </x:c>
      <x:c r="R527" s="64" t="str">
        <x:f>IF($P527="","",INDEX('04_Tarifmodell'!$C$6:$C$12,$P527+4))</x:f>
      </x:c>
      <x:c r="S527" s="14" t="str">
        <x:f>IF(OR($I527="QUALITATIVE",$I527="MANUAL_HYBRID"),IF($K527="","Assurance-Score fehlt","Assurance-bewertet"),IF($I527="BENCHMARK",IF($W527&lt;&gt;"Aktiv",IF($K527="","Benchmark fehlt","Assurance-bewertet"),IF($J527="","Messwert fehlt",IF($P527="","Nicht bewertbar","Berechnet"))),IF(AND($J527="",$K527&lt;&gt;""),"Nur Assurance-Score",IF($J527="","Messwert fehlt",IF($P527="","Nicht bewertbar",IF($P527&lt;=-2,"Kritische Wirkung / Prüfung","Berechnet"))))))</x:f>
        <x:v>Messwert fehlt</x:v>
      </x:c>
      <x:c r="T527" s="14" t="str">
        <x:v>SROI/SDG 17 ist keine hinreichend konkrete Mess- oder Schwellenquelle. Vollständige fünfstufige numerische Regel.</x:v>
      </x:c>
      <x:c r="U527" s="14" t="str">
        <x:v>≥0,8:+3; 0,7–0,79:+2; 0,6–0,69:0; 0,5–0,59:‑2; &lt;0,5:‑3</x:v>
      </x:c>
      <x:c r="V527" s="14" t="str">
        <x:v>SDG 16/17, WJP, V‑Dem</x:v>
      </x:c>
      <x:c r="W527" s="14" t="str">
        <x:f>'02_Benchmarks'!$P527</x:f>
        <x:v>Optional – kein aktiver Benchmark</x:v>
      </x:c>
      <x:c r="X527" s="14" t="str">
        <x:v>Platzhalter – fachliche Operationalisierung offen</x:v>
      </x:c>
      <x:c r="Y527" s="14" t="str">
        <x:v>Kritisch</x:v>
      </x:c>
      <x:c r="Z527" s="14" t="str">
        <x:v>Arbeitskalibrierung – fachlich zu validieren</x:v>
      </x:c>
      <x:c r="AA527" s="14" t="str">
        <x:v>Programm/Portfolio/Systemraum; Empfängergruppe, Region und Zeitraum explizit definieren</x:v>
      </x:c>
      <x:c r="AB527" s="14" t="str">
        <x:v>Primärdaten bevorzugt; Sekundärdaten nur transparent und versioniert; Methode und Systemgrenze dokumentieren</x:v>
      </x:c>
      <x:c r="AC527" s="14" t="str">
        <x:v>Limited Assurance; risikobasiert höhere Prüftiefe</x:v>
      </x:c>
    </x:row>
    <x:row r="528" ht="42" customHeight="1">
      <x:c r="A528" s="14" t="str">
        <x:v>WOK-SYS-189</x:v>
      </x:c>
      <x:c r="B528" s="14" t="str">
        <x:v>SDG+ – Diskurskultur</x:v>
      </x:c>
      <x:c r="C528" s="14" t="str">
        <x:v>—</x:v>
      </x:c>
      <x:c r="D528" s="14" t="str">
        <x:v>Zugang marginalisierte Gruppen</x:v>
      </x:c>
      <x:c r="E528" s="14" t="str">
        <x:v>Zugang marginalisierte Gruppen – Exposure</x:v>
      </x:c>
      <x:c r="F528" s="14" t="str">
        <x:v>%</x:v>
      </x:c>
      <x:c r="G528" s="14" t="str">
        <x:v>lower_is_better</x:v>
      </x:c>
      <x:c r="H528" s="14" t="str">
        <x:v>R13</x:v>
      </x:c>
      <x:c r="I528" s="14" t="str">
        <x:v>NUM_LOW</x:v>
      </x:c>
      <x:c r="J528" s="51"/>
      <x:c r="K528" s="51"/>
      <x:c r="L528" s="51"/>
      <x:c r="M528" s="54"/>
      <x:c r="N528" s="58" t="str">
        <x:f>IF($J528="","",IF($J528&lt;=5,3,IF($J528&lt;=10,2,IF($J528&lt;=20,0,IF($J528&lt;=30,-2,-3)))))</x:f>
      </x:c>
      <x:c r="O528" s="58" t="str">
        <x:f>IF($J528="","",IF(OR('02_Benchmarks'!$P528&lt;&gt;"Aktiv",COUNT('02_Benchmarks'!$J528:$M528)&lt;4),"",IF($G528="lower_is_better",IF($J528&lt;='02_Benchmarks'!$J528,3,IF($J528&lt;'02_Benchmarks'!$K528,2,IF($J528&lt;='02_Benchmarks'!$L528,0,IF($J528&lt;='02_Benchmarks'!$M528,-2,-3)))),IF($J528&gt;='02_Benchmarks'!$J528,3,IF($J528&gt;'02_Benchmarks'!$K528,2,IF($J528&gt;='02_Benchmarks'!$L528,0,IF($J528&gt;='02_Benchmarks'!$M528,-2,-3)))))))</x:f>
      </x:c>
      <x:c r="P528" s="58" t="str">
        <x:f>IF(COUNT($N528:$O528)+IF(ISNUMBER($K528),1,0)=0,"",MIN($N528:$O528,$K528))</x:f>
      </x:c>
      <x:c r="Q528" s="58" t="str">
        <x:f>IF($P528="","",INDEX('04_Tarifmodell'!$B$6:$B$12,$P528+4))</x:f>
      </x:c>
      <x:c r="R528" s="64" t="str">
        <x:f>IF($P528="","",INDEX('04_Tarifmodell'!$C$6:$C$12,$P528+4))</x:f>
      </x:c>
      <x:c r="S528" s="14" t="str">
        <x:f>IF(OR($I528="QUALITATIVE",$I528="MANUAL_HYBRID"),IF($K528="","Assurance-Score fehlt","Assurance-bewertet"),IF($I528="BENCHMARK",IF($W528&lt;&gt;"Aktiv",IF($K528="","Benchmark fehlt","Assurance-bewertet"),IF($J528="","Messwert fehlt",IF($P528="","Nicht bewertbar","Berechnet"))),IF(AND($J528="",$K528&lt;&gt;""),"Nur Assurance-Score",IF($J528="","Messwert fehlt",IF($P528="","Nicht bewertbar",IF($P528&lt;=-2,"Kritische Wirkung / Prüfung","Berechnet"))))))</x:f>
        <x:v>Messwert fehlt</x:v>
      </x:c>
      <x:c r="T528" s="14" t="str">
        <x:v>SROI/SDG 17 ist keine hinreichend konkrete Mess- oder Schwellenquelle. Vollständige fünfstufige numerische Regel.</x:v>
      </x:c>
      <x:c r="U528" s="14" t="str">
        <x:v>≤5:+3; 6–10:+2; 11–20:0; 21–30:‑2; &gt;30:‑3</x:v>
      </x:c>
      <x:c r="V528" s="14" t="str">
        <x:v>SROI/SDG17</x:v>
      </x:c>
      <x:c r="W528" s="14" t="str">
        <x:f>'02_Benchmarks'!$P528</x:f>
        <x:v>Optional – kein aktiver Benchmark</x:v>
      </x:c>
      <x:c r="X528" s="14" t="str">
        <x:v>Platzhalter – fachliche Operationalisierung offen</x:v>
      </x:c>
      <x:c r="Y528" s="14" t="str">
        <x:v>Kritisch</x:v>
      </x:c>
      <x:c r="Z528" s="14" t="str">
        <x:v>Arbeitskalibrierung – fachlich zu validieren</x:v>
      </x:c>
      <x:c r="AA528" s="14" t="str">
        <x:v>Programm/Portfolio/Systemraum; Empfängergruppe, Region und Zeitraum explizit definieren</x:v>
      </x:c>
      <x:c r="AB528" s="14" t="str">
        <x:v>Primärdaten bevorzugt; Sekundärdaten nur transparent und versioniert; Methode und Systemgrenze dokumentieren</x:v>
      </x:c>
      <x:c r="AC528" s="14" t="str">
        <x:v>Limited Assurance; risikobasiert höhere Prüftiefe</x:v>
      </x:c>
    </x:row>
    <x:row r="529" ht="42" customHeight="1">
      <x:c r="A529" s="14" t="str">
        <x:v>WOK-SYS-190</x:v>
      </x:c>
      <x:c r="B529" s="14" t="str">
        <x:v>SDG+ – Diskurskultur</x:v>
      </x:c>
      <x:c r="C529" s="14" t="str">
        <x:v>—</x:v>
      </x:c>
      <x:c r="D529" s="14" t="str">
        <x:v>Zugang marginalisierte Gruppen</x:v>
      </x:c>
      <x:c r="E529" s="14" t="str">
        <x:v>Zugang marginalisierte Gruppen – Kooperationen</x:v>
      </x:c>
      <x:c r="F529" s="14" t="str">
        <x:v>#/Jahr</x:v>
      </x:c>
      <x:c r="G529" s="14" t="str">
        <x:v>higher_is_better</x:v>
      </x:c>
      <x:c r="H529" s="14" t="str">
        <x:v>R20</x:v>
      </x:c>
      <x:c r="I529" s="14" t="str">
        <x:v>NUM_HIGH</x:v>
      </x:c>
      <x:c r="J529" s="51"/>
      <x:c r="K529" s="51"/>
      <x:c r="L529" s="51"/>
      <x:c r="M529" s="54"/>
      <x:c r="N529" s="58" t="str">
        <x:f>IF($J529="","",IF($J529&lt;0,-3,IF($J529&lt;1,-2,IF($J529&lt;3,0,IF($J529&lt;5,2,3)))))</x:f>
      </x:c>
      <x:c r="O529" s="58" t="str">
        <x:f>IF($J529="","",IF(OR('02_Benchmarks'!$P529&lt;&gt;"Aktiv",COUNT('02_Benchmarks'!$J529:$M529)&lt;4),"",IF($G529="lower_is_better",IF($J529&lt;='02_Benchmarks'!$J529,3,IF($J529&lt;'02_Benchmarks'!$K529,2,IF($J529&lt;='02_Benchmarks'!$L529,0,IF($J529&lt;='02_Benchmarks'!$M529,-2,-3)))),IF($J529&gt;='02_Benchmarks'!$J529,3,IF($J529&gt;'02_Benchmarks'!$K529,2,IF($J529&gt;='02_Benchmarks'!$L529,0,IF($J529&gt;='02_Benchmarks'!$M529,-2,-3)))))))</x:f>
      </x:c>
      <x:c r="P529" s="58" t="str">
        <x:f>IF(COUNT($N529:$O529)+IF(ISNUMBER($K529),1,0)=0,"",MIN($N529:$O529,$K529))</x:f>
      </x:c>
      <x:c r="Q529" s="58" t="str">
        <x:f>IF($P529="","",INDEX('04_Tarifmodell'!$B$6:$B$12,$P529+4))</x:f>
      </x:c>
      <x:c r="R529" s="64" t="str">
        <x:f>IF($P529="","",INDEX('04_Tarifmodell'!$C$6:$C$12,$P529+4))</x:f>
      </x:c>
      <x:c r="S529" s="14" t="str">
        <x:f>IF(OR($I529="QUALITATIVE",$I529="MANUAL_HYBRID"),IF($K529="","Assurance-Score fehlt","Assurance-bewertet"),IF($I529="BENCHMARK",IF($W529&lt;&gt;"Aktiv",IF($K529="","Benchmark fehlt","Assurance-bewertet"),IF($J529="","Messwert fehlt",IF($P529="","Nicht bewertbar","Berechnet"))),IF(AND($J529="",$K529&lt;&gt;""),"Nur Assurance-Score",IF($J529="","Messwert fehlt",IF($P529="","Nicht bewertbar",IF($P529&lt;=-2,"Kritische Wirkung / Prüfung","Berechnet"))))))</x:f>
        <x:v>Messwert fehlt</x:v>
      </x:c>
      <x:c r="T529" s="14" t="str">
        <x:v>SROI/SDG 17 ist keine hinreichend konkrete Mess- oder Schwellenquelle. Für sachlogisch nichtnegative Zählwerte ist 0 die schlechteste reguläre Klasse (−2).</x:v>
      </x:c>
      <x:c r="U529" s="14" t="str">
        <x:v>≥5:+3; 3–4:+2; 1–2:0; 0:‑2</x:v>
      </x:c>
      <x:c r="V529" s="14" t="str">
        <x:v>SDG 16/17, WJP, V‑Dem</x:v>
      </x:c>
      <x:c r="W529" s="14" t="str">
        <x:f>'02_Benchmarks'!$P529</x:f>
        <x:v>Optional – kein aktiver Benchmark</x:v>
      </x:c>
      <x:c r="X529" s="14" t="str">
        <x:v>Platzhalter – fachliche Operationalisierung offen</x:v>
      </x:c>
      <x:c r="Y529" s="14" t="str">
        <x:v>Kritisch</x:v>
      </x:c>
      <x:c r="Z529" s="14" t="str">
        <x:v>Klasse −3 nur für negative/unzulässige Werte ergänzt</x:v>
      </x:c>
      <x:c r="AA529" s="14" t="str">
        <x:v>Programm/Portfolio/Systemraum; Empfängergruppe, Region und Zeitraum explizit definieren</x:v>
      </x:c>
      <x:c r="AB529" s="14" t="str">
        <x:v>Primärdaten bevorzugt; Sekundärdaten nur transparent und versioniert; Methode und Systemgrenze dokumentieren</x:v>
      </x:c>
      <x:c r="AC529" s="14" t="str">
        <x:v>Limited Assurance; risikobasiert höhere Prüftiefe</x:v>
      </x:c>
    </x:row>
    <x:row r="530" ht="42" customHeight="1">
      <x:c r="A530" s="14" t="str">
        <x:v>WOK-G-218</x:v>
      </x:c>
      <x:c r="B530" s="14" t="str">
        <x:v>SDG+ – Diskurskultur</x:v>
      </x:c>
      <x:c r="C530" s="14" t="str">
        <x:v>—</x:v>
      </x:c>
      <x:c r="D530" s="14" t="str">
        <x:v>Werbe‑Ethik/Targeting</x:v>
      </x:c>
      <x:c r="E530" s="14" t="str">
        <x:v>Werbe‑Ethik/Targeting – Antikorruption</x:v>
      </x:c>
      <x:c r="F530" s="14" t="str">
        <x:v>Fälle/1.000 FTE</x:v>
      </x:c>
      <x:c r="G530" s="14" t="str">
        <x:v>lower_is_better</x:v>
      </x:c>
      <x:c r="H530" s="14" t="str">
        <x:v>R01</x:v>
      </x:c>
      <x:c r="I530" s="14" t="str">
        <x:v>NUM_LOW</x:v>
      </x:c>
      <x:c r="J530" s="51"/>
      <x:c r="K530" s="51"/>
      <x:c r="L530" s="51"/>
      <x:c r="M530" s="54"/>
      <x:c r="N530" s="58" t="str">
        <x:f>IF($J530="","",IF($J530&lt;=0,3,IF($J530&lt;=0.2,2,IF($J530&lt;=0.5,0,IF($J530&lt;=1,-2,-3)))))</x:f>
      </x:c>
      <x:c r="O530" s="58" t="str">
        <x:f>IF($J530="","",IF(OR('02_Benchmarks'!$P530&lt;&gt;"Aktiv",COUNT('02_Benchmarks'!$J530:$M530)&lt;4),"",IF($G530="lower_is_better",IF($J530&lt;='02_Benchmarks'!$J530,3,IF($J530&lt;'02_Benchmarks'!$K530,2,IF($J530&lt;='02_Benchmarks'!$L530,0,IF($J530&lt;='02_Benchmarks'!$M530,-2,-3)))),IF($J530&gt;='02_Benchmarks'!$J530,3,IF($J530&gt;'02_Benchmarks'!$K530,2,IF($J530&gt;='02_Benchmarks'!$L530,0,IF($J530&gt;='02_Benchmarks'!$M530,-2,-3)))))))</x:f>
      </x:c>
      <x:c r="P530" s="58" t="str">
        <x:f>IF(COUNT($N530:$O530)+IF(ISNUMBER($K530),1,0)=0,"",MIN($N530:$O530,$K530))</x:f>
      </x:c>
      <x:c r="Q530" s="58" t="str">
        <x:f>IF($P530="","",INDEX('04_Tarifmodell'!$B$6:$B$12,$P530+4))</x:f>
      </x:c>
      <x:c r="R530" s="64" t="str">
        <x:f>IF($P530="","",INDEX('04_Tarifmodell'!$C$6:$C$12,$P530+4))</x:f>
      </x:c>
      <x:c r="S530" s="14" t="str">
        <x:f>IF(OR($I530="QUALITATIVE",$I530="MANUAL_HYBRID"),IF($K530="","Assurance-Score fehlt","Assurance-bewertet"),IF($I530="BENCHMARK",IF($W530&lt;&gt;"Aktiv",IF($K530="","Benchmark fehlt","Assurance-bewertet"),IF($J530="","Messwert fehlt",IF($P530="","Nicht bewertbar","Berechnet"))),IF(AND($J530="",$K530&lt;&gt;""),"Nur Assurance-Score",IF($J530="","Messwert fehlt",IF($P530="","Nicht bewertbar",IF($P530&lt;=-2,"Kritische Wirkung / Prüfung","Berechnet"))))))</x:f>
        <x:v>Messwert fehlt</x:v>
      </x:c>
      <x:c r="T530" s="14" t="str">
        <x:v>Vollständige fünfstufige numerische Regel.</x:v>
      </x:c>
      <x:c r="U530" s="14" t="str">
        <x:v>0:+3; ≤0,2:+2; ≤0,5:0; ≤1:‑2; &gt;1:‑3</x:v>
      </x:c>
      <x:c r="V530" s="14" t="str">
        <x:v>ESRS G1, GRI 205/207, OECD Anti‑Bribery</x:v>
      </x:c>
      <x:c r="W530" s="14" t="str">
        <x:f>'02_Benchmarks'!$P530</x:f>
        <x:v>Optional – kein aktiver Benchmark</x:v>
      </x:c>
      <x:c r="X530" s="14" t="str">
        <x:v>Messgrundlage belegt; Schwellenkalibrierung offen</x:v>
      </x:c>
      <x:c r="Y530" s="14" t="str">
        <x:v>Mittel</x:v>
      </x:c>
      <x:c r="Z530" s="14" t="str">
        <x:v>Arbeitskalibrierung – fachlich zu validieren</x:v>
      </x:c>
      <x:c r="AA530" s="14" t="str">
        <x:v>Organisation/Governance; konsolidierter Kreis und relevante Rechtseinheiten</x:v>
      </x:c>
      <x:c r="AB530" s="14" t="str">
        <x:v>Primärdaten bevorzugt; Sekundärdaten nur transparent und versioniert; Methode und Systemgrenze dokumentieren</x:v>
      </x:c>
      <x:c r="AC530" s="14" t="str">
        <x:v>Limited Assurance; risikobasiert höhere Prüftiefe</x:v>
      </x:c>
    </x:row>
    <x:row r="531" ht="42" customHeight="1">
      <x:c r="A531" s="14" t="str">
        <x:v>WOK-G-219</x:v>
      </x:c>
      <x:c r="B531" s="14" t="str">
        <x:v>SDG+ – Diskurskultur</x:v>
      </x:c>
      <x:c r="C531" s="14" t="str">
        <x:v>—</x:v>
      </x:c>
      <x:c r="D531" s="14" t="str">
        <x:v>Werbe‑Ethik/Targeting</x:v>
      </x:c>
      <x:c r="E531" s="14" t="str">
        <x:v>Werbe‑Ethik/Targeting – Whistleblowing</x:v>
      </x:c>
      <x:c r="F531" s="14" t="str">
        <x:v>0–1</x:v>
      </x:c>
      <x:c r="G531" s="14" t="str">
        <x:v>higher_is_better</x:v>
      </x:c>
      <x:c r="H531" s="14" t="str">
        <x:v>R16</x:v>
      </x:c>
      <x:c r="I531" s="14" t="str">
        <x:v>NUM_HIGH</x:v>
      </x:c>
      <x:c r="J531" s="51"/>
      <x:c r="K531" s="51"/>
      <x:c r="L531" s="51"/>
      <x:c r="M531" s="54"/>
      <x:c r="N531" s="58" t="str">
        <x:f>IF($J531="","",IF($J531&lt;0.4,-3,IF($J531&lt;0.6,-2,IF($J531&lt;0.75,0,IF($J531&lt;0.9,2,3)))))</x:f>
      </x:c>
      <x:c r="O531" s="58" t="str">
        <x:f>IF($J531="","",IF(OR('02_Benchmarks'!$P531&lt;&gt;"Aktiv",COUNT('02_Benchmarks'!$J531:$M531)&lt;4),"",IF($G531="lower_is_better",IF($J531&lt;='02_Benchmarks'!$J531,3,IF($J531&lt;'02_Benchmarks'!$K531,2,IF($J531&lt;='02_Benchmarks'!$L531,0,IF($J531&lt;='02_Benchmarks'!$M531,-2,-3)))),IF($J531&gt;='02_Benchmarks'!$J531,3,IF($J531&gt;'02_Benchmarks'!$K531,2,IF($J531&gt;='02_Benchmarks'!$L531,0,IF($J531&gt;='02_Benchmarks'!$M531,-2,-3)))))))</x:f>
      </x:c>
      <x:c r="P531" s="58" t="str">
        <x:f>IF(COUNT($N531:$O531)+IF(ISNUMBER($K531),1,0)=0,"",MIN($N531:$O531,$K531))</x:f>
      </x:c>
      <x:c r="Q531" s="58" t="str">
        <x:f>IF($P531="","",INDEX('04_Tarifmodell'!$B$6:$B$12,$P531+4))</x:f>
      </x:c>
      <x:c r="R531" s="64" t="str">
        <x:f>IF($P531="","",INDEX('04_Tarifmodell'!$C$6:$C$12,$P531+4))</x:f>
      </x:c>
      <x:c r="S531" s="14" t="str">
        <x:f>IF(OR($I531="QUALITATIVE",$I531="MANUAL_HYBRID"),IF($K531="","Assurance-Score fehlt","Assurance-bewertet"),IF($I531="BENCHMARK",IF($W531&lt;&gt;"Aktiv",IF($K531="","Benchmark fehlt","Assurance-bewertet"),IF($J531="","Messwert fehlt",IF($P531="","Nicht bewertbar","Berechnet"))),IF(AND($J531="",$K531&lt;&gt;""),"Nur Assurance-Score",IF($J531="","Messwert fehlt",IF($P531="","Nicht bewertbar",IF($P531&lt;=-2,"Kritische Wirkung / Prüfung","Berechnet"))))))</x:f>
        <x:v>Messwert fehlt</x:v>
      </x:c>
      <x:c r="T531" s="14" t="str">
        <x:v>Vollständige fünfstufige numerische Regel.</x:v>
      </x:c>
      <x:c r="U531" s="14" t="str">
        <x:v>≥0,9:+3; 0,75–0,89:+2; 0,6–0,74:0; 0,4–0,59:‑2; &lt;0,4:‑3</x:v>
      </x:c>
      <x:c r="V531" s="14" t="str">
        <x:v>ESRS G1, GRI 205/207, OECD Anti‑Bribery</x:v>
      </x:c>
      <x:c r="W531" s="14" t="str">
        <x:f>'02_Benchmarks'!$P531</x:f>
        <x:v>Optional – kein aktiver Benchmark</x:v>
      </x:c>
      <x:c r="X531" s="14" t="str">
        <x:v>Messgrundlage belegt; Schwellenkalibrierung offen</x:v>
      </x:c>
      <x:c r="Y531" s="14" t="str">
        <x:v>Mittel</x:v>
      </x:c>
      <x:c r="Z531" s="14" t="str">
        <x:v>Arbeitskalibrierung – fachlich zu validieren</x:v>
      </x:c>
      <x:c r="AA531" s="14" t="str">
        <x:v>Organisation/Governance; konsolidierter Kreis und relevante Rechtseinheiten</x:v>
      </x:c>
      <x:c r="AB531" s="14" t="str">
        <x:v>Primärdaten bevorzugt; Sekundärdaten nur transparent und versioniert; Methode und Systemgrenze dokumentieren</x:v>
      </x:c>
      <x:c r="AC531" s="14" t="str">
        <x:v>Limited Assurance; risikobasiert höhere Prüftiefe</x:v>
      </x:c>
    </x:row>
    <x:row r="532" ht="42" customHeight="1">
      <x:c r="A532" s="14" t="str">
        <x:v>WOK-G-220</x:v>
      </x:c>
      <x:c r="B532" s="14" t="str">
        <x:v>SDG+ – Diskurskultur</x:v>
      </x:c>
      <x:c r="C532" s="14" t="str">
        <x:v>—</x:v>
      </x:c>
      <x:c r="D532" s="14" t="str">
        <x:v>Werbe‑Ethik/Targeting</x:v>
      </x:c>
      <x:c r="E532" s="14" t="str">
        <x:v>Werbe‑Ethik/Targeting – Steuertransparenz</x:v>
      </x:c>
      <x:c r="F532" s="14" t="str">
        <x:v>0–1</x:v>
      </x:c>
      <x:c r="G532" s="14" t="str">
        <x:v>higher_is_better</x:v>
      </x:c>
      <x:c r="H532" s="14" t="str">
        <x:v>R08</x:v>
      </x:c>
      <x:c r="I532" s="14" t="str">
        <x:v>QUALITATIVE</x:v>
      </x:c>
      <x:c r="J532" s="51"/>
      <x:c r="K532" s="51"/>
      <x:c r="L532" s="51"/>
      <x:c r="M532" s="54"/>
      <x:c r="N532" s="58" t="str">
        <x:f>""</x:f>
      </x:c>
      <x:c r="O532" s="58" t="str">
        <x:f>IF($J532="","",IF(OR('02_Benchmarks'!$P532&lt;&gt;"Aktiv",COUNT('02_Benchmarks'!$J532:$M532)&lt;4),"",IF($G532="lower_is_better",IF($J532&lt;='02_Benchmarks'!$J532,3,IF($J532&lt;'02_Benchmarks'!$K532,2,IF($J532&lt;='02_Benchmarks'!$L532,0,IF($J532&lt;='02_Benchmarks'!$M532,-2,-3)))),IF($J532&gt;='02_Benchmarks'!$J532,3,IF($J532&gt;'02_Benchmarks'!$K532,2,IF($J532&gt;='02_Benchmarks'!$L532,0,IF($J532&gt;='02_Benchmarks'!$M532,-2,-3)))))))</x:f>
      </x:c>
      <x:c r="P532" s="58" t="str">
        <x:f>IF(COUNT($N532:$O532)+IF(ISNUMBER($K532),1,0)=0,"",MIN($N532:$O532,$K532))</x:f>
      </x:c>
      <x:c r="Q532" s="58" t="str">
        <x:f>IF($P532="","",INDEX('04_Tarifmodell'!$B$6:$B$12,$P532+4))</x:f>
      </x:c>
      <x:c r="R532" s="64" t="str">
        <x:f>IF($P532="","",INDEX('04_Tarifmodell'!$C$6:$C$12,$P532+4))</x:f>
      </x:c>
      <x:c r="S532" s="14" t="str">
        <x:f>IF(OR($I532="QUALITATIVE",$I532="MANUAL_HYBRID"),IF($K532="","Assurance-Score fehlt","Assurance-bewertet"),IF($I532="BENCHMARK",IF($W532&lt;&gt;"Aktiv",IF($K532="","Benchmark fehlt","Assurance-bewertet"),IF($J532="","Messwert fehlt",IF($P532="","Nicht bewertbar","Berechnet"))),IF(AND($J532="",$K532&lt;&gt;""),"Nur Assurance-Score",IF($J532="","Messwert fehlt",IF($P532="","Nicht bewertbar",IF($P532&lt;=-2,"Kritische Wirkung / Prüfung","Berechnet"))))))</x:f>
        <x:v>Assurance-Score fehlt</x:v>
      </x:c>
      <x:c r="T532" s="14" t="str">
        <x:v>Die Kategorie −3 fehlt; Vollständigkeit und Wirksamkeit sind feldspezifisch zu definieren.</x:v>
      </x:c>
      <x:c r="U532" s="14" t="str">
        <x:v>vollständig:+3; teilweise:+2; minimal:0; schlecht:‑2</x:v>
      </x:c>
      <x:c r="V532" s="14" t="str">
        <x:v>ESRS G1, GRI 205/207, OECD Anti‑Bribery</x:v>
      </x:c>
      <x:c r="W532" s="14" t="str">
        <x:f>'02_Benchmarks'!$P532</x:f>
        <x:v>Optional – kein aktiver Benchmark</x:v>
      </x:c>
      <x:c r="X532" s="14" t="str">
        <x:v>Messgrundlage belegt; Schwellenkalibrierung offen</x:v>
      </x:c>
      <x:c r="Y532" s="14" t="str">
        <x:v>Hoch</x:v>
      </x:c>
      <x:c r="Z532" s="14" t="str">
        <x:v>Assurance und Kriterienkatalog erforderlich</x:v>
      </x:c>
      <x:c r="AA532" s="14" t="str">
        <x:v>Organisation/Governance; konsolidierter Kreis und relevante Rechtseinheiten</x:v>
      </x:c>
      <x:c r="AB532" s="14" t="str">
        <x:v>Dokumentierter Kriterienkatalog; nachvollziehbare Evidenz; DQR A/B bevorzugt</x:v>
      </x:c>
      <x:c r="AC532" s="14" t="str">
        <x:v>Unabhängige Fachprüfung/Limited Assurance; bei roten Linien Reasonable Assurance</x:v>
      </x:c>
    </x:row>
    <x:row r="533" ht="42" customHeight="1">
      <x:c r="A533" s="14" t="str">
        <x:v>WOK-SC-155</x:v>
      </x:c>
      <x:c r="B533" s="14" t="str">
        <x:v>SDG+ – Diskurskultur</x:v>
      </x:c>
      <x:c r="C533" s="14" t="str">
        <x:v>—</x:v>
      </x:c>
      <x:c r="D533" s="14" t="str">
        <x:v>Creator‑Fairness in Ketten</x:v>
      </x:c>
      <x:c r="E533" s="14" t="str">
        <x:v>Creator‑Fairness in Ketten – ESG‑Spend‑Coverage</x:v>
      </x:c>
      <x:c r="F533" s="14" t="str">
        <x:v>%</x:v>
      </x:c>
      <x:c r="G533" s="14" t="str">
        <x:v>higher_is_better</x:v>
      </x:c>
      <x:c r="H533" s="14" t="str">
        <x:v>R26</x:v>
      </x:c>
      <x:c r="I533" s="14" t="str">
        <x:v>NUM_HIGH</x:v>
      </x:c>
      <x:c r="J533" s="51"/>
      <x:c r="K533" s="51"/>
      <x:c r="L533" s="51"/>
      <x:c r="M533" s="54"/>
      <x:c r="N533" s="58" t="str">
        <x:f>IF($J533="","",IF($J533&lt;30,-3,IF($J533&lt;50,-2,IF($J533&lt;70,0,IF($J533&lt;90,2,3)))))</x:f>
      </x:c>
      <x:c r="O533" s="58" t="str">
        <x:f>IF($J533="","",IF(OR('02_Benchmarks'!$P533&lt;&gt;"Aktiv",COUNT('02_Benchmarks'!$J533:$M533)&lt;4),"",IF($G533="lower_is_better",IF($J533&lt;='02_Benchmarks'!$J533,3,IF($J533&lt;'02_Benchmarks'!$K533,2,IF($J533&lt;='02_Benchmarks'!$L533,0,IF($J533&lt;='02_Benchmarks'!$M533,-2,-3)))),IF($J533&gt;='02_Benchmarks'!$J533,3,IF($J533&gt;'02_Benchmarks'!$K533,2,IF($J533&gt;='02_Benchmarks'!$L533,0,IF($J533&gt;='02_Benchmarks'!$M533,-2,-3)))))))</x:f>
      </x:c>
      <x:c r="P533" s="58" t="str">
        <x:f>IF(COUNT($N533:$O533)+IF(ISNUMBER($K533),1,0)=0,"",MIN($N533:$O533,$K533))</x:f>
      </x:c>
      <x:c r="Q533" s="58" t="str">
        <x:f>IF($P533="","",INDEX('04_Tarifmodell'!$B$6:$B$12,$P533+4))</x:f>
      </x:c>
      <x:c r="R533" s="64" t="str">
        <x:f>IF($P533="","",INDEX('04_Tarifmodell'!$C$6:$C$12,$P533+4))</x:f>
      </x:c>
      <x:c r="S533" s="14" t="str">
        <x:f>IF(OR($I533="QUALITATIVE",$I533="MANUAL_HYBRID"),IF($K533="","Assurance-Score fehlt","Assurance-bewertet"),IF($I533="BENCHMARK",IF($W533&lt;&gt;"Aktiv",IF($K533="","Benchmark fehlt","Assurance-bewertet"),IF($J533="","Messwert fehlt",IF($P533="","Nicht bewertbar","Berechnet"))),IF(AND($J533="",$K533&lt;&gt;""),"Nur Assurance-Score",IF($J533="","Messwert fehlt",IF($P533="","Nicht bewertbar",IF($P533&lt;=-2,"Kritische Wirkung / Prüfung","Berechnet"))))))</x:f>
        <x:v>Messwert fehlt</x:v>
      </x:c>
      <x:c r="T533" s="14" t="str">
        <x:v>Vollständige fünfstufige numerische Regel.</x:v>
      </x:c>
      <x:c r="U533" s="14" t="str">
        <x:v>≥90:+3; 70–89:+2; 50–69:0; 30–49:‑2; &lt;30:‑3</x:v>
      </x:c>
      <x:c r="V533" s="14" t="str">
        <x:v>ESRS S2; GRI 308/414/408/409</x:v>
      </x:c>
      <x:c r="W533" s="14" t="str">
        <x:f>'02_Benchmarks'!$P533</x:f>
        <x:v>Optional – kein aktiver Benchmark</x:v>
      </x:c>
      <x:c r="X533" s="14" t="str">
        <x:v>Messgrundlage belegt; Schwellenkalibrierung offen</x:v>
      </x:c>
      <x:c r="Y533" s="14" t="str">
        <x:v>Mittel</x:v>
      </x:c>
      <x:c r="Z533" s="14" t="str">
        <x:v>Arbeitskalibrierung – fachlich zu validieren</x:v>
      </x:c>
      <x:c r="AA533" s="14" t="str">
        <x:v>Vorgelagerte Lieferkette; relevante Tier-Stufen und Beschaffungsvolumen</x:v>
      </x:c>
      <x:c r="AB533" s="14" t="str">
        <x:v>Primärdaten bevorzugt; Sekundärdaten nur transparent und versioniert; Methode und Systemgrenze dokumentieren</x:v>
      </x:c>
      <x:c r="AC533" s="14" t="str">
        <x:v>Limited Assurance; risikobasiert höhere Prüftiefe</x:v>
      </x:c>
    </x:row>
    <x:row r="534" ht="42" customHeight="1">
      <x:c r="A534" s="14" t="str">
        <x:v>WOK-SC-156</x:v>
      </x:c>
      <x:c r="B534" s="14" t="str">
        <x:v>SDG+ – Diskurskultur</x:v>
      </x:c>
      <x:c r="C534" s="14" t="str">
        <x:v>—</x:v>
      </x:c>
      <x:c r="D534" s="14" t="str">
        <x:v>Creator‑Fairness in Ketten</x:v>
      </x:c>
      <x:c r="E534" s="14" t="str">
        <x:v>Creator‑Fairness in Ketten – Kinder/Zwangsarbeit</x:v>
      </x:c>
      <x:c r="F534" s="14" t="str">
        <x:v>% Lieferanten</x:v>
      </x:c>
      <x:c r="G534" s="14" t="str">
        <x:v>higher_is_better</x:v>
      </x:c>
      <x:c r="H534" s="14" t="str">
        <x:v>R28</x:v>
      </x:c>
      <x:c r="I534" s="14" t="str">
        <x:v>NUM_HIGH</x:v>
      </x:c>
      <x:c r="J534" s="51"/>
      <x:c r="K534" s="51"/>
      <x:c r="L534" s="51"/>
      <x:c r="M534" s="54"/>
      <x:c r="N534" s="58" t="str">
        <x:f>IF($J534="","",IF($J534&lt;50,-3,IF($J534&lt;75,-2,IF($J534&lt;90,0,IF($J534&lt;98,2,3)))))</x:f>
      </x:c>
      <x:c r="O534" s="58" t="str">
        <x:f>IF($J534="","",IF(OR('02_Benchmarks'!$P534&lt;&gt;"Aktiv",COUNT('02_Benchmarks'!$J534:$M534)&lt;4),"",IF($G534="lower_is_better",IF($J534&lt;='02_Benchmarks'!$J534,3,IF($J534&lt;'02_Benchmarks'!$K534,2,IF($J534&lt;='02_Benchmarks'!$L534,0,IF($J534&lt;='02_Benchmarks'!$M534,-2,-3)))),IF($J534&gt;='02_Benchmarks'!$J534,3,IF($J534&gt;'02_Benchmarks'!$K534,2,IF($J534&gt;='02_Benchmarks'!$L534,0,IF($J534&gt;='02_Benchmarks'!$M534,-2,-3)))))))</x:f>
      </x:c>
      <x:c r="P534" s="58" t="str">
        <x:f>IF(COUNT($N534:$O534)+IF(ISNUMBER($K534),1,0)=0,"",MIN($N534:$O534,$K534))</x:f>
      </x:c>
      <x:c r="Q534" s="58" t="str">
        <x:f>IF($P534="","",INDEX('04_Tarifmodell'!$B$6:$B$12,$P534+4))</x:f>
      </x:c>
      <x:c r="R534" s="64" t="str">
        <x:f>IF($P534="","",INDEX('04_Tarifmodell'!$C$6:$C$12,$P534+4))</x:f>
      </x:c>
      <x:c r="S534" s="14" t="str">
        <x:f>IF(OR($I534="QUALITATIVE",$I534="MANUAL_HYBRID"),IF($K534="","Assurance-Score fehlt","Assurance-bewertet"),IF($I534="BENCHMARK",IF($W534&lt;&gt;"Aktiv",IF($K534="","Benchmark fehlt","Assurance-bewertet"),IF($J534="","Messwert fehlt",IF($P534="","Nicht bewertbar","Berechnet"))),IF(AND($J534="",$K534&lt;&gt;""),"Nur Assurance-Score",IF($J534="","Messwert fehlt",IF($P534="","Nicht bewertbar",IF($P534&lt;=-2,"Kritische Wirkung / Prüfung","Berechnet"))))))</x:f>
        <x:v>Messwert fehlt</x:v>
      </x:c>
      <x:c r="T534" s="14" t="str">
        <x:v>Vollständige fünfstufige numerische Regel.</x:v>
      </x:c>
      <x:c r="U534" s="14" t="str">
        <x:v>≥98:+3; 90–97:+2; 75–89:0; 50–74:‑2; &lt;50:‑3</x:v>
      </x:c>
      <x:c r="V534" s="14" t="str">
        <x:v>ESRS S2, GRI 308/414, OECD Due Diligence</x:v>
      </x:c>
      <x:c r="W534" s="14" t="str">
        <x:f>'02_Benchmarks'!$P534</x:f>
        <x:v>Optional – kein aktiver Benchmark</x:v>
      </x:c>
      <x:c r="X534" s="14" t="str">
        <x:v>Messgrundlage belegt; Schwellenkalibrierung offen</x:v>
      </x:c>
      <x:c r="Y534" s="14" t="str">
        <x:v>Mittel</x:v>
      </x:c>
      <x:c r="Z534" s="14" t="str">
        <x:v>Arbeitskalibrierung – fachlich zu validieren</x:v>
      </x:c>
      <x:c r="AA534" s="14" t="str">
        <x:v>Vorgelagerte Lieferkette; relevante Tier-Stufen und Beschaffungsvolumen</x:v>
      </x:c>
      <x:c r="AB534" s="14" t="str">
        <x:v>Primärdaten bevorzugt; Sekundärdaten nur transparent und versioniert; Methode und Systemgrenze dokumentieren</x:v>
      </x:c>
      <x:c r="AC534" s="14" t="str">
        <x:v>Limited Assurance; risikobasiert höhere Prüftiefe</x:v>
      </x:c>
    </x:row>
    <x:row r="535" ht="42" customHeight="1">
      <x:c r="A535" s="14" t="str">
        <x:v>WOK-SC-157</x:v>
      </x:c>
      <x:c r="B535" s="14" t="str">
        <x:v>SDG+ – Diskurskultur</x:v>
      </x:c>
      <x:c r="C535" s="14" t="str">
        <x:v>—</x:v>
      </x:c>
      <x:c r="D535" s="14" t="str">
        <x:v>Creator‑Fairness in Ketten</x:v>
      </x:c>
      <x:c r="E535" s="14" t="str">
        <x:v>Creator‑Fairness in Ketten – Scope‑3 Daten</x:v>
      </x:c>
      <x:c r="F535" s="14" t="str">
        <x:v>% Kategorien</x:v>
      </x:c>
      <x:c r="G535" s="14" t="str">
        <x:v>higher_is_better</x:v>
      </x:c>
      <x:c r="H535" s="14" t="str">
        <x:v>R23</x:v>
      </x:c>
      <x:c r="I535" s="14" t="str">
        <x:v>NUM_HIGH</x:v>
      </x:c>
      <x:c r="J535" s="51"/>
      <x:c r="K535" s="51"/>
      <x:c r="L535" s="51"/>
      <x:c r="M535" s="54"/>
      <x:c r="N535" s="58" t="str">
        <x:f>IF($J535="","",IF($J535&lt;20,-3,IF($J535&lt;40,-2,IF($J535&lt;60,0,IF($J535&lt;80,2,3)))))</x:f>
      </x:c>
      <x:c r="O535" s="58" t="str">
        <x:f>IF($J535="","",IF(OR('02_Benchmarks'!$P535&lt;&gt;"Aktiv",COUNT('02_Benchmarks'!$J535:$M535)&lt;4),"",IF($G535="lower_is_better",IF($J535&lt;='02_Benchmarks'!$J535,3,IF($J535&lt;'02_Benchmarks'!$K535,2,IF($J535&lt;='02_Benchmarks'!$L535,0,IF($J535&lt;='02_Benchmarks'!$M535,-2,-3)))),IF($J535&gt;='02_Benchmarks'!$J535,3,IF($J535&gt;'02_Benchmarks'!$K535,2,IF($J535&gt;='02_Benchmarks'!$L535,0,IF($J535&gt;='02_Benchmarks'!$M535,-2,-3)))))))</x:f>
      </x:c>
      <x:c r="P535" s="58" t="str">
        <x:f>IF(COUNT($N535:$O535)+IF(ISNUMBER($K535),1,0)=0,"",MIN($N535:$O535,$K535))</x:f>
      </x:c>
      <x:c r="Q535" s="58" t="str">
        <x:f>IF($P535="","",INDEX('04_Tarifmodell'!$B$6:$B$12,$P535+4))</x:f>
      </x:c>
      <x:c r="R535" s="64" t="str">
        <x:f>IF($P535="","",INDEX('04_Tarifmodell'!$C$6:$C$12,$P535+4))</x:f>
      </x:c>
      <x:c r="S535" s="14" t="str">
        <x:f>IF(OR($I535="QUALITATIVE",$I535="MANUAL_HYBRID"),IF($K535="","Assurance-Score fehlt","Assurance-bewertet"),IF($I535="BENCHMARK",IF($W535&lt;&gt;"Aktiv",IF($K535="","Benchmark fehlt","Assurance-bewertet"),IF($J535="","Messwert fehlt",IF($P535="","Nicht bewertbar","Berechnet"))),IF(AND($J535="",$K535&lt;&gt;""),"Nur Assurance-Score",IF($J535="","Messwert fehlt",IF($P535="","Nicht bewertbar",IF($P535&lt;=-2,"Kritische Wirkung / Prüfung","Berechnet"))))))</x:f>
        <x:v>Messwert fehlt</x:v>
      </x:c>
      <x:c r="T535" s="14" t="str">
        <x:v>Vollständige fünfstufige numerische Regel.</x:v>
      </x:c>
      <x:c r="U535" s="14" t="str">
        <x:v>≥80:+3; 60–79:+2; 40–59:0; 20–39:‑2; &lt;20:‑3</x:v>
      </x:c>
      <x:c r="V535" s="14" t="str">
        <x:v>ESRS E1, GHG Protocol (Corporate/Scope 1–3), ISO 14064/14067</x:v>
      </x:c>
      <x:c r="W535" s="14" t="str">
        <x:f>'02_Benchmarks'!$P535</x:f>
        <x:v>Optional – kein aktiver Benchmark</x:v>
      </x:c>
      <x:c r="X535" s="14" t="str">
        <x:v>Messgrundlage belegt; Schwellenkalibrierung offen</x:v>
      </x:c>
      <x:c r="Y535" s="14" t="str">
        <x:v>Mittel</x:v>
      </x:c>
      <x:c r="Z535" s="14" t="str">
        <x:v>Arbeitskalibrierung – fachlich zu validieren</x:v>
      </x:c>
      <x:c r="AA535" s="14" t="str">
        <x:v>Vorgelagerte Lieferkette; relevante Tier-Stufen und Beschaffungsvolumen</x:v>
      </x:c>
      <x:c r="AB535" s="14" t="str">
        <x:v>Primärdaten bevorzugt; Sekundärdaten nur transparent und versioniert; Methode und Systemgrenze dokumentieren</x:v>
      </x:c>
      <x:c r="AC535" s="14" t="str">
        <x:v>Limited Assurance; risikobasiert höhere Prüftiefe</x:v>
      </x:c>
    </x:row>
    <x:row r="536" ht="42" customHeight="1">
      <x:c r="A536" s="14" t="str">
        <x:v>WOK-G-221</x:v>
      </x:c>
      <x:c r="B536" s="14" t="str">
        <x:v>SDG+ – Resilienz</x:v>
      </x:c>
      <x:c r="C536" s="14" t="str">
        <x:v>—</x:v>
      </x:c>
      <x:c r="D536" s="14" t="str">
        <x:v>Business Continuity</x:v>
      </x:c>
      <x:c r="E536" s="14" t="str">
        <x:v>Business Continuity – Antikorruption</x:v>
      </x:c>
      <x:c r="F536" s="14" t="str">
        <x:v>Fälle/1.000 FTE</x:v>
      </x:c>
      <x:c r="G536" s="14" t="str">
        <x:v>lower_is_better</x:v>
      </x:c>
      <x:c r="H536" s="14" t="str">
        <x:v>R01</x:v>
      </x:c>
      <x:c r="I536" s="14" t="str">
        <x:v>NUM_LOW</x:v>
      </x:c>
      <x:c r="J536" s="51"/>
      <x:c r="K536" s="51"/>
      <x:c r="L536" s="51"/>
      <x:c r="M536" s="54"/>
      <x:c r="N536" s="58" t="str">
        <x:f>IF($J536="","",IF($J536&lt;=0,3,IF($J536&lt;=0.2,2,IF($J536&lt;=0.5,0,IF($J536&lt;=1,-2,-3)))))</x:f>
      </x:c>
      <x:c r="O536" s="58" t="str">
        <x:f>IF($J536="","",IF(OR('02_Benchmarks'!$P536&lt;&gt;"Aktiv",COUNT('02_Benchmarks'!$J536:$M536)&lt;4),"",IF($G536="lower_is_better",IF($J536&lt;='02_Benchmarks'!$J536,3,IF($J536&lt;'02_Benchmarks'!$K536,2,IF($J536&lt;='02_Benchmarks'!$L536,0,IF($J536&lt;='02_Benchmarks'!$M536,-2,-3)))),IF($J536&gt;='02_Benchmarks'!$J536,3,IF($J536&gt;'02_Benchmarks'!$K536,2,IF($J536&gt;='02_Benchmarks'!$L536,0,IF($J536&gt;='02_Benchmarks'!$M536,-2,-3)))))))</x:f>
      </x:c>
      <x:c r="P536" s="58" t="str">
        <x:f>IF(COUNT($N536:$O536)+IF(ISNUMBER($K536),1,0)=0,"",MIN($N536:$O536,$K536))</x:f>
      </x:c>
      <x:c r="Q536" s="58" t="str">
        <x:f>IF($P536="","",INDEX('04_Tarifmodell'!$B$6:$B$12,$P536+4))</x:f>
      </x:c>
      <x:c r="R536" s="64" t="str">
        <x:f>IF($P536="","",INDEX('04_Tarifmodell'!$C$6:$C$12,$P536+4))</x:f>
      </x:c>
      <x:c r="S536" s="14" t="str">
        <x:f>IF(OR($I536="QUALITATIVE",$I536="MANUAL_HYBRID"),IF($K536="","Assurance-Score fehlt","Assurance-bewertet"),IF($I536="BENCHMARK",IF($W536&lt;&gt;"Aktiv",IF($K536="","Benchmark fehlt","Assurance-bewertet"),IF($J536="","Messwert fehlt",IF($P536="","Nicht bewertbar","Berechnet"))),IF(AND($J536="",$K536&lt;&gt;""),"Nur Assurance-Score",IF($J536="","Messwert fehlt",IF($P536="","Nicht bewertbar",IF($P536&lt;=-2,"Kritische Wirkung / Prüfung","Berechnet"))))))</x:f>
        <x:v>Messwert fehlt</x:v>
      </x:c>
      <x:c r="T536" s="14" t="str">
        <x:v>Vollständige fünfstufige numerische Regel.</x:v>
      </x:c>
      <x:c r="U536" s="14" t="str">
        <x:v>0:+3; ≤0,2:+2; ≤0,5:0; ≤1:‑2; &gt;1:‑3</x:v>
      </x:c>
      <x:c r="V536" s="14" t="str">
        <x:v>ESRS G1, GRI 205/207, OECD Anti‑Bribery</x:v>
      </x:c>
      <x:c r="W536" s="14" t="str">
        <x:f>'02_Benchmarks'!$P536</x:f>
        <x:v>Optional – kein aktiver Benchmark</x:v>
      </x:c>
      <x:c r="X536" s="14" t="str">
        <x:v>Messgrundlage belegt; Schwellenkalibrierung offen</x:v>
      </x:c>
      <x:c r="Y536" s="14" t="str">
        <x:v>Mittel</x:v>
      </x:c>
      <x:c r="Z536" s="14" t="str">
        <x:v>Arbeitskalibrierung – fachlich zu validieren</x:v>
      </x:c>
      <x:c r="AA536" s="14" t="str">
        <x:v>Organisation/Governance; konsolidierter Kreis und relevante Rechtseinheiten</x:v>
      </x:c>
      <x:c r="AB536" s="14" t="str">
        <x:v>Primärdaten bevorzugt; Sekundärdaten nur transparent und versioniert; Methode und Systemgrenze dokumentieren</x:v>
      </x:c>
      <x:c r="AC536" s="14" t="str">
        <x:v>Limited Assurance; risikobasiert höhere Prüftiefe</x:v>
      </x:c>
    </x:row>
    <x:row r="537" ht="42" customHeight="1">
      <x:c r="A537" s="14" t="str">
        <x:v>WOK-G-222</x:v>
      </x:c>
      <x:c r="B537" s="14" t="str">
        <x:v>SDG+ – Resilienz</x:v>
      </x:c>
      <x:c r="C537" s="14" t="str">
        <x:v>—</x:v>
      </x:c>
      <x:c r="D537" s="14" t="str">
        <x:v>Business Continuity</x:v>
      </x:c>
      <x:c r="E537" s="14" t="str">
        <x:v>Business Continuity – Whistleblowing</x:v>
      </x:c>
      <x:c r="F537" s="14" t="str">
        <x:v>0–1</x:v>
      </x:c>
      <x:c r="G537" s="14" t="str">
        <x:v>higher_is_better</x:v>
      </x:c>
      <x:c r="H537" s="14" t="str">
        <x:v>R16</x:v>
      </x:c>
      <x:c r="I537" s="14" t="str">
        <x:v>NUM_HIGH</x:v>
      </x:c>
      <x:c r="J537" s="51"/>
      <x:c r="K537" s="51"/>
      <x:c r="L537" s="51"/>
      <x:c r="M537" s="54"/>
      <x:c r="N537" s="58" t="str">
        <x:f>IF($J537="","",IF($J537&lt;0.4,-3,IF($J537&lt;0.6,-2,IF($J537&lt;0.75,0,IF($J537&lt;0.9,2,3)))))</x:f>
      </x:c>
      <x:c r="O537" s="58" t="str">
        <x:f>IF($J537="","",IF(OR('02_Benchmarks'!$P537&lt;&gt;"Aktiv",COUNT('02_Benchmarks'!$J537:$M537)&lt;4),"",IF($G537="lower_is_better",IF($J537&lt;='02_Benchmarks'!$J537,3,IF($J537&lt;'02_Benchmarks'!$K537,2,IF($J537&lt;='02_Benchmarks'!$L537,0,IF($J537&lt;='02_Benchmarks'!$M537,-2,-3)))),IF($J537&gt;='02_Benchmarks'!$J537,3,IF($J537&gt;'02_Benchmarks'!$K537,2,IF($J537&gt;='02_Benchmarks'!$L537,0,IF($J537&gt;='02_Benchmarks'!$M537,-2,-3)))))))</x:f>
      </x:c>
      <x:c r="P537" s="58" t="str">
        <x:f>IF(COUNT($N537:$O537)+IF(ISNUMBER($K537),1,0)=0,"",MIN($N537:$O537,$K537))</x:f>
      </x:c>
      <x:c r="Q537" s="58" t="str">
        <x:f>IF($P537="","",INDEX('04_Tarifmodell'!$B$6:$B$12,$P537+4))</x:f>
      </x:c>
      <x:c r="R537" s="64" t="str">
        <x:f>IF($P537="","",INDEX('04_Tarifmodell'!$C$6:$C$12,$P537+4))</x:f>
      </x:c>
      <x:c r="S537" s="14" t="str">
        <x:f>IF(OR($I537="QUALITATIVE",$I537="MANUAL_HYBRID"),IF($K537="","Assurance-Score fehlt","Assurance-bewertet"),IF($I537="BENCHMARK",IF($W537&lt;&gt;"Aktiv",IF($K537="","Benchmark fehlt","Assurance-bewertet"),IF($J537="","Messwert fehlt",IF($P537="","Nicht bewertbar","Berechnet"))),IF(AND($J537="",$K537&lt;&gt;""),"Nur Assurance-Score",IF($J537="","Messwert fehlt",IF($P537="","Nicht bewertbar",IF($P537&lt;=-2,"Kritische Wirkung / Prüfung","Berechnet"))))))</x:f>
        <x:v>Messwert fehlt</x:v>
      </x:c>
      <x:c r="T537" s="14" t="str">
        <x:v>Vollständige fünfstufige numerische Regel.</x:v>
      </x:c>
      <x:c r="U537" s="14" t="str">
        <x:v>≥0,9:+3; 0,75–0,89:+2; 0,6–0,74:0; 0,4–0,59:‑2; &lt;0,4:‑3</x:v>
      </x:c>
      <x:c r="V537" s="14" t="str">
        <x:v>ESRS G1, GRI 205/207, OECD Anti‑Bribery</x:v>
      </x:c>
      <x:c r="W537" s="14" t="str">
        <x:f>'02_Benchmarks'!$P537</x:f>
        <x:v>Optional – kein aktiver Benchmark</x:v>
      </x:c>
      <x:c r="X537" s="14" t="str">
        <x:v>Messgrundlage belegt; Schwellenkalibrierung offen</x:v>
      </x:c>
      <x:c r="Y537" s="14" t="str">
        <x:v>Mittel</x:v>
      </x:c>
      <x:c r="Z537" s="14" t="str">
        <x:v>Arbeitskalibrierung – fachlich zu validieren</x:v>
      </x:c>
      <x:c r="AA537" s="14" t="str">
        <x:v>Organisation/Governance; konsolidierter Kreis und relevante Rechtseinheiten</x:v>
      </x:c>
      <x:c r="AB537" s="14" t="str">
        <x:v>Primärdaten bevorzugt; Sekundärdaten nur transparent und versioniert; Methode und Systemgrenze dokumentieren</x:v>
      </x:c>
      <x:c r="AC537" s="14" t="str">
        <x:v>Limited Assurance; risikobasiert höhere Prüftiefe</x:v>
      </x:c>
    </x:row>
    <x:row r="538" ht="42" customHeight="1">
      <x:c r="A538" s="14" t="str">
        <x:v>WOK-G-223</x:v>
      </x:c>
      <x:c r="B538" s="14" t="str">
        <x:v>SDG+ – Resilienz</x:v>
      </x:c>
      <x:c r="C538" s="14" t="str">
        <x:v>—</x:v>
      </x:c>
      <x:c r="D538" s="14" t="str">
        <x:v>Business Continuity</x:v>
      </x:c>
      <x:c r="E538" s="14" t="str">
        <x:v>Business Continuity – Steuertransparenz</x:v>
      </x:c>
      <x:c r="F538" s="14" t="str">
        <x:v>0–1</x:v>
      </x:c>
      <x:c r="G538" s="14" t="str">
        <x:v>higher_is_better</x:v>
      </x:c>
      <x:c r="H538" s="14" t="str">
        <x:v>R08</x:v>
      </x:c>
      <x:c r="I538" s="14" t="str">
        <x:v>QUALITATIVE</x:v>
      </x:c>
      <x:c r="J538" s="51"/>
      <x:c r="K538" s="51"/>
      <x:c r="L538" s="51"/>
      <x:c r="M538" s="54"/>
      <x:c r="N538" s="58" t="str">
        <x:f>""</x:f>
      </x:c>
      <x:c r="O538" s="58" t="str">
        <x:f>IF($J538="","",IF(OR('02_Benchmarks'!$P538&lt;&gt;"Aktiv",COUNT('02_Benchmarks'!$J538:$M538)&lt;4),"",IF($G538="lower_is_better",IF($J538&lt;='02_Benchmarks'!$J538,3,IF($J538&lt;'02_Benchmarks'!$K538,2,IF($J538&lt;='02_Benchmarks'!$L538,0,IF($J538&lt;='02_Benchmarks'!$M538,-2,-3)))),IF($J538&gt;='02_Benchmarks'!$J538,3,IF($J538&gt;'02_Benchmarks'!$K538,2,IF($J538&gt;='02_Benchmarks'!$L538,0,IF($J538&gt;='02_Benchmarks'!$M538,-2,-3)))))))</x:f>
      </x:c>
      <x:c r="P538" s="58" t="str">
        <x:f>IF(COUNT($N538:$O538)+IF(ISNUMBER($K538),1,0)=0,"",MIN($N538:$O538,$K538))</x:f>
      </x:c>
      <x:c r="Q538" s="58" t="str">
        <x:f>IF($P538="","",INDEX('04_Tarifmodell'!$B$6:$B$12,$P538+4))</x:f>
      </x:c>
      <x:c r="R538" s="64" t="str">
        <x:f>IF($P538="","",INDEX('04_Tarifmodell'!$C$6:$C$12,$P538+4))</x:f>
      </x:c>
      <x:c r="S538" s="14" t="str">
        <x:f>IF(OR($I538="QUALITATIVE",$I538="MANUAL_HYBRID"),IF($K538="","Assurance-Score fehlt","Assurance-bewertet"),IF($I538="BENCHMARK",IF($W538&lt;&gt;"Aktiv",IF($K538="","Benchmark fehlt","Assurance-bewertet"),IF($J538="","Messwert fehlt",IF($P538="","Nicht bewertbar","Berechnet"))),IF(AND($J538="",$K538&lt;&gt;""),"Nur Assurance-Score",IF($J538="","Messwert fehlt",IF($P538="","Nicht bewertbar",IF($P538&lt;=-2,"Kritische Wirkung / Prüfung","Berechnet"))))))</x:f>
        <x:v>Assurance-Score fehlt</x:v>
      </x:c>
      <x:c r="T538" s="14" t="str">
        <x:v>Die Kategorie −3 fehlt; Vollständigkeit und Wirksamkeit sind feldspezifisch zu definieren.</x:v>
      </x:c>
      <x:c r="U538" s="14" t="str">
        <x:v>vollständig:+3; teilweise:+2; minimal:0; schlecht:‑2</x:v>
      </x:c>
      <x:c r="V538" s="14" t="str">
        <x:v>ESRS G1, GRI 205/207, OECD Anti‑Bribery</x:v>
      </x:c>
      <x:c r="W538" s="14" t="str">
        <x:f>'02_Benchmarks'!$P538</x:f>
        <x:v>Optional – kein aktiver Benchmark</x:v>
      </x:c>
      <x:c r="X538" s="14" t="str">
        <x:v>Messgrundlage belegt; Schwellenkalibrierung offen</x:v>
      </x:c>
      <x:c r="Y538" s="14" t="str">
        <x:v>Hoch</x:v>
      </x:c>
      <x:c r="Z538" s="14" t="str">
        <x:v>Assurance und Kriterienkatalog erforderlich</x:v>
      </x:c>
      <x:c r="AA538" s="14" t="str">
        <x:v>Organisation/Governance; konsolidierter Kreis und relevante Rechtseinheiten</x:v>
      </x:c>
      <x:c r="AB538" s="14" t="str">
        <x:v>Dokumentierter Kriterienkatalog; nachvollziehbare Evidenz; DQR A/B bevorzugt</x:v>
      </x:c>
      <x:c r="AC538" s="14" t="str">
        <x:v>Unabhängige Fachprüfung/Limited Assurance; bei roten Linien Reasonable Assurance</x:v>
      </x:c>
    </x:row>
    <x:row r="539" ht="42" customHeight="1">
      <x:c r="A539" s="14" t="str">
        <x:v>WOK-E-224</x:v>
      </x:c>
      <x:c r="B539" s="14" t="str">
        <x:v>SDG+ – Resilienz</x:v>
      </x:c>
      <x:c r="C539" s="14" t="str">
        <x:v>—</x:v>
      </x:c>
      <x:c r="D539" s="14" t="str">
        <x:v>Physisches Klimarisiko</x:v>
      </x:c>
      <x:c r="E539" s="14" t="str">
        <x:v>Physisches Klimarisiko – Green R&amp;D</x:v>
      </x:c>
      <x:c r="F539" s="14" t="str">
        <x:v>% Umsatz</x:v>
      </x:c>
      <x:c r="G539" s="14" t="str">
        <x:v>higher_is_better</x:v>
      </x:c>
      <x:c r="H539" s="14" t="str">
        <x:v>R19</x:v>
      </x:c>
      <x:c r="I539" s="14" t="str">
        <x:v>NUM_HIGH</x:v>
      </x:c>
      <x:c r="J539" s="51"/>
      <x:c r="K539" s="51"/>
      <x:c r="L539" s="51"/>
      <x:c r="M539" s="54"/>
      <x:c r="N539" s="58" t="str">
        <x:f>IF($J539="","",IF($J539&lt;0.5,-3,IF($J539&lt;1,-2,IF($J539&lt;3,0,IF($J539&lt;5,2,3)))))</x:f>
      </x:c>
      <x:c r="O539" s="58" t="str">
        <x:f>IF($J539="","",IF(OR('02_Benchmarks'!$P539&lt;&gt;"Aktiv",COUNT('02_Benchmarks'!$J539:$M539)&lt;4),"",IF($G539="lower_is_better",IF($J539&lt;='02_Benchmarks'!$J539,3,IF($J539&lt;'02_Benchmarks'!$K539,2,IF($J539&lt;='02_Benchmarks'!$L539,0,IF($J539&lt;='02_Benchmarks'!$M539,-2,-3)))),IF($J539&gt;='02_Benchmarks'!$J539,3,IF($J539&gt;'02_Benchmarks'!$K539,2,IF($J539&gt;='02_Benchmarks'!$L539,0,IF($J539&gt;='02_Benchmarks'!$M539,-2,-3)))))))</x:f>
      </x:c>
      <x:c r="P539" s="58" t="str">
        <x:f>IF(COUNT($N539:$O539)+IF(ISNUMBER($K539),1,0)=0,"",MIN($N539:$O539,$K539))</x:f>
      </x:c>
      <x:c r="Q539" s="58" t="str">
        <x:f>IF($P539="","",INDEX('04_Tarifmodell'!$B$6:$B$12,$P539+4))</x:f>
      </x:c>
      <x:c r="R539" s="64" t="str">
        <x:f>IF($P539="","",INDEX('04_Tarifmodell'!$C$6:$C$12,$P539+4))</x:f>
      </x:c>
      <x:c r="S539" s="14" t="str">
        <x:f>IF(OR($I539="QUALITATIVE",$I539="MANUAL_HYBRID"),IF($K539="","Assurance-Score fehlt","Assurance-bewertet"),IF($I539="BENCHMARK",IF($W539&lt;&gt;"Aktiv",IF($K539="","Benchmark fehlt","Assurance-bewertet"),IF($J539="","Messwert fehlt",IF($P539="","Nicht bewertbar","Berechnet"))),IF(AND($J539="",$K539&lt;&gt;""),"Nur Assurance-Score",IF($J539="","Messwert fehlt",IF($P539="","Nicht bewertbar",IF($P539&lt;=-2,"Kritische Wirkung / Prüfung","Berechnet"))))))</x:f>
        <x:v>Messwert fehlt</x:v>
      </x:c>
      <x:c r="T539" s="14" t="str">
        <x:v>Vollständige fünfstufige numerische Regel.</x:v>
      </x:c>
      <x:c r="U539" s="14" t="str">
        <x:v>≥5:+3; 3–4,9:+2; 1–2,9:0; 0,5–0,9:‑2; &lt;0,5:‑3</x:v>
      </x:c>
      <x:c r="V539" s="14" t="str">
        <x:v>OECD Frascati, PATSTAT</x:v>
      </x:c>
      <x:c r="W539" s="14" t="str">
        <x:f>'02_Benchmarks'!$P539</x:f>
        <x:v>Optional – kein aktiver Benchmark</x:v>
      </x:c>
      <x:c r="X539" s="14" t="str">
        <x:v>Messgrundlage belegt; Schwellenkalibrierung offen</x:v>
      </x:c>
      <x:c r="Y539" s="14" t="str">
        <x:v>Mittel</x:v>
      </x:c>
      <x:c r="Z539" s="14" t="str">
        <x:v>Arbeitskalibrierung – fachlich zu validieren</x:v>
      </x:c>
      <x:c r="AA539" s="14" t="str">
        <x:v>Standort/Prozess/Aktivität; Bezugsgröße und relevante Umweltmedien</x:v>
      </x:c>
      <x:c r="AB539" s="14" t="str">
        <x:v>Primärdaten bevorzugt; Sekundärdaten nur transparent und versioniert; Methode und Systemgrenze dokumentieren</x:v>
      </x:c>
      <x:c r="AC539" s="14" t="str">
        <x:v>Limited Assurance; risikobasiert höhere Prüftiefe</x:v>
      </x:c>
    </x:row>
    <x:row r="540" ht="42" customHeight="1">
      <x:c r="A540" s="14" t="str">
        <x:v>WOK-E-225</x:v>
      </x:c>
      <x:c r="B540" s="14" t="str">
        <x:v>SDG+ – Resilienz</x:v>
      </x:c>
      <x:c r="C540" s="14" t="str">
        <x:v>—</x:v>
      </x:c>
      <x:c r="D540" s="14" t="str">
        <x:v>Physisches Klimarisiko</x:v>
      </x:c>
      <x:c r="E540" s="14" t="str">
        <x:v>Physisches Klimarisiko – SDG‑Patente</x:v>
      </x:c>
      <x:c r="F540" s="14" t="str">
        <x:v>%</x:v>
      </x:c>
      <x:c r="G540" s="14" t="str">
        <x:v>higher_is_better</x:v>
      </x:c>
      <x:c r="H540" s="14" t="str">
        <x:v>R17</x:v>
      </x:c>
      <x:c r="I540" s="14" t="str">
        <x:v>NUM_HIGH</x:v>
      </x:c>
      <x:c r="J540" s="51"/>
      <x:c r="K540" s="51"/>
      <x:c r="L540" s="51"/>
      <x:c r="M540" s="54"/>
      <x:c r="N540" s="58" t="str">
        <x:f>IF($J540="","",IF($J540&lt;5,-3,IF($J540&lt;10,-2,IF($J540&lt;25,0,IF($J540&lt;40,2,3)))))</x:f>
      </x:c>
      <x:c r="O540" s="58" t="str">
        <x:f>IF($J540="","",IF(OR('02_Benchmarks'!$P540&lt;&gt;"Aktiv",COUNT('02_Benchmarks'!$J540:$M540)&lt;4),"",IF($G540="lower_is_better",IF($J540&lt;='02_Benchmarks'!$J540,3,IF($J540&lt;'02_Benchmarks'!$K540,2,IF($J540&lt;='02_Benchmarks'!$L540,0,IF($J540&lt;='02_Benchmarks'!$M540,-2,-3)))),IF($J540&gt;='02_Benchmarks'!$J540,3,IF($J540&gt;'02_Benchmarks'!$K540,2,IF($J540&gt;='02_Benchmarks'!$L540,0,IF($J540&gt;='02_Benchmarks'!$M540,-2,-3)))))))</x:f>
      </x:c>
      <x:c r="P540" s="58" t="str">
        <x:f>IF(COUNT($N540:$O540)+IF(ISNUMBER($K540),1,0)=0,"",MIN($N540:$O540,$K540))</x:f>
      </x:c>
      <x:c r="Q540" s="58" t="str">
        <x:f>IF($P540="","",INDEX('04_Tarifmodell'!$B$6:$B$12,$P540+4))</x:f>
      </x:c>
      <x:c r="R540" s="64" t="str">
        <x:f>IF($P540="","",INDEX('04_Tarifmodell'!$C$6:$C$12,$P540+4))</x:f>
      </x:c>
      <x:c r="S540" s="14" t="str">
        <x:f>IF(OR($I540="QUALITATIVE",$I540="MANUAL_HYBRID"),IF($K540="","Assurance-Score fehlt","Assurance-bewertet"),IF($I540="BENCHMARK",IF($W540&lt;&gt;"Aktiv",IF($K540="","Benchmark fehlt","Assurance-bewertet"),IF($J540="","Messwert fehlt",IF($P540="","Nicht bewertbar","Berechnet"))),IF(AND($J540="",$K540&lt;&gt;""),"Nur Assurance-Score",IF($J540="","Messwert fehlt",IF($P540="","Nicht bewertbar",IF($P540&lt;=-2,"Kritische Wirkung / Prüfung","Berechnet"))))))</x:f>
        <x:v>Messwert fehlt</x:v>
      </x:c>
      <x:c r="T540" s="14" t="str">
        <x:v>Patentmenge nicht mit Wirkung gleichsetzen; Qualität und Nutzung ergänzen. Vollständige fünfstufige numerische Regel.</x:v>
      </x:c>
      <x:c r="U540" s="14" t="str">
        <x:v>≥40:+3; 25–39:+2; 10–24:0; 5–9:‑2; &lt;5:‑3</x:v>
      </x:c>
      <x:c r="V540" s="14" t="str">
        <x:v>OECD Frascati, PATSTAT</x:v>
      </x:c>
      <x:c r="W540" s="14" t="str">
        <x:f>'02_Benchmarks'!$P540</x:f>
        <x:v>Optional – kein aktiver Benchmark</x:v>
      </x:c>
      <x:c r="X540" s="14" t="str">
        <x:v>Teilbelegt – Wirkungslogik ergänzen</x:v>
      </x:c>
      <x:c r="Y540" s="14" t="str">
        <x:v>Hoch</x:v>
      </x:c>
      <x:c r="Z540" s="14" t="str">
        <x:v>Arbeitskalibrierung – fachlich zu validieren</x:v>
      </x:c>
      <x:c r="AA540" s="14" t="str">
        <x:v>Standort/Prozess/Aktivität; Bezugsgröße und relevante Umweltmedien</x:v>
      </x:c>
      <x:c r="AB540" s="14" t="str">
        <x:v>Primärdaten oder qualitätsgesicherte Sekundärdaten; Methode, Zeitraum und Systemgrenze dokumentieren</x:v>
      </x:c>
      <x:c r="AC540" s="14" t="str">
        <x:v>Limited Assurance; bei materieller Steuerwirkung risikobasiert vertiefen</x:v>
      </x:c>
    </x:row>
    <x:row r="541" ht="42" customHeight="1">
      <x:c r="A541" s="14" t="str">
        <x:v>WOK-E-226</x:v>
      </x:c>
      <x:c r="B541" s="14" t="str">
        <x:v>SDG+ – Resilienz</x:v>
      </x:c>
      <x:c r="C541" s="14" t="str">
        <x:v>—</x:v>
      </x:c>
      <x:c r="D541" s="14" t="str">
        <x:v>Physisches Klimarisiko</x:v>
      </x:c>
      <x:c r="E541" s="14" t="str">
        <x:v>Physisches Klimarisiko – Prozess‑Effizienz</x:v>
      </x:c>
      <x:c r="F541" s="14" t="str">
        <x:v>kWh/t bzw. t CO₂e/t</x:v>
      </x:c>
      <x:c r="G541" s="14" t="str">
        <x:v>lower_is_better</x:v>
      </x:c>
      <x:c r="H541" s="14" t="str">
        <x:v>R06</x:v>
      </x:c>
      <x:c r="I541" s="14" t="str">
        <x:v>BENCHMARK</x:v>
      </x:c>
      <x:c r="J541" s="51"/>
      <x:c r="K541" s="51"/>
      <x:c r="L541" s="51"/>
      <x:c r="M541" s="54"/>
      <x:c r="N541" s="58" t="str">
        <x:f>""</x:f>
      </x:c>
      <x:c r="O541" s="58" t="str">
        <x:f>IF($J541="","",IF(OR('02_Benchmarks'!$P541&lt;&gt;"Aktiv",COUNT('02_Benchmarks'!$J541:$M541)&lt;4),"",IF($G541="lower_is_better",IF($J541&lt;='02_Benchmarks'!$J541,3,IF($J541&lt;'02_Benchmarks'!$K541,2,IF($J541&lt;='02_Benchmarks'!$L541,0,IF($J541&lt;='02_Benchmarks'!$M541,-2,-3)))),IF($J541&gt;='02_Benchmarks'!$J541,3,IF($J541&gt;'02_Benchmarks'!$K541,2,IF($J541&gt;='02_Benchmarks'!$L541,0,IF($J541&gt;='02_Benchmarks'!$M541,-2,-3)))))))</x:f>
      </x:c>
      <x:c r="P541" s="58" t="str">
        <x:f>IF(COUNT($N541:$O541)+IF(ISNUMBER($K541),1,0)=0,"",MIN($N541:$O541,$K541))</x:f>
      </x:c>
      <x:c r="Q541" s="58" t="str">
        <x:f>IF($P541="","",INDEX('04_Tarifmodell'!$B$6:$B$12,$P541+4))</x:f>
      </x:c>
      <x:c r="R541" s="64" t="str">
        <x:f>IF($P541="","",INDEX('04_Tarifmodell'!$C$6:$C$12,$P541+4))</x:f>
      </x:c>
      <x:c r="S541" s="14" t="str">
        <x:f>IF(OR($I541="QUALITATIVE",$I541="MANUAL_HYBRID"),IF($K541="","Assurance-Score fehlt","Assurance-bewertet"),IF($I541="BENCHMARK",IF($W541&lt;&gt;"Aktiv",IF($K541="","Benchmark fehlt","Assurance-bewertet"),IF($J541="","Messwert fehlt",IF($P541="","Nicht bewertbar","Berechnet"))),IF(AND($J541="",$K541&lt;&gt;""),"Nur Assurance-Score",IF($J541="","Messwert fehlt",IF($P541="","Nicht bewertbar",IF($P541&lt;=-2,"Kritische Wirkung / Prüfung","Berechnet"))))))</x:f>
        <x:v>Benchmark fehlt</x:v>
      </x:c>
      <x:c r="T541" s="14" t="str">
        <x:v>Top-10-Prozent, Mittelwert, 150 % und 250 % müssen aus einer dokumentierten Grundgesamtheit stammen.</x:v>
      </x:c>
      <x:c r="U541" s="14" t="str">
        <x:v>Top‑10%:+3; Mittel:0; &gt;150%:‑2; &gt;250%:‑3</x:v>
      </x:c>
      <x:c r="V541" s="14" t="str">
        <x:v>ESRS E1, GHG Protocol (Corporate/Scope 1–3), ISO 14064/14067</x:v>
      </x:c>
      <x:c r="W541" s="14" t="str">
        <x:f>'02_Benchmarks'!$P541</x:f>
        <x:v>Offen – validierter Benchmark fehlt</x:v>
      </x:c>
      <x:c r="X541" s="14" t="str">
        <x:v>Teilbelegt – Benchmarkquelle fehlt</x:v>
      </x:c>
      <x:c r="Y541" s="14" t="str">
        <x:v>Hoch</x:v>
      </x:c>
      <x:c r="Z541" s="14" t="str">
        <x:v>Validierter Benchmark fehlt</x:v>
      </x:c>
      <x:c r="AA541" s="14" t="str">
        <x:v>Standort/Prozess/Aktivität; Bezugsgröße und relevante Umweltmedien</x:v>
      </x:c>
      <x:c r="AB541" s="14" t="str">
        <x:v>Primärdaten plus repräsentativer, versionierter Benchmarkdatensatz; Stichprobe und Population offenlegen</x:v>
      </x:c>
      <x:c r="AC541" s="14" t="str">
        <x:v>Messwert-Assurance und unabhängige Benchmark-Governance</x:v>
      </x:c>
    </x:row>
    <x:row r="542" ht="42" customHeight="1">
      <x:c r="A542" s="14" t="str">
        <x:v>WOK-G-224</x:v>
      </x:c>
      <x:c r="B542" s="14" t="str">
        <x:v>SDG+ – Resilienz</x:v>
      </x:c>
      <x:c r="C542" s="14" t="str">
        <x:v>—</x:v>
      </x:c>
      <x:c r="D542" s="14" t="str">
        <x:v>Cyber‑Resilienz</x:v>
      </x:c>
      <x:c r="E542" s="14" t="str">
        <x:v>Cyber‑Resilienz – Datenschutzvorfälle</x:v>
      </x:c>
      <x:c r="F542" s="14" t="str">
        <x:v>Fälle/Mio</x:v>
      </x:c>
      <x:c r="G542" s="14" t="str">
        <x:v>lower_is_better</x:v>
      </x:c>
      <x:c r="H542" s="14" t="str">
        <x:v>R02</x:v>
      </x:c>
      <x:c r="I542" s="14" t="str">
        <x:v>NUM_LOW</x:v>
      </x:c>
      <x:c r="J542" s="51"/>
      <x:c r="K542" s="51"/>
      <x:c r="L542" s="51"/>
      <x:c r="M542" s="54"/>
      <x:c r="N542" s="58" t="str">
        <x:f>IF($J542="","",IF($J542&lt;=0,3,IF($J542&lt;=1,2,IF($J542&lt;=3,0,IF($J542&lt;=5,-2,-3)))))</x:f>
      </x:c>
      <x:c r="O542" s="58" t="str">
        <x:f>IF($J542="","",IF(OR('02_Benchmarks'!$P542&lt;&gt;"Aktiv",COUNT('02_Benchmarks'!$J542:$M542)&lt;4),"",IF($G542="lower_is_better",IF($J542&lt;='02_Benchmarks'!$J542,3,IF($J542&lt;'02_Benchmarks'!$K542,2,IF($J542&lt;='02_Benchmarks'!$L542,0,IF($J542&lt;='02_Benchmarks'!$M542,-2,-3)))),IF($J542&gt;='02_Benchmarks'!$J542,3,IF($J542&gt;'02_Benchmarks'!$K542,2,IF($J542&gt;='02_Benchmarks'!$L542,0,IF($J542&gt;='02_Benchmarks'!$M542,-2,-3)))))))</x:f>
      </x:c>
      <x:c r="P542" s="58" t="str">
        <x:f>IF(COUNT($N542:$O542)+IF(ISNUMBER($K542),1,0)=0,"",MIN($N542:$O542,$K542))</x:f>
      </x:c>
      <x:c r="Q542" s="58" t="str">
        <x:f>IF($P542="","",INDEX('04_Tarifmodell'!$B$6:$B$12,$P542+4))</x:f>
      </x:c>
      <x:c r="R542" s="64" t="str">
        <x:f>IF($P542="","",INDEX('04_Tarifmodell'!$C$6:$C$12,$P542+4))</x:f>
      </x:c>
      <x:c r="S542" s="14" t="str">
        <x:f>IF(OR($I542="QUALITATIVE",$I542="MANUAL_HYBRID"),IF($K542="","Assurance-Score fehlt","Assurance-bewertet"),IF($I542="BENCHMARK",IF($W542&lt;&gt;"Aktiv",IF($K542="","Benchmark fehlt","Assurance-bewertet"),IF($J542="","Messwert fehlt",IF($P542="","Nicht bewertbar","Berechnet"))),IF(AND($J542="",$K542&lt;&gt;""),"Nur Assurance-Score",IF($J542="","Messwert fehlt",IF($P542="","Nicht bewertbar",IF($P542&lt;=-2,"Kritische Wirkung / Prüfung","Berechnet"))))))</x:f>
        <x:v>Messwert fehlt</x:v>
      </x:c>
      <x:c r="T542" s="14" t="str">
        <x:v>Vollständige fünfstufige numerische Regel.</x:v>
      </x:c>
      <x:c r="U542" s="14" t="str">
        <x:v>0:+3; ≤1:+2; ≤3:0; ≤5:‑2; &gt;5:‑3</x:v>
      </x:c>
      <x:c r="V542" s="14" t="str">
        <x:v>ISO/IEC 27001 &amp; 27701, NIS2</x:v>
      </x:c>
      <x:c r="W542" s="14" t="str">
        <x:f>'02_Benchmarks'!$P542</x:f>
        <x:v>Optional – kein aktiver Benchmark</x:v>
      </x:c>
      <x:c r="X542" s="14" t="str">
        <x:v>Messgrundlage belegt; Schwellenkalibrierung offen</x:v>
      </x:c>
      <x:c r="Y542" s="14" t="str">
        <x:v>Mittel</x:v>
      </x:c>
      <x:c r="Z542" s="14" t="str">
        <x:v>Arbeitskalibrierung – fachlich zu validieren</x:v>
      </x:c>
      <x:c r="AA542" s="14" t="str">
        <x:v>Organisation/Governance; konsolidierter Kreis und relevante Rechtseinheiten</x:v>
      </x:c>
      <x:c r="AB542" s="14" t="str">
        <x:v>Primärdaten bevorzugt; Sekundärdaten nur transparent und versioniert; Methode und Systemgrenze dokumentieren</x:v>
      </x:c>
      <x:c r="AC542" s="14" t="str">
        <x:v>Limited Assurance; risikobasiert höhere Prüftiefe</x:v>
      </x:c>
    </x:row>
    <x:row r="543" ht="42" customHeight="1">
      <x:c r="A543" s="14" t="str">
        <x:v>WOK-G-225</x:v>
      </x:c>
      <x:c r="B543" s="14" t="str">
        <x:v>SDG+ – Resilienz</x:v>
      </x:c>
      <x:c r="C543" s="14" t="str">
        <x:v>—</x:v>
      </x:c>
      <x:c r="D543" s="14" t="str">
        <x:v>Cyber‑Resilienz</x:v>
      </x:c>
      <x:c r="E543" s="14" t="str">
        <x:v>Cyber‑Resilienz – Privacy by Design</x:v>
      </x:c>
      <x:c r="F543" s="14" t="str">
        <x:v>%</x:v>
      </x:c>
      <x:c r="G543" s="14" t="str">
        <x:v>higher_is_better</x:v>
      </x:c>
      <x:c r="H543" s="14" t="str">
        <x:v>R25</x:v>
      </x:c>
      <x:c r="I543" s="14" t="str">
        <x:v>NUM_HIGH</x:v>
      </x:c>
      <x:c r="J543" s="51"/>
      <x:c r="K543" s="51"/>
      <x:c r="L543" s="51"/>
      <x:c r="M543" s="54"/>
      <x:c r="N543" s="58" t="str">
        <x:f>IF($J543="","",IF($J543&lt;30,-3,IF($J543&lt;50,-2,IF($J543&lt;70,0,IF($J543&lt;90,2,3)))))</x:f>
      </x:c>
      <x:c r="O543" s="58" t="str">
        <x:f>IF($J543="","",IF(OR('02_Benchmarks'!$P543&lt;&gt;"Aktiv",COUNT('02_Benchmarks'!$J543:$M543)&lt;4),"",IF($G543="lower_is_better",IF($J543&lt;='02_Benchmarks'!$J543,3,IF($J543&lt;'02_Benchmarks'!$K543,2,IF($J543&lt;='02_Benchmarks'!$L543,0,IF($J543&lt;='02_Benchmarks'!$M543,-2,-3)))),IF($J543&gt;='02_Benchmarks'!$J543,3,IF($J543&gt;'02_Benchmarks'!$K543,2,IF($J543&gt;='02_Benchmarks'!$L543,0,IF($J543&gt;='02_Benchmarks'!$M543,-2,-3)))))))</x:f>
      </x:c>
      <x:c r="P543" s="58" t="str">
        <x:f>IF(COUNT($N543:$O543)+IF(ISNUMBER($K543),1,0)=0,"",MIN($N543:$O543,$K543))</x:f>
      </x:c>
      <x:c r="Q543" s="58" t="str">
        <x:f>IF($P543="","",INDEX('04_Tarifmodell'!$B$6:$B$12,$P543+4))</x:f>
      </x:c>
      <x:c r="R543" s="64" t="str">
        <x:f>IF($P543="","",INDEX('04_Tarifmodell'!$C$6:$C$12,$P543+4))</x:f>
      </x:c>
      <x:c r="S543" s="14" t="str">
        <x:f>IF(OR($I543="QUALITATIVE",$I543="MANUAL_HYBRID"),IF($K543="","Assurance-Score fehlt","Assurance-bewertet"),IF($I543="BENCHMARK",IF($W543&lt;&gt;"Aktiv",IF($K543="","Benchmark fehlt","Assurance-bewertet"),IF($J543="","Messwert fehlt",IF($P543="","Nicht bewertbar","Berechnet"))),IF(AND($J543="",$K543&lt;&gt;""),"Nur Assurance-Score",IF($J543="","Messwert fehlt",IF($P543="","Nicht bewertbar",IF($P543&lt;=-2,"Kritische Wirkung / Prüfung","Berechnet"))))))</x:f>
        <x:v>Messwert fehlt</x:v>
      </x:c>
      <x:c r="T543" s="14" t="str">
        <x:v>Vollständige fünfstufige Prozentregel.</x:v>
      </x:c>
      <x:c r="U543" s="14" t="str">
        <x:v>≥90%:+3; 70–89%:+2; 50–69%:0; 30–49%:‑2; &lt;30%:‑3</x:v>
      </x:c>
      <x:c r="V543" s="14" t="str">
        <x:v>ISO/IEC 27001 &amp; 27701, NIS2</x:v>
      </x:c>
      <x:c r="W543" s="14" t="str">
        <x:f>'02_Benchmarks'!$P543</x:f>
        <x:v>Optional – kein aktiver Benchmark</x:v>
      </x:c>
      <x:c r="X543" s="14" t="str">
        <x:v>Messgrundlage belegt; Schwellenkalibrierung offen</x:v>
      </x:c>
      <x:c r="Y543" s="14" t="str">
        <x:v>Mittel</x:v>
      </x:c>
      <x:c r="Z543" s="14" t="str">
        <x:v>Arbeitskalibrierung – fachlich zu validieren</x:v>
      </x:c>
      <x:c r="AA543" s="14" t="str">
        <x:v>Organisation/Governance; konsolidierter Kreis und relevante Rechtseinheiten</x:v>
      </x:c>
      <x:c r="AB543" s="14" t="str">
        <x:v>Primärdaten bevorzugt; Sekundärdaten nur transparent und versioniert; Methode und Systemgrenze dokumentieren</x:v>
      </x:c>
      <x:c r="AC543" s="14" t="str">
        <x:v>Limited Assurance; risikobasiert höhere Prüftiefe</x:v>
      </x:c>
    </x:row>
    <x:row r="544" ht="42" customHeight="1">
      <x:c r="A544" s="14" t="str">
        <x:v>WOK-G-226</x:v>
      </x:c>
      <x:c r="B544" s="14" t="str">
        <x:v>SDG+ – Resilienz</x:v>
      </x:c>
      <x:c r="C544" s="14" t="str">
        <x:v>—</x:v>
      </x:c>
      <x:c r="D544" s="14" t="str">
        <x:v>Cyber‑Resilienz</x:v>
      </x:c>
      <x:c r="E544" s="14" t="str">
        <x:v>Cyber‑Resilienz – Security Reifegrad</x:v>
      </x:c>
      <x:c r="F544" s="14" t="str">
        <x:v>0–1</x:v>
      </x:c>
      <x:c r="G544" s="14" t="str">
        <x:v>higher_is_better</x:v>
      </x:c>
      <x:c r="H544" s="14" t="str">
        <x:v>R16</x:v>
      </x:c>
      <x:c r="I544" s="14" t="str">
        <x:v>NUM_HIGH</x:v>
      </x:c>
      <x:c r="J544" s="51"/>
      <x:c r="K544" s="51"/>
      <x:c r="L544" s="51"/>
      <x:c r="M544" s="54"/>
      <x:c r="N544" s="58" t="str">
        <x:f>IF($J544="","",IF($J544&lt;0.4,-3,IF($J544&lt;0.6,-2,IF($J544&lt;0.75,0,IF($J544&lt;0.9,2,3)))))</x:f>
      </x:c>
      <x:c r="O544" s="58" t="str">
        <x:f>IF($J544="","",IF(OR('02_Benchmarks'!$P544&lt;&gt;"Aktiv",COUNT('02_Benchmarks'!$J544:$M544)&lt;4),"",IF($G544="lower_is_better",IF($J544&lt;='02_Benchmarks'!$J544,3,IF($J544&lt;'02_Benchmarks'!$K544,2,IF($J544&lt;='02_Benchmarks'!$L544,0,IF($J544&lt;='02_Benchmarks'!$M544,-2,-3)))),IF($J544&gt;='02_Benchmarks'!$J544,3,IF($J544&gt;'02_Benchmarks'!$K544,2,IF($J544&gt;='02_Benchmarks'!$L544,0,IF($J544&gt;='02_Benchmarks'!$M544,-2,-3)))))))</x:f>
      </x:c>
      <x:c r="P544" s="58" t="str">
        <x:f>IF(COUNT($N544:$O544)+IF(ISNUMBER($K544),1,0)=0,"",MIN($N544:$O544,$K544))</x:f>
      </x:c>
      <x:c r="Q544" s="58" t="str">
        <x:f>IF($P544="","",INDEX('04_Tarifmodell'!$B$6:$B$12,$P544+4))</x:f>
      </x:c>
      <x:c r="R544" s="64" t="str">
        <x:f>IF($P544="","",INDEX('04_Tarifmodell'!$C$6:$C$12,$P544+4))</x:f>
      </x:c>
      <x:c r="S544" s="14" t="str">
        <x:f>IF(OR($I544="QUALITATIVE",$I544="MANUAL_HYBRID"),IF($K544="","Assurance-Score fehlt","Assurance-bewertet"),IF($I544="BENCHMARK",IF($W544&lt;&gt;"Aktiv",IF($K544="","Benchmark fehlt","Assurance-bewertet"),IF($J544="","Messwert fehlt",IF($P544="","Nicht bewertbar","Berechnet"))),IF(AND($J544="",$K544&lt;&gt;""),"Nur Assurance-Score",IF($J544="","Messwert fehlt",IF($P544="","Nicht bewertbar",IF($P544&lt;=-2,"Kritische Wirkung / Prüfung","Berechnet"))))))</x:f>
        <x:v>Messwert fehlt</x:v>
      </x:c>
      <x:c r="T544" s="14" t="str">
        <x:v>Vollständige fünfstufige numerische Regel.</x:v>
      </x:c>
      <x:c r="U544" s="14" t="str">
        <x:v>≥0,9:+3; 0,75–0,89:+2; 0,6–0,74:0; 0,4–0,59:‑2; &lt;0,4:‑3</x:v>
      </x:c>
      <x:c r="V544" s="14" t="str">
        <x:v>ISO/IEC 27001 &amp; 27701, NIS2</x:v>
      </x:c>
      <x:c r="W544" s="14" t="str">
        <x:f>'02_Benchmarks'!$P544</x:f>
        <x:v>Optional – kein aktiver Benchmark</x:v>
      </x:c>
      <x:c r="X544" s="14" t="str">
        <x:v>Messgrundlage belegt; Schwellenkalibrierung offen</x:v>
      </x:c>
      <x:c r="Y544" s="14" t="str">
        <x:v>Mittel</x:v>
      </x:c>
      <x:c r="Z544" s="14" t="str">
        <x:v>Arbeitskalibrierung – fachlich zu validieren</x:v>
      </x:c>
      <x:c r="AA544" s="14" t="str">
        <x:v>Organisation/Governance; konsolidierter Kreis und relevante Rechtseinheiten</x:v>
      </x:c>
      <x:c r="AB544" s="14" t="str">
        <x:v>Primärdaten bevorzugt; Sekundärdaten nur transparent und versioniert; Methode und Systemgrenze dokumentieren</x:v>
      </x:c>
      <x:c r="AC544" s="14" t="str">
        <x:v>Limited Assurance; risikobasiert höhere Prüftiefe</x:v>
      </x:c>
    </x:row>
    <x:row r="545" ht="42" customHeight="1">
      <x:c r="A545" s="14" t="str">
        <x:v>WOK-SC-158</x:v>
      </x:c>
      <x:c r="B545" s="14" t="str">
        <x:v>SDG+ – Resilienz</x:v>
      </x:c>
      <x:c r="C545" s="14" t="str">
        <x:v>—</x:v>
      </x:c>
      <x:c r="D545" s="14" t="str">
        <x:v>Lieferketten‑Resilienz</x:v>
      </x:c>
      <x:c r="E545" s="14" t="str">
        <x:v>Lieferketten‑Resilienz – ESG‑Spend‑Coverage</x:v>
      </x:c>
      <x:c r="F545" s="14" t="str">
        <x:v>%</x:v>
      </x:c>
      <x:c r="G545" s="14" t="str">
        <x:v>higher_is_better</x:v>
      </x:c>
      <x:c r="H545" s="14" t="str">
        <x:v>R26</x:v>
      </x:c>
      <x:c r="I545" s="14" t="str">
        <x:v>NUM_HIGH</x:v>
      </x:c>
      <x:c r="J545" s="51"/>
      <x:c r="K545" s="51"/>
      <x:c r="L545" s="51"/>
      <x:c r="M545" s="54"/>
      <x:c r="N545" s="58" t="str">
        <x:f>IF($J545="","",IF($J545&lt;30,-3,IF($J545&lt;50,-2,IF($J545&lt;70,0,IF($J545&lt;90,2,3)))))</x:f>
      </x:c>
      <x:c r="O545" s="58" t="str">
        <x:f>IF($J545="","",IF(OR('02_Benchmarks'!$P545&lt;&gt;"Aktiv",COUNT('02_Benchmarks'!$J545:$M545)&lt;4),"",IF($G545="lower_is_better",IF($J545&lt;='02_Benchmarks'!$J545,3,IF($J545&lt;'02_Benchmarks'!$K545,2,IF($J545&lt;='02_Benchmarks'!$L545,0,IF($J545&lt;='02_Benchmarks'!$M545,-2,-3)))),IF($J545&gt;='02_Benchmarks'!$J545,3,IF($J545&gt;'02_Benchmarks'!$K545,2,IF($J545&gt;='02_Benchmarks'!$L545,0,IF($J545&gt;='02_Benchmarks'!$M545,-2,-3)))))))</x:f>
      </x:c>
      <x:c r="P545" s="58" t="str">
        <x:f>IF(COUNT($N545:$O545)+IF(ISNUMBER($K545),1,0)=0,"",MIN($N545:$O545,$K545))</x:f>
      </x:c>
      <x:c r="Q545" s="58" t="str">
        <x:f>IF($P545="","",INDEX('04_Tarifmodell'!$B$6:$B$12,$P545+4))</x:f>
      </x:c>
      <x:c r="R545" s="64" t="str">
        <x:f>IF($P545="","",INDEX('04_Tarifmodell'!$C$6:$C$12,$P545+4))</x:f>
      </x:c>
      <x:c r="S545" s="14" t="str">
        <x:f>IF(OR($I545="QUALITATIVE",$I545="MANUAL_HYBRID"),IF($K545="","Assurance-Score fehlt","Assurance-bewertet"),IF($I545="BENCHMARK",IF($W545&lt;&gt;"Aktiv",IF($K545="","Benchmark fehlt","Assurance-bewertet"),IF($J545="","Messwert fehlt",IF($P545="","Nicht bewertbar","Berechnet"))),IF(AND($J545="",$K545&lt;&gt;""),"Nur Assurance-Score",IF($J545="","Messwert fehlt",IF($P545="","Nicht bewertbar",IF($P545&lt;=-2,"Kritische Wirkung / Prüfung","Berechnet"))))))</x:f>
        <x:v>Messwert fehlt</x:v>
      </x:c>
      <x:c r="T545" s="14" t="str">
        <x:v>Vollständige fünfstufige numerische Regel.</x:v>
      </x:c>
      <x:c r="U545" s="14" t="str">
        <x:v>≥90:+3; 70–89:+2; 50–69:0; 30–49:‑2; &lt;30:‑3</x:v>
      </x:c>
      <x:c r="V545" s="14" t="str">
        <x:v>ESRS S2, GRI 308/414, OECD Due Diligence</x:v>
      </x:c>
      <x:c r="W545" s="14" t="str">
        <x:f>'02_Benchmarks'!$P545</x:f>
        <x:v>Optional – kein aktiver Benchmark</x:v>
      </x:c>
      <x:c r="X545" s="14" t="str">
        <x:v>Messgrundlage belegt; Schwellenkalibrierung offen</x:v>
      </x:c>
      <x:c r="Y545" s="14" t="str">
        <x:v>Mittel</x:v>
      </x:c>
      <x:c r="Z545" s="14" t="str">
        <x:v>Arbeitskalibrierung – fachlich zu validieren</x:v>
      </x:c>
      <x:c r="AA545" s="14" t="str">
        <x:v>Vorgelagerte Lieferkette; relevante Tier-Stufen und Beschaffungsvolumen</x:v>
      </x:c>
      <x:c r="AB545" s="14" t="str">
        <x:v>Primärdaten bevorzugt; Sekundärdaten nur transparent und versioniert; Methode und Systemgrenze dokumentieren</x:v>
      </x:c>
      <x:c r="AC545" s="14" t="str">
        <x:v>Limited Assurance; risikobasiert höhere Prüftiefe</x:v>
      </x:c>
    </x:row>
    <x:row r="546" ht="42" customHeight="1">
      <x:c r="A546" s="14" t="str">
        <x:v>WOK-SC-159</x:v>
      </x:c>
      <x:c r="B546" s="14" t="str">
        <x:v>SDG+ – Resilienz</x:v>
      </x:c>
      <x:c r="C546" s="14" t="str">
        <x:v>—</x:v>
      </x:c>
      <x:c r="D546" s="14" t="str">
        <x:v>Lieferketten‑Resilienz</x:v>
      </x:c>
      <x:c r="E546" s="14" t="str">
        <x:v>Lieferketten‑Resilienz – Kinder/Zwangsarbeit</x:v>
      </x:c>
      <x:c r="F546" s="14" t="str">
        <x:v>% Lieferanten</x:v>
      </x:c>
      <x:c r="G546" s="14" t="str">
        <x:v>higher_is_better</x:v>
      </x:c>
      <x:c r="H546" s="14" t="str">
        <x:v>R28</x:v>
      </x:c>
      <x:c r="I546" s="14" t="str">
        <x:v>NUM_HIGH</x:v>
      </x:c>
      <x:c r="J546" s="51"/>
      <x:c r="K546" s="51"/>
      <x:c r="L546" s="51"/>
      <x:c r="M546" s="54"/>
      <x:c r="N546" s="58" t="str">
        <x:f>IF($J546="","",IF($J546&lt;50,-3,IF($J546&lt;75,-2,IF($J546&lt;90,0,IF($J546&lt;98,2,3)))))</x:f>
      </x:c>
      <x:c r="O546" s="58" t="str">
        <x:f>IF($J546="","",IF(OR('02_Benchmarks'!$P546&lt;&gt;"Aktiv",COUNT('02_Benchmarks'!$J546:$M546)&lt;4),"",IF($G546="lower_is_better",IF($J546&lt;='02_Benchmarks'!$J546,3,IF($J546&lt;'02_Benchmarks'!$K546,2,IF($J546&lt;='02_Benchmarks'!$L546,0,IF($J546&lt;='02_Benchmarks'!$M546,-2,-3)))),IF($J546&gt;='02_Benchmarks'!$J546,3,IF($J546&gt;'02_Benchmarks'!$K546,2,IF($J546&gt;='02_Benchmarks'!$L546,0,IF($J546&gt;='02_Benchmarks'!$M546,-2,-3)))))))</x:f>
      </x:c>
      <x:c r="P546" s="58" t="str">
        <x:f>IF(COUNT($N546:$O546)+IF(ISNUMBER($K546),1,0)=0,"",MIN($N546:$O546,$K546))</x:f>
      </x:c>
      <x:c r="Q546" s="58" t="str">
        <x:f>IF($P546="","",INDEX('04_Tarifmodell'!$B$6:$B$12,$P546+4))</x:f>
      </x:c>
      <x:c r="R546" s="64" t="str">
        <x:f>IF($P546="","",INDEX('04_Tarifmodell'!$C$6:$C$12,$P546+4))</x:f>
      </x:c>
      <x:c r="S546" s="14" t="str">
        <x:f>IF(OR($I546="QUALITATIVE",$I546="MANUAL_HYBRID"),IF($K546="","Assurance-Score fehlt","Assurance-bewertet"),IF($I546="BENCHMARK",IF($W546&lt;&gt;"Aktiv",IF($K546="","Benchmark fehlt","Assurance-bewertet"),IF($J546="","Messwert fehlt",IF($P546="","Nicht bewertbar","Berechnet"))),IF(AND($J546="",$K546&lt;&gt;""),"Nur Assurance-Score",IF($J546="","Messwert fehlt",IF($P546="","Nicht bewertbar",IF($P546&lt;=-2,"Kritische Wirkung / Prüfung","Berechnet"))))))</x:f>
        <x:v>Messwert fehlt</x:v>
      </x:c>
      <x:c r="T546" s="14" t="str">
        <x:v>Vollständige fünfstufige numerische Regel.</x:v>
      </x:c>
      <x:c r="U546" s="14" t="str">
        <x:v>≥98:+3; 90–97:+2; 75–89:0; 50–74:‑2; &lt;50:‑3</x:v>
      </x:c>
      <x:c r="V546" s="14" t="str">
        <x:v>ESRS S2, GRI 308/414, OECD Due Diligence</x:v>
      </x:c>
      <x:c r="W546" s="14" t="str">
        <x:f>'02_Benchmarks'!$P546</x:f>
        <x:v>Optional – kein aktiver Benchmark</x:v>
      </x:c>
      <x:c r="X546" s="14" t="str">
        <x:v>Messgrundlage belegt; Schwellenkalibrierung offen</x:v>
      </x:c>
      <x:c r="Y546" s="14" t="str">
        <x:v>Mittel</x:v>
      </x:c>
      <x:c r="Z546" s="14" t="str">
        <x:v>Arbeitskalibrierung – fachlich zu validieren</x:v>
      </x:c>
      <x:c r="AA546" s="14" t="str">
        <x:v>Vorgelagerte Lieferkette; relevante Tier-Stufen und Beschaffungsvolumen</x:v>
      </x:c>
      <x:c r="AB546" s="14" t="str">
        <x:v>Primärdaten bevorzugt; Sekundärdaten nur transparent und versioniert; Methode und Systemgrenze dokumentieren</x:v>
      </x:c>
      <x:c r="AC546" s="14" t="str">
        <x:v>Limited Assurance; risikobasiert höhere Prüftiefe</x:v>
      </x:c>
    </x:row>
    <x:row r="547" ht="42" customHeight="1">
      <x:c r="A547" s="14" t="str">
        <x:v>WOK-SC-160</x:v>
      </x:c>
      <x:c r="B547" s="14" t="str">
        <x:v>SDG+ – Resilienz</x:v>
      </x:c>
      <x:c r="C547" s="14" t="str">
        <x:v>—</x:v>
      </x:c>
      <x:c r="D547" s="14" t="str">
        <x:v>Lieferketten‑Resilienz</x:v>
      </x:c>
      <x:c r="E547" s="14" t="str">
        <x:v>Lieferketten‑Resilienz – Scope‑3 Daten</x:v>
      </x:c>
      <x:c r="F547" s="14" t="str">
        <x:v>% Kategorien</x:v>
      </x:c>
      <x:c r="G547" s="14" t="str">
        <x:v>higher_is_better</x:v>
      </x:c>
      <x:c r="H547" s="14" t="str">
        <x:v>R23</x:v>
      </x:c>
      <x:c r="I547" s="14" t="str">
        <x:v>NUM_HIGH</x:v>
      </x:c>
      <x:c r="J547" s="51"/>
      <x:c r="K547" s="51"/>
      <x:c r="L547" s="51"/>
      <x:c r="M547" s="54"/>
      <x:c r="N547" s="58" t="str">
        <x:f>IF($J547="","",IF($J547&lt;20,-3,IF($J547&lt;40,-2,IF($J547&lt;60,0,IF($J547&lt;80,2,3)))))</x:f>
      </x:c>
      <x:c r="O547" s="58" t="str">
        <x:f>IF($J547="","",IF(OR('02_Benchmarks'!$P547&lt;&gt;"Aktiv",COUNT('02_Benchmarks'!$J547:$M547)&lt;4),"",IF($G547="lower_is_better",IF($J547&lt;='02_Benchmarks'!$J547,3,IF($J547&lt;'02_Benchmarks'!$K547,2,IF($J547&lt;='02_Benchmarks'!$L547,0,IF($J547&lt;='02_Benchmarks'!$M547,-2,-3)))),IF($J547&gt;='02_Benchmarks'!$J547,3,IF($J547&gt;'02_Benchmarks'!$K547,2,IF($J547&gt;='02_Benchmarks'!$L547,0,IF($J547&gt;='02_Benchmarks'!$M547,-2,-3)))))))</x:f>
      </x:c>
      <x:c r="P547" s="58" t="str">
        <x:f>IF(COUNT($N547:$O547)+IF(ISNUMBER($K547),1,0)=0,"",MIN($N547:$O547,$K547))</x:f>
      </x:c>
      <x:c r="Q547" s="58" t="str">
        <x:f>IF($P547="","",INDEX('04_Tarifmodell'!$B$6:$B$12,$P547+4))</x:f>
      </x:c>
      <x:c r="R547" s="64" t="str">
        <x:f>IF($P547="","",INDEX('04_Tarifmodell'!$C$6:$C$12,$P547+4))</x:f>
      </x:c>
      <x:c r="S547" s="14" t="str">
        <x:f>IF(OR($I547="QUALITATIVE",$I547="MANUAL_HYBRID"),IF($K547="","Assurance-Score fehlt","Assurance-bewertet"),IF($I547="BENCHMARK",IF($W547&lt;&gt;"Aktiv",IF($K547="","Benchmark fehlt","Assurance-bewertet"),IF($J547="","Messwert fehlt",IF($P547="","Nicht bewertbar","Berechnet"))),IF(AND($J547="",$K547&lt;&gt;""),"Nur Assurance-Score",IF($J547="","Messwert fehlt",IF($P547="","Nicht bewertbar",IF($P547&lt;=-2,"Kritische Wirkung / Prüfung","Berechnet"))))))</x:f>
        <x:v>Messwert fehlt</x:v>
      </x:c>
      <x:c r="T547" s="14" t="str">
        <x:v>Vollständige fünfstufige numerische Regel.</x:v>
      </x:c>
      <x:c r="U547" s="14" t="str">
        <x:v>≥80:+3; 60–79:+2; 40–59:0; 20–39:‑2; &lt;20:‑3</x:v>
      </x:c>
      <x:c r="V547" s="14" t="str">
        <x:v>ESRS E1, GHG Protocol (Corporate/Scope 1–3), ISO 14064/14067</x:v>
      </x:c>
      <x:c r="W547" s="14" t="str">
        <x:f>'02_Benchmarks'!$P547</x:f>
        <x:v>Optional – kein aktiver Benchmark</x:v>
      </x:c>
      <x:c r="X547" s="14" t="str">
        <x:v>Messgrundlage belegt; Schwellenkalibrierung offen</x:v>
      </x:c>
      <x:c r="Y547" s="14" t="str">
        <x:v>Mittel</x:v>
      </x:c>
      <x:c r="Z547" s="14" t="str">
        <x:v>Arbeitskalibrierung – fachlich zu validieren</x:v>
      </x:c>
      <x:c r="AA547" s="14" t="str">
        <x:v>Vorgelagerte Lieferkette; relevante Tier-Stufen und Beschaffungsvolumen</x:v>
      </x:c>
      <x:c r="AB547" s="14" t="str">
        <x:v>Primärdaten bevorzugt; Sekundärdaten nur transparent und versioniert; Methode und Systemgrenze dokumentieren</x:v>
      </x:c>
      <x:c r="AC547" s="14" t="str">
        <x:v>Limited Assurance; risikobasiert höhere Prüftiefe</x:v>
      </x:c>
    </x:row>
    <x:row r="548" ht="42" customHeight="1">
      <x:c r="A548" s="14" t="str">
        <x:v>WOK-SYS-191</x:v>
      </x:c>
      <x:c r="B548" s="14" t="str">
        <x:v>SDG+ – Resilienz</x:v>
      </x:c>
      <x:c r="C548" s="14" t="str">
        <x:v>—</x:v>
      </x:c>
      <x:c r="D548" s="14" t="str">
        <x:v>Gemeinwesen‑Resilienz</x:v>
      </x:c>
      <x:c r="E548" s="14" t="str">
        <x:v>Gemeinwesen‑Resilienz – Index</x:v>
      </x:c>
      <x:c r="F548" s="14" t="str">
        <x:v>0–1</x:v>
      </x:c>
      <x:c r="G548" s="14" t="str">
        <x:v>higher_is_better</x:v>
      </x:c>
      <x:c r="H548" s="14" t="str">
        <x:v>R15</x:v>
      </x:c>
      <x:c r="I548" s="14" t="str">
        <x:v>NUM_HIGH</x:v>
      </x:c>
      <x:c r="J548" s="51"/>
      <x:c r="K548" s="51"/>
      <x:c r="L548" s="51"/>
      <x:c r="M548" s="54"/>
      <x:c r="N548" s="58" t="str">
        <x:f>IF($J548="","",IF($J548&lt;0.5,-3,IF($J548&lt;0.6,-2,IF($J548&lt;0.7,0,IF($J548&lt;0.8,2,3)))))</x:f>
      </x:c>
      <x:c r="O548" s="58" t="str">
        <x:f>IF($J548="","",IF(OR('02_Benchmarks'!$P548&lt;&gt;"Aktiv",COUNT('02_Benchmarks'!$J548:$M548)&lt;4),"",IF($G548="lower_is_better",IF($J548&lt;='02_Benchmarks'!$J548,3,IF($J548&lt;'02_Benchmarks'!$K548,2,IF($J548&lt;='02_Benchmarks'!$L548,0,IF($J548&lt;='02_Benchmarks'!$M548,-2,-3)))),IF($J548&gt;='02_Benchmarks'!$J548,3,IF($J548&gt;'02_Benchmarks'!$K548,2,IF($J548&gt;='02_Benchmarks'!$L548,0,IF($J548&gt;='02_Benchmarks'!$M548,-2,-3)))))))</x:f>
      </x:c>
      <x:c r="P548" s="58" t="str">
        <x:f>IF(COUNT($N548:$O548)+IF(ISNUMBER($K548),1,0)=0,"",MIN($N548:$O548,$K548))</x:f>
      </x:c>
      <x:c r="Q548" s="58" t="str">
        <x:f>IF($P548="","",INDEX('04_Tarifmodell'!$B$6:$B$12,$P548+4))</x:f>
      </x:c>
      <x:c r="R548" s="64" t="str">
        <x:f>IF($P548="","",INDEX('04_Tarifmodell'!$C$6:$C$12,$P548+4))</x:f>
      </x:c>
      <x:c r="S548" s="14" t="str">
        <x:f>IF(OR($I548="QUALITATIVE",$I548="MANUAL_HYBRID"),IF($K548="","Assurance-Score fehlt","Assurance-bewertet"),IF($I548="BENCHMARK",IF($W548&lt;&gt;"Aktiv",IF($K548="","Benchmark fehlt","Assurance-bewertet"),IF($J548="","Messwert fehlt",IF($P548="","Nicht bewertbar","Berechnet"))),IF(AND($J548="",$K548&lt;&gt;""),"Nur Assurance-Score",IF($J548="","Messwert fehlt",IF($P548="","Nicht bewertbar",IF($P548&lt;=-2,"Kritische Wirkung / Prüfung","Berechnet"))))))</x:f>
        <x:v>Messwert fehlt</x:v>
      </x:c>
      <x:c r="T548" s="14" t="str">
        <x:v>SROI/SDG 17 ist keine hinreichend konkrete Mess- oder Schwellenquelle. Vollständige fünfstufige numerische Regel.</x:v>
      </x:c>
      <x:c r="U548" s="14" t="str">
        <x:v>≥0,8:+3; 0,7–0,79:+2; 0,6–0,69:0; 0,5–0,59:‑2; &lt;0,5:‑3</x:v>
      </x:c>
      <x:c r="V548" s="14" t="str">
        <x:v>SDG 16/17, WJP, V‑Dem</x:v>
      </x:c>
      <x:c r="W548" s="14" t="str">
        <x:f>'02_Benchmarks'!$P548</x:f>
        <x:v>Optional – kein aktiver Benchmark</x:v>
      </x:c>
      <x:c r="X548" s="14" t="str">
        <x:v>Platzhalter – fachliche Operationalisierung offen</x:v>
      </x:c>
      <x:c r="Y548" s="14" t="str">
        <x:v>Kritisch</x:v>
      </x:c>
      <x:c r="Z548" s="14" t="str">
        <x:v>Arbeitskalibrierung – fachlich zu validieren</x:v>
      </x:c>
      <x:c r="AA548" s="14" t="str">
        <x:v>Programm/Portfolio/Systemraum; Empfängergruppe, Region und Zeitraum explizit definieren</x:v>
      </x:c>
      <x:c r="AB548" s="14" t="str">
        <x:v>Primärdaten bevorzugt; Sekundärdaten nur transparent und versioniert; Methode und Systemgrenze dokumentieren</x:v>
      </x:c>
      <x:c r="AC548" s="14" t="str">
        <x:v>Limited Assurance; risikobasiert höhere Prüftiefe</x:v>
      </x:c>
    </x:row>
    <x:row r="549" ht="42" customHeight="1">
      <x:c r="A549" s="14" t="str">
        <x:v>WOK-SYS-192</x:v>
      </x:c>
      <x:c r="B549" s="14" t="str">
        <x:v>SDG+ – Resilienz</x:v>
      </x:c>
      <x:c r="C549" s="14" t="str">
        <x:v>—</x:v>
      </x:c>
      <x:c r="D549" s="14" t="str">
        <x:v>Gemeinwesen‑Resilienz</x:v>
      </x:c>
      <x:c r="E549" s="14" t="str">
        <x:v>Gemeinwesen‑Resilienz – Exposure</x:v>
      </x:c>
      <x:c r="F549" s="14" t="str">
        <x:v>%</x:v>
      </x:c>
      <x:c r="G549" s="14" t="str">
        <x:v>lower_is_better</x:v>
      </x:c>
      <x:c r="H549" s="14" t="str">
        <x:v>R13</x:v>
      </x:c>
      <x:c r="I549" s="14" t="str">
        <x:v>NUM_LOW</x:v>
      </x:c>
      <x:c r="J549" s="51"/>
      <x:c r="K549" s="51"/>
      <x:c r="L549" s="51"/>
      <x:c r="M549" s="54"/>
      <x:c r="N549" s="58" t="str">
        <x:f>IF($J549="","",IF($J549&lt;=5,3,IF($J549&lt;=10,2,IF($J549&lt;=20,0,IF($J549&lt;=30,-2,-3)))))</x:f>
      </x:c>
      <x:c r="O549" s="58" t="str">
        <x:f>IF($J549="","",IF(OR('02_Benchmarks'!$P549&lt;&gt;"Aktiv",COUNT('02_Benchmarks'!$J549:$M549)&lt;4),"",IF($G549="lower_is_better",IF($J549&lt;='02_Benchmarks'!$J549,3,IF($J549&lt;'02_Benchmarks'!$K549,2,IF($J549&lt;='02_Benchmarks'!$L549,0,IF($J549&lt;='02_Benchmarks'!$M549,-2,-3)))),IF($J549&gt;='02_Benchmarks'!$J549,3,IF($J549&gt;'02_Benchmarks'!$K549,2,IF($J549&gt;='02_Benchmarks'!$L549,0,IF($J549&gt;='02_Benchmarks'!$M549,-2,-3)))))))</x:f>
      </x:c>
      <x:c r="P549" s="58" t="str">
        <x:f>IF(COUNT($N549:$O549)+IF(ISNUMBER($K549),1,0)=0,"",MIN($N549:$O549,$K549))</x:f>
      </x:c>
      <x:c r="Q549" s="58" t="str">
        <x:f>IF($P549="","",INDEX('04_Tarifmodell'!$B$6:$B$12,$P549+4))</x:f>
      </x:c>
      <x:c r="R549" s="64" t="str">
        <x:f>IF($P549="","",INDEX('04_Tarifmodell'!$C$6:$C$12,$P549+4))</x:f>
      </x:c>
      <x:c r="S549" s="14" t="str">
        <x:f>IF(OR($I549="QUALITATIVE",$I549="MANUAL_HYBRID"),IF($K549="","Assurance-Score fehlt","Assurance-bewertet"),IF($I549="BENCHMARK",IF($W549&lt;&gt;"Aktiv",IF($K549="","Benchmark fehlt","Assurance-bewertet"),IF($J549="","Messwert fehlt",IF($P549="","Nicht bewertbar","Berechnet"))),IF(AND($J549="",$K549&lt;&gt;""),"Nur Assurance-Score",IF($J549="","Messwert fehlt",IF($P549="","Nicht bewertbar",IF($P549&lt;=-2,"Kritische Wirkung / Prüfung","Berechnet"))))))</x:f>
        <x:v>Messwert fehlt</x:v>
      </x:c>
      <x:c r="T549" s="14" t="str">
        <x:v>SROI/SDG 17 ist keine hinreichend konkrete Mess- oder Schwellenquelle. Vollständige fünfstufige numerische Regel.</x:v>
      </x:c>
      <x:c r="U549" s="14" t="str">
        <x:v>≤5:+3; 6–10:+2; 11–20:0; 21–30:‑2; &gt;30:‑3</x:v>
      </x:c>
      <x:c r="V549" s="14" t="str">
        <x:v>SROI/SDG17</x:v>
      </x:c>
      <x:c r="W549" s="14" t="str">
        <x:f>'02_Benchmarks'!$P549</x:f>
        <x:v>Optional – kein aktiver Benchmark</x:v>
      </x:c>
      <x:c r="X549" s="14" t="str">
        <x:v>Platzhalter – fachliche Operationalisierung offen</x:v>
      </x:c>
      <x:c r="Y549" s="14" t="str">
        <x:v>Kritisch</x:v>
      </x:c>
      <x:c r="Z549" s="14" t="str">
        <x:v>Arbeitskalibrierung – fachlich zu validieren</x:v>
      </x:c>
      <x:c r="AA549" s="14" t="str">
        <x:v>Programm/Portfolio/Systemraum; Empfängergruppe, Region und Zeitraum explizit definieren</x:v>
      </x:c>
      <x:c r="AB549" s="14" t="str">
        <x:v>Primärdaten bevorzugt; Sekundärdaten nur transparent und versioniert; Methode und Systemgrenze dokumentieren</x:v>
      </x:c>
      <x:c r="AC549" s="14" t="str">
        <x:v>Limited Assurance; risikobasiert höhere Prüftiefe</x:v>
      </x:c>
    </x:row>
    <x:row r="550" ht="42" customHeight="1">
      <x:c r="A550" s="14" t="str">
        <x:v>WOK-SYS-193</x:v>
      </x:c>
      <x:c r="B550" s="14" t="str">
        <x:v>SDG+ – Resilienz</x:v>
      </x:c>
      <x:c r="C550" s="14" t="str">
        <x:v>—</x:v>
      </x:c>
      <x:c r="D550" s="14" t="str">
        <x:v>Gemeinwesen‑Resilienz</x:v>
      </x:c>
      <x:c r="E550" s="14" t="str">
        <x:v>Gemeinwesen‑Resilienz – Kooperationen</x:v>
      </x:c>
      <x:c r="F550" s="14" t="str">
        <x:v>#/Jahr</x:v>
      </x:c>
      <x:c r="G550" s="14" t="str">
        <x:v>higher_is_better</x:v>
      </x:c>
      <x:c r="H550" s="14" t="str">
        <x:v>R20</x:v>
      </x:c>
      <x:c r="I550" s="14" t="str">
        <x:v>NUM_HIGH</x:v>
      </x:c>
      <x:c r="J550" s="51"/>
      <x:c r="K550" s="51"/>
      <x:c r="L550" s="51"/>
      <x:c r="M550" s="54"/>
      <x:c r="N550" s="58" t="str">
        <x:f>IF($J550="","",IF($J550&lt;0,-3,IF($J550&lt;1,-2,IF($J550&lt;3,0,IF($J550&lt;5,2,3)))))</x:f>
      </x:c>
      <x:c r="O550" s="58" t="str">
        <x:f>IF($J550="","",IF(OR('02_Benchmarks'!$P550&lt;&gt;"Aktiv",COUNT('02_Benchmarks'!$J550:$M550)&lt;4),"",IF($G550="lower_is_better",IF($J550&lt;='02_Benchmarks'!$J550,3,IF($J550&lt;'02_Benchmarks'!$K550,2,IF($J550&lt;='02_Benchmarks'!$L550,0,IF($J550&lt;='02_Benchmarks'!$M550,-2,-3)))),IF($J550&gt;='02_Benchmarks'!$J550,3,IF($J550&gt;'02_Benchmarks'!$K550,2,IF($J550&gt;='02_Benchmarks'!$L550,0,IF($J550&gt;='02_Benchmarks'!$M550,-2,-3)))))))</x:f>
      </x:c>
      <x:c r="P550" s="58" t="str">
        <x:f>IF(COUNT($N550:$O550)+IF(ISNUMBER($K550),1,0)=0,"",MIN($N550:$O550,$K550))</x:f>
      </x:c>
      <x:c r="Q550" s="58" t="str">
        <x:f>IF($P550="","",INDEX('04_Tarifmodell'!$B$6:$B$12,$P550+4))</x:f>
      </x:c>
      <x:c r="R550" s="64" t="str">
        <x:f>IF($P550="","",INDEX('04_Tarifmodell'!$C$6:$C$12,$P550+4))</x:f>
      </x:c>
      <x:c r="S550" s="14" t="str">
        <x:f>IF(OR($I550="QUALITATIVE",$I550="MANUAL_HYBRID"),IF($K550="","Assurance-Score fehlt","Assurance-bewertet"),IF($I550="BENCHMARK",IF($W550&lt;&gt;"Aktiv",IF($K550="","Benchmark fehlt","Assurance-bewertet"),IF($J550="","Messwert fehlt",IF($P550="","Nicht bewertbar","Berechnet"))),IF(AND($J550="",$K550&lt;&gt;""),"Nur Assurance-Score",IF($J550="","Messwert fehlt",IF($P550="","Nicht bewertbar",IF($P550&lt;=-2,"Kritische Wirkung / Prüfung","Berechnet"))))))</x:f>
        <x:v>Messwert fehlt</x:v>
      </x:c>
      <x:c r="T550" s="14" t="str">
        <x:v>SROI/SDG 17 ist keine hinreichend konkrete Mess- oder Schwellenquelle. Für sachlogisch nichtnegative Zählwerte ist 0 die schlechteste reguläre Klasse (−2).</x:v>
      </x:c>
      <x:c r="U550" s="14" t="str">
        <x:v>≥5:+3; 3–4:+2; 1–2:0; 0:‑2</x:v>
      </x:c>
      <x:c r="V550" s="14" t="str">
        <x:v>SDG 16/17, WJP, V‑Dem</x:v>
      </x:c>
      <x:c r="W550" s="14" t="str">
        <x:f>'02_Benchmarks'!$P550</x:f>
        <x:v>Optional – kein aktiver Benchmark</x:v>
      </x:c>
      <x:c r="X550" s="14" t="str">
        <x:v>Platzhalter – fachliche Operationalisierung offen</x:v>
      </x:c>
      <x:c r="Y550" s="14" t="str">
        <x:v>Kritisch</x:v>
      </x:c>
      <x:c r="Z550" s="14" t="str">
        <x:v>Klasse −3 nur für negative/unzulässige Werte ergänzt</x:v>
      </x:c>
      <x:c r="AA550" s="14" t="str">
        <x:v>Programm/Portfolio/Systemraum; Empfängergruppe, Region und Zeitraum explizit definieren</x:v>
      </x:c>
      <x:c r="AB550" s="14" t="str">
        <x:v>Primärdaten bevorzugt; Sekundärdaten nur transparent und versioniert; Methode und Systemgrenze dokumentieren</x:v>
      </x:c>
      <x:c r="AC550" s="14" t="str">
        <x:v>Limited Assurance; risikobasiert höhere Prüftiefe</x:v>
      </x:c>
    </x:row>
    <x:row r="551" ht="42" customHeight="1">
      <x:c r="A551" s="14" t="str">
        <x:v>WOK-RE-122</x:v>
      </x:c>
      <x:c r="B551" s="14" t="str">
        <x:v>SDG+ – Resilienz</x:v>
      </x:c>
      <x:c r="C551" s="14" t="str">
        <x:v>—</x:v>
      </x:c>
      <x:c r="D551" s="14" t="str">
        <x:v>Kritische Infrastruktur Robustheit</x:v>
      </x:c>
      <x:c r="E551" s="14" t="str">
        <x:v>Kritische Infrastruktur Robustheit – Betriebsenergie</x:v>
      </x:c>
      <x:c r="F551" s="14" t="str">
        <x:v>kWh/m²a</x:v>
      </x:c>
      <x:c r="G551" s="14" t="str">
        <x:v>lower_is_better</x:v>
      </x:c>
      <x:c r="H551" s="14" t="str">
        <x:v>R05</x:v>
      </x:c>
      <x:c r="I551" s="14" t="str">
        <x:v>BENCHMARK</x:v>
      </x:c>
      <x:c r="J551" s="51"/>
      <x:c r="K551" s="51"/>
      <x:c r="L551" s="51"/>
      <x:c r="M551" s="54"/>
      <x:c r="N551" s="58" t="str">
        <x:f>""</x:f>
      </x:c>
      <x:c r="O551" s="58" t="str">
        <x:f>IF($J551="","",IF(OR('02_Benchmarks'!$P551&lt;&gt;"Aktiv",COUNT('02_Benchmarks'!$J551:$M551)&lt;4),"",IF($G551="lower_is_better",IF($J551&lt;='02_Benchmarks'!$J551,3,IF($J551&lt;'02_Benchmarks'!$K551,2,IF($J551&lt;='02_Benchmarks'!$L551,0,IF($J551&lt;='02_Benchmarks'!$M551,-2,-3)))),IF($J551&gt;='02_Benchmarks'!$J551,3,IF($J551&gt;'02_Benchmarks'!$K551,2,IF($J551&gt;='02_Benchmarks'!$L551,0,IF($J551&gt;='02_Benchmarks'!$M551,-2,-3)))))))</x:f>
      </x:c>
      <x:c r="P551" s="58" t="str">
        <x:f>IF(COUNT($N551:$O551)+IF(ISNUMBER($K551),1,0)=0,"",MIN($N551:$O551,$K551))</x:f>
      </x:c>
      <x:c r="Q551" s="58" t="str">
        <x:f>IF($P551="","",INDEX('04_Tarifmodell'!$B$6:$B$12,$P551+4))</x:f>
      </x:c>
      <x:c r="R551" s="64" t="str">
        <x:f>IF($P551="","",INDEX('04_Tarifmodell'!$C$6:$C$12,$P551+4))</x:f>
      </x:c>
      <x:c r="S551" s="14" t="str">
        <x:f>IF(OR($I551="QUALITATIVE",$I551="MANUAL_HYBRID"),IF($K551="","Assurance-Score fehlt","Assurance-bewertet"),IF($I551="BENCHMARK",IF($W551&lt;&gt;"Aktiv",IF($K551="","Benchmark fehlt","Assurance-bewertet"),IF($J551="","Messwert fehlt",IF($P551="","Nicht bewertbar","Berechnet"))),IF(AND($J551="",$K551&lt;&gt;""),"Nur Assurance-Score",IF($J551="","Messwert fehlt",IF($P551="","Nicht bewertbar",IF($P551&lt;=-2,"Kritische Wirkung / Prüfung","Berechnet"))))))</x:f>
        <x:v>Benchmark fehlt</x:v>
      </x:c>
      <x:c r="T551" s="14" t="str">
        <x:v>Die Grenze &gt;+60 % ist derzeit nicht eindeutig in −2/−3 aufgelöst.</x:v>
      </x:c>
      <x:c r="U551" s="14" t="str">
        <x:v>Top 15%:+3; +15–30%:+2; +31–60%:0; &gt;+60%:‑2/‑3</x:v>
      </x:c>
      <x:c r="V551" s="14" t="str">
        <x:v>ESRS E1, ISO 50001 (EnMS), ISO/IEC 30134‑2 (PUE), EU EPBD</x:v>
      </x:c>
      <x:c r="W551" s="14" t="str">
        <x:f>'02_Benchmarks'!$P551</x:f>
        <x:v>Offen – validierter Benchmark fehlt</x:v>
      </x:c>
      <x:c r="X551" s="14" t="str">
        <x:v>Teilbelegt – Benchmarkquelle fehlt</x:v>
      </x:c>
      <x:c r="Y551" s="14" t="str">
        <x:v>Hoch</x:v>
      </x:c>
      <x:c r="Z551" s="14" t="str">
        <x:v>Validierter Benchmark fehlt</x:v>
      </x:c>
      <x:c r="AA551" s="14" t="str">
        <x:v>Gebäude/Standort; Betrieb plus relevante Lebenszyklusmodule</x:v>
      </x:c>
      <x:c r="AB551" s="14" t="str">
        <x:v>Primärdaten plus repräsentativer, versionierter Benchmarkdatensatz; Stichprobe und Population offenlegen</x:v>
      </x:c>
      <x:c r="AC551" s="14" t="str">
        <x:v>Messwert-Assurance und unabhängige Benchmark-Governance</x:v>
      </x:c>
    </x:row>
    <x:row r="552" ht="42" customHeight="1">
      <x:c r="A552" s="14" t="str">
        <x:v>WOK-RE-123</x:v>
      </x:c>
      <x:c r="B552" s="14" t="str">
        <x:v>SDG+ – Resilienz</x:v>
      </x:c>
      <x:c r="C552" s="14" t="str">
        <x:v>—</x:v>
      </x:c>
      <x:c r="D552" s="14" t="str">
        <x:v>Kritische Infrastruktur Robustheit</x:v>
      </x:c>
      <x:c r="E552" s="14" t="str">
        <x:v>Kritische Infrastruktur Robustheit – Graue Emissionen</x:v>
      </x:c>
      <x:c r="F552" s="14" t="str">
        <x:v>kg CO₂e/m²</x:v>
      </x:c>
      <x:c r="G552" s="14" t="str">
        <x:v>lower_is_better</x:v>
      </x:c>
      <x:c r="H552" s="14" t="str">
        <x:v>R06</x:v>
      </x:c>
      <x:c r="I552" s="14" t="str">
        <x:v>BENCHMARK</x:v>
      </x:c>
      <x:c r="J552" s="51"/>
      <x:c r="K552" s="51"/>
      <x:c r="L552" s="51"/>
      <x:c r="M552" s="54"/>
      <x:c r="N552" s="58" t="str">
        <x:f>""</x:f>
      </x:c>
      <x:c r="O552" s="58" t="str">
        <x:f>IF($J552="","",IF(OR('02_Benchmarks'!$P552&lt;&gt;"Aktiv",COUNT('02_Benchmarks'!$J552:$M552)&lt;4),"",IF($G552="lower_is_better",IF($J552&lt;='02_Benchmarks'!$J552,3,IF($J552&lt;'02_Benchmarks'!$K552,2,IF($J552&lt;='02_Benchmarks'!$L552,0,IF($J552&lt;='02_Benchmarks'!$M552,-2,-3)))),IF($J552&gt;='02_Benchmarks'!$J552,3,IF($J552&gt;'02_Benchmarks'!$K552,2,IF($J552&gt;='02_Benchmarks'!$L552,0,IF($J552&gt;='02_Benchmarks'!$M552,-2,-3)))))))</x:f>
      </x:c>
      <x:c r="P552" s="58" t="str">
        <x:f>IF(COUNT($N552:$O552)+IF(ISNUMBER($K552),1,0)=0,"",MIN($N552:$O552,$K552))</x:f>
      </x:c>
      <x:c r="Q552" s="58" t="str">
        <x:f>IF($P552="","",INDEX('04_Tarifmodell'!$B$6:$B$12,$P552+4))</x:f>
      </x:c>
      <x:c r="R552" s="64" t="str">
        <x:f>IF($P552="","",INDEX('04_Tarifmodell'!$C$6:$C$12,$P552+4))</x:f>
      </x:c>
      <x:c r="S552" s="14" t="str">
        <x:f>IF(OR($I552="QUALITATIVE",$I552="MANUAL_HYBRID"),IF($K552="","Assurance-Score fehlt","Assurance-bewertet"),IF($I552="BENCHMARK",IF($W552&lt;&gt;"Aktiv",IF($K552="","Benchmark fehlt","Assurance-bewertet"),IF($J552="","Messwert fehlt",IF($P552="","Nicht bewertbar","Berechnet"))),IF(AND($J552="",$K552&lt;&gt;""),"Nur Assurance-Score",IF($J552="","Messwert fehlt",IF($P552="","Nicht bewertbar",IF($P552&lt;=-2,"Kritische Wirkung / Prüfung","Berechnet"))))))</x:f>
        <x:v>Benchmark fehlt</x:v>
      </x:c>
      <x:c r="T552" s="14" t="str">
        <x:v>Top-10-Prozent, Mittelwert, 150 % und 250 % müssen aus einer dokumentierten Grundgesamtheit stammen.</x:v>
      </x:c>
      <x:c r="U552" s="14" t="str">
        <x:v>Top‑10%:+3; Mittel:0; &gt;150%:‑2; &gt;250%:‑3</x:v>
      </x:c>
      <x:c r="V552" s="14" t="str">
        <x:v>ESRS E1, GHG Protocol (Corporate/Scope 1–3), ISO 14064/14067</x:v>
      </x:c>
      <x:c r="W552" s="14" t="str">
        <x:f>'02_Benchmarks'!$P552</x:f>
        <x:v>Offen – validierter Benchmark fehlt</x:v>
      </x:c>
      <x:c r="X552" s="14" t="str">
        <x:v>Teilbelegt – Benchmarkquelle fehlt</x:v>
      </x:c>
      <x:c r="Y552" s="14" t="str">
        <x:v>Hoch</x:v>
      </x:c>
      <x:c r="Z552" s="14" t="str">
        <x:v>Validierter Benchmark fehlt</x:v>
      </x:c>
      <x:c r="AA552" s="14" t="str">
        <x:v>Gebäude/Standort; Betrieb plus relevante Lebenszyklusmodule</x:v>
      </x:c>
      <x:c r="AB552" s="14" t="str">
        <x:v>Primärdaten plus repräsentativer, versionierter Benchmarkdatensatz; Stichprobe und Population offenlegen</x:v>
      </x:c>
      <x:c r="AC552" s="14" t="str">
        <x:v>Messwert-Assurance und unabhängige Benchmark-Governance</x:v>
      </x:c>
    </x:row>
    <x:row r="553" ht="42" customHeight="1">
      <x:c r="A553" s="14" t="str">
        <x:v>WOK-RE-124</x:v>
      </x:c>
      <x:c r="B553" s="14" t="str">
        <x:v>SDG+ – Resilienz</x:v>
      </x:c>
      <x:c r="C553" s="14" t="str">
        <x:v>—</x:v>
      </x:c>
      <x:c r="D553" s="14" t="str">
        <x:v>Kritische Infrastruktur Robustheit</x:v>
      </x:c>
      <x:c r="E553" s="14" t="str">
        <x:v>Kritische Infrastruktur Robustheit – ÖPNV‑Erreichbarkeit</x:v>
      </x:c>
      <x:c r="F553" s="14" t="str">
        <x:v>0–1</x:v>
      </x:c>
      <x:c r="G553" s="14" t="str">
        <x:v>higher_is_better</x:v>
      </x:c>
      <x:c r="H553" s="14" t="str">
        <x:v>R14</x:v>
      </x:c>
      <x:c r="I553" s="14" t="str">
        <x:v>NUM_HIGH</x:v>
      </x:c>
      <x:c r="J553" s="51"/>
      <x:c r="K553" s="51"/>
      <x:c r="L553" s="51"/>
      <x:c r="M553" s="54"/>
      <x:c r="N553" s="58" t="str">
        <x:f>IF($J553="","",IF($J553&lt;0.2,-3,IF($J553&lt;0.4,-2,IF($J553&lt;0.6,0,IF($J553&lt;0.8,2,3)))))</x:f>
      </x:c>
      <x:c r="O553" s="58" t="str">
        <x:f>IF($J553="","",IF(OR('02_Benchmarks'!$P553&lt;&gt;"Aktiv",COUNT('02_Benchmarks'!$J553:$M553)&lt;4),"",IF($G553="lower_is_better",IF($J553&lt;='02_Benchmarks'!$J553,3,IF($J553&lt;'02_Benchmarks'!$K553,2,IF($J553&lt;='02_Benchmarks'!$L553,0,IF($J553&lt;='02_Benchmarks'!$M553,-2,-3)))),IF($J553&gt;='02_Benchmarks'!$J553,3,IF($J553&gt;'02_Benchmarks'!$K553,2,IF($J553&gt;='02_Benchmarks'!$L553,0,IF($J553&gt;='02_Benchmarks'!$M553,-2,-3)))))))</x:f>
      </x:c>
      <x:c r="P553" s="58" t="str">
        <x:f>IF(COUNT($N553:$O553)+IF(ISNUMBER($K553),1,0)=0,"",MIN($N553:$O553,$K553))</x:f>
      </x:c>
      <x:c r="Q553" s="58" t="str">
        <x:f>IF($P553="","",INDEX('04_Tarifmodell'!$B$6:$B$12,$P553+4))</x:f>
      </x:c>
      <x:c r="R553" s="64" t="str">
        <x:f>IF($P553="","",INDEX('04_Tarifmodell'!$C$6:$C$12,$P553+4))</x:f>
      </x:c>
      <x:c r="S553" s="14" t="str">
        <x:f>IF(OR($I553="QUALITATIVE",$I553="MANUAL_HYBRID"),IF($K553="","Assurance-Score fehlt","Assurance-bewertet"),IF($I553="BENCHMARK",IF($W553&lt;&gt;"Aktiv",IF($K553="","Benchmark fehlt","Assurance-bewertet"),IF($J553="","Messwert fehlt",IF($P553="","Nicht bewertbar","Berechnet"))),IF(AND($J553="",$K553&lt;&gt;""),"Nur Assurance-Score",IF($J553="","Messwert fehlt",IF($P553="","Nicht bewertbar",IF($P553&lt;=-2,"Kritische Wirkung / Prüfung","Berechnet"))))))</x:f>
        <x:v>Messwert fehlt</x:v>
      </x:c>
      <x:c r="T553" s="14" t="str">
        <x:v>Konkreten Datenhalter, GIS-Layer, Stichtag und Methodik ergänzen. Vollständige fünfstufige numerische Regel.</x:v>
      </x:c>
      <x:c r="U553" s="14" t="str">
        <x:v>≥0,8:+3; 0,6–0,79:+2; 0,4–0,59:0; 0,2–0,39:‑2; &lt;0,2:‑3</x:v>
      </x:c>
      <x:c r="V553" s="14" t="str">
        <x:v>Stadt/GIS</x:v>
      </x:c>
      <x:c r="W553" s="14" t="str">
        <x:f>'02_Benchmarks'!$P553</x:f>
        <x:v>Optional – kein aktiver Benchmark</x:v>
      </x:c>
      <x:c r="X553" s="14" t="str">
        <x:v>Platzhalter – konkrete Datenquelle fehlt</x:v>
      </x:c>
      <x:c r="Y553" s="14" t="str">
        <x:v>Hoch</x:v>
      </x:c>
      <x:c r="Z553" s="14" t="str">
        <x:v>Arbeitskalibrierung – fachlich zu validieren</x:v>
      </x:c>
      <x:c r="AA553" s="14" t="str">
        <x:v>Gebäude/Standort; Betrieb plus relevante Lebenszyklusmodule</x:v>
      </x:c>
      <x:c r="AB553" s="14" t="str">
        <x:v>Primärdaten oder qualitätsgesicherte Sekundärdaten; Methode, Zeitraum und Systemgrenze dokumentieren</x:v>
      </x:c>
      <x:c r="AC553" s="14" t="str">
        <x:v>Limited Assurance; bei materieller Steuerwirkung risikobasiert vertiefen</x:v>
      </x:c>
    </x:row>
    <x:row r="554" ht="42" customHeight="1">
      <x:c r="A554" s="14" t="str">
        <x:v>WOK-G-227</x:v>
      </x:c>
      <x:c r="B554" s="14" t="str">
        <x:v>SDG+ – Technologie-Verantwortung</x:v>
      </x:c>
      <x:c r="C554" s="14" t="str">
        <x:v>—</x:v>
      </x:c>
      <x:c r="D554" s="14" t="str">
        <x:v>KI‑Risiko‑Assessments</x:v>
      </x:c>
      <x:c r="E554" s="14" t="str">
        <x:v>KI‑Risiko‑Assessments – Antikorruption</x:v>
      </x:c>
      <x:c r="F554" s="14" t="str">
        <x:v>Fälle/1.000 FTE</x:v>
      </x:c>
      <x:c r="G554" s="14" t="str">
        <x:v>lower_is_better</x:v>
      </x:c>
      <x:c r="H554" s="14" t="str">
        <x:v>R01</x:v>
      </x:c>
      <x:c r="I554" s="14" t="str">
        <x:v>NUM_LOW</x:v>
      </x:c>
      <x:c r="J554" s="51"/>
      <x:c r="K554" s="51"/>
      <x:c r="L554" s="51"/>
      <x:c r="M554" s="54"/>
      <x:c r="N554" s="58" t="str">
        <x:f>IF($J554="","",IF($J554&lt;=0,3,IF($J554&lt;=0.2,2,IF($J554&lt;=0.5,0,IF($J554&lt;=1,-2,-3)))))</x:f>
      </x:c>
      <x:c r="O554" s="58" t="str">
        <x:f>IF($J554="","",IF(OR('02_Benchmarks'!$P554&lt;&gt;"Aktiv",COUNT('02_Benchmarks'!$J554:$M554)&lt;4),"",IF($G554="lower_is_better",IF($J554&lt;='02_Benchmarks'!$J554,3,IF($J554&lt;'02_Benchmarks'!$K554,2,IF($J554&lt;='02_Benchmarks'!$L554,0,IF($J554&lt;='02_Benchmarks'!$M554,-2,-3)))),IF($J554&gt;='02_Benchmarks'!$J554,3,IF($J554&gt;'02_Benchmarks'!$K554,2,IF($J554&gt;='02_Benchmarks'!$L554,0,IF($J554&gt;='02_Benchmarks'!$M554,-2,-3)))))))</x:f>
      </x:c>
      <x:c r="P554" s="58" t="str">
        <x:f>IF(COUNT($N554:$O554)+IF(ISNUMBER($K554),1,0)=0,"",MIN($N554:$O554,$K554))</x:f>
      </x:c>
      <x:c r="Q554" s="58" t="str">
        <x:f>IF($P554="","",INDEX('04_Tarifmodell'!$B$6:$B$12,$P554+4))</x:f>
      </x:c>
      <x:c r="R554" s="64" t="str">
        <x:f>IF($P554="","",INDEX('04_Tarifmodell'!$C$6:$C$12,$P554+4))</x:f>
      </x:c>
      <x:c r="S554" s="14" t="str">
        <x:f>IF(OR($I554="QUALITATIVE",$I554="MANUAL_HYBRID"),IF($K554="","Assurance-Score fehlt","Assurance-bewertet"),IF($I554="BENCHMARK",IF($W554&lt;&gt;"Aktiv",IF($K554="","Benchmark fehlt","Assurance-bewertet"),IF($J554="","Messwert fehlt",IF($P554="","Nicht bewertbar","Berechnet"))),IF(AND($J554="",$K554&lt;&gt;""),"Nur Assurance-Score",IF($J554="","Messwert fehlt",IF($P554="","Nicht bewertbar",IF($P554&lt;=-2,"Kritische Wirkung / Prüfung","Berechnet"))))))</x:f>
        <x:v>Messwert fehlt</x:v>
      </x:c>
      <x:c r="T554" s="14" t="str">
        <x:v>Vollständige fünfstufige numerische Regel.</x:v>
      </x:c>
      <x:c r="U554" s="14" t="str">
        <x:v>0:+3; ≤0,2:+2; ≤0,5:0; ≤1:‑2; &gt;1:‑3</x:v>
      </x:c>
      <x:c r="V554" s="14" t="str">
        <x:v>ESRS G1, GRI 205/207, OECD Anti‑Bribery</x:v>
      </x:c>
      <x:c r="W554" s="14" t="str">
        <x:f>'02_Benchmarks'!$P554</x:f>
        <x:v>Optional – kein aktiver Benchmark</x:v>
      </x:c>
      <x:c r="X554" s="14" t="str">
        <x:v>Messgrundlage belegt; Schwellenkalibrierung offen</x:v>
      </x:c>
      <x:c r="Y554" s="14" t="str">
        <x:v>Mittel</x:v>
      </x:c>
      <x:c r="Z554" s="14" t="str">
        <x:v>Arbeitskalibrierung – fachlich zu validieren</x:v>
      </x:c>
      <x:c r="AA554" s="14" t="str">
        <x:v>Organisation/Governance; konsolidierter Kreis und relevante Rechtseinheiten</x:v>
      </x:c>
      <x:c r="AB554" s="14" t="str">
        <x:v>Primärdaten bevorzugt; Sekundärdaten nur transparent und versioniert; Methode und Systemgrenze dokumentieren</x:v>
      </x:c>
      <x:c r="AC554" s="14" t="str">
        <x:v>Limited Assurance; risikobasiert höhere Prüftiefe</x:v>
      </x:c>
    </x:row>
    <x:row r="555" ht="42" customHeight="1">
      <x:c r="A555" s="14" t="str">
        <x:v>WOK-G-228</x:v>
      </x:c>
      <x:c r="B555" s="14" t="str">
        <x:v>SDG+ – Technologie-Verantwortung</x:v>
      </x:c>
      <x:c r="C555" s="14" t="str">
        <x:v>—</x:v>
      </x:c>
      <x:c r="D555" s="14" t="str">
        <x:v>KI‑Risiko‑Assessments</x:v>
      </x:c>
      <x:c r="E555" s="14" t="str">
        <x:v>KI‑Risiko‑Assessments – Whistleblowing</x:v>
      </x:c>
      <x:c r="F555" s="14" t="str">
        <x:v>0–1</x:v>
      </x:c>
      <x:c r="G555" s="14" t="str">
        <x:v>higher_is_better</x:v>
      </x:c>
      <x:c r="H555" s="14" t="str">
        <x:v>R16</x:v>
      </x:c>
      <x:c r="I555" s="14" t="str">
        <x:v>NUM_HIGH</x:v>
      </x:c>
      <x:c r="J555" s="51"/>
      <x:c r="K555" s="51"/>
      <x:c r="L555" s="51"/>
      <x:c r="M555" s="54"/>
      <x:c r="N555" s="58" t="str">
        <x:f>IF($J555="","",IF($J555&lt;0.4,-3,IF($J555&lt;0.6,-2,IF($J555&lt;0.75,0,IF($J555&lt;0.9,2,3)))))</x:f>
      </x:c>
      <x:c r="O555" s="58" t="str">
        <x:f>IF($J555="","",IF(OR('02_Benchmarks'!$P555&lt;&gt;"Aktiv",COUNT('02_Benchmarks'!$J555:$M555)&lt;4),"",IF($G555="lower_is_better",IF($J555&lt;='02_Benchmarks'!$J555,3,IF($J555&lt;'02_Benchmarks'!$K555,2,IF($J555&lt;='02_Benchmarks'!$L555,0,IF($J555&lt;='02_Benchmarks'!$M555,-2,-3)))),IF($J555&gt;='02_Benchmarks'!$J555,3,IF($J555&gt;'02_Benchmarks'!$K555,2,IF($J555&gt;='02_Benchmarks'!$L555,0,IF($J555&gt;='02_Benchmarks'!$M555,-2,-3)))))))</x:f>
      </x:c>
      <x:c r="P555" s="58" t="str">
        <x:f>IF(COUNT($N555:$O555)+IF(ISNUMBER($K555),1,0)=0,"",MIN($N555:$O555,$K555))</x:f>
      </x:c>
      <x:c r="Q555" s="58" t="str">
        <x:f>IF($P555="","",INDEX('04_Tarifmodell'!$B$6:$B$12,$P555+4))</x:f>
      </x:c>
      <x:c r="R555" s="64" t="str">
        <x:f>IF($P555="","",INDEX('04_Tarifmodell'!$C$6:$C$12,$P555+4))</x:f>
      </x:c>
      <x:c r="S555" s="14" t="str">
        <x:f>IF(OR($I555="QUALITATIVE",$I555="MANUAL_HYBRID"),IF($K555="","Assurance-Score fehlt","Assurance-bewertet"),IF($I555="BENCHMARK",IF($W555&lt;&gt;"Aktiv",IF($K555="","Benchmark fehlt","Assurance-bewertet"),IF($J555="","Messwert fehlt",IF($P555="","Nicht bewertbar","Berechnet"))),IF(AND($J555="",$K555&lt;&gt;""),"Nur Assurance-Score",IF($J555="","Messwert fehlt",IF($P555="","Nicht bewertbar",IF($P555&lt;=-2,"Kritische Wirkung / Prüfung","Berechnet"))))))</x:f>
        <x:v>Messwert fehlt</x:v>
      </x:c>
      <x:c r="T555" s="14" t="str">
        <x:v>Vollständige fünfstufige numerische Regel.</x:v>
      </x:c>
      <x:c r="U555" s="14" t="str">
        <x:v>≥0,9:+3; 0,75–0,89:+2; 0,6–0,74:0; 0,4–0,59:‑2; &lt;0,4:‑3</x:v>
      </x:c>
      <x:c r="V555" s="14" t="str">
        <x:v>ESRS G1, GRI 205/207, OECD Anti‑Bribery</x:v>
      </x:c>
      <x:c r="W555" s="14" t="str">
        <x:f>'02_Benchmarks'!$P555</x:f>
        <x:v>Optional – kein aktiver Benchmark</x:v>
      </x:c>
      <x:c r="X555" s="14" t="str">
        <x:v>Messgrundlage belegt; Schwellenkalibrierung offen</x:v>
      </x:c>
      <x:c r="Y555" s="14" t="str">
        <x:v>Mittel</x:v>
      </x:c>
      <x:c r="Z555" s="14" t="str">
        <x:v>Arbeitskalibrierung – fachlich zu validieren</x:v>
      </x:c>
      <x:c r="AA555" s="14" t="str">
        <x:v>Organisation/Governance; konsolidierter Kreis und relevante Rechtseinheiten</x:v>
      </x:c>
      <x:c r="AB555" s="14" t="str">
        <x:v>Primärdaten bevorzugt; Sekundärdaten nur transparent und versioniert; Methode und Systemgrenze dokumentieren</x:v>
      </x:c>
      <x:c r="AC555" s="14" t="str">
        <x:v>Limited Assurance; risikobasiert höhere Prüftiefe</x:v>
      </x:c>
    </x:row>
    <x:row r="556" ht="42" customHeight="1">
      <x:c r="A556" s="14" t="str">
        <x:v>WOK-G-229</x:v>
      </x:c>
      <x:c r="B556" s="14" t="str">
        <x:v>SDG+ – Technologie-Verantwortung</x:v>
      </x:c>
      <x:c r="C556" s="14" t="str">
        <x:v>—</x:v>
      </x:c>
      <x:c r="D556" s="14" t="str">
        <x:v>KI‑Risiko‑Assessments</x:v>
      </x:c>
      <x:c r="E556" s="14" t="str">
        <x:v>KI‑Risiko‑Assessments – Steuertransparenz</x:v>
      </x:c>
      <x:c r="F556" s="14" t="str">
        <x:v>0–1</x:v>
      </x:c>
      <x:c r="G556" s="14" t="str">
        <x:v>higher_is_better</x:v>
      </x:c>
      <x:c r="H556" s="14" t="str">
        <x:v>R08</x:v>
      </x:c>
      <x:c r="I556" s="14" t="str">
        <x:v>QUALITATIVE</x:v>
      </x:c>
      <x:c r="J556" s="51"/>
      <x:c r="K556" s="51"/>
      <x:c r="L556" s="51"/>
      <x:c r="M556" s="54"/>
      <x:c r="N556" s="58" t="str">
        <x:f>""</x:f>
      </x:c>
      <x:c r="O556" s="58" t="str">
        <x:f>IF($J556="","",IF(OR('02_Benchmarks'!$P556&lt;&gt;"Aktiv",COUNT('02_Benchmarks'!$J556:$M556)&lt;4),"",IF($G556="lower_is_better",IF($J556&lt;='02_Benchmarks'!$J556,3,IF($J556&lt;'02_Benchmarks'!$K556,2,IF($J556&lt;='02_Benchmarks'!$L556,0,IF($J556&lt;='02_Benchmarks'!$M556,-2,-3)))),IF($J556&gt;='02_Benchmarks'!$J556,3,IF($J556&gt;'02_Benchmarks'!$K556,2,IF($J556&gt;='02_Benchmarks'!$L556,0,IF($J556&gt;='02_Benchmarks'!$M556,-2,-3)))))))</x:f>
      </x:c>
      <x:c r="P556" s="58" t="str">
        <x:f>IF(COUNT($N556:$O556)+IF(ISNUMBER($K556),1,0)=0,"",MIN($N556:$O556,$K556))</x:f>
      </x:c>
      <x:c r="Q556" s="58" t="str">
        <x:f>IF($P556="","",INDEX('04_Tarifmodell'!$B$6:$B$12,$P556+4))</x:f>
      </x:c>
      <x:c r="R556" s="64" t="str">
        <x:f>IF($P556="","",INDEX('04_Tarifmodell'!$C$6:$C$12,$P556+4))</x:f>
      </x:c>
      <x:c r="S556" s="14" t="str">
        <x:f>IF(OR($I556="QUALITATIVE",$I556="MANUAL_HYBRID"),IF($K556="","Assurance-Score fehlt","Assurance-bewertet"),IF($I556="BENCHMARK",IF($W556&lt;&gt;"Aktiv",IF($K556="","Benchmark fehlt","Assurance-bewertet"),IF($J556="","Messwert fehlt",IF($P556="","Nicht bewertbar","Berechnet"))),IF(AND($J556="",$K556&lt;&gt;""),"Nur Assurance-Score",IF($J556="","Messwert fehlt",IF($P556="","Nicht bewertbar",IF($P556&lt;=-2,"Kritische Wirkung / Prüfung","Berechnet"))))))</x:f>
        <x:v>Assurance-Score fehlt</x:v>
      </x:c>
      <x:c r="T556" s="14" t="str">
        <x:v>Die Kategorie −3 fehlt; Vollständigkeit und Wirksamkeit sind feldspezifisch zu definieren.</x:v>
      </x:c>
      <x:c r="U556" s="14" t="str">
        <x:v>vollständig:+3; teilweise:+2; minimal:0; schlecht:‑2</x:v>
      </x:c>
      <x:c r="V556" s="14" t="str">
        <x:v>ESRS G1, GRI 205/207, OECD Anti‑Bribery</x:v>
      </x:c>
      <x:c r="W556" s="14" t="str">
        <x:f>'02_Benchmarks'!$P556</x:f>
        <x:v>Optional – kein aktiver Benchmark</x:v>
      </x:c>
      <x:c r="X556" s="14" t="str">
        <x:v>Messgrundlage belegt; Schwellenkalibrierung offen</x:v>
      </x:c>
      <x:c r="Y556" s="14" t="str">
        <x:v>Hoch</x:v>
      </x:c>
      <x:c r="Z556" s="14" t="str">
        <x:v>Assurance und Kriterienkatalog erforderlich</x:v>
      </x:c>
      <x:c r="AA556" s="14" t="str">
        <x:v>Organisation/Governance; konsolidierter Kreis und relevante Rechtseinheiten</x:v>
      </x:c>
      <x:c r="AB556" s="14" t="str">
        <x:v>Dokumentierter Kriterienkatalog; nachvollziehbare Evidenz; DQR A/B bevorzugt</x:v>
      </x:c>
      <x:c r="AC556" s="14" t="str">
        <x:v>Unabhängige Fachprüfung/Limited Assurance; bei roten Linien Reasonable Assurance</x:v>
      </x:c>
    </x:row>
    <x:row r="557" ht="42" customHeight="1">
      <x:c r="A557" s="14" t="str">
        <x:v>WOK-G-230</x:v>
      </x:c>
      <x:c r="B557" s="14" t="str">
        <x:v>SDG+ – Technologie-Verantwortung</x:v>
      </x:c>
      <x:c r="C557" s="14" t="str">
        <x:v>—</x:v>
      </x:c>
      <x:c r="D557" s="14" t="str">
        <x:v>Privacy by Design</x:v>
      </x:c>
      <x:c r="E557" s="14" t="str">
        <x:v>Privacy by Design – Datenschutzvorfälle</x:v>
      </x:c>
      <x:c r="F557" s="14" t="str">
        <x:v>Fälle/Mio</x:v>
      </x:c>
      <x:c r="G557" s="14" t="str">
        <x:v>lower_is_better</x:v>
      </x:c>
      <x:c r="H557" s="14" t="str">
        <x:v>R02</x:v>
      </x:c>
      <x:c r="I557" s="14" t="str">
        <x:v>NUM_LOW</x:v>
      </x:c>
      <x:c r="J557" s="51"/>
      <x:c r="K557" s="51"/>
      <x:c r="L557" s="51"/>
      <x:c r="M557" s="54"/>
      <x:c r="N557" s="58" t="str">
        <x:f>IF($J557="","",IF($J557&lt;=0,3,IF($J557&lt;=1,2,IF($J557&lt;=3,0,IF($J557&lt;=5,-2,-3)))))</x:f>
      </x:c>
      <x:c r="O557" s="58" t="str">
        <x:f>IF($J557="","",IF(OR('02_Benchmarks'!$P557&lt;&gt;"Aktiv",COUNT('02_Benchmarks'!$J557:$M557)&lt;4),"",IF($G557="lower_is_better",IF($J557&lt;='02_Benchmarks'!$J557,3,IF($J557&lt;'02_Benchmarks'!$K557,2,IF($J557&lt;='02_Benchmarks'!$L557,0,IF($J557&lt;='02_Benchmarks'!$M557,-2,-3)))),IF($J557&gt;='02_Benchmarks'!$J557,3,IF($J557&gt;'02_Benchmarks'!$K557,2,IF($J557&gt;='02_Benchmarks'!$L557,0,IF($J557&gt;='02_Benchmarks'!$M557,-2,-3)))))))</x:f>
      </x:c>
      <x:c r="P557" s="58" t="str">
        <x:f>IF(COUNT($N557:$O557)+IF(ISNUMBER($K557),1,0)=0,"",MIN($N557:$O557,$K557))</x:f>
      </x:c>
      <x:c r="Q557" s="58" t="str">
        <x:f>IF($P557="","",INDEX('04_Tarifmodell'!$B$6:$B$12,$P557+4))</x:f>
      </x:c>
      <x:c r="R557" s="64" t="str">
        <x:f>IF($P557="","",INDEX('04_Tarifmodell'!$C$6:$C$12,$P557+4))</x:f>
      </x:c>
      <x:c r="S557" s="14" t="str">
        <x:f>IF(OR($I557="QUALITATIVE",$I557="MANUAL_HYBRID"),IF($K557="","Assurance-Score fehlt","Assurance-bewertet"),IF($I557="BENCHMARK",IF($W557&lt;&gt;"Aktiv",IF($K557="","Benchmark fehlt","Assurance-bewertet"),IF($J557="","Messwert fehlt",IF($P557="","Nicht bewertbar","Berechnet"))),IF(AND($J557="",$K557&lt;&gt;""),"Nur Assurance-Score",IF($J557="","Messwert fehlt",IF($P557="","Nicht bewertbar",IF($P557&lt;=-2,"Kritische Wirkung / Prüfung","Berechnet"))))))</x:f>
        <x:v>Messwert fehlt</x:v>
      </x:c>
      <x:c r="T557" s="14" t="str">
        <x:v>Vollständige fünfstufige numerische Regel.</x:v>
      </x:c>
      <x:c r="U557" s="14" t="str">
        <x:v>0:+3; ≤1:+2; ≤3:0; ≤5:‑2; &gt;5:‑3</x:v>
      </x:c>
      <x:c r="V557" s="14" t="str">
        <x:v>ISO/IEC 27001 &amp; 27701, NIS2</x:v>
      </x:c>
      <x:c r="W557" s="14" t="str">
        <x:f>'02_Benchmarks'!$P557</x:f>
        <x:v>Optional – kein aktiver Benchmark</x:v>
      </x:c>
      <x:c r="X557" s="14" t="str">
        <x:v>Messgrundlage belegt; Schwellenkalibrierung offen</x:v>
      </x:c>
      <x:c r="Y557" s="14" t="str">
        <x:v>Mittel</x:v>
      </x:c>
      <x:c r="Z557" s="14" t="str">
        <x:v>Arbeitskalibrierung – fachlich zu validieren</x:v>
      </x:c>
      <x:c r="AA557" s="14" t="str">
        <x:v>Organisation/Governance; konsolidierter Kreis und relevante Rechtseinheiten</x:v>
      </x:c>
      <x:c r="AB557" s="14" t="str">
        <x:v>Primärdaten bevorzugt; Sekundärdaten nur transparent und versioniert; Methode und Systemgrenze dokumentieren</x:v>
      </x:c>
      <x:c r="AC557" s="14" t="str">
        <x:v>Limited Assurance; risikobasiert höhere Prüftiefe</x:v>
      </x:c>
    </x:row>
    <x:row r="558" ht="42" customHeight="1">
      <x:c r="A558" s="14" t="str">
        <x:v>WOK-G-231</x:v>
      </x:c>
      <x:c r="B558" s="14" t="str">
        <x:v>SDG+ – Technologie-Verantwortung</x:v>
      </x:c>
      <x:c r="C558" s="14" t="str">
        <x:v>—</x:v>
      </x:c>
      <x:c r="D558" s="14" t="str">
        <x:v>Privacy by Design</x:v>
      </x:c>
      <x:c r="E558" s="14" t="str">
        <x:v>Privacy by Design – Privacy by Design</x:v>
      </x:c>
      <x:c r="F558" s="14" t="str">
        <x:v>%</x:v>
      </x:c>
      <x:c r="G558" s="14" t="str">
        <x:v>higher_is_better</x:v>
      </x:c>
      <x:c r="H558" s="14" t="str">
        <x:v>R25</x:v>
      </x:c>
      <x:c r="I558" s="14" t="str">
        <x:v>NUM_HIGH</x:v>
      </x:c>
      <x:c r="J558" s="51"/>
      <x:c r="K558" s="51"/>
      <x:c r="L558" s="51"/>
      <x:c r="M558" s="54"/>
      <x:c r="N558" s="58" t="str">
        <x:f>IF($J558="","",IF($J558&lt;30,-3,IF($J558&lt;50,-2,IF($J558&lt;70,0,IF($J558&lt;90,2,3)))))</x:f>
      </x:c>
      <x:c r="O558" s="58" t="str">
        <x:f>IF($J558="","",IF(OR('02_Benchmarks'!$P558&lt;&gt;"Aktiv",COUNT('02_Benchmarks'!$J558:$M558)&lt;4),"",IF($G558="lower_is_better",IF($J558&lt;='02_Benchmarks'!$J558,3,IF($J558&lt;'02_Benchmarks'!$K558,2,IF($J558&lt;='02_Benchmarks'!$L558,0,IF($J558&lt;='02_Benchmarks'!$M558,-2,-3)))),IF($J558&gt;='02_Benchmarks'!$J558,3,IF($J558&gt;'02_Benchmarks'!$K558,2,IF($J558&gt;='02_Benchmarks'!$L558,0,IF($J558&gt;='02_Benchmarks'!$M558,-2,-3)))))))</x:f>
      </x:c>
      <x:c r="P558" s="58" t="str">
        <x:f>IF(COUNT($N558:$O558)+IF(ISNUMBER($K558),1,0)=0,"",MIN($N558:$O558,$K558))</x:f>
      </x:c>
      <x:c r="Q558" s="58" t="str">
        <x:f>IF($P558="","",INDEX('04_Tarifmodell'!$B$6:$B$12,$P558+4))</x:f>
      </x:c>
      <x:c r="R558" s="64" t="str">
        <x:f>IF($P558="","",INDEX('04_Tarifmodell'!$C$6:$C$12,$P558+4))</x:f>
      </x:c>
      <x:c r="S558" s="14" t="str">
        <x:f>IF(OR($I558="QUALITATIVE",$I558="MANUAL_HYBRID"),IF($K558="","Assurance-Score fehlt","Assurance-bewertet"),IF($I558="BENCHMARK",IF($W558&lt;&gt;"Aktiv",IF($K558="","Benchmark fehlt","Assurance-bewertet"),IF($J558="","Messwert fehlt",IF($P558="","Nicht bewertbar","Berechnet"))),IF(AND($J558="",$K558&lt;&gt;""),"Nur Assurance-Score",IF($J558="","Messwert fehlt",IF($P558="","Nicht bewertbar",IF($P558&lt;=-2,"Kritische Wirkung / Prüfung","Berechnet"))))))</x:f>
        <x:v>Messwert fehlt</x:v>
      </x:c>
      <x:c r="T558" s="14" t="str">
        <x:v>Vollständige fünfstufige Prozentregel.</x:v>
      </x:c>
      <x:c r="U558" s="14" t="str">
        <x:v>≥90%:+3; 70–89%:+2; 50–69%:0; 30–49%:‑2; &lt;30%:‑3</x:v>
      </x:c>
      <x:c r="V558" s="14" t="str">
        <x:v>ISO/IEC 27001 &amp; 27701, NIS2</x:v>
      </x:c>
      <x:c r="W558" s="14" t="str">
        <x:f>'02_Benchmarks'!$P558</x:f>
        <x:v>Optional – kein aktiver Benchmark</x:v>
      </x:c>
      <x:c r="X558" s="14" t="str">
        <x:v>Messgrundlage belegt; Schwellenkalibrierung offen</x:v>
      </x:c>
      <x:c r="Y558" s="14" t="str">
        <x:v>Mittel</x:v>
      </x:c>
      <x:c r="Z558" s="14" t="str">
        <x:v>Arbeitskalibrierung – fachlich zu validieren</x:v>
      </x:c>
      <x:c r="AA558" s="14" t="str">
        <x:v>Organisation/Governance; konsolidierter Kreis und relevante Rechtseinheiten</x:v>
      </x:c>
      <x:c r="AB558" s="14" t="str">
        <x:v>Primärdaten bevorzugt; Sekundärdaten nur transparent und versioniert; Methode und Systemgrenze dokumentieren</x:v>
      </x:c>
      <x:c r="AC558" s="14" t="str">
        <x:v>Limited Assurance; risikobasiert höhere Prüftiefe</x:v>
      </x:c>
    </x:row>
    <x:row r="559" ht="42" customHeight="1">
      <x:c r="A559" s="14" t="str">
        <x:v>WOK-G-232</x:v>
      </x:c>
      <x:c r="B559" s="14" t="str">
        <x:v>SDG+ – Technologie-Verantwortung</x:v>
      </x:c>
      <x:c r="C559" s="14" t="str">
        <x:v>—</x:v>
      </x:c>
      <x:c r="D559" s="14" t="str">
        <x:v>Privacy by Design</x:v>
      </x:c>
      <x:c r="E559" s="14" t="str">
        <x:v>Privacy by Design – Security Reifegrad</x:v>
      </x:c>
      <x:c r="F559" s="14" t="str">
        <x:v>0–1</x:v>
      </x:c>
      <x:c r="G559" s="14" t="str">
        <x:v>higher_is_better</x:v>
      </x:c>
      <x:c r="H559" s="14" t="str">
        <x:v>R16</x:v>
      </x:c>
      <x:c r="I559" s="14" t="str">
        <x:v>NUM_HIGH</x:v>
      </x:c>
      <x:c r="J559" s="51"/>
      <x:c r="K559" s="51"/>
      <x:c r="L559" s="51"/>
      <x:c r="M559" s="54"/>
      <x:c r="N559" s="58" t="str">
        <x:f>IF($J559="","",IF($J559&lt;0.4,-3,IF($J559&lt;0.6,-2,IF($J559&lt;0.75,0,IF($J559&lt;0.9,2,3)))))</x:f>
      </x:c>
      <x:c r="O559" s="58" t="str">
        <x:f>IF($J559="","",IF(OR('02_Benchmarks'!$P559&lt;&gt;"Aktiv",COUNT('02_Benchmarks'!$J559:$M559)&lt;4),"",IF($G559="lower_is_better",IF($J559&lt;='02_Benchmarks'!$J559,3,IF($J559&lt;'02_Benchmarks'!$K559,2,IF($J559&lt;='02_Benchmarks'!$L559,0,IF($J559&lt;='02_Benchmarks'!$M559,-2,-3)))),IF($J559&gt;='02_Benchmarks'!$J559,3,IF($J559&gt;'02_Benchmarks'!$K559,2,IF($J559&gt;='02_Benchmarks'!$L559,0,IF($J559&gt;='02_Benchmarks'!$M559,-2,-3)))))))</x:f>
      </x:c>
      <x:c r="P559" s="58" t="str">
        <x:f>IF(COUNT($N559:$O559)+IF(ISNUMBER($K559),1,0)=0,"",MIN($N559:$O559,$K559))</x:f>
      </x:c>
      <x:c r="Q559" s="58" t="str">
        <x:f>IF($P559="","",INDEX('04_Tarifmodell'!$B$6:$B$12,$P559+4))</x:f>
      </x:c>
      <x:c r="R559" s="64" t="str">
        <x:f>IF($P559="","",INDEX('04_Tarifmodell'!$C$6:$C$12,$P559+4))</x:f>
      </x:c>
      <x:c r="S559" s="14" t="str">
        <x:f>IF(OR($I559="QUALITATIVE",$I559="MANUAL_HYBRID"),IF($K559="","Assurance-Score fehlt","Assurance-bewertet"),IF($I559="BENCHMARK",IF($W559&lt;&gt;"Aktiv",IF($K559="","Benchmark fehlt","Assurance-bewertet"),IF($J559="","Messwert fehlt",IF($P559="","Nicht bewertbar","Berechnet"))),IF(AND($J559="",$K559&lt;&gt;""),"Nur Assurance-Score",IF($J559="","Messwert fehlt",IF($P559="","Nicht bewertbar",IF($P559&lt;=-2,"Kritische Wirkung / Prüfung","Berechnet"))))))</x:f>
        <x:v>Messwert fehlt</x:v>
      </x:c>
      <x:c r="T559" s="14" t="str">
        <x:v>Vollständige fünfstufige numerische Regel.</x:v>
      </x:c>
      <x:c r="U559" s="14" t="str">
        <x:v>≥0,9:+3; 0,75–0,89:+2; 0,6–0,74:0; 0,4–0,59:‑2; &lt;0,4:‑3</x:v>
      </x:c>
      <x:c r="V559" s="14" t="str">
        <x:v>ISO/IEC 27001 &amp; 27701, NIS2</x:v>
      </x:c>
      <x:c r="W559" s="14" t="str">
        <x:f>'02_Benchmarks'!$P559</x:f>
        <x:v>Optional – kein aktiver Benchmark</x:v>
      </x:c>
      <x:c r="X559" s="14" t="str">
        <x:v>Messgrundlage belegt; Schwellenkalibrierung offen</x:v>
      </x:c>
      <x:c r="Y559" s="14" t="str">
        <x:v>Mittel</x:v>
      </x:c>
      <x:c r="Z559" s="14" t="str">
        <x:v>Arbeitskalibrierung – fachlich zu validieren</x:v>
      </x:c>
      <x:c r="AA559" s="14" t="str">
        <x:v>Organisation/Governance; konsolidierter Kreis und relevante Rechtseinheiten</x:v>
      </x:c>
      <x:c r="AB559" s="14" t="str">
        <x:v>Primärdaten bevorzugt; Sekundärdaten nur transparent und versioniert; Methode und Systemgrenze dokumentieren</x:v>
      </x:c>
      <x:c r="AC559" s="14" t="str">
        <x:v>Limited Assurance; risikobasiert höhere Prüftiefe</x:v>
      </x:c>
    </x:row>
    <x:row r="560" ht="42" customHeight="1">
      <x:c r="A560" s="14" t="str">
        <x:v>WOK-G-233</x:v>
      </x:c>
      <x:c r="B560" s="14" t="str">
        <x:v>SDG+ – Technologie-Verantwortung</x:v>
      </x:c>
      <x:c r="C560" s="14" t="str">
        <x:v>—</x:v>
      </x:c>
      <x:c r="D560" s="14" t="str">
        <x:v>Model Governance/Transparency</x:v>
      </x:c>
      <x:c r="E560" s="14" t="str">
        <x:v>Model Governance/Transparency – Antikorruption</x:v>
      </x:c>
      <x:c r="F560" s="14" t="str">
        <x:v>Fälle/1.000 FTE</x:v>
      </x:c>
      <x:c r="G560" s="14" t="str">
        <x:v>lower_is_better</x:v>
      </x:c>
      <x:c r="H560" s="14" t="str">
        <x:v>R01</x:v>
      </x:c>
      <x:c r="I560" s="14" t="str">
        <x:v>NUM_LOW</x:v>
      </x:c>
      <x:c r="J560" s="51"/>
      <x:c r="K560" s="51"/>
      <x:c r="L560" s="51"/>
      <x:c r="M560" s="54"/>
      <x:c r="N560" s="58" t="str">
        <x:f>IF($J560="","",IF($J560&lt;=0,3,IF($J560&lt;=0.2,2,IF($J560&lt;=0.5,0,IF($J560&lt;=1,-2,-3)))))</x:f>
      </x:c>
      <x:c r="O560" s="58" t="str">
        <x:f>IF($J560="","",IF(OR('02_Benchmarks'!$P560&lt;&gt;"Aktiv",COUNT('02_Benchmarks'!$J560:$M560)&lt;4),"",IF($G560="lower_is_better",IF($J560&lt;='02_Benchmarks'!$J560,3,IF($J560&lt;'02_Benchmarks'!$K560,2,IF($J560&lt;='02_Benchmarks'!$L560,0,IF($J560&lt;='02_Benchmarks'!$M560,-2,-3)))),IF($J560&gt;='02_Benchmarks'!$J560,3,IF($J560&gt;'02_Benchmarks'!$K560,2,IF($J560&gt;='02_Benchmarks'!$L560,0,IF($J560&gt;='02_Benchmarks'!$M560,-2,-3)))))))</x:f>
      </x:c>
      <x:c r="P560" s="58" t="str">
        <x:f>IF(COUNT($N560:$O560)+IF(ISNUMBER($K560),1,0)=0,"",MIN($N560:$O560,$K560))</x:f>
      </x:c>
      <x:c r="Q560" s="58" t="str">
        <x:f>IF($P560="","",INDEX('04_Tarifmodell'!$B$6:$B$12,$P560+4))</x:f>
      </x:c>
      <x:c r="R560" s="64" t="str">
        <x:f>IF($P560="","",INDEX('04_Tarifmodell'!$C$6:$C$12,$P560+4))</x:f>
      </x:c>
      <x:c r="S560" s="14" t="str">
        <x:f>IF(OR($I560="QUALITATIVE",$I560="MANUAL_HYBRID"),IF($K560="","Assurance-Score fehlt","Assurance-bewertet"),IF($I560="BENCHMARK",IF($W560&lt;&gt;"Aktiv",IF($K560="","Benchmark fehlt","Assurance-bewertet"),IF($J560="","Messwert fehlt",IF($P560="","Nicht bewertbar","Berechnet"))),IF(AND($J560="",$K560&lt;&gt;""),"Nur Assurance-Score",IF($J560="","Messwert fehlt",IF($P560="","Nicht bewertbar",IF($P560&lt;=-2,"Kritische Wirkung / Prüfung","Berechnet"))))))</x:f>
        <x:v>Messwert fehlt</x:v>
      </x:c>
      <x:c r="T560" s="14" t="str">
        <x:v>Vollständige fünfstufige numerische Regel.</x:v>
      </x:c>
      <x:c r="U560" s="14" t="str">
        <x:v>0:+3; ≤0,2:+2; ≤0,5:0; ≤1:‑2; &gt;1:‑3</x:v>
      </x:c>
      <x:c r="V560" s="14" t="str">
        <x:v>ESRS G1, GRI 205/207, OECD Anti‑Bribery</x:v>
      </x:c>
      <x:c r="W560" s="14" t="str">
        <x:f>'02_Benchmarks'!$P560</x:f>
        <x:v>Optional – kein aktiver Benchmark</x:v>
      </x:c>
      <x:c r="X560" s="14" t="str">
        <x:v>Messgrundlage belegt; Schwellenkalibrierung offen</x:v>
      </x:c>
      <x:c r="Y560" s="14" t="str">
        <x:v>Mittel</x:v>
      </x:c>
      <x:c r="Z560" s="14" t="str">
        <x:v>Arbeitskalibrierung – fachlich zu validieren</x:v>
      </x:c>
      <x:c r="AA560" s="14" t="str">
        <x:v>Organisation/Governance; konsolidierter Kreis und relevante Rechtseinheiten</x:v>
      </x:c>
      <x:c r="AB560" s="14" t="str">
        <x:v>Primärdaten bevorzugt; Sekundärdaten nur transparent und versioniert; Methode und Systemgrenze dokumentieren</x:v>
      </x:c>
      <x:c r="AC560" s="14" t="str">
        <x:v>Limited Assurance; risikobasiert höhere Prüftiefe</x:v>
      </x:c>
    </x:row>
    <x:row r="561" ht="42" customHeight="1">
      <x:c r="A561" s="14" t="str">
        <x:v>WOK-G-234</x:v>
      </x:c>
      <x:c r="B561" s="14" t="str">
        <x:v>SDG+ – Technologie-Verantwortung</x:v>
      </x:c>
      <x:c r="C561" s="14" t="str">
        <x:v>—</x:v>
      </x:c>
      <x:c r="D561" s="14" t="str">
        <x:v>Model Governance/Transparency</x:v>
      </x:c>
      <x:c r="E561" s="14" t="str">
        <x:v>Model Governance/Transparency – Whistleblowing</x:v>
      </x:c>
      <x:c r="F561" s="14" t="str">
        <x:v>0–1</x:v>
      </x:c>
      <x:c r="G561" s="14" t="str">
        <x:v>higher_is_better</x:v>
      </x:c>
      <x:c r="H561" s="14" t="str">
        <x:v>R16</x:v>
      </x:c>
      <x:c r="I561" s="14" t="str">
        <x:v>NUM_HIGH</x:v>
      </x:c>
      <x:c r="J561" s="51"/>
      <x:c r="K561" s="51"/>
      <x:c r="L561" s="51"/>
      <x:c r="M561" s="54"/>
      <x:c r="N561" s="58" t="str">
        <x:f>IF($J561="","",IF($J561&lt;0.4,-3,IF($J561&lt;0.6,-2,IF($J561&lt;0.75,0,IF($J561&lt;0.9,2,3)))))</x:f>
      </x:c>
      <x:c r="O561" s="58" t="str">
        <x:f>IF($J561="","",IF(OR('02_Benchmarks'!$P561&lt;&gt;"Aktiv",COUNT('02_Benchmarks'!$J561:$M561)&lt;4),"",IF($G561="lower_is_better",IF($J561&lt;='02_Benchmarks'!$J561,3,IF($J561&lt;'02_Benchmarks'!$K561,2,IF($J561&lt;='02_Benchmarks'!$L561,0,IF($J561&lt;='02_Benchmarks'!$M561,-2,-3)))),IF($J561&gt;='02_Benchmarks'!$J561,3,IF($J561&gt;'02_Benchmarks'!$K561,2,IF($J561&gt;='02_Benchmarks'!$L561,0,IF($J561&gt;='02_Benchmarks'!$M561,-2,-3)))))))</x:f>
      </x:c>
      <x:c r="P561" s="58" t="str">
        <x:f>IF(COUNT($N561:$O561)+IF(ISNUMBER($K561),1,0)=0,"",MIN($N561:$O561,$K561))</x:f>
      </x:c>
      <x:c r="Q561" s="58" t="str">
        <x:f>IF($P561="","",INDEX('04_Tarifmodell'!$B$6:$B$12,$P561+4))</x:f>
      </x:c>
      <x:c r="R561" s="64" t="str">
        <x:f>IF($P561="","",INDEX('04_Tarifmodell'!$C$6:$C$12,$P561+4))</x:f>
      </x:c>
      <x:c r="S561" s="14" t="str">
        <x:f>IF(OR($I561="QUALITATIVE",$I561="MANUAL_HYBRID"),IF($K561="","Assurance-Score fehlt","Assurance-bewertet"),IF($I561="BENCHMARK",IF($W561&lt;&gt;"Aktiv",IF($K561="","Benchmark fehlt","Assurance-bewertet"),IF($J561="","Messwert fehlt",IF($P561="","Nicht bewertbar","Berechnet"))),IF(AND($J561="",$K561&lt;&gt;""),"Nur Assurance-Score",IF($J561="","Messwert fehlt",IF($P561="","Nicht bewertbar",IF($P561&lt;=-2,"Kritische Wirkung / Prüfung","Berechnet"))))))</x:f>
        <x:v>Messwert fehlt</x:v>
      </x:c>
      <x:c r="T561" s="14" t="str">
        <x:v>Vollständige fünfstufige numerische Regel.</x:v>
      </x:c>
      <x:c r="U561" s="14" t="str">
        <x:v>≥0,9:+3; 0,75–0,89:+2; 0,6–0,74:0; 0,4–0,59:‑2; &lt;0,4:‑3</x:v>
      </x:c>
      <x:c r="V561" s="14" t="str">
        <x:v>ESRS G1, GRI 205/207, OECD Anti‑Bribery</x:v>
      </x:c>
      <x:c r="W561" s="14" t="str">
        <x:f>'02_Benchmarks'!$P561</x:f>
        <x:v>Optional – kein aktiver Benchmark</x:v>
      </x:c>
      <x:c r="X561" s="14" t="str">
        <x:v>Messgrundlage belegt; Schwellenkalibrierung offen</x:v>
      </x:c>
      <x:c r="Y561" s="14" t="str">
        <x:v>Mittel</x:v>
      </x:c>
      <x:c r="Z561" s="14" t="str">
        <x:v>Arbeitskalibrierung – fachlich zu validieren</x:v>
      </x:c>
      <x:c r="AA561" s="14" t="str">
        <x:v>Organisation/Governance; konsolidierter Kreis und relevante Rechtseinheiten</x:v>
      </x:c>
      <x:c r="AB561" s="14" t="str">
        <x:v>Primärdaten bevorzugt; Sekundärdaten nur transparent und versioniert; Methode und Systemgrenze dokumentieren</x:v>
      </x:c>
      <x:c r="AC561" s="14" t="str">
        <x:v>Limited Assurance; risikobasiert höhere Prüftiefe</x:v>
      </x:c>
    </x:row>
    <x:row r="562" ht="42" customHeight="1">
      <x:c r="A562" s="14" t="str">
        <x:v>WOK-G-235</x:v>
      </x:c>
      <x:c r="B562" s="14" t="str">
        <x:v>SDG+ – Technologie-Verantwortung</x:v>
      </x:c>
      <x:c r="C562" s="14" t="str">
        <x:v>—</x:v>
      </x:c>
      <x:c r="D562" s="14" t="str">
        <x:v>Model Governance/Transparency</x:v>
      </x:c>
      <x:c r="E562" s="14" t="str">
        <x:v>Model Governance/Transparency – Steuertransparenz</x:v>
      </x:c>
      <x:c r="F562" s="14" t="str">
        <x:v>0–1</x:v>
      </x:c>
      <x:c r="G562" s="14" t="str">
        <x:v>higher_is_better</x:v>
      </x:c>
      <x:c r="H562" s="14" t="str">
        <x:v>R08</x:v>
      </x:c>
      <x:c r="I562" s="14" t="str">
        <x:v>QUALITATIVE</x:v>
      </x:c>
      <x:c r="J562" s="51"/>
      <x:c r="K562" s="51"/>
      <x:c r="L562" s="51"/>
      <x:c r="M562" s="54"/>
      <x:c r="N562" s="58" t="str">
        <x:f>""</x:f>
      </x:c>
      <x:c r="O562" s="58" t="str">
        <x:f>IF($J562="","",IF(OR('02_Benchmarks'!$P562&lt;&gt;"Aktiv",COUNT('02_Benchmarks'!$J562:$M562)&lt;4),"",IF($G562="lower_is_better",IF($J562&lt;='02_Benchmarks'!$J562,3,IF($J562&lt;'02_Benchmarks'!$K562,2,IF($J562&lt;='02_Benchmarks'!$L562,0,IF($J562&lt;='02_Benchmarks'!$M562,-2,-3)))),IF($J562&gt;='02_Benchmarks'!$J562,3,IF($J562&gt;'02_Benchmarks'!$K562,2,IF($J562&gt;='02_Benchmarks'!$L562,0,IF($J562&gt;='02_Benchmarks'!$M562,-2,-3)))))))</x:f>
      </x:c>
      <x:c r="P562" s="58" t="str">
        <x:f>IF(COUNT($N562:$O562)+IF(ISNUMBER($K562),1,0)=0,"",MIN($N562:$O562,$K562))</x:f>
      </x:c>
      <x:c r="Q562" s="58" t="str">
        <x:f>IF($P562="","",INDEX('04_Tarifmodell'!$B$6:$B$12,$P562+4))</x:f>
      </x:c>
      <x:c r="R562" s="64" t="str">
        <x:f>IF($P562="","",INDEX('04_Tarifmodell'!$C$6:$C$12,$P562+4))</x:f>
      </x:c>
      <x:c r="S562" s="14" t="str">
        <x:f>IF(OR($I562="QUALITATIVE",$I562="MANUAL_HYBRID"),IF($K562="","Assurance-Score fehlt","Assurance-bewertet"),IF($I562="BENCHMARK",IF($W562&lt;&gt;"Aktiv",IF($K562="","Benchmark fehlt","Assurance-bewertet"),IF($J562="","Messwert fehlt",IF($P562="","Nicht bewertbar","Berechnet"))),IF(AND($J562="",$K562&lt;&gt;""),"Nur Assurance-Score",IF($J562="","Messwert fehlt",IF($P562="","Nicht bewertbar",IF($P562&lt;=-2,"Kritische Wirkung / Prüfung","Berechnet"))))))</x:f>
        <x:v>Assurance-Score fehlt</x:v>
      </x:c>
      <x:c r="T562" s="14" t="str">
        <x:v>Die Kategorie −3 fehlt; Vollständigkeit und Wirksamkeit sind feldspezifisch zu definieren.</x:v>
      </x:c>
      <x:c r="U562" s="14" t="str">
        <x:v>vollständig:+3; teilweise:+2; minimal:0; schlecht:‑2</x:v>
      </x:c>
      <x:c r="V562" s="14" t="str">
        <x:v>ESRS G1, GRI 205/207, OECD Anti‑Bribery</x:v>
      </x:c>
      <x:c r="W562" s="14" t="str">
        <x:f>'02_Benchmarks'!$P562</x:f>
        <x:v>Optional – kein aktiver Benchmark</x:v>
      </x:c>
      <x:c r="X562" s="14" t="str">
        <x:v>Messgrundlage belegt; Schwellenkalibrierung offen</x:v>
      </x:c>
      <x:c r="Y562" s="14" t="str">
        <x:v>Hoch</x:v>
      </x:c>
      <x:c r="Z562" s="14" t="str">
        <x:v>Assurance und Kriterienkatalog erforderlich</x:v>
      </x:c>
      <x:c r="AA562" s="14" t="str">
        <x:v>Organisation/Governance; konsolidierter Kreis und relevante Rechtseinheiten</x:v>
      </x:c>
      <x:c r="AB562" s="14" t="str">
        <x:v>Dokumentierter Kriterienkatalog; nachvollziehbare Evidenz; DQR A/B bevorzugt</x:v>
      </x:c>
      <x:c r="AC562" s="14" t="str">
        <x:v>Unabhängige Fachprüfung/Limited Assurance; bei roten Linien Reasonable Assurance</x:v>
      </x:c>
    </x:row>
    <x:row r="563" ht="42" customHeight="1">
      <x:c r="A563" s="14" t="str">
        <x:v>WOK-SYS-194</x:v>
      </x:c>
      <x:c r="B563" s="14" t="str">
        <x:v>SDG+ – Technologie-Verantwortung</x:v>
      </x:c>
      <x:c r="C563" s="14" t="str">
        <x:v>—</x:v>
      </x:c>
      <x:c r="D563" s="14" t="str">
        <x:v>Open Source/Standards</x:v>
      </x:c>
      <x:c r="E563" s="14" t="str">
        <x:v>Open Source/Standards – Index</x:v>
      </x:c>
      <x:c r="F563" s="14" t="str">
        <x:v>0–1</x:v>
      </x:c>
      <x:c r="G563" s="14" t="str">
        <x:v>higher_is_better</x:v>
      </x:c>
      <x:c r="H563" s="14" t="str">
        <x:v>R15</x:v>
      </x:c>
      <x:c r="I563" s="14" t="str">
        <x:v>NUM_HIGH</x:v>
      </x:c>
      <x:c r="J563" s="51"/>
      <x:c r="K563" s="51"/>
      <x:c r="L563" s="51"/>
      <x:c r="M563" s="54"/>
      <x:c r="N563" s="58" t="str">
        <x:f>IF($J563="","",IF($J563&lt;0.5,-3,IF($J563&lt;0.6,-2,IF($J563&lt;0.7,0,IF($J563&lt;0.8,2,3)))))</x:f>
      </x:c>
      <x:c r="O563" s="58" t="str">
        <x:f>IF($J563="","",IF(OR('02_Benchmarks'!$P563&lt;&gt;"Aktiv",COUNT('02_Benchmarks'!$J563:$M563)&lt;4),"",IF($G563="lower_is_better",IF($J563&lt;='02_Benchmarks'!$J563,3,IF($J563&lt;'02_Benchmarks'!$K563,2,IF($J563&lt;='02_Benchmarks'!$L563,0,IF($J563&lt;='02_Benchmarks'!$M563,-2,-3)))),IF($J563&gt;='02_Benchmarks'!$J563,3,IF($J563&gt;'02_Benchmarks'!$K563,2,IF($J563&gt;='02_Benchmarks'!$L563,0,IF($J563&gt;='02_Benchmarks'!$M563,-2,-3)))))))</x:f>
      </x:c>
      <x:c r="P563" s="58" t="str">
        <x:f>IF(COUNT($N563:$O563)+IF(ISNUMBER($K563),1,0)=0,"",MIN($N563:$O563,$K563))</x:f>
      </x:c>
      <x:c r="Q563" s="58" t="str">
        <x:f>IF($P563="","",INDEX('04_Tarifmodell'!$B$6:$B$12,$P563+4))</x:f>
      </x:c>
      <x:c r="R563" s="64" t="str">
        <x:f>IF($P563="","",INDEX('04_Tarifmodell'!$C$6:$C$12,$P563+4))</x:f>
      </x:c>
      <x:c r="S563" s="14" t="str">
        <x:f>IF(OR($I563="QUALITATIVE",$I563="MANUAL_HYBRID"),IF($K563="","Assurance-Score fehlt","Assurance-bewertet"),IF($I563="BENCHMARK",IF($W563&lt;&gt;"Aktiv",IF($K563="","Benchmark fehlt","Assurance-bewertet"),IF($J563="","Messwert fehlt",IF($P563="","Nicht bewertbar","Berechnet"))),IF(AND($J563="",$K563&lt;&gt;""),"Nur Assurance-Score",IF($J563="","Messwert fehlt",IF($P563="","Nicht bewertbar",IF($P563&lt;=-2,"Kritische Wirkung / Prüfung","Berechnet"))))))</x:f>
        <x:v>Messwert fehlt</x:v>
      </x:c>
      <x:c r="T563" s="14" t="str">
        <x:v>SROI/SDG 17 ist keine hinreichend konkrete Mess- oder Schwellenquelle. Vollständige fünfstufige numerische Regel.</x:v>
      </x:c>
      <x:c r="U563" s="14" t="str">
        <x:v>≥0,8:+3; 0,7–0,79:+2; 0,6–0,69:0; 0,5–0,59:‑2; &lt;0,5:‑3</x:v>
      </x:c>
      <x:c r="V563" s="14" t="str">
        <x:v>SDG 16/17, WJP, V‑Dem</x:v>
      </x:c>
      <x:c r="W563" s="14" t="str">
        <x:f>'02_Benchmarks'!$P563</x:f>
        <x:v>Optional – kein aktiver Benchmark</x:v>
      </x:c>
      <x:c r="X563" s="14" t="str">
        <x:v>Platzhalter – fachliche Operationalisierung offen</x:v>
      </x:c>
      <x:c r="Y563" s="14" t="str">
        <x:v>Kritisch</x:v>
      </x:c>
      <x:c r="Z563" s="14" t="str">
        <x:v>Arbeitskalibrierung – fachlich zu validieren</x:v>
      </x:c>
      <x:c r="AA563" s="14" t="str">
        <x:v>Programm/Portfolio/Systemraum; Empfängergruppe, Region und Zeitraum explizit definieren</x:v>
      </x:c>
      <x:c r="AB563" s="14" t="str">
        <x:v>Primärdaten bevorzugt; Sekundärdaten nur transparent und versioniert; Methode und Systemgrenze dokumentieren</x:v>
      </x:c>
      <x:c r="AC563" s="14" t="str">
        <x:v>Limited Assurance; risikobasiert höhere Prüftiefe</x:v>
      </x:c>
    </x:row>
    <x:row r="564" ht="42" customHeight="1">
      <x:c r="A564" s="14" t="str">
        <x:v>WOK-SYS-195</x:v>
      </x:c>
      <x:c r="B564" s="14" t="str">
        <x:v>SDG+ – Technologie-Verantwortung</x:v>
      </x:c>
      <x:c r="C564" s="14" t="str">
        <x:v>—</x:v>
      </x:c>
      <x:c r="D564" s="14" t="str">
        <x:v>Open Source/Standards</x:v>
      </x:c>
      <x:c r="E564" s="14" t="str">
        <x:v>Open Source/Standards – Exposure</x:v>
      </x:c>
      <x:c r="F564" s="14" t="str">
        <x:v>%</x:v>
      </x:c>
      <x:c r="G564" s="14" t="str">
        <x:v>lower_is_better</x:v>
      </x:c>
      <x:c r="H564" s="14" t="str">
        <x:v>R13</x:v>
      </x:c>
      <x:c r="I564" s="14" t="str">
        <x:v>NUM_LOW</x:v>
      </x:c>
      <x:c r="J564" s="51"/>
      <x:c r="K564" s="51"/>
      <x:c r="L564" s="51"/>
      <x:c r="M564" s="54"/>
      <x:c r="N564" s="58" t="str">
        <x:f>IF($J564="","",IF($J564&lt;=5,3,IF($J564&lt;=10,2,IF($J564&lt;=20,0,IF($J564&lt;=30,-2,-3)))))</x:f>
      </x:c>
      <x:c r="O564" s="58" t="str">
        <x:f>IF($J564="","",IF(OR('02_Benchmarks'!$P564&lt;&gt;"Aktiv",COUNT('02_Benchmarks'!$J564:$M564)&lt;4),"",IF($G564="lower_is_better",IF($J564&lt;='02_Benchmarks'!$J564,3,IF($J564&lt;'02_Benchmarks'!$K564,2,IF($J564&lt;='02_Benchmarks'!$L564,0,IF($J564&lt;='02_Benchmarks'!$M564,-2,-3)))),IF($J564&gt;='02_Benchmarks'!$J564,3,IF($J564&gt;'02_Benchmarks'!$K564,2,IF($J564&gt;='02_Benchmarks'!$L564,0,IF($J564&gt;='02_Benchmarks'!$M564,-2,-3)))))))</x:f>
      </x:c>
      <x:c r="P564" s="58" t="str">
        <x:f>IF(COUNT($N564:$O564)+IF(ISNUMBER($K564),1,0)=0,"",MIN($N564:$O564,$K564))</x:f>
      </x:c>
      <x:c r="Q564" s="58" t="str">
        <x:f>IF($P564="","",INDEX('04_Tarifmodell'!$B$6:$B$12,$P564+4))</x:f>
      </x:c>
      <x:c r="R564" s="64" t="str">
        <x:f>IF($P564="","",INDEX('04_Tarifmodell'!$C$6:$C$12,$P564+4))</x:f>
      </x:c>
      <x:c r="S564" s="14" t="str">
        <x:f>IF(OR($I564="QUALITATIVE",$I564="MANUAL_HYBRID"),IF($K564="","Assurance-Score fehlt","Assurance-bewertet"),IF($I564="BENCHMARK",IF($W564&lt;&gt;"Aktiv",IF($K564="","Benchmark fehlt","Assurance-bewertet"),IF($J564="","Messwert fehlt",IF($P564="","Nicht bewertbar","Berechnet"))),IF(AND($J564="",$K564&lt;&gt;""),"Nur Assurance-Score",IF($J564="","Messwert fehlt",IF($P564="","Nicht bewertbar",IF($P564&lt;=-2,"Kritische Wirkung / Prüfung","Berechnet"))))))</x:f>
        <x:v>Messwert fehlt</x:v>
      </x:c>
      <x:c r="T564" s="14" t="str">
        <x:v>SROI/SDG 17 ist keine hinreichend konkrete Mess- oder Schwellenquelle. Vollständige fünfstufige numerische Regel.</x:v>
      </x:c>
      <x:c r="U564" s="14" t="str">
        <x:v>≤5:+3; 6–10:+2; 11–20:0; 21–30:‑2; &gt;30:‑3</x:v>
      </x:c>
      <x:c r="V564" s="14" t="str">
        <x:v>SROI/SDG17</x:v>
      </x:c>
      <x:c r="W564" s="14" t="str">
        <x:f>'02_Benchmarks'!$P564</x:f>
        <x:v>Optional – kein aktiver Benchmark</x:v>
      </x:c>
      <x:c r="X564" s="14" t="str">
        <x:v>Platzhalter – fachliche Operationalisierung offen</x:v>
      </x:c>
      <x:c r="Y564" s="14" t="str">
        <x:v>Kritisch</x:v>
      </x:c>
      <x:c r="Z564" s="14" t="str">
        <x:v>Arbeitskalibrierung – fachlich zu validieren</x:v>
      </x:c>
      <x:c r="AA564" s="14" t="str">
        <x:v>Programm/Portfolio/Systemraum; Empfängergruppe, Region und Zeitraum explizit definieren</x:v>
      </x:c>
      <x:c r="AB564" s="14" t="str">
        <x:v>Primärdaten bevorzugt; Sekundärdaten nur transparent und versioniert; Methode und Systemgrenze dokumentieren</x:v>
      </x:c>
      <x:c r="AC564" s="14" t="str">
        <x:v>Limited Assurance; risikobasiert höhere Prüftiefe</x:v>
      </x:c>
    </x:row>
    <x:row r="565" ht="42" customHeight="1">
      <x:c r="A565" s="14" t="str">
        <x:v>WOK-SYS-196</x:v>
      </x:c>
      <x:c r="B565" s="14" t="str">
        <x:v>SDG+ – Technologie-Verantwortung</x:v>
      </x:c>
      <x:c r="C565" s="14" t="str">
        <x:v>—</x:v>
      </x:c>
      <x:c r="D565" s="14" t="str">
        <x:v>Open Source/Standards</x:v>
      </x:c>
      <x:c r="E565" s="14" t="str">
        <x:v>Open Source/Standards – Kooperationen</x:v>
      </x:c>
      <x:c r="F565" s="14" t="str">
        <x:v>#/Jahr</x:v>
      </x:c>
      <x:c r="G565" s="14" t="str">
        <x:v>higher_is_better</x:v>
      </x:c>
      <x:c r="H565" s="14" t="str">
        <x:v>R20</x:v>
      </x:c>
      <x:c r="I565" s="14" t="str">
        <x:v>NUM_HIGH</x:v>
      </x:c>
      <x:c r="J565" s="51"/>
      <x:c r="K565" s="51"/>
      <x:c r="L565" s="51"/>
      <x:c r="M565" s="54"/>
      <x:c r="N565" s="58" t="str">
        <x:f>IF($J565="","",IF($J565&lt;0,-3,IF($J565&lt;1,-2,IF($J565&lt;3,0,IF($J565&lt;5,2,3)))))</x:f>
      </x:c>
      <x:c r="O565" s="58" t="str">
        <x:f>IF($J565="","",IF(OR('02_Benchmarks'!$P565&lt;&gt;"Aktiv",COUNT('02_Benchmarks'!$J565:$M565)&lt;4),"",IF($G565="lower_is_better",IF($J565&lt;='02_Benchmarks'!$J565,3,IF($J565&lt;'02_Benchmarks'!$K565,2,IF($J565&lt;='02_Benchmarks'!$L565,0,IF($J565&lt;='02_Benchmarks'!$M565,-2,-3)))),IF($J565&gt;='02_Benchmarks'!$J565,3,IF($J565&gt;'02_Benchmarks'!$K565,2,IF($J565&gt;='02_Benchmarks'!$L565,0,IF($J565&gt;='02_Benchmarks'!$M565,-2,-3)))))))</x:f>
      </x:c>
      <x:c r="P565" s="58" t="str">
        <x:f>IF(COUNT($N565:$O565)+IF(ISNUMBER($K565),1,0)=0,"",MIN($N565:$O565,$K565))</x:f>
      </x:c>
      <x:c r="Q565" s="58" t="str">
        <x:f>IF($P565="","",INDEX('04_Tarifmodell'!$B$6:$B$12,$P565+4))</x:f>
      </x:c>
      <x:c r="R565" s="64" t="str">
        <x:f>IF($P565="","",INDEX('04_Tarifmodell'!$C$6:$C$12,$P565+4))</x:f>
      </x:c>
      <x:c r="S565" s="14" t="str">
        <x:f>IF(OR($I565="QUALITATIVE",$I565="MANUAL_HYBRID"),IF($K565="","Assurance-Score fehlt","Assurance-bewertet"),IF($I565="BENCHMARK",IF($W565&lt;&gt;"Aktiv",IF($K565="","Benchmark fehlt","Assurance-bewertet"),IF($J565="","Messwert fehlt",IF($P565="","Nicht bewertbar","Berechnet"))),IF(AND($J565="",$K565&lt;&gt;""),"Nur Assurance-Score",IF($J565="","Messwert fehlt",IF($P565="","Nicht bewertbar",IF($P565&lt;=-2,"Kritische Wirkung / Prüfung","Berechnet"))))))</x:f>
        <x:v>Messwert fehlt</x:v>
      </x:c>
      <x:c r="T565" s="14" t="str">
        <x:v>SROI/SDG 17 ist keine hinreichend konkrete Mess- oder Schwellenquelle. Für sachlogisch nichtnegative Zählwerte ist 0 die schlechteste reguläre Klasse (−2).</x:v>
      </x:c>
      <x:c r="U565" s="14" t="str">
        <x:v>≥5:+3; 3–4:+2; 1–2:0; 0:‑2</x:v>
      </x:c>
      <x:c r="V565" s="14" t="str">
        <x:v>SDG 16/17, WJP, V‑Dem</x:v>
      </x:c>
      <x:c r="W565" s="14" t="str">
        <x:f>'02_Benchmarks'!$P565</x:f>
        <x:v>Optional – kein aktiver Benchmark</x:v>
      </x:c>
      <x:c r="X565" s="14" t="str">
        <x:v>Platzhalter – fachliche Operationalisierung offen</x:v>
      </x:c>
      <x:c r="Y565" s="14" t="str">
        <x:v>Kritisch</x:v>
      </x:c>
      <x:c r="Z565" s="14" t="str">
        <x:v>Klasse −3 nur für negative/unzulässige Werte ergänzt</x:v>
      </x:c>
      <x:c r="AA565" s="14" t="str">
        <x:v>Programm/Portfolio/Systemraum; Empfängergruppe, Region und Zeitraum explizit definieren</x:v>
      </x:c>
      <x:c r="AB565" s="14" t="str">
        <x:v>Primärdaten bevorzugt; Sekundärdaten nur transparent und versioniert; Methode und Systemgrenze dokumentieren</x:v>
      </x:c>
      <x:c r="AC565" s="14" t="str">
        <x:v>Limited Assurance; risikobasiert höhere Prüftiefe</x:v>
      </x:c>
    </x:row>
    <x:row r="566" ht="42" customHeight="1">
      <x:c r="A566" s="14" t="str">
        <x:v>WOK-SC-161</x:v>
      </x:c>
      <x:c r="B566" s="14" t="str">
        <x:v>SDG+ – Technologie-Verantwortung</x:v>
      </x:c>
      <x:c r="C566" s="14" t="str">
        <x:v>—</x:v>
      </x:c>
      <x:c r="D566" s="14" t="str">
        <x:v>Responsible Sourcing (Minerals)</x:v>
      </x:c>
      <x:c r="E566" s="14" t="str">
        <x:v>Responsible Sourcing (Minerals) – ESG‑Spend‑Coverage</x:v>
      </x:c>
      <x:c r="F566" s="14" t="str">
        <x:v>%</x:v>
      </x:c>
      <x:c r="G566" s="14" t="str">
        <x:v>higher_is_better</x:v>
      </x:c>
      <x:c r="H566" s="14" t="str">
        <x:v>R26</x:v>
      </x:c>
      <x:c r="I566" s="14" t="str">
        <x:v>NUM_HIGH</x:v>
      </x:c>
      <x:c r="J566" s="51"/>
      <x:c r="K566" s="51"/>
      <x:c r="L566" s="51"/>
      <x:c r="M566" s="54"/>
      <x:c r="N566" s="58" t="str">
        <x:f>IF($J566="","",IF($J566&lt;30,-3,IF($J566&lt;50,-2,IF($J566&lt;70,0,IF($J566&lt;90,2,3)))))</x:f>
      </x:c>
      <x:c r="O566" s="58" t="str">
        <x:f>IF($J566="","",IF(OR('02_Benchmarks'!$P566&lt;&gt;"Aktiv",COUNT('02_Benchmarks'!$J566:$M566)&lt;4),"",IF($G566="lower_is_better",IF($J566&lt;='02_Benchmarks'!$J566,3,IF($J566&lt;'02_Benchmarks'!$K566,2,IF($J566&lt;='02_Benchmarks'!$L566,0,IF($J566&lt;='02_Benchmarks'!$M566,-2,-3)))),IF($J566&gt;='02_Benchmarks'!$J566,3,IF($J566&gt;'02_Benchmarks'!$K566,2,IF($J566&gt;='02_Benchmarks'!$L566,0,IF($J566&gt;='02_Benchmarks'!$M566,-2,-3)))))))</x:f>
      </x:c>
      <x:c r="P566" s="58" t="str">
        <x:f>IF(COUNT($N566:$O566)+IF(ISNUMBER($K566),1,0)=0,"",MIN($N566:$O566,$K566))</x:f>
      </x:c>
      <x:c r="Q566" s="58" t="str">
        <x:f>IF($P566="","",INDEX('04_Tarifmodell'!$B$6:$B$12,$P566+4))</x:f>
      </x:c>
      <x:c r="R566" s="64" t="str">
        <x:f>IF($P566="","",INDEX('04_Tarifmodell'!$C$6:$C$12,$P566+4))</x:f>
      </x:c>
      <x:c r="S566" s="14" t="str">
        <x:f>IF(OR($I566="QUALITATIVE",$I566="MANUAL_HYBRID"),IF($K566="","Assurance-Score fehlt","Assurance-bewertet"),IF($I566="BENCHMARK",IF($W566&lt;&gt;"Aktiv",IF($K566="","Benchmark fehlt","Assurance-bewertet"),IF($J566="","Messwert fehlt",IF($P566="","Nicht bewertbar","Berechnet"))),IF(AND($J566="",$K566&lt;&gt;""),"Nur Assurance-Score",IF($J566="","Messwert fehlt",IF($P566="","Nicht bewertbar",IF($P566&lt;=-2,"Kritische Wirkung / Prüfung","Berechnet"))))))</x:f>
        <x:v>Messwert fehlt</x:v>
      </x:c>
      <x:c r="T566" s="14" t="str">
        <x:v>Vollständige fünfstufige numerische Regel.</x:v>
      </x:c>
      <x:c r="U566" s="14" t="str">
        <x:v>≥90:+3; 70–89:+2; 50–69:0; 30–49:‑2; &lt;30:‑3</x:v>
      </x:c>
      <x:c r="V566" s="14" t="str">
        <x:v>ESRS S2; GRI 308/414/408/409</x:v>
      </x:c>
      <x:c r="W566" s="14" t="str">
        <x:f>'02_Benchmarks'!$P566</x:f>
        <x:v>Optional – kein aktiver Benchmark</x:v>
      </x:c>
      <x:c r="X566" s="14" t="str">
        <x:v>Messgrundlage belegt; Schwellenkalibrierung offen</x:v>
      </x:c>
      <x:c r="Y566" s="14" t="str">
        <x:v>Mittel</x:v>
      </x:c>
      <x:c r="Z566" s="14" t="str">
        <x:v>Arbeitskalibrierung – fachlich zu validieren</x:v>
      </x:c>
      <x:c r="AA566" s="14" t="str">
        <x:v>Vorgelagerte Lieferkette; relevante Tier-Stufen und Beschaffungsvolumen</x:v>
      </x:c>
      <x:c r="AB566" s="14" t="str">
        <x:v>Primärdaten bevorzugt; Sekundärdaten nur transparent und versioniert; Methode und Systemgrenze dokumentieren</x:v>
      </x:c>
      <x:c r="AC566" s="14" t="str">
        <x:v>Limited Assurance; risikobasiert höhere Prüftiefe</x:v>
      </x:c>
    </x:row>
    <x:row r="567" ht="42" customHeight="1">
      <x:c r="A567" s="14" t="str">
        <x:v>WOK-SC-162</x:v>
      </x:c>
      <x:c r="B567" s="14" t="str">
        <x:v>SDG+ – Technologie-Verantwortung</x:v>
      </x:c>
      <x:c r="C567" s="14" t="str">
        <x:v>—</x:v>
      </x:c>
      <x:c r="D567" s="14" t="str">
        <x:v>Responsible Sourcing (Minerals)</x:v>
      </x:c>
      <x:c r="E567" s="14" t="str">
        <x:v>Responsible Sourcing (Minerals) – Kinder/Zwangsarbeit</x:v>
      </x:c>
      <x:c r="F567" s="14" t="str">
        <x:v>% Lieferanten</x:v>
      </x:c>
      <x:c r="G567" s="14" t="str">
        <x:v>higher_is_better</x:v>
      </x:c>
      <x:c r="H567" s="14" t="str">
        <x:v>R28</x:v>
      </x:c>
      <x:c r="I567" s="14" t="str">
        <x:v>NUM_HIGH</x:v>
      </x:c>
      <x:c r="J567" s="51"/>
      <x:c r="K567" s="51"/>
      <x:c r="L567" s="51"/>
      <x:c r="M567" s="54"/>
      <x:c r="N567" s="58" t="str">
        <x:f>IF($J567="","",IF($J567&lt;50,-3,IF($J567&lt;75,-2,IF($J567&lt;90,0,IF($J567&lt;98,2,3)))))</x:f>
      </x:c>
      <x:c r="O567" s="58" t="str">
        <x:f>IF($J567="","",IF(OR('02_Benchmarks'!$P567&lt;&gt;"Aktiv",COUNT('02_Benchmarks'!$J567:$M567)&lt;4),"",IF($G567="lower_is_better",IF($J567&lt;='02_Benchmarks'!$J567,3,IF($J567&lt;'02_Benchmarks'!$K567,2,IF($J567&lt;='02_Benchmarks'!$L567,0,IF($J567&lt;='02_Benchmarks'!$M567,-2,-3)))),IF($J567&gt;='02_Benchmarks'!$J567,3,IF($J567&gt;'02_Benchmarks'!$K567,2,IF($J567&gt;='02_Benchmarks'!$L567,0,IF($J567&gt;='02_Benchmarks'!$M567,-2,-3)))))))</x:f>
      </x:c>
      <x:c r="P567" s="58" t="str">
        <x:f>IF(COUNT($N567:$O567)+IF(ISNUMBER($K567),1,0)=0,"",MIN($N567:$O567,$K567))</x:f>
      </x:c>
      <x:c r="Q567" s="58" t="str">
        <x:f>IF($P567="","",INDEX('04_Tarifmodell'!$B$6:$B$12,$P567+4))</x:f>
      </x:c>
      <x:c r="R567" s="64" t="str">
        <x:f>IF($P567="","",INDEX('04_Tarifmodell'!$C$6:$C$12,$P567+4))</x:f>
      </x:c>
      <x:c r="S567" s="14" t="str">
        <x:f>IF(OR($I567="QUALITATIVE",$I567="MANUAL_HYBRID"),IF($K567="","Assurance-Score fehlt","Assurance-bewertet"),IF($I567="BENCHMARK",IF($W567&lt;&gt;"Aktiv",IF($K567="","Benchmark fehlt","Assurance-bewertet"),IF($J567="","Messwert fehlt",IF($P567="","Nicht bewertbar","Berechnet"))),IF(AND($J567="",$K567&lt;&gt;""),"Nur Assurance-Score",IF($J567="","Messwert fehlt",IF($P567="","Nicht bewertbar",IF($P567&lt;=-2,"Kritische Wirkung / Prüfung","Berechnet"))))))</x:f>
        <x:v>Messwert fehlt</x:v>
      </x:c>
      <x:c r="T567" s="14" t="str">
        <x:v>Vollständige fünfstufige numerische Regel.</x:v>
      </x:c>
      <x:c r="U567" s="14" t="str">
        <x:v>≥98:+3; 90–97:+2; 75–89:0; 50–74:‑2; &lt;50:‑3</x:v>
      </x:c>
      <x:c r="V567" s="14" t="str">
        <x:v>ESRS S2, GRI 308/414, OECD Due Diligence</x:v>
      </x:c>
      <x:c r="W567" s="14" t="str">
        <x:f>'02_Benchmarks'!$P567</x:f>
        <x:v>Optional – kein aktiver Benchmark</x:v>
      </x:c>
      <x:c r="X567" s="14" t="str">
        <x:v>Messgrundlage belegt; Schwellenkalibrierung offen</x:v>
      </x:c>
      <x:c r="Y567" s="14" t="str">
        <x:v>Mittel</x:v>
      </x:c>
      <x:c r="Z567" s="14" t="str">
        <x:v>Arbeitskalibrierung – fachlich zu validieren</x:v>
      </x:c>
      <x:c r="AA567" s="14" t="str">
        <x:v>Vorgelagerte Lieferkette; relevante Tier-Stufen und Beschaffungsvolumen</x:v>
      </x:c>
      <x:c r="AB567" s="14" t="str">
        <x:v>Primärdaten bevorzugt; Sekundärdaten nur transparent und versioniert; Methode und Systemgrenze dokumentieren</x:v>
      </x:c>
      <x:c r="AC567" s="14" t="str">
        <x:v>Limited Assurance; risikobasiert höhere Prüftiefe</x:v>
      </x:c>
    </x:row>
    <x:row r="568" ht="42" customHeight="1">
      <x:c r="A568" s="14" t="str">
        <x:v>WOK-SC-163</x:v>
      </x:c>
      <x:c r="B568" s="14" t="str">
        <x:v>SDG+ – Technologie-Verantwortung</x:v>
      </x:c>
      <x:c r="C568" s="14" t="str">
        <x:v>—</x:v>
      </x:c>
      <x:c r="D568" s="14" t="str">
        <x:v>Responsible Sourcing (Minerals)</x:v>
      </x:c>
      <x:c r="E568" s="14" t="str">
        <x:v>Responsible Sourcing (Minerals) – Scope‑3 Daten</x:v>
      </x:c>
      <x:c r="F568" s="14" t="str">
        <x:v>% Kategorien</x:v>
      </x:c>
      <x:c r="G568" s="14" t="str">
        <x:v>higher_is_better</x:v>
      </x:c>
      <x:c r="H568" s="14" t="str">
        <x:v>R23</x:v>
      </x:c>
      <x:c r="I568" s="14" t="str">
        <x:v>NUM_HIGH</x:v>
      </x:c>
      <x:c r="J568" s="51"/>
      <x:c r="K568" s="51"/>
      <x:c r="L568" s="51"/>
      <x:c r="M568" s="54"/>
      <x:c r="N568" s="58" t="str">
        <x:f>IF($J568="","",IF($J568&lt;20,-3,IF($J568&lt;40,-2,IF($J568&lt;60,0,IF($J568&lt;80,2,3)))))</x:f>
      </x:c>
      <x:c r="O568" s="58" t="str">
        <x:f>IF($J568="","",IF(OR('02_Benchmarks'!$P568&lt;&gt;"Aktiv",COUNT('02_Benchmarks'!$J568:$M568)&lt;4),"",IF($G568="lower_is_better",IF($J568&lt;='02_Benchmarks'!$J568,3,IF($J568&lt;'02_Benchmarks'!$K568,2,IF($J568&lt;='02_Benchmarks'!$L568,0,IF($J568&lt;='02_Benchmarks'!$M568,-2,-3)))),IF($J568&gt;='02_Benchmarks'!$J568,3,IF($J568&gt;'02_Benchmarks'!$K568,2,IF($J568&gt;='02_Benchmarks'!$L568,0,IF($J568&gt;='02_Benchmarks'!$M568,-2,-3)))))))</x:f>
      </x:c>
      <x:c r="P568" s="58" t="str">
        <x:f>IF(COUNT($N568:$O568)+IF(ISNUMBER($K568),1,0)=0,"",MIN($N568:$O568,$K568))</x:f>
      </x:c>
      <x:c r="Q568" s="58" t="str">
        <x:f>IF($P568="","",INDEX('04_Tarifmodell'!$B$6:$B$12,$P568+4))</x:f>
      </x:c>
      <x:c r="R568" s="64" t="str">
        <x:f>IF($P568="","",INDEX('04_Tarifmodell'!$C$6:$C$12,$P568+4))</x:f>
      </x:c>
      <x:c r="S568" s="14" t="str">
        <x:f>IF(OR($I568="QUALITATIVE",$I568="MANUAL_HYBRID"),IF($K568="","Assurance-Score fehlt","Assurance-bewertet"),IF($I568="BENCHMARK",IF($W568&lt;&gt;"Aktiv",IF($K568="","Benchmark fehlt","Assurance-bewertet"),IF($J568="","Messwert fehlt",IF($P568="","Nicht bewertbar","Berechnet"))),IF(AND($J568="",$K568&lt;&gt;""),"Nur Assurance-Score",IF($J568="","Messwert fehlt",IF($P568="","Nicht bewertbar",IF($P568&lt;=-2,"Kritische Wirkung / Prüfung","Berechnet"))))))</x:f>
        <x:v>Messwert fehlt</x:v>
      </x:c>
      <x:c r="T568" s="14" t="str">
        <x:v>Vollständige fünfstufige numerische Regel.</x:v>
      </x:c>
      <x:c r="U568" s="14" t="str">
        <x:v>≥80:+3; 60–79:+2; 40–59:0; 20–39:‑2; &lt;20:‑3</x:v>
      </x:c>
      <x:c r="V568" s="14" t="str">
        <x:v>ESRS E1, GHG Protocol (Corporate/Scope 1–3), ISO 14064/14067</x:v>
      </x:c>
      <x:c r="W568" s="14" t="str">
        <x:f>'02_Benchmarks'!$P568</x:f>
        <x:v>Optional – kein aktiver Benchmark</x:v>
      </x:c>
      <x:c r="X568" s="14" t="str">
        <x:v>Messgrundlage belegt; Schwellenkalibrierung offen</x:v>
      </x:c>
      <x:c r="Y568" s="14" t="str">
        <x:v>Mittel</x:v>
      </x:c>
      <x:c r="Z568" s="14" t="str">
        <x:v>Arbeitskalibrierung – fachlich zu validieren</x:v>
      </x:c>
      <x:c r="AA568" s="14" t="str">
        <x:v>Vorgelagerte Lieferkette; relevante Tier-Stufen und Beschaffungsvolumen</x:v>
      </x:c>
      <x:c r="AB568" s="14" t="str">
        <x:v>Primärdaten bevorzugt; Sekundärdaten nur transparent und versioniert; Methode und Systemgrenze dokumentieren</x:v>
      </x:c>
      <x:c r="AC568" s="14" t="str">
        <x:v>Limited Assurance; risikobasiert höhere Prüftiefe</x:v>
      </x:c>
    </x:row>
    <x:row r="569" ht="42" customHeight="1">
      <x:c r="A569" s="14" t="str">
        <x:v>WOK-P-131</x:v>
      </x:c>
      <x:c r="B569" s="14" t="str">
        <x:v>SDG+ – Technologie-Verantwortung</x:v>
      </x:c>
      <x:c r="C569" s="14" t="str">
        <x:v>—</x:v>
      </x:c>
      <x:c r="D569" s="14" t="str">
        <x:v>Sichere/zugängliche Produkte</x:v>
      </x:c>
      <x:c r="E569" s="14" t="str">
        <x:v>Sichere/zugängliche Produkte – PCF</x:v>
      </x:c>
      <x:c r="F569" s="14" t="str">
        <x:v>kg CO₂e/Einheit</x:v>
      </x:c>
      <x:c r="G569" s="14" t="str">
        <x:v>lower_is_better</x:v>
      </x:c>
      <x:c r="H569" s="14" t="str">
        <x:v>R07</x:v>
      </x:c>
      <x:c r="I569" s="14" t="str">
        <x:v>BENCHMARK</x:v>
      </x:c>
      <x:c r="J569" s="51"/>
      <x:c r="K569" s="51"/>
      <x:c r="L569" s="51"/>
      <x:c r="M569" s="54"/>
      <x:c r="N569" s="58" t="str">
        <x:f>""</x:f>
      </x:c>
      <x:c r="O569" s="58" t="str">
        <x:f>IF($J569="","",IF(OR('02_Benchmarks'!$P569&lt;&gt;"Aktiv",COUNT('02_Benchmarks'!$J569:$M569)&lt;4),"",IF($G569="lower_is_better",IF($J569&lt;='02_Benchmarks'!$J569,3,IF($J569&lt;'02_Benchmarks'!$K569,2,IF($J569&lt;='02_Benchmarks'!$L569,0,IF($J569&lt;='02_Benchmarks'!$M569,-2,-3)))),IF($J569&gt;='02_Benchmarks'!$J569,3,IF($J569&gt;'02_Benchmarks'!$K569,2,IF($J569&gt;='02_Benchmarks'!$L569,0,IF($J569&gt;='02_Benchmarks'!$M569,-2,-3)))))))</x:f>
      </x:c>
      <x:c r="P569" s="58" t="str">
        <x:f>IF(COUNT($N569:$O569)+IF(ISNUMBER($K569),1,0)=0,"",MIN($N569:$O569,$K569))</x:f>
      </x:c>
      <x:c r="Q569" s="58" t="str">
        <x:f>IF($P569="","",INDEX('04_Tarifmodell'!$B$6:$B$12,$P569+4))</x:f>
      </x:c>
      <x:c r="R569" s="64" t="str">
        <x:f>IF($P569="","",INDEX('04_Tarifmodell'!$C$6:$C$12,$P569+4))</x:f>
      </x:c>
      <x:c r="S569" s="14" t="str">
        <x:f>IF(OR($I569="QUALITATIVE",$I569="MANUAL_HYBRID"),IF($K569="","Assurance-Score fehlt","Assurance-bewertet"),IF($I569="BENCHMARK",IF($W569&lt;&gt;"Aktiv",IF($K569="","Benchmark fehlt","Assurance-bewertet"),IF($J569="","Messwert fehlt",IF($P569="","Nicht bewertbar","Berechnet"))),IF(AND($J569="",$K569&lt;&gt;""),"Nur Assurance-Score",IF($J569="","Messwert fehlt",IF($P569="","Nicht bewertbar",IF($P569&lt;=-2,"Kritische Wirkung / Prüfung","Berechnet"))))))</x:f>
        <x:v>Benchmark fehlt</x:v>
      </x:c>
      <x:c r="T569" s="14" t="str">
        <x:v>Produktspezifische Referenzpopulation erforderlich.</x:v>
      </x:c>
      <x:c r="U569" s="14" t="str">
        <x:v>Top‑10%:+3; ±Benchmark:0; &gt;150%:‑2; &gt;250%:‑3</x:v>
      </x:c>
      <x:c r="V569" s="14" t="str">
        <x:v>ISO 14067/14040/44 (LCA/PCF), PEF/EF 3.1, EU Reparierbarkeitsindex</x:v>
      </x:c>
      <x:c r="W569" s="14" t="str">
        <x:f>'02_Benchmarks'!$P569</x:f>
        <x:v>Offen – validierter Benchmark fehlt</x:v>
      </x:c>
      <x:c r="X569" s="14" t="str">
        <x:v>Teilbelegt – Benchmarkquelle fehlt</x:v>
      </x:c>
      <x:c r="Y569" s="14" t="str">
        <x:v>Hoch</x:v>
      </x:c>
      <x:c r="Z569" s="14" t="str">
        <x:v>Validierter Benchmark fehlt</x:v>
      </x:c>
      <x:c r="AA569" s="14" t="str">
        <x:v>Produkt/Funktionseinheit; Lebenszyklusgrenze mindestens cradle-to-gate, bei Nutzungs-/End-of-Life-Relevanz cradle-to-grave</x:v>
      </x:c>
      <x:c r="AB569" s="14" t="str">
        <x:v>Primärdaten plus repräsentativer, versionierter Benchmarkdatensatz; Stichprobe und Population offenlegen</x:v>
      </x:c>
      <x:c r="AC569" s="14" t="str">
        <x:v>Messwert-Assurance und unabhängige Benchmark-Governance</x:v>
      </x:c>
    </x:row>
    <x:row r="570" ht="42" customHeight="1">
      <x:c r="A570" s="14" t="str">
        <x:v>WOK-P-132</x:v>
      </x:c>
      <x:c r="B570" s="14" t="str">
        <x:v>SDG+ – Technologie-Verantwortung</x:v>
      </x:c>
      <x:c r="C570" s="14" t="str">
        <x:v>—</x:v>
      </x:c>
      <x:c r="D570" s="14" t="str">
        <x:v>Sichere/zugängliche Produkte</x:v>
      </x:c>
      <x:c r="E570" s="14" t="str">
        <x:v>Sichere/zugängliche Produkte – Reparierbarkeit</x:v>
      </x:c>
      <x:c r="F570" s="14" t="str">
        <x:v>Score 0–10</x:v>
      </x:c>
      <x:c r="G570" s="14" t="str">
        <x:v>higher_is_better</x:v>
      </x:c>
      <x:c r="H570" s="14" t="str">
        <x:v>R24</x:v>
      </x:c>
      <x:c r="I570" s="14" t="str">
        <x:v>NUM_HIGH</x:v>
      </x:c>
      <x:c r="J570" s="51"/>
      <x:c r="K570" s="51"/>
      <x:c r="L570" s="51"/>
      <x:c r="M570" s="54"/>
      <x:c r="N570" s="58" t="str">
        <x:f>IF($J570="","",IF($J570&lt;2,-3,IF($J570&lt;4,-2,IF($J570&lt;6,0,IF($J570&lt;8,2,3)))))</x:f>
      </x:c>
      <x:c r="O570" s="58" t="str">
        <x:f>IF($J570="","",IF(OR('02_Benchmarks'!$P570&lt;&gt;"Aktiv",COUNT('02_Benchmarks'!$J570:$M570)&lt;4),"",IF($G570="lower_is_better",IF($J570&lt;='02_Benchmarks'!$J570,3,IF($J570&lt;'02_Benchmarks'!$K570,2,IF($J570&lt;='02_Benchmarks'!$L570,0,IF($J570&lt;='02_Benchmarks'!$M570,-2,-3)))),IF($J570&gt;='02_Benchmarks'!$J570,3,IF($J570&gt;'02_Benchmarks'!$K570,2,IF($J570&gt;='02_Benchmarks'!$L570,0,IF($J570&gt;='02_Benchmarks'!$M570,-2,-3)))))))</x:f>
      </x:c>
      <x:c r="P570" s="58" t="str">
        <x:f>IF(COUNT($N570:$O570)+IF(ISNUMBER($K570),1,0)=0,"",MIN($N570:$O570,$K570))</x:f>
      </x:c>
      <x:c r="Q570" s="58" t="str">
        <x:f>IF($P570="","",INDEX('04_Tarifmodell'!$B$6:$B$12,$P570+4))</x:f>
      </x:c>
      <x:c r="R570" s="64" t="str">
        <x:f>IF($P570="","",INDEX('04_Tarifmodell'!$C$6:$C$12,$P570+4))</x:f>
      </x:c>
      <x:c r="S570" s="14" t="str">
        <x:f>IF(OR($I570="QUALITATIVE",$I570="MANUAL_HYBRID"),IF($K570="","Assurance-Score fehlt","Assurance-bewertet"),IF($I570="BENCHMARK",IF($W570&lt;&gt;"Aktiv",IF($K570="","Benchmark fehlt","Assurance-bewertet"),IF($J570="","Messwert fehlt",IF($P570="","Nicht bewertbar","Berechnet"))),IF(AND($J570="",$K570&lt;&gt;""),"Nur Assurance-Score",IF($J570="","Messwert fehlt",IF($P570="","Nicht bewertbar",IF($P570&lt;=-2,"Kritische Wirkung / Prüfung","Berechnet"))))))</x:f>
        <x:v>Messwert fehlt</x:v>
      </x:c>
      <x:c r="T570" s="14" t="str">
        <x:v>Indexsystem, Produktgruppe und Rechtsstand festlegen. Französischer Index und EU-Score sind nicht pauschal austauschbar.</x:v>
      </x:c>
      <x:c r="U570" s="14" t="str">
        <x:v>≥8:+3; 6–7,9:+2; 4–5,9:0; 2–3,9:‑2; &lt;2:‑3</x:v>
      </x:c>
      <x:c r="V570" s="14" t="str">
        <x:v>ISO 14067/14040/44 (LCA/PCF), PEF/EF 3.1, EU Reparierbarkeitsindex</x:v>
      </x:c>
      <x:c r="W570" s="14" t="str">
        <x:f>'02_Benchmarks'!$P570</x:f>
        <x:v>Optional – kein aktiver Benchmark</x:v>
      </x:c>
      <x:c r="X570" s="14" t="str">
        <x:v>Teilbelegt – produktspezifisch zu validieren</x:v>
      </x:c>
      <x:c r="Y570" s="14" t="str">
        <x:v>Hoch</x:v>
      </x:c>
      <x:c r="Z570" s="14" t="str">
        <x:v>Indexsystem und Produktgruppe müssen ausgewiesen werden</x:v>
      </x:c>
      <x:c r="AA570" s="14" t="str">
        <x:v>Produkt/Funktionseinheit; Lebenszyklusgrenze mindestens cradle-to-gate, bei Nutzungs-/End-of-Life-Relevanz cradle-to-grave</x:v>
      </x:c>
      <x:c r="AB570" s="14" t="str">
        <x:v>Primärdaten oder qualitätsgesicherte Sekundärdaten; Methode, Zeitraum und Systemgrenze dokumentieren</x:v>
      </x:c>
      <x:c r="AC570" s="14" t="str">
        <x:v>Limited Assurance; bei materieller Steuerwirkung risikobasiert vertiefen</x:v>
      </x:c>
    </x:row>
    <x:row r="571" ht="42" customHeight="1">
      <x:c r="A571" s="14" t="str">
        <x:v>WOK-P-133</x:v>
      </x:c>
      <x:c r="B571" s="14" t="str">
        <x:v>SDG+ – Technologie-Verantwortung</x:v>
      </x:c>
      <x:c r="C571" s="14" t="str">
        <x:v>—</x:v>
      </x:c>
      <x:c r="D571" s="14" t="str">
        <x:v>Sichere/zugängliche Produkte</x:v>
      </x:c>
      <x:c r="E571" s="14" t="str">
        <x:v>Sichere/zugängliche Produkte – Rücknahme/Recycling</x:v>
      </x:c>
      <x:c r="F571" s="14" t="str">
        <x:v>%</x:v>
      </x:c>
      <x:c r="G571" s="14" t="str">
        <x:v>higher_is_better</x:v>
      </x:c>
      <x:c r="H571" s="14" t="str">
        <x:v>R22</x:v>
      </x:c>
      <x:c r="I571" s="14" t="str">
        <x:v>NUM_HIGH</x:v>
      </x:c>
      <x:c r="J571" s="51"/>
      <x:c r="K571" s="51"/>
      <x:c r="L571" s="51"/>
      <x:c r="M571" s="54"/>
      <x:c r="N571" s="58" t="str">
        <x:f>IF($J571="","",IF($J571&lt;15,-3,IF($J571&lt;30,-2,IF($J571&lt;50,0,IF($J571&lt;70,2,3)))))</x:f>
      </x:c>
      <x:c r="O571" s="58" t="str">
        <x:f>IF($J571="","",IF(OR('02_Benchmarks'!$P571&lt;&gt;"Aktiv",COUNT('02_Benchmarks'!$J571:$M571)&lt;4),"",IF($G571="lower_is_better",IF($J571&lt;='02_Benchmarks'!$J571,3,IF($J571&lt;'02_Benchmarks'!$K571,2,IF($J571&lt;='02_Benchmarks'!$L571,0,IF($J571&lt;='02_Benchmarks'!$M571,-2,-3)))),IF($J571&gt;='02_Benchmarks'!$J571,3,IF($J571&gt;'02_Benchmarks'!$K571,2,IF($J571&gt;='02_Benchmarks'!$L571,0,IF($J571&gt;='02_Benchmarks'!$M571,-2,-3)))))))</x:f>
      </x:c>
      <x:c r="P571" s="58" t="str">
        <x:f>IF(COUNT($N571:$O571)+IF(ISNUMBER($K571),1,0)=0,"",MIN($N571:$O571,$K571))</x:f>
      </x:c>
      <x:c r="Q571" s="58" t="str">
        <x:f>IF($P571="","",INDEX('04_Tarifmodell'!$B$6:$B$12,$P571+4))</x:f>
      </x:c>
      <x:c r="R571" s="64" t="str">
        <x:f>IF($P571="","",INDEX('04_Tarifmodell'!$C$6:$C$12,$P571+4))</x:f>
      </x:c>
      <x:c r="S571" s="14" t="str">
        <x:f>IF(OR($I571="QUALITATIVE",$I571="MANUAL_HYBRID"),IF($K571="","Assurance-Score fehlt","Assurance-bewertet"),IF($I571="BENCHMARK",IF($W571&lt;&gt;"Aktiv",IF($K571="","Benchmark fehlt","Assurance-bewertet"),IF($J571="","Messwert fehlt",IF($P571="","Nicht bewertbar","Berechnet"))),IF(AND($J571="",$K571&lt;&gt;""),"Nur Assurance-Score",IF($J571="","Messwert fehlt",IF($P571="","Nicht bewertbar",IF($P571&lt;=-2,"Kritische Wirkung / Prüfung","Berechnet"))))))</x:f>
        <x:v>Messwert fehlt</x:v>
      </x:c>
      <x:c r="T571" s="14" t="str">
        <x:v>Vollständige fünfstufige numerische Regel.</x:v>
      </x:c>
      <x:c r="U571" s="14" t="str">
        <x:v>≥70:+3; 50–69:+2; 30–49:0; 15–29:‑2; &lt;15:‑3</x:v>
      </x:c>
      <x:c r="V571" s="14" t="str">
        <x:v>ESRS E5, GRI 306, WEEE/VerpackG</x:v>
      </x:c>
      <x:c r="W571" s="14" t="str">
        <x:f>'02_Benchmarks'!$P571</x:f>
        <x:v>Optional – kein aktiver Benchmark</x:v>
      </x:c>
      <x:c r="X571" s="14" t="str">
        <x:v>Messgrundlage belegt; Schwellenkalibrierung offen</x:v>
      </x:c>
      <x:c r="Y571" s="14" t="str">
        <x:v>Mittel</x:v>
      </x:c>
      <x:c r="Z571" s="14" t="str">
        <x:v>Arbeitskalibrierung – fachlich zu validieren</x:v>
      </x:c>
      <x:c r="AA571" s="14" t="str">
        <x:v>Produkt/Funktionseinheit; Lebenszyklusgrenze mindestens cradle-to-gate, bei Nutzungs-/End-of-Life-Relevanz cradle-to-grave</x:v>
      </x:c>
      <x:c r="AB571" s="14" t="str">
        <x:v>Primärdaten bevorzugt; Sekundärdaten nur transparent und versioniert; Methode und Systemgrenze dokumentieren</x:v>
      </x:c>
      <x:c r="AC571" s="14" t="str">
        <x:v>Limited Assurance; risikobasiert höhere Prüftiefe</x:v>
      </x:c>
    </x:row>
    <x:row r="572" ht="42" customHeight="1">
      <x:c r="A572" s="14" t="str">
        <x:v>WOK-SYS-197</x:v>
      </x:c>
      <x:c r="B572" s="14" t="str">
        <x:v>SDG+ – Kooperationen/Systemwandel</x:v>
      </x:c>
      <x:c r="C572" s="14" t="str">
        <x:v>—</x:v>
      </x:c>
      <x:c r="D572" s="14" t="str">
        <x:v>SDG‑Partnerschaften</x:v>
      </x:c>
      <x:c r="E572" s="14" t="str">
        <x:v>SDG‑Partnerschaften – Index</x:v>
      </x:c>
      <x:c r="F572" s="14" t="str">
        <x:v>0–1</x:v>
      </x:c>
      <x:c r="G572" s="14" t="str">
        <x:v>higher_is_better</x:v>
      </x:c>
      <x:c r="H572" s="14" t="str">
        <x:v>R15</x:v>
      </x:c>
      <x:c r="I572" s="14" t="str">
        <x:v>NUM_HIGH</x:v>
      </x:c>
      <x:c r="J572" s="51"/>
      <x:c r="K572" s="51"/>
      <x:c r="L572" s="51"/>
      <x:c r="M572" s="54"/>
      <x:c r="N572" s="58" t="str">
        <x:f>IF($J572="","",IF($J572&lt;0.5,-3,IF($J572&lt;0.6,-2,IF($J572&lt;0.7,0,IF($J572&lt;0.8,2,3)))))</x:f>
      </x:c>
      <x:c r="O572" s="58" t="str">
        <x:f>IF($J572="","",IF(OR('02_Benchmarks'!$P572&lt;&gt;"Aktiv",COUNT('02_Benchmarks'!$J572:$M572)&lt;4),"",IF($G572="lower_is_better",IF($J572&lt;='02_Benchmarks'!$J572,3,IF($J572&lt;'02_Benchmarks'!$K572,2,IF($J572&lt;='02_Benchmarks'!$L572,0,IF($J572&lt;='02_Benchmarks'!$M572,-2,-3)))),IF($J572&gt;='02_Benchmarks'!$J572,3,IF($J572&gt;'02_Benchmarks'!$K572,2,IF($J572&gt;='02_Benchmarks'!$L572,0,IF($J572&gt;='02_Benchmarks'!$M572,-2,-3)))))))</x:f>
      </x:c>
      <x:c r="P572" s="58" t="str">
        <x:f>IF(COUNT($N572:$O572)+IF(ISNUMBER($K572),1,0)=0,"",MIN($N572:$O572,$K572))</x:f>
      </x:c>
      <x:c r="Q572" s="58" t="str">
        <x:f>IF($P572="","",INDEX('04_Tarifmodell'!$B$6:$B$12,$P572+4))</x:f>
      </x:c>
      <x:c r="R572" s="64" t="str">
        <x:f>IF($P572="","",INDEX('04_Tarifmodell'!$C$6:$C$12,$P572+4))</x:f>
      </x:c>
      <x:c r="S572" s="14" t="str">
        <x:f>IF(OR($I572="QUALITATIVE",$I572="MANUAL_HYBRID"),IF($K572="","Assurance-Score fehlt","Assurance-bewertet"),IF($I572="BENCHMARK",IF($W572&lt;&gt;"Aktiv",IF($K572="","Benchmark fehlt","Assurance-bewertet"),IF($J572="","Messwert fehlt",IF($P572="","Nicht bewertbar","Berechnet"))),IF(AND($J572="",$K572&lt;&gt;""),"Nur Assurance-Score",IF($J572="","Messwert fehlt",IF($P572="","Nicht bewertbar",IF($P572&lt;=-2,"Kritische Wirkung / Prüfung","Berechnet"))))))</x:f>
        <x:v>Messwert fehlt</x:v>
      </x:c>
      <x:c r="T572" s="14" t="str">
        <x:v>SROI/SDG 17 ist keine hinreichend konkrete Mess- oder Schwellenquelle. Vollständige fünfstufige numerische Regel.</x:v>
      </x:c>
      <x:c r="U572" s="14" t="str">
        <x:v>≥0,8:+3; 0,7–0,79:+2; 0,6–0,69:0; 0,5–0,59:‑2; &lt;0,5:‑3</x:v>
      </x:c>
      <x:c r="V572" s="14" t="str">
        <x:v>SDG 16/17, WJP, V‑Dem</x:v>
      </x:c>
      <x:c r="W572" s="14" t="str">
        <x:f>'02_Benchmarks'!$P572</x:f>
        <x:v>Optional – kein aktiver Benchmark</x:v>
      </x:c>
      <x:c r="X572" s="14" t="str">
        <x:v>Platzhalter – fachliche Operationalisierung offen</x:v>
      </x:c>
      <x:c r="Y572" s="14" t="str">
        <x:v>Kritisch</x:v>
      </x:c>
      <x:c r="Z572" s="14" t="str">
        <x:v>Arbeitskalibrierung – fachlich zu validieren</x:v>
      </x:c>
      <x:c r="AA572" s="14" t="str">
        <x:v>Programm/Portfolio/Systemraum; Empfängergruppe, Region und Zeitraum explizit definieren</x:v>
      </x:c>
      <x:c r="AB572" s="14" t="str">
        <x:v>Primärdaten bevorzugt; Sekundärdaten nur transparent und versioniert; Methode und Systemgrenze dokumentieren</x:v>
      </x:c>
      <x:c r="AC572" s="14" t="str">
        <x:v>Limited Assurance; risikobasiert höhere Prüftiefe</x:v>
      </x:c>
    </x:row>
    <x:row r="573" ht="42" customHeight="1">
      <x:c r="A573" s="14" t="str">
        <x:v>WOK-SYS-198</x:v>
      </x:c>
      <x:c r="B573" s="14" t="str">
        <x:v>SDG+ – Kooperationen/Systemwandel</x:v>
      </x:c>
      <x:c r="C573" s="14" t="str">
        <x:v>—</x:v>
      </x:c>
      <x:c r="D573" s="14" t="str">
        <x:v>SDG‑Partnerschaften</x:v>
      </x:c>
      <x:c r="E573" s="14" t="str">
        <x:v>SDG‑Partnerschaften – Exposure</x:v>
      </x:c>
      <x:c r="F573" s="14" t="str">
        <x:v>%</x:v>
      </x:c>
      <x:c r="G573" s="14" t="str">
        <x:v>lower_is_better</x:v>
      </x:c>
      <x:c r="H573" s="14" t="str">
        <x:v>R13</x:v>
      </x:c>
      <x:c r="I573" s="14" t="str">
        <x:v>NUM_LOW</x:v>
      </x:c>
      <x:c r="J573" s="51"/>
      <x:c r="K573" s="51"/>
      <x:c r="L573" s="51"/>
      <x:c r="M573" s="54"/>
      <x:c r="N573" s="58" t="str">
        <x:f>IF($J573="","",IF($J573&lt;=5,3,IF($J573&lt;=10,2,IF($J573&lt;=20,0,IF($J573&lt;=30,-2,-3)))))</x:f>
      </x:c>
      <x:c r="O573" s="58" t="str">
        <x:f>IF($J573="","",IF(OR('02_Benchmarks'!$P573&lt;&gt;"Aktiv",COUNT('02_Benchmarks'!$J573:$M573)&lt;4),"",IF($G573="lower_is_better",IF($J573&lt;='02_Benchmarks'!$J573,3,IF($J573&lt;'02_Benchmarks'!$K573,2,IF($J573&lt;='02_Benchmarks'!$L573,0,IF($J573&lt;='02_Benchmarks'!$M573,-2,-3)))),IF($J573&gt;='02_Benchmarks'!$J573,3,IF($J573&gt;'02_Benchmarks'!$K573,2,IF($J573&gt;='02_Benchmarks'!$L573,0,IF($J573&gt;='02_Benchmarks'!$M573,-2,-3)))))))</x:f>
      </x:c>
      <x:c r="P573" s="58" t="str">
        <x:f>IF(COUNT($N573:$O573)+IF(ISNUMBER($K573),1,0)=0,"",MIN($N573:$O573,$K573))</x:f>
      </x:c>
      <x:c r="Q573" s="58" t="str">
        <x:f>IF($P573="","",INDEX('04_Tarifmodell'!$B$6:$B$12,$P573+4))</x:f>
      </x:c>
      <x:c r="R573" s="64" t="str">
        <x:f>IF($P573="","",INDEX('04_Tarifmodell'!$C$6:$C$12,$P573+4))</x:f>
      </x:c>
      <x:c r="S573" s="14" t="str">
        <x:f>IF(OR($I573="QUALITATIVE",$I573="MANUAL_HYBRID"),IF($K573="","Assurance-Score fehlt","Assurance-bewertet"),IF($I573="BENCHMARK",IF($W573&lt;&gt;"Aktiv",IF($K573="","Benchmark fehlt","Assurance-bewertet"),IF($J573="","Messwert fehlt",IF($P573="","Nicht bewertbar","Berechnet"))),IF(AND($J573="",$K573&lt;&gt;""),"Nur Assurance-Score",IF($J573="","Messwert fehlt",IF($P573="","Nicht bewertbar",IF($P573&lt;=-2,"Kritische Wirkung / Prüfung","Berechnet"))))))</x:f>
        <x:v>Messwert fehlt</x:v>
      </x:c>
      <x:c r="T573" s="14" t="str">
        <x:v>SROI/SDG 17 ist keine hinreichend konkrete Mess- oder Schwellenquelle. Vollständige fünfstufige numerische Regel.</x:v>
      </x:c>
      <x:c r="U573" s="14" t="str">
        <x:v>≤5:+3; 6–10:+2; 11–20:0; 21–30:‑2; &gt;30:‑3</x:v>
      </x:c>
      <x:c r="V573" s="14" t="str">
        <x:v>SDG 16/17, WJP, V‑Dem</x:v>
      </x:c>
      <x:c r="W573" s="14" t="str">
        <x:f>'02_Benchmarks'!$P573</x:f>
        <x:v>Optional – kein aktiver Benchmark</x:v>
      </x:c>
      <x:c r="X573" s="14" t="str">
        <x:v>Platzhalter – fachliche Operationalisierung offen</x:v>
      </x:c>
      <x:c r="Y573" s="14" t="str">
        <x:v>Kritisch</x:v>
      </x:c>
      <x:c r="Z573" s="14" t="str">
        <x:v>Arbeitskalibrierung – fachlich zu validieren</x:v>
      </x:c>
      <x:c r="AA573" s="14" t="str">
        <x:v>Programm/Portfolio/Systemraum; Empfängergruppe, Region und Zeitraum explizit definieren</x:v>
      </x:c>
      <x:c r="AB573" s="14" t="str">
        <x:v>Primärdaten bevorzugt; Sekundärdaten nur transparent und versioniert; Methode und Systemgrenze dokumentieren</x:v>
      </x:c>
      <x:c r="AC573" s="14" t="str">
        <x:v>Limited Assurance; risikobasiert höhere Prüftiefe</x:v>
      </x:c>
    </x:row>
    <x:row r="574" ht="42" customHeight="1">
      <x:c r="A574" s="14" t="str">
        <x:v>WOK-SYS-199</x:v>
      </x:c>
      <x:c r="B574" s="14" t="str">
        <x:v>SDG+ – Kooperationen/Systemwandel</x:v>
      </x:c>
      <x:c r="C574" s="14" t="str">
        <x:v>—</x:v>
      </x:c>
      <x:c r="D574" s="14" t="str">
        <x:v>SDG‑Partnerschaften</x:v>
      </x:c>
      <x:c r="E574" s="14" t="str">
        <x:v>SDG‑Partnerschaften – Kooperationen</x:v>
      </x:c>
      <x:c r="F574" s="14" t="str">
        <x:v>#/Jahr</x:v>
      </x:c>
      <x:c r="G574" s="14" t="str">
        <x:v>higher_is_better</x:v>
      </x:c>
      <x:c r="H574" s="14" t="str">
        <x:v>R20</x:v>
      </x:c>
      <x:c r="I574" s="14" t="str">
        <x:v>NUM_HIGH</x:v>
      </x:c>
      <x:c r="J574" s="51"/>
      <x:c r="K574" s="51"/>
      <x:c r="L574" s="51"/>
      <x:c r="M574" s="54"/>
      <x:c r="N574" s="58" t="str">
        <x:f>IF($J574="","",IF($J574&lt;0,-3,IF($J574&lt;1,-2,IF($J574&lt;3,0,IF($J574&lt;5,2,3)))))</x:f>
      </x:c>
      <x:c r="O574" s="58" t="str">
        <x:f>IF($J574="","",IF(OR('02_Benchmarks'!$P574&lt;&gt;"Aktiv",COUNT('02_Benchmarks'!$J574:$M574)&lt;4),"",IF($G574="lower_is_better",IF($J574&lt;='02_Benchmarks'!$J574,3,IF($J574&lt;'02_Benchmarks'!$K574,2,IF($J574&lt;='02_Benchmarks'!$L574,0,IF($J574&lt;='02_Benchmarks'!$M574,-2,-3)))),IF($J574&gt;='02_Benchmarks'!$J574,3,IF($J574&gt;'02_Benchmarks'!$K574,2,IF($J574&gt;='02_Benchmarks'!$L574,0,IF($J574&gt;='02_Benchmarks'!$M574,-2,-3)))))))</x:f>
      </x:c>
      <x:c r="P574" s="58" t="str">
        <x:f>IF(COUNT($N574:$O574)+IF(ISNUMBER($K574),1,0)=0,"",MIN($N574:$O574,$K574))</x:f>
      </x:c>
      <x:c r="Q574" s="58" t="str">
        <x:f>IF($P574="","",INDEX('04_Tarifmodell'!$B$6:$B$12,$P574+4))</x:f>
      </x:c>
      <x:c r="R574" s="64" t="str">
        <x:f>IF($P574="","",INDEX('04_Tarifmodell'!$C$6:$C$12,$P574+4))</x:f>
      </x:c>
      <x:c r="S574" s="14" t="str">
        <x:f>IF(OR($I574="QUALITATIVE",$I574="MANUAL_HYBRID"),IF($K574="","Assurance-Score fehlt","Assurance-bewertet"),IF($I574="BENCHMARK",IF($W574&lt;&gt;"Aktiv",IF($K574="","Benchmark fehlt","Assurance-bewertet"),IF($J574="","Messwert fehlt",IF($P574="","Nicht bewertbar","Berechnet"))),IF(AND($J574="",$K574&lt;&gt;""),"Nur Assurance-Score",IF($J574="","Messwert fehlt",IF($P574="","Nicht bewertbar",IF($P574&lt;=-2,"Kritische Wirkung / Prüfung","Berechnet"))))))</x:f>
        <x:v>Messwert fehlt</x:v>
      </x:c>
      <x:c r="T574" s="14" t="str">
        <x:v>SROI/SDG 17 ist keine hinreichend konkrete Mess- oder Schwellenquelle. Für sachlogisch nichtnegative Zählwerte ist 0 die schlechteste reguläre Klasse (−2).</x:v>
      </x:c>
      <x:c r="U574" s="14" t="str">
        <x:v>≥5:+3; 3–4:+2; 1–2:0; 0:‑2</x:v>
      </x:c>
      <x:c r="V574" s="14" t="str">
        <x:v>SDG 16/17, WJP, V‑Dem</x:v>
      </x:c>
      <x:c r="W574" s="14" t="str">
        <x:f>'02_Benchmarks'!$P574</x:f>
        <x:v>Optional – kein aktiver Benchmark</x:v>
      </x:c>
      <x:c r="X574" s="14" t="str">
        <x:v>Platzhalter – fachliche Operationalisierung offen</x:v>
      </x:c>
      <x:c r="Y574" s="14" t="str">
        <x:v>Kritisch</x:v>
      </x:c>
      <x:c r="Z574" s="14" t="str">
        <x:v>Klasse −3 nur für negative/unzulässige Werte ergänzt</x:v>
      </x:c>
      <x:c r="AA574" s="14" t="str">
        <x:v>Programm/Portfolio/Systemraum; Empfängergruppe, Region und Zeitraum explizit definieren</x:v>
      </x:c>
      <x:c r="AB574" s="14" t="str">
        <x:v>Primärdaten bevorzugt; Sekundärdaten nur transparent und versioniert; Methode und Systemgrenze dokumentieren</x:v>
      </x:c>
      <x:c r="AC574" s="14" t="str">
        <x:v>Limited Assurance; risikobasiert höhere Prüftiefe</x:v>
      </x:c>
    </x:row>
    <x:row r="575" ht="42" customHeight="1">
      <x:c r="A575" s="14" t="str">
        <x:v>WOK-SYS-200</x:v>
      </x:c>
      <x:c r="B575" s="14" t="str">
        <x:v>SDG+ – Kooperationen/Systemwandel</x:v>
      </x:c>
      <x:c r="C575" s="14" t="str">
        <x:v>—</x:v>
      </x:c>
      <x:c r="D575" s="14" t="str">
        <x:v>Open Data/XBRL</x:v>
      </x:c>
      <x:c r="E575" s="14" t="str">
        <x:v>Open Data/XBRL – Index</x:v>
      </x:c>
      <x:c r="F575" s="14" t="str">
        <x:v>0–1</x:v>
      </x:c>
      <x:c r="G575" s="14" t="str">
        <x:v>higher_is_better</x:v>
      </x:c>
      <x:c r="H575" s="14" t="str">
        <x:v>R15</x:v>
      </x:c>
      <x:c r="I575" s="14" t="str">
        <x:v>NUM_HIGH</x:v>
      </x:c>
      <x:c r="J575" s="51"/>
      <x:c r="K575" s="51"/>
      <x:c r="L575" s="51"/>
      <x:c r="M575" s="54"/>
      <x:c r="N575" s="58" t="str">
        <x:f>IF($J575="","",IF($J575&lt;0.5,-3,IF($J575&lt;0.6,-2,IF($J575&lt;0.7,0,IF($J575&lt;0.8,2,3)))))</x:f>
      </x:c>
      <x:c r="O575" s="58" t="str">
        <x:f>IF($J575="","",IF(OR('02_Benchmarks'!$P575&lt;&gt;"Aktiv",COUNT('02_Benchmarks'!$J575:$M575)&lt;4),"",IF($G575="lower_is_better",IF($J575&lt;='02_Benchmarks'!$J575,3,IF($J575&lt;'02_Benchmarks'!$K575,2,IF($J575&lt;='02_Benchmarks'!$L575,0,IF($J575&lt;='02_Benchmarks'!$M575,-2,-3)))),IF($J575&gt;='02_Benchmarks'!$J575,3,IF($J575&gt;'02_Benchmarks'!$K575,2,IF($J575&gt;='02_Benchmarks'!$L575,0,IF($J575&gt;='02_Benchmarks'!$M575,-2,-3)))))))</x:f>
      </x:c>
      <x:c r="P575" s="58" t="str">
        <x:f>IF(COUNT($N575:$O575)+IF(ISNUMBER($K575),1,0)=0,"",MIN($N575:$O575,$K575))</x:f>
      </x:c>
      <x:c r="Q575" s="58" t="str">
        <x:f>IF($P575="","",INDEX('04_Tarifmodell'!$B$6:$B$12,$P575+4))</x:f>
      </x:c>
      <x:c r="R575" s="64" t="str">
        <x:f>IF($P575="","",INDEX('04_Tarifmodell'!$C$6:$C$12,$P575+4))</x:f>
      </x:c>
      <x:c r="S575" s="14" t="str">
        <x:f>IF(OR($I575="QUALITATIVE",$I575="MANUAL_HYBRID"),IF($K575="","Assurance-Score fehlt","Assurance-bewertet"),IF($I575="BENCHMARK",IF($W575&lt;&gt;"Aktiv",IF($K575="","Benchmark fehlt","Assurance-bewertet"),IF($J575="","Messwert fehlt",IF($P575="","Nicht bewertbar","Berechnet"))),IF(AND($J575="",$K575&lt;&gt;""),"Nur Assurance-Score",IF($J575="","Messwert fehlt",IF($P575="","Nicht bewertbar",IF($P575&lt;=-2,"Kritische Wirkung / Prüfung","Berechnet"))))))</x:f>
        <x:v>Messwert fehlt</x:v>
      </x:c>
      <x:c r="T575" s="14" t="str">
        <x:v>SROI/SDG 17 ist keine hinreichend konkrete Mess- oder Schwellenquelle. Vollständige fünfstufige numerische Regel.</x:v>
      </x:c>
      <x:c r="U575" s="14" t="str">
        <x:v>≥0,8:+3; 0,7–0,79:+2; 0,6–0,69:0; 0,5–0,59:‑2; &lt;0,5:‑3</x:v>
      </x:c>
      <x:c r="V575" s="14" t="str">
        <x:v>SDG 16/17, WJP, V‑Dem</x:v>
      </x:c>
      <x:c r="W575" s="14" t="str">
        <x:f>'02_Benchmarks'!$P575</x:f>
        <x:v>Optional – kein aktiver Benchmark</x:v>
      </x:c>
      <x:c r="X575" s="14" t="str">
        <x:v>Platzhalter – fachliche Operationalisierung offen</x:v>
      </x:c>
      <x:c r="Y575" s="14" t="str">
        <x:v>Kritisch</x:v>
      </x:c>
      <x:c r="Z575" s="14" t="str">
        <x:v>Arbeitskalibrierung – fachlich zu validieren</x:v>
      </x:c>
      <x:c r="AA575" s="14" t="str">
        <x:v>Programm/Portfolio/Systemraum; Empfängergruppe, Region und Zeitraum explizit definieren</x:v>
      </x:c>
      <x:c r="AB575" s="14" t="str">
        <x:v>Primärdaten bevorzugt; Sekundärdaten nur transparent und versioniert; Methode und Systemgrenze dokumentieren</x:v>
      </x:c>
      <x:c r="AC575" s="14" t="str">
        <x:v>Limited Assurance; risikobasiert höhere Prüftiefe</x:v>
      </x:c>
    </x:row>
    <x:row r="576" ht="42" customHeight="1">
      <x:c r="A576" s="14" t="str">
        <x:v>WOK-SYS-201</x:v>
      </x:c>
      <x:c r="B576" s="14" t="str">
        <x:v>SDG+ – Kooperationen/Systemwandel</x:v>
      </x:c>
      <x:c r="C576" s="14" t="str">
        <x:v>—</x:v>
      </x:c>
      <x:c r="D576" s="14" t="str">
        <x:v>Open Data/XBRL</x:v>
      </x:c>
      <x:c r="E576" s="14" t="str">
        <x:v>Open Data/XBRL – Exposure</x:v>
      </x:c>
      <x:c r="F576" s="14" t="str">
        <x:v>%</x:v>
      </x:c>
      <x:c r="G576" s="14" t="str">
        <x:v>lower_is_better</x:v>
      </x:c>
      <x:c r="H576" s="14" t="str">
        <x:v>R13</x:v>
      </x:c>
      <x:c r="I576" s="14" t="str">
        <x:v>NUM_LOW</x:v>
      </x:c>
      <x:c r="J576" s="51"/>
      <x:c r="K576" s="51"/>
      <x:c r="L576" s="51"/>
      <x:c r="M576" s="54"/>
      <x:c r="N576" s="58" t="str">
        <x:f>IF($J576="","",IF($J576&lt;=5,3,IF($J576&lt;=10,2,IF($J576&lt;=20,0,IF($J576&lt;=30,-2,-3)))))</x:f>
      </x:c>
      <x:c r="O576" s="58" t="str">
        <x:f>IF($J576="","",IF(OR('02_Benchmarks'!$P576&lt;&gt;"Aktiv",COUNT('02_Benchmarks'!$J576:$M576)&lt;4),"",IF($G576="lower_is_better",IF($J576&lt;='02_Benchmarks'!$J576,3,IF($J576&lt;'02_Benchmarks'!$K576,2,IF($J576&lt;='02_Benchmarks'!$L576,0,IF($J576&lt;='02_Benchmarks'!$M576,-2,-3)))),IF($J576&gt;='02_Benchmarks'!$J576,3,IF($J576&gt;'02_Benchmarks'!$K576,2,IF($J576&gt;='02_Benchmarks'!$L576,0,IF($J576&gt;='02_Benchmarks'!$M576,-2,-3)))))))</x:f>
      </x:c>
      <x:c r="P576" s="58" t="str">
        <x:f>IF(COUNT($N576:$O576)+IF(ISNUMBER($K576),1,0)=0,"",MIN($N576:$O576,$K576))</x:f>
      </x:c>
      <x:c r="Q576" s="58" t="str">
        <x:f>IF($P576="","",INDEX('04_Tarifmodell'!$B$6:$B$12,$P576+4))</x:f>
      </x:c>
      <x:c r="R576" s="64" t="str">
        <x:f>IF($P576="","",INDEX('04_Tarifmodell'!$C$6:$C$12,$P576+4))</x:f>
      </x:c>
      <x:c r="S576" s="14" t="str">
        <x:f>IF(OR($I576="QUALITATIVE",$I576="MANUAL_HYBRID"),IF($K576="","Assurance-Score fehlt","Assurance-bewertet"),IF($I576="BENCHMARK",IF($W576&lt;&gt;"Aktiv",IF($K576="","Benchmark fehlt","Assurance-bewertet"),IF($J576="","Messwert fehlt",IF($P576="","Nicht bewertbar","Berechnet"))),IF(AND($J576="",$K576&lt;&gt;""),"Nur Assurance-Score",IF($J576="","Messwert fehlt",IF($P576="","Nicht bewertbar",IF($P576&lt;=-2,"Kritische Wirkung / Prüfung","Berechnet"))))))</x:f>
        <x:v>Messwert fehlt</x:v>
      </x:c>
      <x:c r="T576" s="14" t="str">
        <x:v>SROI/SDG 17 ist keine hinreichend konkrete Mess- oder Schwellenquelle. Vollständige fünfstufige numerische Regel.</x:v>
      </x:c>
      <x:c r="U576" s="14" t="str">
        <x:v>≤5:+3; 6–10:+2; 11–20:0; 21–30:‑2; &gt;30:‑3</x:v>
      </x:c>
      <x:c r="V576" s="14" t="str">
        <x:v>SDG 16/17, WJP, V‑Dem</x:v>
      </x:c>
      <x:c r="W576" s="14" t="str">
        <x:f>'02_Benchmarks'!$P576</x:f>
        <x:v>Optional – kein aktiver Benchmark</x:v>
      </x:c>
      <x:c r="X576" s="14" t="str">
        <x:v>Platzhalter – fachliche Operationalisierung offen</x:v>
      </x:c>
      <x:c r="Y576" s="14" t="str">
        <x:v>Kritisch</x:v>
      </x:c>
      <x:c r="Z576" s="14" t="str">
        <x:v>Arbeitskalibrierung – fachlich zu validieren</x:v>
      </x:c>
      <x:c r="AA576" s="14" t="str">
        <x:v>Programm/Portfolio/Systemraum; Empfängergruppe, Region und Zeitraum explizit definieren</x:v>
      </x:c>
      <x:c r="AB576" s="14" t="str">
        <x:v>Primärdaten bevorzugt; Sekundärdaten nur transparent und versioniert; Methode und Systemgrenze dokumentieren</x:v>
      </x:c>
      <x:c r="AC576" s="14" t="str">
        <x:v>Limited Assurance; risikobasiert höhere Prüftiefe</x:v>
      </x:c>
    </x:row>
    <x:row r="577" ht="42" customHeight="1">
      <x:c r="A577" s="14" t="str">
        <x:v>WOK-SYS-202</x:v>
      </x:c>
      <x:c r="B577" s="14" t="str">
        <x:v>SDG+ – Kooperationen/Systemwandel</x:v>
      </x:c>
      <x:c r="C577" s="14" t="str">
        <x:v>—</x:v>
      </x:c>
      <x:c r="D577" s="14" t="str">
        <x:v>Open Data/XBRL</x:v>
      </x:c>
      <x:c r="E577" s="14" t="str">
        <x:v>Open Data/XBRL – Kooperationen</x:v>
      </x:c>
      <x:c r="F577" s="14" t="str">
        <x:v>#/Jahr</x:v>
      </x:c>
      <x:c r="G577" s="14" t="str">
        <x:v>higher_is_better</x:v>
      </x:c>
      <x:c r="H577" s="14" t="str">
        <x:v>R20</x:v>
      </x:c>
      <x:c r="I577" s="14" t="str">
        <x:v>NUM_HIGH</x:v>
      </x:c>
      <x:c r="J577" s="51"/>
      <x:c r="K577" s="51"/>
      <x:c r="L577" s="51"/>
      <x:c r="M577" s="54"/>
      <x:c r="N577" s="58" t="str">
        <x:f>IF($J577="","",IF($J577&lt;0,-3,IF($J577&lt;1,-2,IF($J577&lt;3,0,IF($J577&lt;5,2,3)))))</x:f>
      </x:c>
      <x:c r="O577" s="58" t="str">
        <x:f>IF($J577="","",IF(OR('02_Benchmarks'!$P577&lt;&gt;"Aktiv",COUNT('02_Benchmarks'!$J577:$M577)&lt;4),"",IF($G577="lower_is_better",IF($J577&lt;='02_Benchmarks'!$J577,3,IF($J577&lt;'02_Benchmarks'!$K577,2,IF($J577&lt;='02_Benchmarks'!$L577,0,IF($J577&lt;='02_Benchmarks'!$M577,-2,-3)))),IF($J577&gt;='02_Benchmarks'!$J577,3,IF($J577&gt;'02_Benchmarks'!$K577,2,IF($J577&gt;='02_Benchmarks'!$L577,0,IF($J577&gt;='02_Benchmarks'!$M577,-2,-3)))))))</x:f>
      </x:c>
      <x:c r="P577" s="58" t="str">
        <x:f>IF(COUNT($N577:$O577)+IF(ISNUMBER($K577),1,0)=0,"",MIN($N577:$O577,$K577))</x:f>
      </x:c>
      <x:c r="Q577" s="58" t="str">
        <x:f>IF($P577="","",INDEX('04_Tarifmodell'!$B$6:$B$12,$P577+4))</x:f>
      </x:c>
      <x:c r="R577" s="64" t="str">
        <x:f>IF($P577="","",INDEX('04_Tarifmodell'!$C$6:$C$12,$P577+4))</x:f>
      </x:c>
      <x:c r="S577" s="14" t="str">
        <x:f>IF(OR($I577="QUALITATIVE",$I577="MANUAL_HYBRID"),IF($K577="","Assurance-Score fehlt","Assurance-bewertet"),IF($I577="BENCHMARK",IF($W577&lt;&gt;"Aktiv",IF($K577="","Benchmark fehlt","Assurance-bewertet"),IF($J577="","Messwert fehlt",IF($P577="","Nicht bewertbar","Berechnet"))),IF(AND($J577="",$K577&lt;&gt;""),"Nur Assurance-Score",IF($J577="","Messwert fehlt",IF($P577="","Nicht bewertbar",IF($P577&lt;=-2,"Kritische Wirkung / Prüfung","Berechnet"))))))</x:f>
        <x:v>Messwert fehlt</x:v>
      </x:c>
      <x:c r="T577" s="14" t="str">
        <x:v>SROI/SDG 17 ist keine hinreichend konkrete Mess- oder Schwellenquelle. Für sachlogisch nichtnegative Zählwerte ist 0 die schlechteste reguläre Klasse (−2).</x:v>
      </x:c>
      <x:c r="U577" s="14" t="str">
        <x:v>≥5:+3; 3–4:+2; 1–2:0; 0:‑2</x:v>
      </x:c>
      <x:c r="V577" s="14" t="str">
        <x:v>SDG 16/17, WJP, V‑Dem</x:v>
      </x:c>
      <x:c r="W577" s="14" t="str">
        <x:f>'02_Benchmarks'!$P577</x:f>
        <x:v>Optional – kein aktiver Benchmark</x:v>
      </x:c>
      <x:c r="X577" s="14" t="str">
        <x:v>Platzhalter – fachliche Operationalisierung offen</x:v>
      </x:c>
      <x:c r="Y577" s="14" t="str">
        <x:v>Kritisch</x:v>
      </x:c>
      <x:c r="Z577" s="14" t="str">
        <x:v>Klasse −3 nur für negative/unzulässige Werte ergänzt</x:v>
      </x:c>
      <x:c r="AA577" s="14" t="str">
        <x:v>Programm/Portfolio/Systemraum; Empfängergruppe, Region und Zeitraum explizit definieren</x:v>
      </x:c>
      <x:c r="AB577" s="14" t="str">
        <x:v>Primärdaten bevorzugt; Sekundärdaten nur transparent und versioniert; Methode und Systemgrenze dokumentieren</x:v>
      </x:c>
      <x:c r="AC577" s="14" t="str">
        <x:v>Limited Assurance; risikobasiert höhere Prüftiefe</x:v>
      </x:c>
    </x:row>
    <x:row r="578" ht="42" customHeight="1">
      <x:c r="A578" s="14" t="str">
        <x:v>WOK-G-236</x:v>
      </x:c>
      <x:c r="B578" s="14" t="str">
        <x:v>SDG+ – Kooperationen/Systemwandel</x:v>
      </x:c>
      <x:c r="C578" s="14" t="str">
        <x:v>—</x:v>
      </x:c>
      <x:c r="D578" s="14" t="str">
        <x:v>Mehr‑Stakeholder‑Boards</x:v>
      </x:c>
      <x:c r="E578" s="14" t="str">
        <x:v>Mehr‑Stakeholder‑Boards – Antikorruption</x:v>
      </x:c>
      <x:c r="F578" s="14" t="str">
        <x:v>Fälle/1.000 FTE</x:v>
      </x:c>
      <x:c r="G578" s="14" t="str">
        <x:v>lower_is_better</x:v>
      </x:c>
      <x:c r="H578" s="14" t="str">
        <x:v>R01</x:v>
      </x:c>
      <x:c r="I578" s="14" t="str">
        <x:v>NUM_LOW</x:v>
      </x:c>
      <x:c r="J578" s="51"/>
      <x:c r="K578" s="51"/>
      <x:c r="L578" s="51"/>
      <x:c r="M578" s="54"/>
      <x:c r="N578" s="58" t="str">
        <x:f>IF($J578="","",IF($J578&lt;=0,3,IF($J578&lt;=0.2,2,IF($J578&lt;=0.5,0,IF($J578&lt;=1,-2,-3)))))</x:f>
      </x:c>
      <x:c r="O578" s="58" t="str">
        <x:f>IF($J578="","",IF(OR('02_Benchmarks'!$P578&lt;&gt;"Aktiv",COUNT('02_Benchmarks'!$J578:$M578)&lt;4),"",IF($G578="lower_is_better",IF($J578&lt;='02_Benchmarks'!$J578,3,IF($J578&lt;'02_Benchmarks'!$K578,2,IF($J578&lt;='02_Benchmarks'!$L578,0,IF($J578&lt;='02_Benchmarks'!$M578,-2,-3)))),IF($J578&gt;='02_Benchmarks'!$J578,3,IF($J578&gt;'02_Benchmarks'!$K578,2,IF($J578&gt;='02_Benchmarks'!$L578,0,IF($J578&gt;='02_Benchmarks'!$M578,-2,-3)))))))</x:f>
      </x:c>
      <x:c r="P578" s="58" t="str">
        <x:f>IF(COUNT($N578:$O578)+IF(ISNUMBER($K578),1,0)=0,"",MIN($N578:$O578,$K578))</x:f>
      </x:c>
      <x:c r="Q578" s="58" t="str">
        <x:f>IF($P578="","",INDEX('04_Tarifmodell'!$B$6:$B$12,$P578+4))</x:f>
      </x:c>
      <x:c r="R578" s="64" t="str">
        <x:f>IF($P578="","",INDEX('04_Tarifmodell'!$C$6:$C$12,$P578+4))</x:f>
      </x:c>
      <x:c r="S578" s="14" t="str">
        <x:f>IF(OR($I578="QUALITATIVE",$I578="MANUAL_HYBRID"),IF($K578="","Assurance-Score fehlt","Assurance-bewertet"),IF($I578="BENCHMARK",IF($W578&lt;&gt;"Aktiv",IF($K578="","Benchmark fehlt","Assurance-bewertet"),IF($J578="","Messwert fehlt",IF($P578="","Nicht bewertbar","Berechnet"))),IF(AND($J578="",$K578&lt;&gt;""),"Nur Assurance-Score",IF($J578="","Messwert fehlt",IF($P578="","Nicht bewertbar",IF($P578&lt;=-2,"Kritische Wirkung / Prüfung","Berechnet"))))))</x:f>
        <x:v>Messwert fehlt</x:v>
      </x:c>
      <x:c r="T578" s="14" t="str">
        <x:v>Vollständige fünfstufige numerische Regel.</x:v>
      </x:c>
      <x:c r="U578" s="14" t="str">
        <x:v>0:+3; ≤0,2:+2; ≤0,5:0; ≤1:‑2; &gt;1:‑3</x:v>
      </x:c>
      <x:c r="V578" s="14" t="str">
        <x:v>ESRS G1, GRI 205/207, OECD Anti‑Bribery</x:v>
      </x:c>
      <x:c r="W578" s="14" t="str">
        <x:f>'02_Benchmarks'!$P578</x:f>
        <x:v>Optional – kein aktiver Benchmark</x:v>
      </x:c>
      <x:c r="X578" s="14" t="str">
        <x:v>Messgrundlage belegt; Schwellenkalibrierung offen</x:v>
      </x:c>
      <x:c r="Y578" s="14" t="str">
        <x:v>Mittel</x:v>
      </x:c>
      <x:c r="Z578" s="14" t="str">
        <x:v>Arbeitskalibrierung – fachlich zu validieren</x:v>
      </x:c>
      <x:c r="AA578" s="14" t="str">
        <x:v>Organisation/Governance; konsolidierter Kreis und relevante Rechtseinheiten</x:v>
      </x:c>
      <x:c r="AB578" s="14" t="str">
        <x:v>Primärdaten bevorzugt; Sekundärdaten nur transparent und versioniert; Methode und Systemgrenze dokumentieren</x:v>
      </x:c>
      <x:c r="AC578" s="14" t="str">
        <x:v>Limited Assurance; risikobasiert höhere Prüftiefe</x:v>
      </x:c>
    </x:row>
    <x:row r="579" ht="42" customHeight="1">
      <x:c r="A579" s="14" t="str">
        <x:v>WOK-G-237</x:v>
      </x:c>
      <x:c r="B579" s="14" t="str">
        <x:v>SDG+ – Kooperationen/Systemwandel</x:v>
      </x:c>
      <x:c r="C579" s="14" t="str">
        <x:v>—</x:v>
      </x:c>
      <x:c r="D579" s="14" t="str">
        <x:v>Mehr‑Stakeholder‑Boards</x:v>
      </x:c>
      <x:c r="E579" s="14" t="str">
        <x:v>Mehr‑Stakeholder‑Boards – Whistleblowing</x:v>
      </x:c>
      <x:c r="F579" s="14" t="str">
        <x:v>0–1</x:v>
      </x:c>
      <x:c r="G579" s="14" t="str">
        <x:v>higher_is_better</x:v>
      </x:c>
      <x:c r="H579" s="14" t="str">
        <x:v>R16</x:v>
      </x:c>
      <x:c r="I579" s="14" t="str">
        <x:v>NUM_HIGH</x:v>
      </x:c>
      <x:c r="J579" s="51"/>
      <x:c r="K579" s="51"/>
      <x:c r="L579" s="51"/>
      <x:c r="M579" s="54"/>
      <x:c r="N579" s="58" t="str">
        <x:f>IF($J579="","",IF($J579&lt;0.4,-3,IF($J579&lt;0.6,-2,IF($J579&lt;0.75,0,IF($J579&lt;0.9,2,3)))))</x:f>
      </x:c>
      <x:c r="O579" s="58" t="str">
        <x:f>IF($J579="","",IF(OR('02_Benchmarks'!$P579&lt;&gt;"Aktiv",COUNT('02_Benchmarks'!$J579:$M579)&lt;4),"",IF($G579="lower_is_better",IF($J579&lt;='02_Benchmarks'!$J579,3,IF($J579&lt;'02_Benchmarks'!$K579,2,IF($J579&lt;='02_Benchmarks'!$L579,0,IF($J579&lt;='02_Benchmarks'!$M579,-2,-3)))),IF($J579&gt;='02_Benchmarks'!$J579,3,IF($J579&gt;'02_Benchmarks'!$K579,2,IF($J579&gt;='02_Benchmarks'!$L579,0,IF($J579&gt;='02_Benchmarks'!$M579,-2,-3)))))))</x:f>
      </x:c>
      <x:c r="P579" s="58" t="str">
        <x:f>IF(COUNT($N579:$O579)+IF(ISNUMBER($K579),1,0)=0,"",MIN($N579:$O579,$K579))</x:f>
      </x:c>
      <x:c r="Q579" s="58" t="str">
        <x:f>IF($P579="","",INDEX('04_Tarifmodell'!$B$6:$B$12,$P579+4))</x:f>
      </x:c>
      <x:c r="R579" s="64" t="str">
        <x:f>IF($P579="","",INDEX('04_Tarifmodell'!$C$6:$C$12,$P579+4))</x:f>
      </x:c>
      <x:c r="S579" s="14" t="str">
        <x:f>IF(OR($I579="QUALITATIVE",$I579="MANUAL_HYBRID"),IF($K579="","Assurance-Score fehlt","Assurance-bewertet"),IF($I579="BENCHMARK",IF($W579&lt;&gt;"Aktiv",IF($K579="","Benchmark fehlt","Assurance-bewertet"),IF($J579="","Messwert fehlt",IF($P579="","Nicht bewertbar","Berechnet"))),IF(AND($J579="",$K579&lt;&gt;""),"Nur Assurance-Score",IF($J579="","Messwert fehlt",IF($P579="","Nicht bewertbar",IF($P579&lt;=-2,"Kritische Wirkung / Prüfung","Berechnet"))))))</x:f>
        <x:v>Messwert fehlt</x:v>
      </x:c>
      <x:c r="T579" s="14" t="str">
        <x:v>Vollständige fünfstufige numerische Regel.</x:v>
      </x:c>
      <x:c r="U579" s="14" t="str">
        <x:v>≥0,9:+3; 0,75–0,89:+2; 0,6–0,74:0; 0,4–0,59:‑2; &lt;0,4:‑3</x:v>
      </x:c>
      <x:c r="V579" s="14" t="str">
        <x:v>ESRS G1, GRI 205/207, OECD Anti‑Bribery</x:v>
      </x:c>
      <x:c r="W579" s="14" t="str">
        <x:f>'02_Benchmarks'!$P579</x:f>
        <x:v>Optional – kein aktiver Benchmark</x:v>
      </x:c>
      <x:c r="X579" s="14" t="str">
        <x:v>Messgrundlage belegt; Schwellenkalibrierung offen</x:v>
      </x:c>
      <x:c r="Y579" s="14" t="str">
        <x:v>Mittel</x:v>
      </x:c>
      <x:c r="Z579" s="14" t="str">
        <x:v>Arbeitskalibrierung – fachlich zu validieren</x:v>
      </x:c>
      <x:c r="AA579" s="14" t="str">
        <x:v>Organisation/Governance; konsolidierter Kreis und relevante Rechtseinheiten</x:v>
      </x:c>
      <x:c r="AB579" s="14" t="str">
        <x:v>Primärdaten bevorzugt; Sekundärdaten nur transparent und versioniert; Methode und Systemgrenze dokumentieren</x:v>
      </x:c>
      <x:c r="AC579" s="14" t="str">
        <x:v>Limited Assurance; risikobasiert höhere Prüftiefe</x:v>
      </x:c>
    </x:row>
    <x:row r="580" ht="42" customHeight="1">
      <x:c r="A580" s="14" t="str">
        <x:v>WOK-G-238</x:v>
      </x:c>
      <x:c r="B580" s="14" t="str">
        <x:v>SDG+ – Kooperationen/Systemwandel</x:v>
      </x:c>
      <x:c r="C580" s="14" t="str">
        <x:v>—</x:v>
      </x:c>
      <x:c r="D580" s="14" t="str">
        <x:v>Mehr‑Stakeholder‑Boards</x:v>
      </x:c>
      <x:c r="E580" s="14" t="str">
        <x:v>Mehr‑Stakeholder‑Boards – Steuertransparenz</x:v>
      </x:c>
      <x:c r="F580" s="14" t="str">
        <x:v>0–1</x:v>
      </x:c>
      <x:c r="G580" s="14" t="str">
        <x:v>higher_is_better</x:v>
      </x:c>
      <x:c r="H580" s="14" t="str">
        <x:v>R08</x:v>
      </x:c>
      <x:c r="I580" s="14" t="str">
        <x:v>QUALITATIVE</x:v>
      </x:c>
      <x:c r="J580" s="51"/>
      <x:c r="K580" s="51"/>
      <x:c r="L580" s="51"/>
      <x:c r="M580" s="54"/>
      <x:c r="N580" s="58" t="str">
        <x:f>""</x:f>
      </x:c>
      <x:c r="O580" s="58" t="str">
        <x:f>IF($J580="","",IF(OR('02_Benchmarks'!$P580&lt;&gt;"Aktiv",COUNT('02_Benchmarks'!$J580:$M580)&lt;4),"",IF($G580="lower_is_better",IF($J580&lt;='02_Benchmarks'!$J580,3,IF($J580&lt;'02_Benchmarks'!$K580,2,IF($J580&lt;='02_Benchmarks'!$L580,0,IF($J580&lt;='02_Benchmarks'!$M580,-2,-3)))),IF($J580&gt;='02_Benchmarks'!$J580,3,IF($J580&gt;'02_Benchmarks'!$K580,2,IF($J580&gt;='02_Benchmarks'!$L580,0,IF($J580&gt;='02_Benchmarks'!$M580,-2,-3)))))))</x:f>
      </x:c>
      <x:c r="P580" s="58" t="str">
        <x:f>IF(COUNT($N580:$O580)+IF(ISNUMBER($K580),1,0)=0,"",MIN($N580:$O580,$K580))</x:f>
      </x:c>
      <x:c r="Q580" s="58" t="str">
        <x:f>IF($P580="","",INDEX('04_Tarifmodell'!$B$6:$B$12,$P580+4))</x:f>
      </x:c>
      <x:c r="R580" s="64" t="str">
        <x:f>IF($P580="","",INDEX('04_Tarifmodell'!$C$6:$C$12,$P580+4))</x:f>
      </x:c>
      <x:c r="S580" s="14" t="str">
        <x:f>IF(OR($I580="QUALITATIVE",$I580="MANUAL_HYBRID"),IF($K580="","Assurance-Score fehlt","Assurance-bewertet"),IF($I580="BENCHMARK",IF($W580&lt;&gt;"Aktiv",IF($K580="","Benchmark fehlt","Assurance-bewertet"),IF($J580="","Messwert fehlt",IF($P580="","Nicht bewertbar","Berechnet"))),IF(AND($J580="",$K580&lt;&gt;""),"Nur Assurance-Score",IF($J580="","Messwert fehlt",IF($P580="","Nicht bewertbar",IF($P580&lt;=-2,"Kritische Wirkung / Prüfung","Berechnet"))))))</x:f>
        <x:v>Assurance-Score fehlt</x:v>
      </x:c>
      <x:c r="T580" s="14" t="str">
        <x:v>Die Kategorie −3 fehlt; Vollständigkeit und Wirksamkeit sind feldspezifisch zu definieren.</x:v>
      </x:c>
      <x:c r="U580" s="14" t="str">
        <x:v>vollständig:+3; teilweise:+2; minimal:0; schlecht:‑2</x:v>
      </x:c>
      <x:c r="V580" s="14" t="str">
        <x:v>ESRS G1, GRI 205/207, OECD Anti‑Bribery</x:v>
      </x:c>
      <x:c r="W580" s="14" t="str">
        <x:f>'02_Benchmarks'!$P580</x:f>
        <x:v>Optional – kein aktiver Benchmark</x:v>
      </x:c>
      <x:c r="X580" s="14" t="str">
        <x:v>Messgrundlage belegt; Schwellenkalibrierung offen</x:v>
      </x:c>
      <x:c r="Y580" s="14" t="str">
        <x:v>Hoch</x:v>
      </x:c>
      <x:c r="Z580" s="14" t="str">
        <x:v>Assurance und Kriterienkatalog erforderlich</x:v>
      </x:c>
      <x:c r="AA580" s="14" t="str">
        <x:v>Organisation/Governance; konsolidierter Kreis und relevante Rechtseinheiten</x:v>
      </x:c>
      <x:c r="AB580" s="14" t="str">
        <x:v>Dokumentierter Kriterienkatalog; nachvollziehbare Evidenz; DQR A/B bevorzugt</x:v>
      </x:c>
      <x:c r="AC580" s="14" t="str">
        <x:v>Unabhängige Fachprüfung/Limited Assurance; bei roten Linien Reasonable Assurance</x:v>
      </x:c>
    </x:row>
    <x:row r="581" ht="42" customHeight="1">
      <x:c r="A581" s="14" t="str">
        <x:v>WOK-SC-164</x:v>
      </x:c>
      <x:c r="B581" s="14" t="str">
        <x:v>SDG+ – Kooperationen/Systemwandel</x:v>
      </x:c>
      <x:c r="C581" s="14" t="str">
        <x:v>—</x:v>
      </x:c>
      <x:c r="D581" s="14" t="str">
        <x:v>Gemeinsame Due Diligence</x:v>
      </x:c>
      <x:c r="E581" s="14" t="str">
        <x:v>Gemeinsame Due Diligence – ESG‑Spend‑Coverage</x:v>
      </x:c>
      <x:c r="F581" s="14" t="str">
        <x:v>%</x:v>
      </x:c>
      <x:c r="G581" s="14" t="str">
        <x:v>higher_is_better</x:v>
      </x:c>
      <x:c r="H581" s="14" t="str">
        <x:v>R26</x:v>
      </x:c>
      <x:c r="I581" s="14" t="str">
        <x:v>NUM_HIGH</x:v>
      </x:c>
      <x:c r="J581" s="51"/>
      <x:c r="K581" s="51"/>
      <x:c r="L581" s="51"/>
      <x:c r="M581" s="54"/>
      <x:c r="N581" s="58" t="str">
        <x:f>IF($J581="","",IF($J581&lt;30,-3,IF($J581&lt;50,-2,IF($J581&lt;70,0,IF($J581&lt;90,2,3)))))</x:f>
      </x:c>
      <x:c r="O581" s="58" t="str">
        <x:f>IF($J581="","",IF(OR('02_Benchmarks'!$P581&lt;&gt;"Aktiv",COUNT('02_Benchmarks'!$J581:$M581)&lt;4),"",IF($G581="lower_is_better",IF($J581&lt;='02_Benchmarks'!$J581,3,IF($J581&lt;'02_Benchmarks'!$K581,2,IF($J581&lt;='02_Benchmarks'!$L581,0,IF($J581&lt;='02_Benchmarks'!$M581,-2,-3)))),IF($J581&gt;='02_Benchmarks'!$J581,3,IF($J581&gt;'02_Benchmarks'!$K581,2,IF($J581&gt;='02_Benchmarks'!$L581,0,IF($J581&gt;='02_Benchmarks'!$M581,-2,-3)))))))</x:f>
      </x:c>
      <x:c r="P581" s="58" t="str">
        <x:f>IF(COUNT($N581:$O581)+IF(ISNUMBER($K581),1,0)=0,"",MIN($N581:$O581,$K581))</x:f>
      </x:c>
      <x:c r="Q581" s="58" t="str">
        <x:f>IF($P581="","",INDEX('04_Tarifmodell'!$B$6:$B$12,$P581+4))</x:f>
      </x:c>
      <x:c r="R581" s="64" t="str">
        <x:f>IF($P581="","",INDEX('04_Tarifmodell'!$C$6:$C$12,$P581+4))</x:f>
      </x:c>
      <x:c r="S581" s="14" t="str">
        <x:f>IF(OR($I581="QUALITATIVE",$I581="MANUAL_HYBRID"),IF($K581="","Assurance-Score fehlt","Assurance-bewertet"),IF($I581="BENCHMARK",IF($W581&lt;&gt;"Aktiv",IF($K581="","Benchmark fehlt","Assurance-bewertet"),IF($J581="","Messwert fehlt",IF($P581="","Nicht bewertbar","Berechnet"))),IF(AND($J581="",$K581&lt;&gt;""),"Nur Assurance-Score",IF($J581="","Messwert fehlt",IF($P581="","Nicht bewertbar",IF($P581&lt;=-2,"Kritische Wirkung / Prüfung","Berechnet"))))))</x:f>
        <x:v>Messwert fehlt</x:v>
      </x:c>
      <x:c r="T581" s="14" t="str">
        <x:v>Vollständige fünfstufige numerische Regel.</x:v>
      </x:c>
      <x:c r="U581" s="14" t="str">
        <x:v>≥90:+3; 70–89:+2; 50–69:0; 30–49:‑2; &lt;30:‑3</x:v>
      </x:c>
      <x:c r="V581" s="14" t="str">
        <x:v>ESRS S2, GRI 308/414, OECD Due Diligence</x:v>
      </x:c>
      <x:c r="W581" s="14" t="str">
        <x:f>'02_Benchmarks'!$P581</x:f>
        <x:v>Optional – kein aktiver Benchmark</x:v>
      </x:c>
      <x:c r="X581" s="14" t="str">
        <x:v>Messgrundlage belegt; Schwellenkalibrierung offen</x:v>
      </x:c>
      <x:c r="Y581" s="14" t="str">
        <x:v>Mittel</x:v>
      </x:c>
      <x:c r="Z581" s="14" t="str">
        <x:v>Arbeitskalibrierung – fachlich zu validieren</x:v>
      </x:c>
      <x:c r="AA581" s="14" t="str">
        <x:v>Vorgelagerte Lieferkette; relevante Tier-Stufen und Beschaffungsvolumen</x:v>
      </x:c>
      <x:c r="AB581" s="14" t="str">
        <x:v>Primärdaten bevorzugt; Sekundärdaten nur transparent und versioniert; Methode und Systemgrenze dokumentieren</x:v>
      </x:c>
      <x:c r="AC581" s="14" t="str">
        <x:v>Limited Assurance; risikobasiert höhere Prüftiefe</x:v>
      </x:c>
    </x:row>
    <x:row r="582" ht="42" customHeight="1">
      <x:c r="A582" s="14" t="str">
        <x:v>WOK-SC-165</x:v>
      </x:c>
      <x:c r="B582" s="14" t="str">
        <x:v>SDG+ – Kooperationen/Systemwandel</x:v>
      </x:c>
      <x:c r="C582" s="14" t="str">
        <x:v>—</x:v>
      </x:c>
      <x:c r="D582" s="14" t="str">
        <x:v>Gemeinsame Due Diligence</x:v>
      </x:c>
      <x:c r="E582" s="14" t="str">
        <x:v>Gemeinsame Due Diligence – Kinder/Zwangsarbeit</x:v>
      </x:c>
      <x:c r="F582" s="14" t="str">
        <x:v>% Lieferanten</x:v>
      </x:c>
      <x:c r="G582" s="14" t="str">
        <x:v>higher_is_better</x:v>
      </x:c>
      <x:c r="H582" s="14" t="str">
        <x:v>R28</x:v>
      </x:c>
      <x:c r="I582" s="14" t="str">
        <x:v>NUM_HIGH</x:v>
      </x:c>
      <x:c r="J582" s="51"/>
      <x:c r="K582" s="51"/>
      <x:c r="L582" s="51"/>
      <x:c r="M582" s="54"/>
      <x:c r="N582" s="58" t="str">
        <x:f>IF($J582="","",IF($J582&lt;50,-3,IF($J582&lt;75,-2,IF($J582&lt;90,0,IF($J582&lt;98,2,3)))))</x:f>
      </x:c>
      <x:c r="O582" s="58" t="str">
        <x:f>IF($J582="","",IF(OR('02_Benchmarks'!$P582&lt;&gt;"Aktiv",COUNT('02_Benchmarks'!$J582:$M582)&lt;4),"",IF($G582="lower_is_better",IF($J582&lt;='02_Benchmarks'!$J582,3,IF($J582&lt;'02_Benchmarks'!$K582,2,IF($J582&lt;='02_Benchmarks'!$L582,0,IF($J582&lt;='02_Benchmarks'!$M582,-2,-3)))),IF($J582&gt;='02_Benchmarks'!$J582,3,IF($J582&gt;'02_Benchmarks'!$K582,2,IF($J582&gt;='02_Benchmarks'!$L582,0,IF($J582&gt;='02_Benchmarks'!$M582,-2,-3)))))))</x:f>
      </x:c>
      <x:c r="P582" s="58" t="str">
        <x:f>IF(COUNT($N582:$O582)+IF(ISNUMBER($K582),1,0)=0,"",MIN($N582:$O582,$K582))</x:f>
      </x:c>
      <x:c r="Q582" s="58" t="str">
        <x:f>IF($P582="","",INDEX('04_Tarifmodell'!$B$6:$B$12,$P582+4))</x:f>
      </x:c>
      <x:c r="R582" s="64" t="str">
        <x:f>IF($P582="","",INDEX('04_Tarifmodell'!$C$6:$C$12,$P582+4))</x:f>
      </x:c>
      <x:c r="S582" s="14" t="str">
        <x:f>IF(OR($I582="QUALITATIVE",$I582="MANUAL_HYBRID"),IF($K582="","Assurance-Score fehlt","Assurance-bewertet"),IF($I582="BENCHMARK",IF($W582&lt;&gt;"Aktiv",IF($K582="","Benchmark fehlt","Assurance-bewertet"),IF($J582="","Messwert fehlt",IF($P582="","Nicht bewertbar","Berechnet"))),IF(AND($J582="",$K582&lt;&gt;""),"Nur Assurance-Score",IF($J582="","Messwert fehlt",IF($P582="","Nicht bewertbar",IF($P582&lt;=-2,"Kritische Wirkung / Prüfung","Berechnet"))))))</x:f>
        <x:v>Messwert fehlt</x:v>
      </x:c>
      <x:c r="T582" s="14" t="str">
        <x:v>Vollständige fünfstufige numerische Regel.</x:v>
      </x:c>
      <x:c r="U582" s="14" t="str">
        <x:v>≥98:+3; 90–97:+2; 75–89:0; 50–74:‑2; &lt;50:‑3</x:v>
      </x:c>
      <x:c r="V582" s="14" t="str">
        <x:v>ESRS S2, GRI 308/414, OECD Due Diligence</x:v>
      </x:c>
      <x:c r="W582" s="14" t="str">
        <x:f>'02_Benchmarks'!$P582</x:f>
        <x:v>Optional – kein aktiver Benchmark</x:v>
      </x:c>
      <x:c r="X582" s="14" t="str">
        <x:v>Messgrundlage belegt; Schwellenkalibrierung offen</x:v>
      </x:c>
      <x:c r="Y582" s="14" t="str">
        <x:v>Mittel</x:v>
      </x:c>
      <x:c r="Z582" s="14" t="str">
        <x:v>Arbeitskalibrierung – fachlich zu validieren</x:v>
      </x:c>
      <x:c r="AA582" s="14" t="str">
        <x:v>Vorgelagerte Lieferkette; relevante Tier-Stufen und Beschaffungsvolumen</x:v>
      </x:c>
      <x:c r="AB582" s="14" t="str">
        <x:v>Primärdaten bevorzugt; Sekundärdaten nur transparent und versioniert; Methode und Systemgrenze dokumentieren</x:v>
      </x:c>
      <x:c r="AC582" s="14" t="str">
        <x:v>Limited Assurance; risikobasiert höhere Prüftiefe</x:v>
      </x:c>
    </x:row>
    <x:row r="583" ht="42" customHeight="1">
      <x:c r="A583" s="14" t="str">
        <x:v>WOK-SC-166</x:v>
      </x:c>
      <x:c r="B583" s="14" t="str">
        <x:v>SDG+ – Kooperationen/Systemwandel</x:v>
      </x:c>
      <x:c r="C583" s="14" t="str">
        <x:v>—</x:v>
      </x:c>
      <x:c r="D583" s="14" t="str">
        <x:v>Gemeinsame Due Diligence</x:v>
      </x:c>
      <x:c r="E583" s="14" t="str">
        <x:v>Gemeinsame Due Diligence – Scope‑3 Daten</x:v>
      </x:c>
      <x:c r="F583" s="14" t="str">
        <x:v>% Kategorien</x:v>
      </x:c>
      <x:c r="G583" s="14" t="str">
        <x:v>higher_is_better</x:v>
      </x:c>
      <x:c r="H583" s="14" t="str">
        <x:v>R23</x:v>
      </x:c>
      <x:c r="I583" s="14" t="str">
        <x:v>NUM_HIGH</x:v>
      </x:c>
      <x:c r="J583" s="51"/>
      <x:c r="K583" s="51"/>
      <x:c r="L583" s="51"/>
      <x:c r="M583" s="54"/>
      <x:c r="N583" s="58" t="str">
        <x:f>IF($J583="","",IF($J583&lt;20,-3,IF($J583&lt;40,-2,IF($J583&lt;60,0,IF($J583&lt;80,2,3)))))</x:f>
      </x:c>
      <x:c r="O583" s="58" t="str">
        <x:f>IF($J583="","",IF(OR('02_Benchmarks'!$P583&lt;&gt;"Aktiv",COUNT('02_Benchmarks'!$J583:$M583)&lt;4),"",IF($G583="lower_is_better",IF($J583&lt;='02_Benchmarks'!$J583,3,IF($J583&lt;'02_Benchmarks'!$K583,2,IF($J583&lt;='02_Benchmarks'!$L583,0,IF($J583&lt;='02_Benchmarks'!$M583,-2,-3)))),IF($J583&gt;='02_Benchmarks'!$J583,3,IF($J583&gt;'02_Benchmarks'!$K583,2,IF($J583&gt;='02_Benchmarks'!$L583,0,IF($J583&gt;='02_Benchmarks'!$M583,-2,-3)))))))</x:f>
      </x:c>
      <x:c r="P583" s="58" t="str">
        <x:f>IF(COUNT($N583:$O583)+IF(ISNUMBER($K583),1,0)=0,"",MIN($N583:$O583,$K583))</x:f>
      </x:c>
      <x:c r="Q583" s="58" t="str">
        <x:f>IF($P583="","",INDEX('04_Tarifmodell'!$B$6:$B$12,$P583+4))</x:f>
      </x:c>
      <x:c r="R583" s="64" t="str">
        <x:f>IF($P583="","",INDEX('04_Tarifmodell'!$C$6:$C$12,$P583+4))</x:f>
      </x:c>
      <x:c r="S583" s="14" t="str">
        <x:f>IF(OR($I583="QUALITATIVE",$I583="MANUAL_HYBRID"),IF($K583="","Assurance-Score fehlt","Assurance-bewertet"),IF($I583="BENCHMARK",IF($W583&lt;&gt;"Aktiv",IF($K583="","Benchmark fehlt","Assurance-bewertet"),IF($J583="","Messwert fehlt",IF($P583="","Nicht bewertbar","Berechnet"))),IF(AND($J583="",$K583&lt;&gt;""),"Nur Assurance-Score",IF($J583="","Messwert fehlt",IF($P583="","Nicht bewertbar",IF($P583&lt;=-2,"Kritische Wirkung / Prüfung","Berechnet"))))))</x:f>
        <x:v>Messwert fehlt</x:v>
      </x:c>
      <x:c r="T583" s="14" t="str">
        <x:v>Vollständige fünfstufige numerische Regel.</x:v>
      </x:c>
      <x:c r="U583" s="14" t="str">
        <x:v>≥80:+3; 60–79:+2; 40–59:0; 20–39:‑2; &lt;20:‑3</x:v>
      </x:c>
      <x:c r="V583" s="14" t="str">
        <x:v>ESRS E1, GHG Protocol (Corporate/Scope 1–3), ISO 14064/14067</x:v>
      </x:c>
      <x:c r="W583" s="14" t="str">
        <x:f>'02_Benchmarks'!$P583</x:f>
        <x:v>Optional – kein aktiver Benchmark</x:v>
      </x:c>
      <x:c r="X583" s="14" t="str">
        <x:v>Messgrundlage belegt; Schwellenkalibrierung offen</x:v>
      </x:c>
      <x:c r="Y583" s="14" t="str">
        <x:v>Mittel</x:v>
      </x:c>
      <x:c r="Z583" s="14" t="str">
        <x:v>Arbeitskalibrierung – fachlich zu validieren</x:v>
      </x:c>
      <x:c r="AA583" s="14" t="str">
        <x:v>Vorgelagerte Lieferkette; relevante Tier-Stufen und Beschaffungsvolumen</x:v>
      </x:c>
      <x:c r="AB583" s="14" t="str">
        <x:v>Primärdaten bevorzugt; Sekundärdaten nur transparent und versioniert; Methode und Systemgrenze dokumentieren</x:v>
      </x:c>
      <x:c r="AC583" s="14" t="str">
        <x:v>Limited Assurance; risikobasiert höhere Prüftiefe</x:v>
      </x:c>
    </x:row>
    <x:row r="584" ht="42" customHeight="1">
      <x:c r="A584" s="14" t="str">
        <x:v>WOK-E-227</x:v>
      </x:c>
      <x:c r="B584" s="14" t="str">
        <x:v>SDG+ – Kooperationen/Systemwandel</x:v>
      </x:c>
      <x:c r="C584" s="14" t="str">
        <x:v>—</x:v>
      </x:c>
      <x:c r="D584" s="14" t="str">
        <x:v>Branchen‑Dekarbonisierungs‑Initiativen</x:v>
      </x:c>
      <x:c r="E584" s="14" t="str">
        <x:v>Branchen‑Dekarbonisierungs‑Initiativen – EE‑Anteil</x:v>
      </x:c>
      <x:c r="F584" s="14" t="str">
        <x:v>%</x:v>
      </x:c>
      <x:c r="G584" s="14" t="str">
        <x:v>higher_is_better</x:v>
      </x:c>
      <x:c r="H584" s="14" t="str">
        <x:v>R25</x:v>
      </x:c>
      <x:c r="I584" s="14" t="str">
        <x:v>NUM_HIGH</x:v>
      </x:c>
      <x:c r="J584" s="51"/>
      <x:c r="K584" s="51"/>
      <x:c r="L584" s="51"/>
      <x:c r="M584" s="54"/>
      <x:c r="N584" s="58" t="str">
        <x:f>IF($J584="","",IF($J584&lt;30,-3,IF($J584&lt;50,-2,IF($J584&lt;70,0,IF($J584&lt;90,2,3)))))</x:f>
      </x:c>
      <x:c r="O584" s="58" t="str">
        <x:f>IF($J584="","",IF(OR('02_Benchmarks'!$P584&lt;&gt;"Aktiv",COUNT('02_Benchmarks'!$J584:$M584)&lt;4),"",IF($G584="lower_is_better",IF($J584&lt;='02_Benchmarks'!$J584,3,IF($J584&lt;'02_Benchmarks'!$K584,2,IF($J584&lt;='02_Benchmarks'!$L584,0,IF($J584&lt;='02_Benchmarks'!$M584,-2,-3)))),IF($J584&gt;='02_Benchmarks'!$J584,3,IF($J584&gt;'02_Benchmarks'!$K584,2,IF($J584&gt;='02_Benchmarks'!$L584,0,IF($J584&gt;='02_Benchmarks'!$M584,-2,-3)))))))</x:f>
      </x:c>
      <x:c r="P584" s="58" t="str">
        <x:f>IF(COUNT($N584:$O584)+IF(ISNUMBER($K584),1,0)=0,"",MIN($N584:$O584,$K584))</x:f>
      </x:c>
      <x:c r="Q584" s="58" t="str">
        <x:f>IF($P584="","",INDEX('04_Tarifmodell'!$B$6:$B$12,$P584+4))</x:f>
      </x:c>
      <x:c r="R584" s="64" t="str">
        <x:f>IF($P584="","",INDEX('04_Tarifmodell'!$C$6:$C$12,$P584+4))</x:f>
      </x:c>
      <x:c r="S584" s="14" t="str">
        <x:f>IF(OR($I584="QUALITATIVE",$I584="MANUAL_HYBRID"),IF($K584="","Assurance-Score fehlt","Assurance-bewertet"),IF($I584="BENCHMARK",IF($W584&lt;&gt;"Aktiv",IF($K584="","Benchmark fehlt","Assurance-bewertet"),IF($J584="","Messwert fehlt",IF($P584="","Nicht bewertbar","Berechnet"))),IF(AND($J584="",$K584&lt;&gt;""),"Nur Assurance-Score",IF($J584="","Messwert fehlt",IF($P584="","Nicht bewertbar",IF($P584&lt;=-2,"Kritische Wirkung / Prüfung","Berechnet"))))))</x:f>
        <x:v>Messwert fehlt</x:v>
      </x:c>
      <x:c r="T584" s="14" t="str">
        <x:v>Vollständige fünfstufige Prozentregel.</x:v>
      </x:c>
      <x:c r="U584" s="14" t="str">
        <x:v>≥90%:+3; 70–89%:+2; 50–69%:0; 30–49%:‑2; &lt;30%:‑3</x:v>
      </x:c>
      <x:c r="V584" s="14" t="str">
        <x:v>ESRS E1, ISO 50001 (EnMS), ISO/IEC 30134‑2 (PUE), EU EPBD</x:v>
      </x:c>
      <x:c r="W584" s="14" t="str">
        <x:f>'02_Benchmarks'!$P584</x:f>
        <x:v>Optional – kein aktiver Benchmark</x:v>
      </x:c>
      <x:c r="X584" s="14" t="str">
        <x:v>Messgrundlage belegt; Schwellenkalibrierung offen</x:v>
      </x:c>
      <x:c r="Y584" s="14" t="str">
        <x:v>Mittel</x:v>
      </x:c>
      <x:c r="Z584" s="14" t="str">
        <x:v>Arbeitskalibrierung – fachlich zu validieren</x:v>
      </x:c>
      <x:c r="AA584" s="14" t="str">
        <x:v>Standort/Prozess/Aktivität; Bezugsgröße und relevante Umweltmedien</x:v>
      </x:c>
      <x:c r="AB584" s="14" t="str">
        <x:v>Primärdaten bevorzugt; Sekundärdaten nur transparent und versioniert; Methode und Systemgrenze dokumentieren</x:v>
      </x:c>
      <x:c r="AC584" s="14" t="str">
        <x:v>Limited Assurance; risikobasiert höhere Prüftiefe</x:v>
      </x:c>
    </x:row>
    <x:row r="585" ht="42" customHeight="1">
      <x:c r="A585" s="14" t="str">
        <x:v>WOK-E-228</x:v>
      </x:c>
      <x:c r="B585" s="14" t="str">
        <x:v>SDG+ – Kooperationen/Systemwandel</x:v>
      </x:c>
      <x:c r="C585" s="14" t="str">
        <x:v>—</x:v>
      </x:c>
      <x:c r="D585" s="14" t="str">
        <x:v>Branchen‑Dekarbonisierungs‑Initiativen</x:v>
      </x:c>
      <x:c r="E585" s="14" t="str">
        <x:v>Branchen‑Dekarbonisierungs‑Initiativen – Intensität</x:v>
      </x:c>
      <x:c r="F585" s="14" t="str">
        <x:v>kWh/€ Mio bzw. kWh/t</x:v>
      </x:c>
      <x:c r="G585" s="14" t="str">
        <x:v>lower_is_better</x:v>
      </x:c>
      <x:c r="H585" s="14" t="str">
        <x:v>R06</x:v>
      </x:c>
      <x:c r="I585" s="14" t="str">
        <x:v>BENCHMARK</x:v>
      </x:c>
      <x:c r="J585" s="51"/>
      <x:c r="K585" s="51"/>
      <x:c r="L585" s="51"/>
      <x:c r="M585" s="54"/>
      <x:c r="N585" s="58" t="str">
        <x:f>""</x:f>
      </x:c>
      <x:c r="O585" s="58" t="str">
        <x:f>IF($J585="","",IF(OR('02_Benchmarks'!$P585&lt;&gt;"Aktiv",COUNT('02_Benchmarks'!$J585:$M585)&lt;4),"",IF($G585="lower_is_better",IF($J585&lt;='02_Benchmarks'!$J585,3,IF($J585&lt;'02_Benchmarks'!$K585,2,IF($J585&lt;='02_Benchmarks'!$L585,0,IF($J585&lt;='02_Benchmarks'!$M585,-2,-3)))),IF($J585&gt;='02_Benchmarks'!$J585,3,IF($J585&gt;'02_Benchmarks'!$K585,2,IF($J585&gt;='02_Benchmarks'!$L585,0,IF($J585&gt;='02_Benchmarks'!$M585,-2,-3)))))))</x:f>
      </x:c>
      <x:c r="P585" s="58" t="str">
        <x:f>IF(COUNT($N585:$O585)+IF(ISNUMBER($K585),1,0)=0,"",MIN($N585:$O585,$K585))</x:f>
      </x:c>
      <x:c r="Q585" s="58" t="str">
        <x:f>IF($P585="","",INDEX('04_Tarifmodell'!$B$6:$B$12,$P585+4))</x:f>
      </x:c>
      <x:c r="R585" s="64" t="str">
        <x:f>IF($P585="","",INDEX('04_Tarifmodell'!$C$6:$C$12,$P585+4))</x:f>
      </x:c>
      <x:c r="S585" s="14" t="str">
        <x:f>IF(OR($I585="QUALITATIVE",$I585="MANUAL_HYBRID"),IF($K585="","Assurance-Score fehlt","Assurance-bewertet"),IF($I585="BENCHMARK",IF($W585&lt;&gt;"Aktiv",IF($K585="","Benchmark fehlt","Assurance-bewertet"),IF($J585="","Messwert fehlt",IF($P585="","Nicht bewertbar","Berechnet"))),IF(AND($J585="",$K585&lt;&gt;""),"Nur Assurance-Score",IF($J585="","Messwert fehlt",IF($P585="","Nicht bewertbar",IF($P585&lt;=-2,"Kritische Wirkung / Prüfung","Berechnet"))))))</x:f>
        <x:v>Benchmark fehlt</x:v>
      </x:c>
      <x:c r="T585" s="14" t="str">
        <x:v>Top-10-Prozent, Mittelwert, 150 % und 250 % müssen aus einer dokumentierten Grundgesamtheit stammen.</x:v>
      </x:c>
      <x:c r="U585" s="14" t="str">
        <x:v>Top‑10%:+3; Mittel:0; &gt;150%:‑2; &gt;250%:‑3</x:v>
      </x:c>
      <x:c r="V585" s="14" t="str">
        <x:v>ESRS E1, ISO 50001 (EnMS), ISO/IEC 30134‑2 (PUE), EU EPBD</x:v>
      </x:c>
      <x:c r="W585" s="14" t="str">
        <x:f>'02_Benchmarks'!$P585</x:f>
        <x:v>Offen – validierter Benchmark fehlt</x:v>
      </x:c>
      <x:c r="X585" s="14" t="str">
        <x:v>Teilbelegt – Benchmarkquelle fehlt</x:v>
      </x:c>
      <x:c r="Y585" s="14" t="str">
        <x:v>Hoch</x:v>
      </x:c>
      <x:c r="Z585" s="14" t="str">
        <x:v>Validierter Benchmark fehlt</x:v>
      </x:c>
      <x:c r="AA585" s="14" t="str">
        <x:v>Standort/Prozess/Aktivität; Bezugsgröße und relevante Umweltmedien</x:v>
      </x:c>
      <x:c r="AB585" s="14" t="str">
        <x:v>Primärdaten plus repräsentativer, versionierter Benchmarkdatensatz; Stichprobe und Population offenlegen</x:v>
      </x:c>
      <x:c r="AC585" s="14" t="str">
        <x:v>Messwert-Assurance und unabhängige Benchmark-Governance</x:v>
      </x:c>
    </x:row>
    <x:row r="586" ht="42" customHeight="1">
      <x:c r="A586" s="14" t="str">
        <x:v>WOK-E-229</x:v>
      </x:c>
      <x:c r="B586" s="14" t="str">
        <x:v>SDG+ – Kooperationen/Systemwandel</x:v>
      </x:c>
      <x:c r="C586" s="14" t="str">
        <x:v>—</x:v>
      </x:c>
      <x:c r="D586" s="14" t="str">
        <x:v>Branchen‑Dekarbonisierungs‑Initiativen</x:v>
      </x:c>
      <x:c r="E586" s="14" t="str">
        <x:v>Branchen‑Dekarbonisierungs‑Initiativen – Effizienz (PUE)*</x:v>
      </x:c>
      <x:c r="F586" s="14" t="str">
        <x:v>PUE</x:v>
      </x:c>
      <x:c r="G586" s="14" t="str">
        <x:v>lower_is_better</x:v>
      </x:c>
      <x:c r="H586" s="14" t="str">
        <x:v>R09</x:v>
      </x:c>
      <x:c r="I586" s="14" t="str">
        <x:v>NUM_LOW</x:v>
      </x:c>
      <x:c r="J586" s="51"/>
      <x:c r="K586" s="51"/>
      <x:c r="L586" s="51"/>
      <x:c r="M586" s="54"/>
      <x:c r="N586" s="58" t="str">
        <x:f>IF($J586="","",IF($J586&lt;=1.2,3,IF($J586&lt;=1.4,2,IF($J586&lt;=1.6,0,IF($J586&lt;=1.8,-2,-3)))))</x:f>
      </x:c>
      <x:c r="O586" s="58" t="str">
        <x:f>IF($J586="","",IF(OR('02_Benchmarks'!$P586&lt;&gt;"Aktiv",COUNT('02_Benchmarks'!$J586:$M586)&lt;4),"",IF($G586="lower_is_better",IF($J586&lt;='02_Benchmarks'!$J586,3,IF($J586&lt;'02_Benchmarks'!$K586,2,IF($J586&lt;='02_Benchmarks'!$L586,0,IF($J586&lt;='02_Benchmarks'!$M586,-2,-3)))),IF($J586&gt;='02_Benchmarks'!$J586,3,IF($J586&gt;'02_Benchmarks'!$K586,2,IF($J586&gt;='02_Benchmarks'!$L586,0,IF($J586&gt;='02_Benchmarks'!$M586,-2,-3)))))))</x:f>
      </x:c>
      <x:c r="P586" s="58" t="str">
        <x:f>IF(COUNT($N586:$O586)+IF(ISNUMBER($K586),1,0)=0,"",MIN($N586:$O586,$K586))</x:f>
      </x:c>
      <x:c r="Q586" s="58" t="str">
        <x:f>IF($P586="","",INDEX('04_Tarifmodell'!$B$6:$B$12,$P586+4))</x:f>
      </x:c>
      <x:c r="R586" s="64" t="str">
        <x:f>IF($P586="","",INDEX('04_Tarifmodell'!$C$6:$C$12,$P586+4))</x:f>
      </x:c>
      <x:c r="S586" s="14" t="str">
        <x:f>IF(OR($I586="QUALITATIVE",$I586="MANUAL_HYBRID"),IF($K586="","Assurance-Score fehlt","Assurance-bewertet"),IF($I586="BENCHMARK",IF($W586&lt;&gt;"Aktiv",IF($K586="","Benchmark fehlt","Assurance-bewertet"),IF($J586="","Messwert fehlt",IF($P586="","Nicht bewertbar","Berechnet"))),IF(AND($J586="",$K586&lt;&gt;""),"Nur Assurance-Score",IF($J586="","Messwert fehlt",IF($P586="","Nicht bewertbar",IF($P586&lt;=-2,"Kritische Wirkung / Prüfung","Berechnet"))))))</x:f>
        <x:v>Messwert fehlt</x:v>
      </x:c>
      <x:c r="T586" s="14" t="str">
        <x:v>Klimazone und Rechenzentrumstyp sind bei der Validierung zu berücksichtigen.</x:v>
      </x:c>
      <x:c r="U586" s="14" t="str">
        <x:v>≤1,2:+3; 1,21–1,4:+2; 1,41–1,6:0; 1,61–1,8:‑2; &gt;1,8:‑3</x:v>
      </x:c>
      <x:c r="V586" s="14" t="str">
        <x:v>ESRS E1, ISO 50001 (EnMS), ISO/IEC 30134‑2 (PUE), EU EPBD</x:v>
      </x:c>
      <x:c r="W586" s="14" t="str">
        <x:f>'02_Benchmarks'!$P586</x:f>
        <x:v>Optional – kein aktiver Benchmark</x:v>
      </x:c>
      <x:c r="X586" s="14" t="str">
        <x:v>Messgrundlage belegt; Schwellenkalibrierung offen</x:v>
      </x:c>
      <x:c r="Y586" s="14" t="str">
        <x:v>Mittel</x:v>
      </x:c>
      <x:c r="Z586" s="14" t="str">
        <x:v>Messstandard belegt; Klassen sind WÖk-Kalibrierung</x:v>
      </x:c>
      <x:c r="AA586" s="14" t="str">
        <x:v>Standort/Prozess/Aktivität; Bezugsgröße und relevante Umweltmedien</x:v>
      </x:c>
      <x:c r="AB586" s="14" t="str">
        <x:v>Primärdaten bevorzugt; Sekundärdaten nur transparent und versioniert; Methode und Systemgrenze dokumentieren</x:v>
      </x:c>
      <x:c r="AC586" s="14" t="str">
        <x:v>Limited Assurance; risikobasiert höhere Prüftiefe</x:v>
      </x:c>
    </x:row>
    <x:row r="587" ht="42" customHeight="1">
      <x:c r="A587" s="14" t="str">
        <x:v>WOK-P-134</x:v>
      </x:c>
      <x:c r="B587" s="14" t="str">
        <x:v>SDG+ – Kooperationen/Systemwandel</x:v>
      </x:c>
      <x:c r="C587" s="14" t="str">
        <x:v>—</x:v>
      </x:c>
      <x:c r="D587" s="14" t="str">
        <x:v>Interoperabilität/Standards</x:v>
      </x:c>
      <x:c r="E587" s="14" t="str">
        <x:v>Interoperabilität/Standards – PCF</x:v>
      </x:c>
      <x:c r="F587" s="14" t="str">
        <x:v>kg CO₂e/Einheit</x:v>
      </x:c>
      <x:c r="G587" s="14" t="str">
        <x:v>lower_is_better</x:v>
      </x:c>
      <x:c r="H587" s="14" t="str">
        <x:v>R07</x:v>
      </x:c>
      <x:c r="I587" s="14" t="str">
        <x:v>BENCHMARK</x:v>
      </x:c>
      <x:c r="J587" s="51"/>
      <x:c r="K587" s="51"/>
      <x:c r="L587" s="51"/>
      <x:c r="M587" s="54"/>
      <x:c r="N587" s="58" t="str">
        <x:f>""</x:f>
      </x:c>
      <x:c r="O587" s="58" t="str">
        <x:f>IF($J587="","",IF(OR('02_Benchmarks'!$P587&lt;&gt;"Aktiv",COUNT('02_Benchmarks'!$J587:$M587)&lt;4),"",IF($G587="lower_is_better",IF($J587&lt;='02_Benchmarks'!$J587,3,IF($J587&lt;'02_Benchmarks'!$K587,2,IF($J587&lt;='02_Benchmarks'!$L587,0,IF($J587&lt;='02_Benchmarks'!$M587,-2,-3)))),IF($J587&gt;='02_Benchmarks'!$J587,3,IF($J587&gt;'02_Benchmarks'!$K587,2,IF($J587&gt;='02_Benchmarks'!$L587,0,IF($J587&gt;='02_Benchmarks'!$M587,-2,-3)))))))</x:f>
      </x:c>
      <x:c r="P587" s="58" t="str">
        <x:f>IF(COUNT($N587:$O587)+IF(ISNUMBER($K587),1,0)=0,"",MIN($N587:$O587,$K587))</x:f>
      </x:c>
      <x:c r="Q587" s="58" t="str">
        <x:f>IF($P587="","",INDEX('04_Tarifmodell'!$B$6:$B$12,$P587+4))</x:f>
      </x:c>
      <x:c r="R587" s="64" t="str">
        <x:f>IF($P587="","",INDEX('04_Tarifmodell'!$C$6:$C$12,$P587+4))</x:f>
      </x:c>
      <x:c r="S587" s="14" t="str">
        <x:f>IF(OR($I587="QUALITATIVE",$I587="MANUAL_HYBRID"),IF($K587="","Assurance-Score fehlt","Assurance-bewertet"),IF($I587="BENCHMARK",IF($W587&lt;&gt;"Aktiv",IF($K587="","Benchmark fehlt","Assurance-bewertet"),IF($J587="","Messwert fehlt",IF($P587="","Nicht bewertbar","Berechnet"))),IF(AND($J587="",$K587&lt;&gt;""),"Nur Assurance-Score",IF($J587="","Messwert fehlt",IF($P587="","Nicht bewertbar",IF($P587&lt;=-2,"Kritische Wirkung / Prüfung","Berechnet"))))))</x:f>
        <x:v>Benchmark fehlt</x:v>
      </x:c>
      <x:c r="T587" s="14" t="str">
        <x:v>Produktspezifische Referenzpopulation erforderlich.</x:v>
      </x:c>
      <x:c r="U587" s="14" t="str">
        <x:v>Top‑10%:+3; ±Benchmark:0; &gt;150%:‑2; &gt;250%:‑3</x:v>
      </x:c>
      <x:c r="V587" s="14" t="str">
        <x:v>ISO 14067/14040/44 (LCA/PCF), PEF/EF 3.1, EU Reparierbarkeitsindex</x:v>
      </x:c>
      <x:c r="W587" s="14" t="str">
        <x:f>'02_Benchmarks'!$P587</x:f>
        <x:v>Offen – validierter Benchmark fehlt</x:v>
      </x:c>
      <x:c r="X587" s="14" t="str">
        <x:v>Teilbelegt – Benchmarkquelle fehlt</x:v>
      </x:c>
      <x:c r="Y587" s="14" t="str">
        <x:v>Hoch</x:v>
      </x:c>
      <x:c r="Z587" s="14" t="str">
        <x:v>Validierter Benchmark fehlt</x:v>
      </x:c>
      <x:c r="AA587" s="14" t="str">
        <x:v>Produkt/Funktionseinheit; Lebenszyklusgrenze mindestens cradle-to-gate, bei Nutzungs-/End-of-Life-Relevanz cradle-to-grave</x:v>
      </x:c>
      <x:c r="AB587" s="14" t="str">
        <x:v>Primärdaten plus repräsentativer, versionierter Benchmarkdatensatz; Stichprobe und Population offenlegen</x:v>
      </x:c>
      <x:c r="AC587" s="14" t="str">
        <x:v>Messwert-Assurance und unabhängige Benchmark-Governance</x:v>
      </x:c>
    </x:row>
    <x:row r="588" ht="42" customHeight="1">
      <x:c r="A588" s="14" t="str">
        <x:v>WOK-P-135</x:v>
      </x:c>
      <x:c r="B588" s="14" t="str">
        <x:v>SDG+ – Kooperationen/Systemwandel</x:v>
      </x:c>
      <x:c r="C588" s="14" t="str">
        <x:v>—</x:v>
      </x:c>
      <x:c r="D588" s="14" t="str">
        <x:v>Interoperabilität/Standards</x:v>
      </x:c>
      <x:c r="E588" s="14" t="str">
        <x:v>Interoperabilität/Standards – Reparierbarkeit</x:v>
      </x:c>
      <x:c r="F588" s="14" t="str">
        <x:v>Score 0–10</x:v>
      </x:c>
      <x:c r="G588" s="14" t="str">
        <x:v>higher_is_better</x:v>
      </x:c>
      <x:c r="H588" s="14" t="str">
        <x:v>R24</x:v>
      </x:c>
      <x:c r="I588" s="14" t="str">
        <x:v>NUM_HIGH</x:v>
      </x:c>
      <x:c r="J588" s="51"/>
      <x:c r="K588" s="51"/>
      <x:c r="L588" s="51"/>
      <x:c r="M588" s="54"/>
      <x:c r="N588" s="58" t="str">
        <x:f>IF($J588="","",IF($J588&lt;2,-3,IF($J588&lt;4,-2,IF($J588&lt;6,0,IF($J588&lt;8,2,3)))))</x:f>
      </x:c>
      <x:c r="O588" s="58" t="str">
        <x:f>IF($J588="","",IF(OR('02_Benchmarks'!$P588&lt;&gt;"Aktiv",COUNT('02_Benchmarks'!$J588:$M588)&lt;4),"",IF($G588="lower_is_better",IF($J588&lt;='02_Benchmarks'!$J588,3,IF($J588&lt;'02_Benchmarks'!$K588,2,IF($J588&lt;='02_Benchmarks'!$L588,0,IF($J588&lt;='02_Benchmarks'!$M588,-2,-3)))),IF($J588&gt;='02_Benchmarks'!$J588,3,IF($J588&gt;'02_Benchmarks'!$K588,2,IF($J588&gt;='02_Benchmarks'!$L588,0,IF($J588&gt;='02_Benchmarks'!$M588,-2,-3)))))))</x:f>
      </x:c>
      <x:c r="P588" s="58" t="str">
        <x:f>IF(COUNT($N588:$O588)+IF(ISNUMBER($K588),1,0)=0,"",MIN($N588:$O588,$K588))</x:f>
      </x:c>
      <x:c r="Q588" s="58" t="str">
        <x:f>IF($P588="","",INDEX('04_Tarifmodell'!$B$6:$B$12,$P588+4))</x:f>
      </x:c>
      <x:c r="R588" s="64" t="str">
        <x:f>IF($P588="","",INDEX('04_Tarifmodell'!$C$6:$C$12,$P588+4))</x:f>
      </x:c>
      <x:c r="S588" s="14" t="str">
        <x:f>IF(OR($I588="QUALITATIVE",$I588="MANUAL_HYBRID"),IF($K588="","Assurance-Score fehlt","Assurance-bewertet"),IF($I588="BENCHMARK",IF($W588&lt;&gt;"Aktiv",IF($K588="","Benchmark fehlt","Assurance-bewertet"),IF($J588="","Messwert fehlt",IF($P588="","Nicht bewertbar","Berechnet"))),IF(AND($J588="",$K588&lt;&gt;""),"Nur Assurance-Score",IF($J588="","Messwert fehlt",IF($P588="","Nicht bewertbar",IF($P588&lt;=-2,"Kritische Wirkung / Prüfung","Berechnet"))))))</x:f>
        <x:v>Messwert fehlt</x:v>
      </x:c>
      <x:c r="T588" s="14" t="str">
        <x:v>Indexsystem, Produktgruppe und Rechtsstand festlegen. Französischer Index und EU-Score sind nicht pauschal austauschbar.</x:v>
      </x:c>
      <x:c r="U588" s="14" t="str">
        <x:v>≥8:+3; 6–7,9:+2; 4–5,9:0; 2–3,9:‑2; &lt;2:‑3</x:v>
      </x:c>
      <x:c r="V588" s="14" t="str">
        <x:v>ISO 14067/14040/44 (LCA/PCF), PEF/EF 3.1, EU Reparierbarkeitsindex</x:v>
      </x:c>
      <x:c r="W588" s="14" t="str">
        <x:f>'02_Benchmarks'!$P588</x:f>
        <x:v>Optional – kein aktiver Benchmark</x:v>
      </x:c>
      <x:c r="X588" s="14" t="str">
        <x:v>Teilbelegt – produktspezifisch zu validieren</x:v>
      </x:c>
      <x:c r="Y588" s="14" t="str">
        <x:v>Hoch</x:v>
      </x:c>
      <x:c r="Z588" s="14" t="str">
        <x:v>Indexsystem und Produktgruppe müssen ausgewiesen werden</x:v>
      </x:c>
      <x:c r="AA588" s="14" t="str">
        <x:v>Produkt/Funktionseinheit; Lebenszyklusgrenze mindestens cradle-to-gate, bei Nutzungs-/End-of-Life-Relevanz cradle-to-grave</x:v>
      </x:c>
      <x:c r="AB588" s="14" t="str">
        <x:v>Primärdaten oder qualitätsgesicherte Sekundärdaten; Methode, Zeitraum und Systemgrenze dokumentieren</x:v>
      </x:c>
      <x:c r="AC588" s="14" t="str">
        <x:v>Limited Assurance; bei materieller Steuerwirkung risikobasiert vertiefen</x:v>
      </x:c>
    </x:row>
    <x:row r="589" ht="42" customHeight="1">
      <x:c r="A589" s="14" t="str">
        <x:v>WOK-P-136</x:v>
      </x:c>
      <x:c r="B589" s="14" t="str">
        <x:v>SDG+ – Kooperationen/Systemwandel</x:v>
      </x:c>
      <x:c r="C589" s="14" t="str">
        <x:v>—</x:v>
      </x:c>
      <x:c r="D589" s="14" t="str">
        <x:v>Interoperabilität/Standards</x:v>
      </x:c>
      <x:c r="E589" s="14" t="str">
        <x:v>Interoperabilität/Standards – Rücknahme/Recycling</x:v>
      </x:c>
      <x:c r="F589" s="14" t="str">
        <x:v>%</x:v>
      </x:c>
      <x:c r="G589" s="14" t="str">
        <x:v>higher_is_better</x:v>
      </x:c>
      <x:c r="H589" s="14" t="str">
        <x:v>R22</x:v>
      </x:c>
      <x:c r="I589" s="14" t="str">
        <x:v>NUM_HIGH</x:v>
      </x:c>
      <x:c r="J589" s="51"/>
      <x:c r="K589" s="51"/>
      <x:c r="L589" s="51"/>
      <x:c r="M589" s="54"/>
      <x:c r="N589" s="58" t="str">
        <x:f>IF($J589="","",IF($J589&lt;15,-3,IF($J589&lt;30,-2,IF($J589&lt;50,0,IF($J589&lt;70,2,3)))))</x:f>
      </x:c>
      <x:c r="O589" s="58" t="str">
        <x:f>IF($J589="","",IF(OR('02_Benchmarks'!$P589&lt;&gt;"Aktiv",COUNT('02_Benchmarks'!$J589:$M589)&lt;4),"",IF($G589="lower_is_better",IF($J589&lt;='02_Benchmarks'!$J589,3,IF($J589&lt;'02_Benchmarks'!$K589,2,IF($J589&lt;='02_Benchmarks'!$L589,0,IF($J589&lt;='02_Benchmarks'!$M589,-2,-3)))),IF($J589&gt;='02_Benchmarks'!$J589,3,IF($J589&gt;'02_Benchmarks'!$K589,2,IF($J589&gt;='02_Benchmarks'!$L589,0,IF($J589&gt;='02_Benchmarks'!$M589,-2,-3)))))))</x:f>
      </x:c>
      <x:c r="P589" s="58" t="str">
        <x:f>IF(COUNT($N589:$O589)+IF(ISNUMBER($K589),1,0)=0,"",MIN($N589:$O589,$K589))</x:f>
      </x:c>
      <x:c r="Q589" s="58" t="str">
        <x:f>IF($P589="","",INDEX('04_Tarifmodell'!$B$6:$B$12,$P589+4))</x:f>
      </x:c>
      <x:c r="R589" s="64" t="str">
        <x:f>IF($P589="","",INDEX('04_Tarifmodell'!$C$6:$C$12,$P589+4))</x:f>
      </x:c>
      <x:c r="S589" s="14" t="str">
        <x:f>IF(OR($I589="QUALITATIVE",$I589="MANUAL_HYBRID"),IF($K589="","Assurance-Score fehlt","Assurance-bewertet"),IF($I589="BENCHMARK",IF($W589&lt;&gt;"Aktiv",IF($K589="","Benchmark fehlt","Assurance-bewertet"),IF($J589="","Messwert fehlt",IF($P589="","Nicht bewertbar","Berechnet"))),IF(AND($J589="",$K589&lt;&gt;""),"Nur Assurance-Score",IF($J589="","Messwert fehlt",IF($P589="","Nicht bewertbar",IF($P589&lt;=-2,"Kritische Wirkung / Prüfung","Berechnet"))))))</x:f>
        <x:v>Messwert fehlt</x:v>
      </x:c>
      <x:c r="T589" s="14" t="str">
        <x:v>Vollständige fünfstufige numerische Regel.</x:v>
      </x:c>
      <x:c r="U589" s="14" t="str">
        <x:v>≥70:+3; 50–69:+2; 30–49:0; 15–29:‑2; &lt;15:‑3</x:v>
      </x:c>
      <x:c r="V589" s="14" t="str">
        <x:v>ESRS E5, GRI 306, WEEE/VerpackG</x:v>
      </x:c>
      <x:c r="W589" s="14" t="str">
        <x:f>'02_Benchmarks'!$P589</x:f>
        <x:v>Optional – kein aktiver Benchmark</x:v>
      </x:c>
      <x:c r="X589" s="14" t="str">
        <x:v>Messgrundlage belegt; Schwellenkalibrierung offen</x:v>
      </x:c>
      <x:c r="Y589" s="14" t="str">
        <x:v>Mittel</x:v>
      </x:c>
      <x:c r="Z589" s="14" t="str">
        <x:v>Arbeitskalibrierung – fachlich zu validieren</x:v>
      </x:c>
      <x:c r="AA589" s="14" t="str">
        <x:v>Produkt/Funktionseinheit; Lebenszyklusgrenze mindestens cradle-to-gate, bei Nutzungs-/End-of-Life-Relevanz cradle-to-grave</x:v>
      </x:c>
      <x:c r="AB589" s="14" t="str">
        <x:v>Primärdaten bevorzugt; Sekundärdaten nur transparent und versioniert; Methode und Systemgrenze dokumentieren</x:v>
      </x:c>
      <x:c r="AC589" s="14" t="str">
        <x:v>Limited Assurance; risikobasiert höhere Prüftiefe</x:v>
      </x:c>
    </x:row>
    <x:row r="590" ht="42" customHeight="1">
      <x:c r="A590" s="14" t="str">
        <x:v>WOK-SYS-203</x:v>
      </x:c>
      <x:c r="B590" s="14" t="str">
        <x:v>SDG+ – Kultur</x:v>
      </x:c>
      <x:c r="C590" s="14" t="str">
        <x:v>—</x:v>
      </x:c>
      <x:c r="D590" s="14" t="str">
        <x:v>Kulturelle Teilhabe</x:v>
      </x:c>
      <x:c r="E590" s="14" t="str">
        <x:v>Kulturelle Teilhabe – Index</x:v>
      </x:c>
      <x:c r="F590" s="14" t="str">
        <x:v>0–1</x:v>
      </x:c>
      <x:c r="G590" s="14" t="str">
        <x:v>higher_is_better</x:v>
      </x:c>
      <x:c r="H590" s="14" t="str">
        <x:v>R15</x:v>
      </x:c>
      <x:c r="I590" s="14" t="str">
        <x:v>NUM_HIGH</x:v>
      </x:c>
      <x:c r="J590" s="51"/>
      <x:c r="K590" s="51"/>
      <x:c r="L590" s="51"/>
      <x:c r="M590" s="54"/>
      <x:c r="N590" s="58" t="str">
        <x:f>IF($J590="","",IF($J590&lt;0.5,-3,IF($J590&lt;0.6,-2,IF($J590&lt;0.7,0,IF($J590&lt;0.8,2,3)))))</x:f>
      </x:c>
      <x:c r="O590" s="58" t="str">
        <x:f>IF($J590="","",IF(OR('02_Benchmarks'!$P590&lt;&gt;"Aktiv",COUNT('02_Benchmarks'!$J590:$M590)&lt;4),"",IF($G590="lower_is_better",IF($J590&lt;='02_Benchmarks'!$J590,3,IF($J590&lt;'02_Benchmarks'!$K590,2,IF($J590&lt;='02_Benchmarks'!$L590,0,IF($J590&lt;='02_Benchmarks'!$M590,-2,-3)))),IF($J590&gt;='02_Benchmarks'!$J590,3,IF($J590&gt;'02_Benchmarks'!$K590,2,IF($J590&gt;='02_Benchmarks'!$L590,0,IF($J590&gt;='02_Benchmarks'!$M590,-2,-3)))))))</x:f>
      </x:c>
      <x:c r="P590" s="58" t="str">
        <x:f>IF(COUNT($N590:$O590)+IF(ISNUMBER($K590),1,0)=0,"",MIN($N590:$O590,$K590))</x:f>
      </x:c>
      <x:c r="Q590" s="58" t="str">
        <x:f>IF($P590="","",INDEX('04_Tarifmodell'!$B$6:$B$12,$P590+4))</x:f>
      </x:c>
      <x:c r="R590" s="64" t="str">
        <x:f>IF($P590="","",INDEX('04_Tarifmodell'!$C$6:$C$12,$P590+4))</x:f>
      </x:c>
      <x:c r="S590" s="14" t="str">
        <x:f>IF(OR($I590="QUALITATIVE",$I590="MANUAL_HYBRID"),IF($K590="","Assurance-Score fehlt","Assurance-bewertet"),IF($I590="BENCHMARK",IF($W590&lt;&gt;"Aktiv",IF($K590="","Benchmark fehlt","Assurance-bewertet"),IF($J590="","Messwert fehlt",IF($P590="","Nicht bewertbar","Berechnet"))),IF(AND($J590="",$K590&lt;&gt;""),"Nur Assurance-Score",IF($J590="","Messwert fehlt",IF($P590="","Nicht bewertbar",IF($P590&lt;=-2,"Kritische Wirkung / Prüfung","Berechnet"))))))</x:f>
        <x:v>Messwert fehlt</x:v>
      </x:c>
      <x:c r="T590" s="14" t="str">
        <x:v>SROI/SDG 17 ist keine hinreichend konkrete Mess- oder Schwellenquelle. Vollständige fünfstufige numerische Regel.</x:v>
      </x:c>
      <x:c r="U590" s="14" t="str">
        <x:v>≥0,8:+3; 0,7–0,79:+2; 0,6–0,69:0; 0,5–0,59:‑2; &lt;0,5:‑3</x:v>
      </x:c>
      <x:c r="V590" s="14" t="str">
        <x:v>SDG 16/17, WJP, V‑Dem</x:v>
      </x:c>
      <x:c r="W590" s="14" t="str">
        <x:f>'02_Benchmarks'!$P590</x:f>
        <x:v>Optional – kein aktiver Benchmark</x:v>
      </x:c>
      <x:c r="X590" s="14" t="str">
        <x:v>Platzhalter – fachliche Operationalisierung offen</x:v>
      </x:c>
      <x:c r="Y590" s="14" t="str">
        <x:v>Kritisch</x:v>
      </x:c>
      <x:c r="Z590" s="14" t="str">
        <x:v>Arbeitskalibrierung – fachlich zu validieren</x:v>
      </x:c>
      <x:c r="AA590" s="14" t="str">
        <x:v>Programm/Portfolio/Systemraum; Empfängergruppe, Region und Zeitraum explizit definieren</x:v>
      </x:c>
      <x:c r="AB590" s="14" t="str">
        <x:v>Primärdaten bevorzugt; Sekundärdaten nur transparent und versioniert; Methode und Systemgrenze dokumentieren</x:v>
      </x:c>
      <x:c r="AC590" s="14" t="str">
        <x:v>Limited Assurance; risikobasiert höhere Prüftiefe</x:v>
      </x:c>
    </x:row>
    <x:row r="591" ht="42" customHeight="1">
      <x:c r="A591" s="14" t="str">
        <x:v>WOK-SYS-204</x:v>
      </x:c>
      <x:c r="B591" s="14" t="str">
        <x:v>SDG+ – Kultur</x:v>
      </x:c>
      <x:c r="C591" s="14" t="str">
        <x:v>—</x:v>
      </x:c>
      <x:c r="D591" s="14" t="str">
        <x:v>Kulturelle Teilhabe</x:v>
      </x:c>
      <x:c r="E591" s="14" t="str">
        <x:v>Kulturelle Teilhabe – Exposure</x:v>
      </x:c>
      <x:c r="F591" s="14" t="str">
        <x:v>%</x:v>
      </x:c>
      <x:c r="G591" s="14" t="str">
        <x:v>lower_is_better</x:v>
      </x:c>
      <x:c r="H591" s="14" t="str">
        <x:v>R13</x:v>
      </x:c>
      <x:c r="I591" s="14" t="str">
        <x:v>NUM_LOW</x:v>
      </x:c>
      <x:c r="J591" s="51"/>
      <x:c r="K591" s="51"/>
      <x:c r="L591" s="51"/>
      <x:c r="M591" s="54"/>
      <x:c r="N591" s="58" t="str">
        <x:f>IF($J591="","",IF($J591&lt;=5,3,IF($J591&lt;=10,2,IF($J591&lt;=20,0,IF($J591&lt;=30,-2,-3)))))</x:f>
      </x:c>
      <x:c r="O591" s="58" t="str">
        <x:f>IF($J591="","",IF(OR('02_Benchmarks'!$P591&lt;&gt;"Aktiv",COUNT('02_Benchmarks'!$J591:$M591)&lt;4),"",IF($G591="lower_is_better",IF($J591&lt;='02_Benchmarks'!$J591,3,IF($J591&lt;'02_Benchmarks'!$K591,2,IF($J591&lt;='02_Benchmarks'!$L591,0,IF($J591&lt;='02_Benchmarks'!$M591,-2,-3)))),IF($J591&gt;='02_Benchmarks'!$J591,3,IF($J591&gt;'02_Benchmarks'!$K591,2,IF($J591&gt;='02_Benchmarks'!$L591,0,IF($J591&gt;='02_Benchmarks'!$M591,-2,-3)))))))</x:f>
      </x:c>
      <x:c r="P591" s="58" t="str">
        <x:f>IF(COUNT($N591:$O591)+IF(ISNUMBER($K591),1,0)=0,"",MIN($N591:$O591,$K591))</x:f>
      </x:c>
      <x:c r="Q591" s="58" t="str">
        <x:f>IF($P591="","",INDEX('04_Tarifmodell'!$B$6:$B$12,$P591+4))</x:f>
      </x:c>
      <x:c r="R591" s="64" t="str">
        <x:f>IF($P591="","",INDEX('04_Tarifmodell'!$C$6:$C$12,$P591+4))</x:f>
      </x:c>
      <x:c r="S591" s="14" t="str">
        <x:f>IF(OR($I591="QUALITATIVE",$I591="MANUAL_HYBRID"),IF($K591="","Assurance-Score fehlt","Assurance-bewertet"),IF($I591="BENCHMARK",IF($W591&lt;&gt;"Aktiv",IF($K591="","Benchmark fehlt","Assurance-bewertet"),IF($J591="","Messwert fehlt",IF($P591="","Nicht bewertbar","Berechnet"))),IF(AND($J591="",$K591&lt;&gt;""),"Nur Assurance-Score",IF($J591="","Messwert fehlt",IF($P591="","Nicht bewertbar",IF($P591&lt;=-2,"Kritische Wirkung / Prüfung","Berechnet"))))))</x:f>
        <x:v>Messwert fehlt</x:v>
      </x:c>
      <x:c r="T591" s="14" t="str">
        <x:v>SROI/SDG 17 ist keine hinreichend konkrete Mess- oder Schwellenquelle. Vollständige fünfstufige numerische Regel.</x:v>
      </x:c>
      <x:c r="U591" s="14" t="str">
        <x:v>≤5:+3; 6–10:+2; 11–20:0; 21–30:‑2; &gt;30:‑3</x:v>
      </x:c>
      <x:c r="V591" s="14" t="str">
        <x:v>SROI/SDG17</x:v>
      </x:c>
      <x:c r="W591" s="14" t="str">
        <x:f>'02_Benchmarks'!$P591</x:f>
        <x:v>Optional – kein aktiver Benchmark</x:v>
      </x:c>
      <x:c r="X591" s="14" t="str">
        <x:v>Platzhalter – fachliche Operationalisierung offen</x:v>
      </x:c>
      <x:c r="Y591" s="14" t="str">
        <x:v>Kritisch</x:v>
      </x:c>
      <x:c r="Z591" s="14" t="str">
        <x:v>Arbeitskalibrierung – fachlich zu validieren</x:v>
      </x:c>
      <x:c r="AA591" s="14" t="str">
        <x:v>Programm/Portfolio/Systemraum; Empfängergruppe, Region und Zeitraum explizit definieren</x:v>
      </x:c>
      <x:c r="AB591" s="14" t="str">
        <x:v>Primärdaten bevorzugt; Sekundärdaten nur transparent und versioniert; Methode und Systemgrenze dokumentieren</x:v>
      </x:c>
      <x:c r="AC591" s="14" t="str">
        <x:v>Limited Assurance; risikobasiert höhere Prüftiefe</x:v>
      </x:c>
    </x:row>
    <x:row r="592" ht="42" customHeight="1">
      <x:c r="A592" s="14" t="str">
        <x:v>WOK-SYS-205</x:v>
      </x:c>
      <x:c r="B592" s="14" t="str">
        <x:v>SDG+ – Kultur</x:v>
      </x:c>
      <x:c r="C592" s="14" t="str">
        <x:v>—</x:v>
      </x:c>
      <x:c r="D592" s="14" t="str">
        <x:v>Kulturelle Teilhabe</x:v>
      </x:c>
      <x:c r="E592" s="14" t="str">
        <x:v>Kulturelle Teilhabe – Kooperationen</x:v>
      </x:c>
      <x:c r="F592" s="14" t="str">
        <x:v>#/Jahr</x:v>
      </x:c>
      <x:c r="G592" s="14" t="str">
        <x:v>higher_is_better</x:v>
      </x:c>
      <x:c r="H592" s="14" t="str">
        <x:v>R20</x:v>
      </x:c>
      <x:c r="I592" s="14" t="str">
        <x:v>NUM_HIGH</x:v>
      </x:c>
      <x:c r="J592" s="51"/>
      <x:c r="K592" s="51"/>
      <x:c r="L592" s="51"/>
      <x:c r="M592" s="54"/>
      <x:c r="N592" s="58" t="str">
        <x:f>IF($J592="","",IF($J592&lt;0,-3,IF($J592&lt;1,-2,IF($J592&lt;3,0,IF($J592&lt;5,2,3)))))</x:f>
      </x:c>
      <x:c r="O592" s="58" t="str">
        <x:f>IF($J592="","",IF(OR('02_Benchmarks'!$P592&lt;&gt;"Aktiv",COUNT('02_Benchmarks'!$J592:$M592)&lt;4),"",IF($G592="lower_is_better",IF($J592&lt;='02_Benchmarks'!$J592,3,IF($J592&lt;'02_Benchmarks'!$K592,2,IF($J592&lt;='02_Benchmarks'!$L592,0,IF($J592&lt;='02_Benchmarks'!$M592,-2,-3)))),IF($J592&gt;='02_Benchmarks'!$J592,3,IF($J592&gt;'02_Benchmarks'!$K592,2,IF($J592&gt;='02_Benchmarks'!$L592,0,IF($J592&gt;='02_Benchmarks'!$M592,-2,-3)))))))</x:f>
      </x:c>
      <x:c r="P592" s="58" t="str">
        <x:f>IF(COUNT($N592:$O592)+IF(ISNUMBER($K592),1,0)=0,"",MIN($N592:$O592,$K592))</x:f>
      </x:c>
      <x:c r="Q592" s="58" t="str">
        <x:f>IF($P592="","",INDEX('04_Tarifmodell'!$B$6:$B$12,$P592+4))</x:f>
      </x:c>
      <x:c r="R592" s="64" t="str">
        <x:f>IF($P592="","",INDEX('04_Tarifmodell'!$C$6:$C$12,$P592+4))</x:f>
      </x:c>
      <x:c r="S592" s="14" t="str">
        <x:f>IF(OR($I592="QUALITATIVE",$I592="MANUAL_HYBRID"),IF($K592="","Assurance-Score fehlt","Assurance-bewertet"),IF($I592="BENCHMARK",IF($W592&lt;&gt;"Aktiv",IF($K592="","Benchmark fehlt","Assurance-bewertet"),IF($J592="","Messwert fehlt",IF($P592="","Nicht bewertbar","Berechnet"))),IF(AND($J592="",$K592&lt;&gt;""),"Nur Assurance-Score",IF($J592="","Messwert fehlt",IF($P592="","Nicht bewertbar",IF($P592&lt;=-2,"Kritische Wirkung / Prüfung","Berechnet"))))))</x:f>
        <x:v>Messwert fehlt</x:v>
      </x:c>
      <x:c r="T592" s="14" t="str">
        <x:v>SROI/SDG 17 ist keine hinreichend konkrete Mess- oder Schwellenquelle. Für sachlogisch nichtnegative Zählwerte ist 0 die schlechteste reguläre Klasse (−2).</x:v>
      </x:c>
      <x:c r="U592" s="14" t="str">
        <x:v>≥5:+3; 3–4:+2; 1–2:0; 0:‑2</x:v>
      </x:c>
      <x:c r="V592" s="14" t="str">
        <x:v>SDG 16/17, WJP, V‑Dem</x:v>
      </x:c>
      <x:c r="W592" s="14" t="str">
        <x:f>'02_Benchmarks'!$P592</x:f>
        <x:v>Optional – kein aktiver Benchmark</x:v>
      </x:c>
      <x:c r="X592" s="14" t="str">
        <x:v>Platzhalter – fachliche Operationalisierung offen</x:v>
      </x:c>
      <x:c r="Y592" s="14" t="str">
        <x:v>Kritisch</x:v>
      </x:c>
      <x:c r="Z592" s="14" t="str">
        <x:v>Klasse −3 nur für negative/unzulässige Werte ergänzt</x:v>
      </x:c>
      <x:c r="AA592" s="14" t="str">
        <x:v>Programm/Portfolio/Systemraum; Empfängergruppe, Region und Zeitraum explizit definieren</x:v>
      </x:c>
      <x:c r="AB592" s="14" t="str">
        <x:v>Primärdaten bevorzugt; Sekundärdaten nur transparent und versioniert; Methode und Systemgrenze dokumentieren</x:v>
      </x:c>
      <x:c r="AC592" s="14" t="str">
        <x:v>Limited Assurance; risikobasiert höhere Prüftiefe</x:v>
      </x:c>
    </x:row>
    <x:row r="593" ht="42" customHeight="1">
      <x:c r="A593" s="14" t="str">
        <x:v>WOK-SYS-206</x:v>
      </x:c>
      <x:c r="B593" s="14" t="str">
        <x:v>SDG+ – Kultur</x:v>
      </x:c>
      <x:c r="C593" s="14" t="str">
        <x:v>—</x:v>
      </x:c>
      <x:c r="D593" s="14" t="str">
        <x:v>Vielfalt im Programm</x:v>
      </x:c>
      <x:c r="E593" s="14" t="str">
        <x:v>Vielfalt im Programm – Index</x:v>
      </x:c>
      <x:c r="F593" s="14" t="str">
        <x:v>0–1</x:v>
      </x:c>
      <x:c r="G593" s="14" t="str">
        <x:v>higher_is_better</x:v>
      </x:c>
      <x:c r="H593" s="14" t="str">
        <x:v>R15</x:v>
      </x:c>
      <x:c r="I593" s="14" t="str">
        <x:v>NUM_HIGH</x:v>
      </x:c>
      <x:c r="J593" s="51"/>
      <x:c r="K593" s="51"/>
      <x:c r="L593" s="51"/>
      <x:c r="M593" s="54"/>
      <x:c r="N593" s="58" t="str">
        <x:f>IF($J593="","",IF($J593&lt;0.5,-3,IF($J593&lt;0.6,-2,IF($J593&lt;0.7,0,IF($J593&lt;0.8,2,3)))))</x:f>
      </x:c>
      <x:c r="O593" s="58" t="str">
        <x:f>IF($J593="","",IF(OR('02_Benchmarks'!$P593&lt;&gt;"Aktiv",COUNT('02_Benchmarks'!$J593:$M593)&lt;4),"",IF($G593="lower_is_better",IF($J593&lt;='02_Benchmarks'!$J593,3,IF($J593&lt;'02_Benchmarks'!$K593,2,IF($J593&lt;='02_Benchmarks'!$L593,0,IF($J593&lt;='02_Benchmarks'!$M593,-2,-3)))),IF($J593&gt;='02_Benchmarks'!$J593,3,IF($J593&gt;'02_Benchmarks'!$K593,2,IF($J593&gt;='02_Benchmarks'!$L593,0,IF($J593&gt;='02_Benchmarks'!$M593,-2,-3)))))))</x:f>
      </x:c>
      <x:c r="P593" s="58" t="str">
        <x:f>IF(COUNT($N593:$O593)+IF(ISNUMBER($K593),1,0)=0,"",MIN($N593:$O593,$K593))</x:f>
      </x:c>
      <x:c r="Q593" s="58" t="str">
        <x:f>IF($P593="","",INDEX('04_Tarifmodell'!$B$6:$B$12,$P593+4))</x:f>
      </x:c>
      <x:c r="R593" s="64" t="str">
        <x:f>IF($P593="","",INDEX('04_Tarifmodell'!$C$6:$C$12,$P593+4))</x:f>
      </x:c>
      <x:c r="S593" s="14" t="str">
        <x:f>IF(OR($I593="QUALITATIVE",$I593="MANUAL_HYBRID"),IF($K593="","Assurance-Score fehlt","Assurance-bewertet"),IF($I593="BENCHMARK",IF($W593&lt;&gt;"Aktiv",IF($K593="","Benchmark fehlt","Assurance-bewertet"),IF($J593="","Messwert fehlt",IF($P593="","Nicht bewertbar","Berechnet"))),IF(AND($J593="",$K593&lt;&gt;""),"Nur Assurance-Score",IF($J593="","Messwert fehlt",IF($P593="","Nicht bewertbar",IF($P593&lt;=-2,"Kritische Wirkung / Prüfung","Berechnet"))))))</x:f>
        <x:v>Messwert fehlt</x:v>
      </x:c>
      <x:c r="T593" s="14" t="str">
        <x:v>SROI/SDG 17 ist keine hinreichend konkrete Mess- oder Schwellenquelle. Vollständige fünfstufige numerische Regel.</x:v>
      </x:c>
      <x:c r="U593" s="14" t="str">
        <x:v>≥0,8:+3; 0,7–0,79:+2; 0,6–0,69:0; 0,5–0,59:‑2; &lt;0,5:‑3</x:v>
      </x:c>
      <x:c r="V593" s="14" t="str">
        <x:v>SDG 16/17, WJP, V‑Dem</x:v>
      </x:c>
      <x:c r="W593" s="14" t="str">
        <x:f>'02_Benchmarks'!$P593</x:f>
        <x:v>Optional – kein aktiver Benchmark</x:v>
      </x:c>
      <x:c r="X593" s="14" t="str">
        <x:v>Platzhalter – fachliche Operationalisierung offen</x:v>
      </x:c>
      <x:c r="Y593" s="14" t="str">
        <x:v>Kritisch</x:v>
      </x:c>
      <x:c r="Z593" s="14" t="str">
        <x:v>Arbeitskalibrierung – fachlich zu validieren</x:v>
      </x:c>
      <x:c r="AA593" s="14" t="str">
        <x:v>Programm/Portfolio/Systemraum; Empfängergruppe, Region und Zeitraum explizit definieren</x:v>
      </x:c>
      <x:c r="AB593" s="14" t="str">
        <x:v>Primärdaten bevorzugt; Sekundärdaten nur transparent und versioniert; Methode und Systemgrenze dokumentieren</x:v>
      </x:c>
      <x:c r="AC593" s="14" t="str">
        <x:v>Limited Assurance; risikobasiert höhere Prüftiefe</x:v>
      </x:c>
    </x:row>
    <x:row r="594" ht="42" customHeight="1">
      <x:c r="A594" s="14" t="str">
        <x:v>WOK-SYS-207</x:v>
      </x:c>
      <x:c r="B594" s="14" t="str">
        <x:v>SDG+ – Kultur</x:v>
      </x:c>
      <x:c r="C594" s="14" t="str">
        <x:v>—</x:v>
      </x:c>
      <x:c r="D594" s="14" t="str">
        <x:v>Vielfalt im Programm</x:v>
      </x:c>
      <x:c r="E594" s="14" t="str">
        <x:v>Vielfalt im Programm – Exposure</x:v>
      </x:c>
      <x:c r="F594" s="14" t="str">
        <x:v>%</x:v>
      </x:c>
      <x:c r="G594" s="14" t="str">
        <x:v>lower_is_better</x:v>
      </x:c>
      <x:c r="H594" s="14" t="str">
        <x:v>R13</x:v>
      </x:c>
      <x:c r="I594" s="14" t="str">
        <x:v>NUM_LOW</x:v>
      </x:c>
      <x:c r="J594" s="51"/>
      <x:c r="K594" s="51"/>
      <x:c r="L594" s="51"/>
      <x:c r="M594" s="54"/>
      <x:c r="N594" s="58" t="str">
        <x:f>IF($J594="","",IF($J594&lt;=5,3,IF($J594&lt;=10,2,IF($J594&lt;=20,0,IF($J594&lt;=30,-2,-3)))))</x:f>
      </x:c>
      <x:c r="O594" s="58" t="str">
        <x:f>IF($J594="","",IF(OR('02_Benchmarks'!$P594&lt;&gt;"Aktiv",COUNT('02_Benchmarks'!$J594:$M594)&lt;4),"",IF($G594="lower_is_better",IF($J594&lt;='02_Benchmarks'!$J594,3,IF($J594&lt;'02_Benchmarks'!$K594,2,IF($J594&lt;='02_Benchmarks'!$L594,0,IF($J594&lt;='02_Benchmarks'!$M594,-2,-3)))),IF($J594&gt;='02_Benchmarks'!$J594,3,IF($J594&gt;'02_Benchmarks'!$K594,2,IF($J594&gt;='02_Benchmarks'!$L594,0,IF($J594&gt;='02_Benchmarks'!$M594,-2,-3)))))))</x:f>
      </x:c>
      <x:c r="P594" s="58" t="str">
        <x:f>IF(COUNT($N594:$O594)+IF(ISNUMBER($K594),1,0)=0,"",MIN($N594:$O594,$K594))</x:f>
      </x:c>
      <x:c r="Q594" s="58" t="str">
        <x:f>IF($P594="","",INDEX('04_Tarifmodell'!$B$6:$B$12,$P594+4))</x:f>
      </x:c>
      <x:c r="R594" s="64" t="str">
        <x:f>IF($P594="","",INDEX('04_Tarifmodell'!$C$6:$C$12,$P594+4))</x:f>
      </x:c>
      <x:c r="S594" s="14" t="str">
        <x:f>IF(OR($I594="QUALITATIVE",$I594="MANUAL_HYBRID"),IF($K594="","Assurance-Score fehlt","Assurance-bewertet"),IF($I594="BENCHMARK",IF($W594&lt;&gt;"Aktiv",IF($K594="","Benchmark fehlt","Assurance-bewertet"),IF($J594="","Messwert fehlt",IF($P594="","Nicht bewertbar","Berechnet"))),IF(AND($J594="",$K594&lt;&gt;""),"Nur Assurance-Score",IF($J594="","Messwert fehlt",IF($P594="","Nicht bewertbar",IF($P594&lt;=-2,"Kritische Wirkung / Prüfung","Berechnet"))))))</x:f>
        <x:v>Messwert fehlt</x:v>
      </x:c>
      <x:c r="T594" s="14" t="str">
        <x:v>SROI/SDG 17 ist keine hinreichend konkrete Mess- oder Schwellenquelle. Vollständige fünfstufige numerische Regel.</x:v>
      </x:c>
      <x:c r="U594" s="14" t="str">
        <x:v>≤5:+3; 6–10:+2; 11–20:0; 21–30:‑2; &gt;30:‑3</x:v>
      </x:c>
      <x:c r="V594" s="14" t="str">
        <x:v>SROI/SDG17</x:v>
      </x:c>
      <x:c r="W594" s="14" t="str">
        <x:f>'02_Benchmarks'!$P594</x:f>
        <x:v>Optional – kein aktiver Benchmark</x:v>
      </x:c>
      <x:c r="X594" s="14" t="str">
        <x:v>Platzhalter – fachliche Operationalisierung offen</x:v>
      </x:c>
      <x:c r="Y594" s="14" t="str">
        <x:v>Kritisch</x:v>
      </x:c>
      <x:c r="Z594" s="14" t="str">
        <x:v>Arbeitskalibrierung – fachlich zu validieren</x:v>
      </x:c>
      <x:c r="AA594" s="14" t="str">
        <x:v>Programm/Portfolio/Systemraum; Empfängergruppe, Region und Zeitraum explizit definieren</x:v>
      </x:c>
      <x:c r="AB594" s="14" t="str">
        <x:v>Primärdaten bevorzugt; Sekundärdaten nur transparent und versioniert; Methode und Systemgrenze dokumentieren</x:v>
      </x:c>
      <x:c r="AC594" s="14" t="str">
        <x:v>Limited Assurance; risikobasiert höhere Prüftiefe</x:v>
      </x:c>
    </x:row>
    <x:row r="595" ht="42" customHeight="1">
      <x:c r="A595" s="14" t="str">
        <x:v>WOK-SYS-208</x:v>
      </x:c>
      <x:c r="B595" s="14" t="str">
        <x:v>SDG+ – Kultur</x:v>
      </x:c>
      <x:c r="C595" s="14" t="str">
        <x:v>—</x:v>
      </x:c>
      <x:c r="D595" s="14" t="str">
        <x:v>Vielfalt im Programm</x:v>
      </x:c>
      <x:c r="E595" s="14" t="str">
        <x:v>Vielfalt im Programm – Kooperationen</x:v>
      </x:c>
      <x:c r="F595" s="14" t="str">
        <x:v>#/Jahr</x:v>
      </x:c>
      <x:c r="G595" s="14" t="str">
        <x:v>higher_is_better</x:v>
      </x:c>
      <x:c r="H595" s="14" t="str">
        <x:v>R20</x:v>
      </x:c>
      <x:c r="I595" s="14" t="str">
        <x:v>NUM_HIGH</x:v>
      </x:c>
      <x:c r="J595" s="51"/>
      <x:c r="K595" s="51"/>
      <x:c r="L595" s="51"/>
      <x:c r="M595" s="54"/>
      <x:c r="N595" s="58" t="str">
        <x:f>IF($J595="","",IF($J595&lt;0,-3,IF($J595&lt;1,-2,IF($J595&lt;3,0,IF($J595&lt;5,2,3)))))</x:f>
      </x:c>
      <x:c r="O595" s="58" t="str">
        <x:f>IF($J595="","",IF(OR('02_Benchmarks'!$P595&lt;&gt;"Aktiv",COUNT('02_Benchmarks'!$J595:$M595)&lt;4),"",IF($G595="lower_is_better",IF($J595&lt;='02_Benchmarks'!$J595,3,IF($J595&lt;'02_Benchmarks'!$K595,2,IF($J595&lt;='02_Benchmarks'!$L595,0,IF($J595&lt;='02_Benchmarks'!$M595,-2,-3)))),IF($J595&gt;='02_Benchmarks'!$J595,3,IF($J595&gt;'02_Benchmarks'!$K595,2,IF($J595&gt;='02_Benchmarks'!$L595,0,IF($J595&gt;='02_Benchmarks'!$M595,-2,-3)))))))</x:f>
      </x:c>
      <x:c r="P595" s="58" t="str">
        <x:f>IF(COUNT($N595:$O595)+IF(ISNUMBER($K595),1,0)=0,"",MIN($N595:$O595,$K595))</x:f>
      </x:c>
      <x:c r="Q595" s="58" t="str">
        <x:f>IF($P595="","",INDEX('04_Tarifmodell'!$B$6:$B$12,$P595+4))</x:f>
      </x:c>
      <x:c r="R595" s="64" t="str">
        <x:f>IF($P595="","",INDEX('04_Tarifmodell'!$C$6:$C$12,$P595+4))</x:f>
      </x:c>
      <x:c r="S595" s="14" t="str">
        <x:f>IF(OR($I595="QUALITATIVE",$I595="MANUAL_HYBRID"),IF($K595="","Assurance-Score fehlt","Assurance-bewertet"),IF($I595="BENCHMARK",IF($W595&lt;&gt;"Aktiv",IF($K595="","Benchmark fehlt","Assurance-bewertet"),IF($J595="","Messwert fehlt",IF($P595="","Nicht bewertbar","Berechnet"))),IF(AND($J595="",$K595&lt;&gt;""),"Nur Assurance-Score",IF($J595="","Messwert fehlt",IF($P595="","Nicht bewertbar",IF($P595&lt;=-2,"Kritische Wirkung / Prüfung","Berechnet"))))))</x:f>
        <x:v>Messwert fehlt</x:v>
      </x:c>
      <x:c r="T595" s="14" t="str">
        <x:v>SROI/SDG 17 ist keine hinreichend konkrete Mess- oder Schwellenquelle. Für sachlogisch nichtnegative Zählwerte ist 0 die schlechteste reguläre Klasse (−2).</x:v>
      </x:c>
      <x:c r="U595" s="14" t="str">
        <x:v>≥5:+3; 3–4:+2; 1–2:0; 0:‑2</x:v>
      </x:c>
      <x:c r="V595" s="14" t="str">
        <x:v>SDG 16/17, WJP, V‑Dem</x:v>
      </x:c>
      <x:c r="W595" s="14" t="str">
        <x:f>'02_Benchmarks'!$P595</x:f>
        <x:v>Optional – kein aktiver Benchmark</x:v>
      </x:c>
      <x:c r="X595" s="14" t="str">
        <x:v>Platzhalter – fachliche Operationalisierung offen</x:v>
      </x:c>
      <x:c r="Y595" s="14" t="str">
        <x:v>Kritisch</x:v>
      </x:c>
      <x:c r="Z595" s="14" t="str">
        <x:v>Klasse −3 nur für negative/unzulässige Werte ergänzt</x:v>
      </x:c>
      <x:c r="AA595" s="14" t="str">
        <x:v>Programm/Portfolio/Systemraum; Empfängergruppe, Region und Zeitraum explizit definieren</x:v>
      </x:c>
      <x:c r="AB595" s="14" t="str">
        <x:v>Primärdaten bevorzugt; Sekundärdaten nur transparent und versioniert; Methode und Systemgrenze dokumentieren</x:v>
      </x:c>
      <x:c r="AC595" s="14" t="str">
        <x:v>Limited Assurance; risikobasiert höhere Prüftiefe</x:v>
      </x:c>
    </x:row>
    <x:row r="596" ht="42" customHeight="1">
      <x:c r="A596" s="14" t="str">
        <x:v>WOK-G-239</x:v>
      </x:c>
      <x:c r="B596" s="14" t="str">
        <x:v>SDG+ – Kultur</x:v>
      </x:c>
      <x:c r="C596" s="14" t="str">
        <x:v>—</x:v>
      </x:c>
      <x:c r="D596" s="14" t="str">
        <x:v>Governance Kulturinstitutionen</x:v>
      </x:c>
      <x:c r="E596" s="14" t="str">
        <x:v>Governance Kulturinstitutionen – Antikorruption</x:v>
      </x:c>
      <x:c r="F596" s="14" t="str">
        <x:v>Fälle/1.000 FTE</x:v>
      </x:c>
      <x:c r="G596" s="14" t="str">
        <x:v>lower_is_better</x:v>
      </x:c>
      <x:c r="H596" s="14" t="str">
        <x:v>R01</x:v>
      </x:c>
      <x:c r="I596" s="14" t="str">
        <x:v>NUM_LOW</x:v>
      </x:c>
      <x:c r="J596" s="51"/>
      <x:c r="K596" s="51"/>
      <x:c r="L596" s="51"/>
      <x:c r="M596" s="54"/>
      <x:c r="N596" s="58" t="str">
        <x:f>IF($J596="","",IF($J596&lt;=0,3,IF($J596&lt;=0.2,2,IF($J596&lt;=0.5,0,IF($J596&lt;=1,-2,-3)))))</x:f>
      </x:c>
      <x:c r="O596" s="58" t="str">
        <x:f>IF($J596="","",IF(OR('02_Benchmarks'!$P596&lt;&gt;"Aktiv",COUNT('02_Benchmarks'!$J596:$M596)&lt;4),"",IF($G596="lower_is_better",IF($J596&lt;='02_Benchmarks'!$J596,3,IF($J596&lt;'02_Benchmarks'!$K596,2,IF($J596&lt;='02_Benchmarks'!$L596,0,IF($J596&lt;='02_Benchmarks'!$M596,-2,-3)))),IF($J596&gt;='02_Benchmarks'!$J596,3,IF($J596&gt;'02_Benchmarks'!$K596,2,IF($J596&gt;='02_Benchmarks'!$L596,0,IF($J596&gt;='02_Benchmarks'!$M596,-2,-3)))))))</x:f>
      </x:c>
      <x:c r="P596" s="58" t="str">
        <x:f>IF(COUNT($N596:$O596)+IF(ISNUMBER($K596),1,0)=0,"",MIN($N596:$O596,$K596))</x:f>
      </x:c>
      <x:c r="Q596" s="58" t="str">
        <x:f>IF($P596="","",INDEX('04_Tarifmodell'!$B$6:$B$12,$P596+4))</x:f>
      </x:c>
      <x:c r="R596" s="64" t="str">
        <x:f>IF($P596="","",INDEX('04_Tarifmodell'!$C$6:$C$12,$P596+4))</x:f>
      </x:c>
      <x:c r="S596" s="14" t="str">
        <x:f>IF(OR($I596="QUALITATIVE",$I596="MANUAL_HYBRID"),IF($K596="","Assurance-Score fehlt","Assurance-bewertet"),IF($I596="BENCHMARK",IF($W596&lt;&gt;"Aktiv",IF($K596="","Benchmark fehlt","Assurance-bewertet"),IF($J596="","Messwert fehlt",IF($P596="","Nicht bewertbar","Berechnet"))),IF(AND($J596="",$K596&lt;&gt;""),"Nur Assurance-Score",IF($J596="","Messwert fehlt",IF($P596="","Nicht bewertbar",IF($P596&lt;=-2,"Kritische Wirkung / Prüfung","Berechnet"))))))</x:f>
        <x:v>Messwert fehlt</x:v>
      </x:c>
      <x:c r="T596" s="14" t="str">
        <x:v>Vollständige fünfstufige numerische Regel.</x:v>
      </x:c>
      <x:c r="U596" s="14" t="str">
        <x:v>0:+3; ≤0,2:+2; ≤0,5:0; ≤1:‑2; &gt;1:‑3</x:v>
      </x:c>
      <x:c r="V596" s="14" t="str">
        <x:v>ESRS G1, GRI 205/207, OECD Anti‑Bribery</x:v>
      </x:c>
      <x:c r="W596" s="14" t="str">
        <x:f>'02_Benchmarks'!$P596</x:f>
        <x:v>Optional – kein aktiver Benchmark</x:v>
      </x:c>
      <x:c r="X596" s="14" t="str">
        <x:v>Messgrundlage belegt; Schwellenkalibrierung offen</x:v>
      </x:c>
      <x:c r="Y596" s="14" t="str">
        <x:v>Mittel</x:v>
      </x:c>
      <x:c r="Z596" s="14" t="str">
        <x:v>Arbeitskalibrierung – fachlich zu validieren</x:v>
      </x:c>
      <x:c r="AA596" s="14" t="str">
        <x:v>Organisation/Governance; konsolidierter Kreis und relevante Rechtseinheiten</x:v>
      </x:c>
      <x:c r="AB596" s="14" t="str">
        <x:v>Primärdaten bevorzugt; Sekundärdaten nur transparent und versioniert; Methode und Systemgrenze dokumentieren</x:v>
      </x:c>
      <x:c r="AC596" s="14" t="str">
        <x:v>Limited Assurance; risikobasiert höhere Prüftiefe</x:v>
      </x:c>
    </x:row>
    <x:row r="597" ht="42" customHeight="1">
      <x:c r="A597" s="14" t="str">
        <x:v>WOK-G-240</x:v>
      </x:c>
      <x:c r="B597" s="14" t="str">
        <x:v>SDG+ – Kultur</x:v>
      </x:c>
      <x:c r="C597" s="14" t="str">
        <x:v>—</x:v>
      </x:c>
      <x:c r="D597" s="14" t="str">
        <x:v>Governance Kulturinstitutionen</x:v>
      </x:c>
      <x:c r="E597" s="14" t="str">
        <x:v>Governance Kulturinstitutionen – Whistleblowing</x:v>
      </x:c>
      <x:c r="F597" s="14" t="str">
        <x:v>0–1</x:v>
      </x:c>
      <x:c r="G597" s="14" t="str">
        <x:v>higher_is_better</x:v>
      </x:c>
      <x:c r="H597" s="14" t="str">
        <x:v>R16</x:v>
      </x:c>
      <x:c r="I597" s="14" t="str">
        <x:v>NUM_HIGH</x:v>
      </x:c>
      <x:c r="J597" s="51"/>
      <x:c r="K597" s="51"/>
      <x:c r="L597" s="51"/>
      <x:c r="M597" s="54"/>
      <x:c r="N597" s="58" t="str">
        <x:f>IF($J597="","",IF($J597&lt;0.4,-3,IF($J597&lt;0.6,-2,IF($J597&lt;0.75,0,IF($J597&lt;0.9,2,3)))))</x:f>
      </x:c>
      <x:c r="O597" s="58" t="str">
        <x:f>IF($J597="","",IF(OR('02_Benchmarks'!$P597&lt;&gt;"Aktiv",COUNT('02_Benchmarks'!$J597:$M597)&lt;4),"",IF($G597="lower_is_better",IF($J597&lt;='02_Benchmarks'!$J597,3,IF($J597&lt;'02_Benchmarks'!$K597,2,IF($J597&lt;='02_Benchmarks'!$L597,0,IF($J597&lt;='02_Benchmarks'!$M597,-2,-3)))),IF($J597&gt;='02_Benchmarks'!$J597,3,IF($J597&gt;'02_Benchmarks'!$K597,2,IF($J597&gt;='02_Benchmarks'!$L597,0,IF($J597&gt;='02_Benchmarks'!$M597,-2,-3)))))))</x:f>
      </x:c>
      <x:c r="P597" s="58" t="str">
        <x:f>IF(COUNT($N597:$O597)+IF(ISNUMBER($K597),1,0)=0,"",MIN($N597:$O597,$K597))</x:f>
      </x:c>
      <x:c r="Q597" s="58" t="str">
        <x:f>IF($P597="","",INDEX('04_Tarifmodell'!$B$6:$B$12,$P597+4))</x:f>
      </x:c>
      <x:c r="R597" s="64" t="str">
        <x:f>IF($P597="","",INDEX('04_Tarifmodell'!$C$6:$C$12,$P597+4))</x:f>
      </x:c>
      <x:c r="S597" s="14" t="str">
        <x:f>IF(OR($I597="QUALITATIVE",$I597="MANUAL_HYBRID"),IF($K597="","Assurance-Score fehlt","Assurance-bewertet"),IF($I597="BENCHMARK",IF($W597&lt;&gt;"Aktiv",IF($K597="","Benchmark fehlt","Assurance-bewertet"),IF($J597="","Messwert fehlt",IF($P597="","Nicht bewertbar","Berechnet"))),IF(AND($J597="",$K597&lt;&gt;""),"Nur Assurance-Score",IF($J597="","Messwert fehlt",IF($P597="","Nicht bewertbar",IF($P597&lt;=-2,"Kritische Wirkung / Prüfung","Berechnet"))))))</x:f>
        <x:v>Messwert fehlt</x:v>
      </x:c>
      <x:c r="T597" s="14" t="str">
        <x:v>Vollständige fünfstufige numerische Regel.</x:v>
      </x:c>
      <x:c r="U597" s="14" t="str">
        <x:v>≥0,9:+3; 0,75–0,89:+2; 0,6–0,74:0; 0,4–0,59:‑2; &lt;0,4:‑3</x:v>
      </x:c>
      <x:c r="V597" s="14" t="str">
        <x:v>ESRS G1, GRI 205/207, OECD Anti‑Bribery</x:v>
      </x:c>
      <x:c r="W597" s="14" t="str">
        <x:f>'02_Benchmarks'!$P597</x:f>
        <x:v>Optional – kein aktiver Benchmark</x:v>
      </x:c>
      <x:c r="X597" s="14" t="str">
        <x:v>Messgrundlage belegt; Schwellenkalibrierung offen</x:v>
      </x:c>
      <x:c r="Y597" s="14" t="str">
        <x:v>Mittel</x:v>
      </x:c>
      <x:c r="Z597" s="14" t="str">
        <x:v>Arbeitskalibrierung – fachlich zu validieren</x:v>
      </x:c>
      <x:c r="AA597" s="14" t="str">
        <x:v>Organisation/Governance; konsolidierter Kreis und relevante Rechtseinheiten</x:v>
      </x:c>
      <x:c r="AB597" s="14" t="str">
        <x:v>Primärdaten bevorzugt; Sekundärdaten nur transparent und versioniert; Methode und Systemgrenze dokumentieren</x:v>
      </x:c>
      <x:c r="AC597" s="14" t="str">
        <x:v>Limited Assurance; risikobasiert höhere Prüftiefe</x:v>
      </x:c>
    </x:row>
    <x:row r="598" ht="42" customHeight="1">
      <x:c r="A598" s="14" t="str">
        <x:v>WOK-G-241</x:v>
      </x:c>
      <x:c r="B598" s="14" t="str">
        <x:v>SDG+ – Kultur</x:v>
      </x:c>
      <x:c r="C598" s="14" t="str">
        <x:v>—</x:v>
      </x:c>
      <x:c r="D598" s="14" t="str">
        <x:v>Governance Kulturinstitutionen</x:v>
      </x:c>
      <x:c r="E598" s="14" t="str">
        <x:v>Governance Kulturinstitutionen – Steuertransparenz</x:v>
      </x:c>
      <x:c r="F598" s="14" t="str">
        <x:v>0–1</x:v>
      </x:c>
      <x:c r="G598" s="14" t="str">
        <x:v>higher_is_better</x:v>
      </x:c>
      <x:c r="H598" s="14" t="str">
        <x:v>R08</x:v>
      </x:c>
      <x:c r="I598" s="14" t="str">
        <x:v>QUALITATIVE</x:v>
      </x:c>
      <x:c r="J598" s="51"/>
      <x:c r="K598" s="51"/>
      <x:c r="L598" s="51"/>
      <x:c r="M598" s="54"/>
      <x:c r="N598" s="58" t="str">
        <x:f>""</x:f>
      </x:c>
      <x:c r="O598" s="58" t="str">
        <x:f>IF($J598="","",IF(OR('02_Benchmarks'!$P598&lt;&gt;"Aktiv",COUNT('02_Benchmarks'!$J598:$M598)&lt;4),"",IF($G598="lower_is_better",IF($J598&lt;='02_Benchmarks'!$J598,3,IF($J598&lt;'02_Benchmarks'!$K598,2,IF($J598&lt;='02_Benchmarks'!$L598,0,IF($J598&lt;='02_Benchmarks'!$M598,-2,-3)))),IF($J598&gt;='02_Benchmarks'!$J598,3,IF($J598&gt;'02_Benchmarks'!$K598,2,IF($J598&gt;='02_Benchmarks'!$L598,0,IF($J598&gt;='02_Benchmarks'!$M598,-2,-3)))))))</x:f>
      </x:c>
      <x:c r="P598" s="58" t="str">
        <x:f>IF(COUNT($N598:$O598)+IF(ISNUMBER($K598),1,0)=0,"",MIN($N598:$O598,$K598))</x:f>
      </x:c>
      <x:c r="Q598" s="58" t="str">
        <x:f>IF($P598="","",INDEX('04_Tarifmodell'!$B$6:$B$12,$P598+4))</x:f>
      </x:c>
      <x:c r="R598" s="64" t="str">
        <x:f>IF($P598="","",INDEX('04_Tarifmodell'!$C$6:$C$12,$P598+4))</x:f>
      </x:c>
      <x:c r="S598" s="14" t="str">
        <x:f>IF(OR($I598="QUALITATIVE",$I598="MANUAL_HYBRID"),IF($K598="","Assurance-Score fehlt","Assurance-bewertet"),IF($I598="BENCHMARK",IF($W598&lt;&gt;"Aktiv",IF($K598="","Benchmark fehlt","Assurance-bewertet"),IF($J598="","Messwert fehlt",IF($P598="","Nicht bewertbar","Berechnet"))),IF(AND($J598="",$K598&lt;&gt;""),"Nur Assurance-Score",IF($J598="","Messwert fehlt",IF($P598="","Nicht bewertbar",IF($P598&lt;=-2,"Kritische Wirkung / Prüfung","Berechnet"))))))</x:f>
        <x:v>Assurance-Score fehlt</x:v>
      </x:c>
      <x:c r="T598" s="14" t="str">
        <x:v>Die Kategorie −3 fehlt; Vollständigkeit und Wirksamkeit sind feldspezifisch zu definieren.</x:v>
      </x:c>
      <x:c r="U598" s="14" t="str">
        <x:v>vollständig:+3; teilweise:+2; minimal:0; schlecht:‑2</x:v>
      </x:c>
      <x:c r="V598" s="14" t="str">
        <x:v>ESRS G1, GRI 205/207, OECD Anti‑Bribery</x:v>
      </x:c>
      <x:c r="W598" s="14" t="str">
        <x:f>'02_Benchmarks'!$P598</x:f>
        <x:v>Optional – kein aktiver Benchmark</x:v>
      </x:c>
      <x:c r="X598" s="14" t="str">
        <x:v>Messgrundlage belegt; Schwellenkalibrierung offen</x:v>
      </x:c>
      <x:c r="Y598" s="14" t="str">
        <x:v>Hoch</x:v>
      </x:c>
      <x:c r="Z598" s="14" t="str">
        <x:v>Assurance und Kriterienkatalog erforderlich</x:v>
      </x:c>
      <x:c r="AA598" s="14" t="str">
        <x:v>Organisation/Governance; konsolidierter Kreis und relevante Rechtseinheiten</x:v>
      </x:c>
      <x:c r="AB598" s="14" t="str">
        <x:v>Dokumentierter Kriterienkatalog; nachvollziehbare Evidenz; DQR A/B bevorzugt</x:v>
      </x:c>
      <x:c r="AC598" s="14" t="str">
        <x:v>Unabhängige Fachprüfung/Limited Assurance; bei roten Linien Reasonable Assurance</x:v>
      </x:c>
    </x:row>
    <x:row r="599" ht="42" customHeight="1">
      <x:c r="A599" s="14" t="str">
        <x:v>WOK-SC-167</x:v>
      </x:c>
      <x:c r="B599" s="14" t="str">
        <x:v>SDG+ – Kultur</x:v>
      </x:c>
      <x:c r="C599" s="14" t="str">
        <x:v>—</x:v>
      </x:c>
      <x:c r="D599" s="14" t="str">
        <x:v>Faire Kultur‑Lieferketten</x:v>
      </x:c>
      <x:c r="E599" s="14" t="str">
        <x:v>Faire Kultur‑Lieferketten – ESG‑Spend‑Coverage</x:v>
      </x:c>
      <x:c r="F599" s="14" t="str">
        <x:v>%</x:v>
      </x:c>
      <x:c r="G599" s="14" t="str">
        <x:v>higher_is_better</x:v>
      </x:c>
      <x:c r="H599" s="14" t="str">
        <x:v>R26</x:v>
      </x:c>
      <x:c r="I599" s="14" t="str">
        <x:v>NUM_HIGH</x:v>
      </x:c>
      <x:c r="J599" s="51"/>
      <x:c r="K599" s="51"/>
      <x:c r="L599" s="51"/>
      <x:c r="M599" s="54"/>
      <x:c r="N599" s="58" t="str">
        <x:f>IF($J599="","",IF($J599&lt;30,-3,IF($J599&lt;50,-2,IF($J599&lt;70,0,IF($J599&lt;90,2,3)))))</x:f>
      </x:c>
      <x:c r="O599" s="58" t="str">
        <x:f>IF($J599="","",IF(OR('02_Benchmarks'!$P599&lt;&gt;"Aktiv",COUNT('02_Benchmarks'!$J599:$M599)&lt;4),"",IF($G599="lower_is_better",IF($J599&lt;='02_Benchmarks'!$J599,3,IF($J599&lt;'02_Benchmarks'!$K599,2,IF($J599&lt;='02_Benchmarks'!$L599,0,IF($J599&lt;='02_Benchmarks'!$M599,-2,-3)))),IF($J599&gt;='02_Benchmarks'!$J599,3,IF($J599&gt;'02_Benchmarks'!$K599,2,IF($J599&gt;='02_Benchmarks'!$L599,0,IF($J599&gt;='02_Benchmarks'!$M599,-2,-3)))))))</x:f>
      </x:c>
      <x:c r="P599" s="58" t="str">
        <x:f>IF(COUNT($N599:$O599)+IF(ISNUMBER($K599),1,0)=0,"",MIN($N599:$O599,$K599))</x:f>
      </x:c>
      <x:c r="Q599" s="58" t="str">
        <x:f>IF($P599="","",INDEX('04_Tarifmodell'!$B$6:$B$12,$P599+4))</x:f>
      </x:c>
      <x:c r="R599" s="64" t="str">
        <x:f>IF($P599="","",INDEX('04_Tarifmodell'!$C$6:$C$12,$P599+4))</x:f>
      </x:c>
      <x:c r="S599" s="14" t="str">
        <x:f>IF(OR($I599="QUALITATIVE",$I599="MANUAL_HYBRID"),IF($K599="","Assurance-Score fehlt","Assurance-bewertet"),IF($I599="BENCHMARK",IF($W599&lt;&gt;"Aktiv",IF($K599="","Benchmark fehlt","Assurance-bewertet"),IF($J599="","Messwert fehlt",IF($P599="","Nicht bewertbar","Berechnet"))),IF(AND($J599="",$K599&lt;&gt;""),"Nur Assurance-Score",IF($J599="","Messwert fehlt",IF($P599="","Nicht bewertbar",IF($P599&lt;=-2,"Kritische Wirkung / Prüfung","Berechnet"))))))</x:f>
        <x:v>Messwert fehlt</x:v>
      </x:c>
      <x:c r="T599" s="14" t="str">
        <x:v>Vollständige fünfstufige numerische Regel.</x:v>
      </x:c>
      <x:c r="U599" s="14" t="str">
        <x:v>≥90:+3; 70–89:+2; 50–69:0; 30–49:‑2; &lt;30:‑3</x:v>
      </x:c>
      <x:c r="V599" s="14" t="str">
        <x:v>ESRS S2, GRI 308/414, OECD Due Diligence</x:v>
      </x:c>
      <x:c r="W599" s="14" t="str">
        <x:f>'02_Benchmarks'!$P599</x:f>
        <x:v>Optional – kein aktiver Benchmark</x:v>
      </x:c>
      <x:c r="X599" s="14" t="str">
        <x:v>Messgrundlage belegt; Schwellenkalibrierung offen</x:v>
      </x:c>
      <x:c r="Y599" s="14" t="str">
        <x:v>Mittel</x:v>
      </x:c>
      <x:c r="Z599" s="14" t="str">
        <x:v>Arbeitskalibrierung – fachlich zu validieren</x:v>
      </x:c>
      <x:c r="AA599" s="14" t="str">
        <x:v>Vorgelagerte Lieferkette; relevante Tier-Stufen und Beschaffungsvolumen</x:v>
      </x:c>
      <x:c r="AB599" s="14" t="str">
        <x:v>Primärdaten bevorzugt; Sekundärdaten nur transparent und versioniert; Methode und Systemgrenze dokumentieren</x:v>
      </x:c>
      <x:c r="AC599" s="14" t="str">
        <x:v>Limited Assurance; risikobasiert höhere Prüftiefe</x:v>
      </x:c>
    </x:row>
    <x:row r="600" ht="42" customHeight="1">
      <x:c r="A600" s="14" t="str">
        <x:v>WOK-SC-168</x:v>
      </x:c>
      <x:c r="B600" s="14" t="str">
        <x:v>SDG+ – Kultur</x:v>
      </x:c>
      <x:c r="C600" s="14" t="str">
        <x:v>—</x:v>
      </x:c>
      <x:c r="D600" s="14" t="str">
        <x:v>Faire Kultur‑Lieferketten</x:v>
      </x:c>
      <x:c r="E600" s="14" t="str">
        <x:v>Faire Kultur‑Lieferketten – Kinder/Zwangsarbeit</x:v>
      </x:c>
      <x:c r="F600" s="14" t="str">
        <x:v>% Lieferanten</x:v>
      </x:c>
      <x:c r="G600" s="14" t="str">
        <x:v>higher_is_better</x:v>
      </x:c>
      <x:c r="H600" s="14" t="str">
        <x:v>R28</x:v>
      </x:c>
      <x:c r="I600" s="14" t="str">
        <x:v>NUM_HIGH</x:v>
      </x:c>
      <x:c r="J600" s="51"/>
      <x:c r="K600" s="51"/>
      <x:c r="L600" s="51"/>
      <x:c r="M600" s="54"/>
      <x:c r="N600" s="58" t="str">
        <x:f>IF($J600="","",IF($J600&lt;50,-3,IF($J600&lt;75,-2,IF($J600&lt;90,0,IF($J600&lt;98,2,3)))))</x:f>
      </x:c>
      <x:c r="O600" s="58" t="str">
        <x:f>IF($J600="","",IF(OR('02_Benchmarks'!$P600&lt;&gt;"Aktiv",COUNT('02_Benchmarks'!$J600:$M600)&lt;4),"",IF($G600="lower_is_better",IF($J600&lt;='02_Benchmarks'!$J600,3,IF($J600&lt;'02_Benchmarks'!$K600,2,IF($J600&lt;='02_Benchmarks'!$L600,0,IF($J600&lt;='02_Benchmarks'!$M600,-2,-3)))),IF($J600&gt;='02_Benchmarks'!$J600,3,IF($J600&gt;'02_Benchmarks'!$K600,2,IF($J600&gt;='02_Benchmarks'!$L600,0,IF($J600&gt;='02_Benchmarks'!$M600,-2,-3)))))))</x:f>
      </x:c>
      <x:c r="P600" s="58" t="str">
        <x:f>IF(COUNT($N600:$O600)+IF(ISNUMBER($K600),1,0)=0,"",MIN($N600:$O600,$K600))</x:f>
      </x:c>
      <x:c r="Q600" s="58" t="str">
        <x:f>IF($P600="","",INDEX('04_Tarifmodell'!$B$6:$B$12,$P600+4))</x:f>
      </x:c>
      <x:c r="R600" s="64" t="str">
        <x:f>IF($P600="","",INDEX('04_Tarifmodell'!$C$6:$C$12,$P600+4))</x:f>
      </x:c>
      <x:c r="S600" s="14" t="str">
        <x:f>IF(OR($I600="QUALITATIVE",$I600="MANUAL_HYBRID"),IF($K600="","Assurance-Score fehlt","Assurance-bewertet"),IF($I600="BENCHMARK",IF($W600&lt;&gt;"Aktiv",IF($K600="","Benchmark fehlt","Assurance-bewertet"),IF($J600="","Messwert fehlt",IF($P600="","Nicht bewertbar","Berechnet"))),IF(AND($J600="",$K600&lt;&gt;""),"Nur Assurance-Score",IF($J600="","Messwert fehlt",IF($P600="","Nicht bewertbar",IF($P600&lt;=-2,"Kritische Wirkung / Prüfung","Berechnet"))))))</x:f>
        <x:v>Messwert fehlt</x:v>
      </x:c>
      <x:c r="T600" s="14" t="str">
        <x:v>Vollständige fünfstufige numerische Regel.</x:v>
      </x:c>
      <x:c r="U600" s="14" t="str">
        <x:v>≥98:+3; 90–97:+2; 75–89:0; 50–74:‑2; &lt;50:‑3</x:v>
      </x:c>
      <x:c r="V600" s="14" t="str">
        <x:v>ESRS S2, GRI 308/414, OECD Due Diligence</x:v>
      </x:c>
      <x:c r="W600" s="14" t="str">
        <x:f>'02_Benchmarks'!$P600</x:f>
        <x:v>Optional – kein aktiver Benchmark</x:v>
      </x:c>
      <x:c r="X600" s="14" t="str">
        <x:v>Messgrundlage belegt; Schwellenkalibrierung offen</x:v>
      </x:c>
      <x:c r="Y600" s="14" t="str">
        <x:v>Mittel</x:v>
      </x:c>
      <x:c r="Z600" s="14" t="str">
        <x:v>Arbeitskalibrierung – fachlich zu validieren</x:v>
      </x:c>
      <x:c r="AA600" s="14" t="str">
        <x:v>Vorgelagerte Lieferkette; relevante Tier-Stufen und Beschaffungsvolumen</x:v>
      </x:c>
      <x:c r="AB600" s="14" t="str">
        <x:v>Primärdaten bevorzugt; Sekundärdaten nur transparent und versioniert; Methode und Systemgrenze dokumentieren</x:v>
      </x:c>
      <x:c r="AC600" s="14" t="str">
        <x:v>Limited Assurance; risikobasiert höhere Prüftiefe</x:v>
      </x:c>
    </x:row>
    <x:row r="601" ht="42" customHeight="1">
      <x:c r="A601" s="14" t="str">
        <x:v>WOK-SC-169</x:v>
      </x:c>
      <x:c r="B601" s="14" t="str">
        <x:v>SDG+ – Kultur</x:v>
      </x:c>
      <x:c r="C601" s="14" t="str">
        <x:v>—</x:v>
      </x:c>
      <x:c r="D601" s="14" t="str">
        <x:v>Faire Kultur‑Lieferketten</x:v>
      </x:c>
      <x:c r="E601" s="14" t="str">
        <x:v>Faire Kultur‑Lieferketten – Scope‑3 Daten</x:v>
      </x:c>
      <x:c r="F601" s="14" t="str">
        <x:v>% Kategorien</x:v>
      </x:c>
      <x:c r="G601" s="14" t="str">
        <x:v>higher_is_better</x:v>
      </x:c>
      <x:c r="H601" s="14" t="str">
        <x:v>R23</x:v>
      </x:c>
      <x:c r="I601" s="14" t="str">
        <x:v>NUM_HIGH</x:v>
      </x:c>
      <x:c r="J601" s="51"/>
      <x:c r="K601" s="51"/>
      <x:c r="L601" s="51"/>
      <x:c r="M601" s="54"/>
      <x:c r="N601" s="58" t="str">
        <x:f>IF($J601="","",IF($J601&lt;20,-3,IF($J601&lt;40,-2,IF($J601&lt;60,0,IF($J601&lt;80,2,3)))))</x:f>
      </x:c>
      <x:c r="O601" s="58" t="str">
        <x:f>IF($J601="","",IF(OR('02_Benchmarks'!$P601&lt;&gt;"Aktiv",COUNT('02_Benchmarks'!$J601:$M601)&lt;4),"",IF($G601="lower_is_better",IF($J601&lt;='02_Benchmarks'!$J601,3,IF($J601&lt;'02_Benchmarks'!$K601,2,IF($J601&lt;='02_Benchmarks'!$L601,0,IF($J601&lt;='02_Benchmarks'!$M601,-2,-3)))),IF($J601&gt;='02_Benchmarks'!$J601,3,IF($J601&gt;'02_Benchmarks'!$K601,2,IF($J601&gt;='02_Benchmarks'!$L601,0,IF($J601&gt;='02_Benchmarks'!$M601,-2,-3)))))))</x:f>
      </x:c>
      <x:c r="P601" s="58" t="str">
        <x:f>IF(COUNT($N601:$O601)+IF(ISNUMBER($K601),1,0)=0,"",MIN($N601:$O601,$K601))</x:f>
      </x:c>
      <x:c r="Q601" s="58" t="str">
        <x:f>IF($P601="","",INDEX('04_Tarifmodell'!$B$6:$B$12,$P601+4))</x:f>
      </x:c>
      <x:c r="R601" s="64" t="str">
        <x:f>IF($P601="","",INDEX('04_Tarifmodell'!$C$6:$C$12,$P601+4))</x:f>
      </x:c>
      <x:c r="S601" s="14" t="str">
        <x:f>IF(OR($I601="QUALITATIVE",$I601="MANUAL_HYBRID"),IF($K601="","Assurance-Score fehlt","Assurance-bewertet"),IF($I601="BENCHMARK",IF($W601&lt;&gt;"Aktiv",IF($K601="","Benchmark fehlt","Assurance-bewertet"),IF($J601="","Messwert fehlt",IF($P601="","Nicht bewertbar","Berechnet"))),IF(AND($J601="",$K601&lt;&gt;""),"Nur Assurance-Score",IF($J601="","Messwert fehlt",IF($P601="","Nicht bewertbar",IF($P601&lt;=-2,"Kritische Wirkung / Prüfung","Berechnet"))))))</x:f>
        <x:v>Messwert fehlt</x:v>
      </x:c>
      <x:c r="T601" s="14" t="str">
        <x:v>Vollständige fünfstufige numerische Regel.</x:v>
      </x:c>
      <x:c r="U601" s="14" t="str">
        <x:v>≥80:+3; 60–79:+2; 40–59:0; 20–39:‑2; &lt;20:‑3</x:v>
      </x:c>
      <x:c r="V601" s="14" t="str">
        <x:v>ESRS E1, GHG Protocol (Corporate/Scope 1–3), ISO 14064/14067</x:v>
      </x:c>
      <x:c r="W601" s="14" t="str">
        <x:f>'02_Benchmarks'!$P601</x:f>
        <x:v>Optional – kein aktiver Benchmark</x:v>
      </x:c>
      <x:c r="X601" s="14" t="str">
        <x:v>Messgrundlage belegt; Schwellenkalibrierung offen</x:v>
      </x:c>
      <x:c r="Y601" s="14" t="str">
        <x:v>Mittel</x:v>
      </x:c>
      <x:c r="Z601" s="14" t="str">
        <x:v>Arbeitskalibrierung – fachlich zu validieren</x:v>
      </x:c>
      <x:c r="AA601" s="14" t="str">
        <x:v>Vorgelagerte Lieferkette; relevante Tier-Stufen und Beschaffungsvolumen</x:v>
      </x:c>
      <x:c r="AB601" s="14" t="str">
        <x:v>Primärdaten bevorzugt; Sekundärdaten nur transparent und versioniert; Methode und Systemgrenze dokumentieren</x:v>
      </x:c>
      <x:c r="AC601" s="14" t="str">
        <x:v>Limited Assurance; risikobasiert höhere Prüftiefe</x:v>
      </x:c>
    </x:row>
    <x:row r="602" ht="42" customHeight="1">
      <x:c r="A602" s="14" t="str">
        <x:v>WOK-RE-125</x:v>
      </x:c>
      <x:c r="B602" s="14" t="str">
        <x:v>SDG+ – Kultur</x:v>
      </x:c>
      <x:c r="C602" s="14" t="str">
        <x:v>—</x:v>
      </x:c>
      <x:c r="D602" s="14" t="str">
        <x:v>Niederschwellige Räume/Barrierefrei</x:v>
      </x:c>
      <x:c r="E602" s="14" t="str">
        <x:v>Niederschwellige Räume/Barrierefrei – Betriebsenergie</x:v>
      </x:c>
      <x:c r="F602" s="14" t="str">
        <x:v>kWh/m²a</x:v>
      </x:c>
      <x:c r="G602" s="14" t="str">
        <x:v>lower_is_better</x:v>
      </x:c>
      <x:c r="H602" s="14" t="str">
        <x:v>R05</x:v>
      </x:c>
      <x:c r="I602" s="14" t="str">
        <x:v>BENCHMARK</x:v>
      </x:c>
      <x:c r="J602" s="51"/>
      <x:c r="K602" s="51"/>
      <x:c r="L602" s="51"/>
      <x:c r="M602" s="54"/>
      <x:c r="N602" s="58" t="str">
        <x:f>""</x:f>
      </x:c>
      <x:c r="O602" s="58" t="str">
        <x:f>IF($J602="","",IF(OR('02_Benchmarks'!$P602&lt;&gt;"Aktiv",COUNT('02_Benchmarks'!$J602:$M602)&lt;4),"",IF($G602="lower_is_better",IF($J602&lt;='02_Benchmarks'!$J602,3,IF($J602&lt;'02_Benchmarks'!$K602,2,IF($J602&lt;='02_Benchmarks'!$L602,0,IF($J602&lt;='02_Benchmarks'!$M602,-2,-3)))),IF($J602&gt;='02_Benchmarks'!$J602,3,IF($J602&gt;'02_Benchmarks'!$K602,2,IF($J602&gt;='02_Benchmarks'!$L602,0,IF($J602&gt;='02_Benchmarks'!$M602,-2,-3)))))))</x:f>
      </x:c>
      <x:c r="P602" s="58" t="str">
        <x:f>IF(COUNT($N602:$O602)+IF(ISNUMBER($K602),1,0)=0,"",MIN($N602:$O602,$K602))</x:f>
      </x:c>
      <x:c r="Q602" s="58" t="str">
        <x:f>IF($P602="","",INDEX('04_Tarifmodell'!$B$6:$B$12,$P602+4))</x:f>
      </x:c>
      <x:c r="R602" s="64" t="str">
        <x:f>IF($P602="","",INDEX('04_Tarifmodell'!$C$6:$C$12,$P602+4))</x:f>
      </x:c>
      <x:c r="S602" s="14" t="str">
        <x:f>IF(OR($I602="QUALITATIVE",$I602="MANUAL_HYBRID"),IF($K602="","Assurance-Score fehlt","Assurance-bewertet"),IF($I602="BENCHMARK",IF($W602&lt;&gt;"Aktiv",IF($K602="","Benchmark fehlt","Assurance-bewertet"),IF($J602="","Messwert fehlt",IF($P602="","Nicht bewertbar","Berechnet"))),IF(AND($J602="",$K602&lt;&gt;""),"Nur Assurance-Score",IF($J602="","Messwert fehlt",IF($P602="","Nicht bewertbar",IF($P602&lt;=-2,"Kritische Wirkung / Prüfung","Berechnet"))))))</x:f>
        <x:v>Benchmark fehlt</x:v>
      </x:c>
      <x:c r="T602" s="14" t="str">
        <x:v>Die Grenze &gt;+60 % ist derzeit nicht eindeutig in −2/−3 aufgelöst.</x:v>
      </x:c>
      <x:c r="U602" s="14" t="str">
        <x:v>Top 15%:+3; +15–30%:+2; +31–60%:0; &gt;+60%:‑2/‑3</x:v>
      </x:c>
      <x:c r="V602" s="14" t="str">
        <x:v>ESRS E1, ISO 50001 (EnMS), ISO/IEC 30134‑2 (PUE), EU EPBD</x:v>
      </x:c>
      <x:c r="W602" s="14" t="str">
        <x:f>'02_Benchmarks'!$P602</x:f>
        <x:v>Offen – validierter Benchmark fehlt</x:v>
      </x:c>
      <x:c r="X602" s="14" t="str">
        <x:v>Teilbelegt – Benchmarkquelle fehlt</x:v>
      </x:c>
      <x:c r="Y602" s="14" t="str">
        <x:v>Hoch</x:v>
      </x:c>
      <x:c r="Z602" s="14" t="str">
        <x:v>Validierter Benchmark fehlt</x:v>
      </x:c>
      <x:c r="AA602" s="14" t="str">
        <x:v>Gebäude/Standort; Betrieb plus relevante Lebenszyklusmodule</x:v>
      </x:c>
      <x:c r="AB602" s="14" t="str">
        <x:v>Primärdaten plus repräsentativer, versionierter Benchmarkdatensatz; Stichprobe und Population offenlegen</x:v>
      </x:c>
      <x:c r="AC602" s="14" t="str">
        <x:v>Messwert-Assurance und unabhängige Benchmark-Governance</x:v>
      </x:c>
    </x:row>
    <x:row r="603" ht="42" customHeight="1">
      <x:c r="A603" s="14" t="str">
        <x:v>WOK-RE-126</x:v>
      </x:c>
      <x:c r="B603" s="14" t="str">
        <x:v>SDG+ – Kultur</x:v>
      </x:c>
      <x:c r="C603" s="14" t="str">
        <x:v>—</x:v>
      </x:c>
      <x:c r="D603" s="14" t="str">
        <x:v>Niederschwellige Räume/Barrierefrei</x:v>
      </x:c>
      <x:c r="E603" s="14" t="str">
        <x:v>Niederschwellige Räume/Barrierefrei – Graue Emissionen</x:v>
      </x:c>
      <x:c r="F603" s="14" t="str">
        <x:v>kg CO₂e/m²</x:v>
      </x:c>
      <x:c r="G603" s="14" t="str">
        <x:v>lower_is_better</x:v>
      </x:c>
      <x:c r="H603" s="14" t="str">
        <x:v>R06</x:v>
      </x:c>
      <x:c r="I603" s="14" t="str">
        <x:v>BENCHMARK</x:v>
      </x:c>
      <x:c r="J603" s="51"/>
      <x:c r="K603" s="51"/>
      <x:c r="L603" s="51"/>
      <x:c r="M603" s="54"/>
      <x:c r="N603" s="58" t="str">
        <x:f>""</x:f>
      </x:c>
      <x:c r="O603" s="58" t="str">
        <x:f>IF($J603="","",IF(OR('02_Benchmarks'!$P603&lt;&gt;"Aktiv",COUNT('02_Benchmarks'!$J603:$M603)&lt;4),"",IF($G603="lower_is_better",IF($J603&lt;='02_Benchmarks'!$J603,3,IF($J603&lt;'02_Benchmarks'!$K603,2,IF($J603&lt;='02_Benchmarks'!$L603,0,IF($J603&lt;='02_Benchmarks'!$M603,-2,-3)))),IF($J603&gt;='02_Benchmarks'!$J603,3,IF($J603&gt;'02_Benchmarks'!$K603,2,IF($J603&gt;='02_Benchmarks'!$L603,0,IF($J603&gt;='02_Benchmarks'!$M603,-2,-3)))))))</x:f>
      </x:c>
      <x:c r="P603" s="58" t="str">
        <x:f>IF(COUNT($N603:$O603)+IF(ISNUMBER($K603),1,0)=0,"",MIN($N603:$O603,$K603))</x:f>
      </x:c>
      <x:c r="Q603" s="58" t="str">
        <x:f>IF($P603="","",INDEX('04_Tarifmodell'!$B$6:$B$12,$P603+4))</x:f>
      </x:c>
      <x:c r="R603" s="64" t="str">
        <x:f>IF($P603="","",INDEX('04_Tarifmodell'!$C$6:$C$12,$P603+4))</x:f>
      </x:c>
      <x:c r="S603" s="14" t="str">
        <x:f>IF(OR($I603="QUALITATIVE",$I603="MANUAL_HYBRID"),IF($K603="","Assurance-Score fehlt","Assurance-bewertet"),IF($I603="BENCHMARK",IF($W603&lt;&gt;"Aktiv",IF($K603="","Benchmark fehlt","Assurance-bewertet"),IF($J603="","Messwert fehlt",IF($P603="","Nicht bewertbar","Berechnet"))),IF(AND($J603="",$K603&lt;&gt;""),"Nur Assurance-Score",IF($J603="","Messwert fehlt",IF($P603="","Nicht bewertbar",IF($P603&lt;=-2,"Kritische Wirkung / Prüfung","Berechnet"))))))</x:f>
        <x:v>Benchmark fehlt</x:v>
      </x:c>
      <x:c r="T603" s="14" t="str">
        <x:v>Top-10-Prozent, Mittelwert, 150 % und 250 % müssen aus einer dokumentierten Grundgesamtheit stammen.</x:v>
      </x:c>
      <x:c r="U603" s="14" t="str">
        <x:v>Top‑10%:+3; Mittel:0; &gt;150%:‑2; &gt;250%:‑3</x:v>
      </x:c>
      <x:c r="V603" s="14" t="str">
        <x:v>ESRS E1, GHG Protocol (Corporate/Scope 1–3), ISO 14064/14067</x:v>
      </x:c>
      <x:c r="W603" s="14" t="str">
        <x:f>'02_Benchmarks'!$P603</x:f>
        <x:v>Offen – validierter Benchmark fehlt</x:v>
      </x:c>
      <x:c r="X603" s="14" t="str">
        <x:v>Teilbelegt – Benchmarkquelle fehlt</x:v>
      </x:c>
      <x:c r="Y603" s="14" t="str">
        <x:v>Hoch</x:v>
      </x:c>
      <x:c r="Z603" s="14" t="str">
        <x:v>Validierter Benchmark fehlt</x:v>
      </x:c>
      <x:c r="AA603" s="14" t="str">
        <x:v>Gebäude/Standort; Betrieb plus relevante Lebenszyklusmodule</x:v>
      </x:c>
      <x:c r="AB603" s="14" t="str">
        <x:v>Primärdaten plus repräsentativer, versionierter Benchmarkdatensatz; Stichprobe und Population offenlegen</x:v>
      </x:c>
      <x:c r="AC603" s="14" t="str">
        <x:v>Messwert-Assurance und unabhängige Benchmark-Governance</x:v>
      </x:c>
    </x:row>
    <x:row r="604" ht="42" customHeight="1">
      <x:c r="A604" s="14" t="str">
        <x:v>WOK-RE-127</x:v>
      </x:c>
      <x:c r="B604" s="14" t="str">
        <x:v>SDG+ – Kultur</x:v>
      </x:c>
      <x:c r="C604" s="14" t="str">
        <x:v>—</x:v>
      </x:c>
      <x:c r="D604" s="14" t="str">
        <x:v>Niederschwellige Räume/Barrierefrei</x:v>
      </x:c>
      <x:c r="E604" s="14" t="str">
        <x:v>Niederschwellige Räume/Barrierefrei – ÖPNV‑Erreichbarkeit</x:v>
      </x:c>
      <x:c r="F604" s="14" t="str">
        <x:v>0–1</x:v>
      </x:c>
      <x:c r="G604" s="14" t="str">
        <x:v>higher_is_better</x:v>
      </x:c>
      <x:c r="H604" s="14" t="str">
        <x:v>R14</x:v>
      </x:c>
      <x:c r="I604" s="14" t="str">
        <x:v>NUM_HIGH</x:v>
      </x:c>
      <x:c r="J604" s="51"/>
      <x:c r="K604" s="51"/>
      <x:c r="L604" s="51"/>
      <x:c r="M604" s="54"/>
      <x:c r="N604" s="58" t="str">
        <x:f>IF($J604="","",IF($J604&lt;0.2,-3,IF($J604&lt;0.4,-2,IF($J604&lt;0.6,0,IF($J604&lt;0.8,2,3)))))</x:f>
      </x:c>
      <x:c r="O604" s="58" t="str">
        <x:f>IF($J604="","",IF(OR('02_Benchmarks'!$P604&lt;&gt;"Aktiv",COUNT('02_Benchmarks'!$J604:$M604)&lt;4),"",IF($G604="lower_is_better",IF($J604&lt;='02_Benchmarks'!$J604,3,IF($J604&lt;'02_Benchmarks'!$K604,2,IF($J604&lt;='02_Benchmarks'!$L604,0,IF($J604&lt;='02_Benchmarks'!$M604,-2,-3)))),IF($J604&gt;='02_Benchmarks'!$J604,3,IF($J604&gt;'02_Benchmarks'!$K604,2,IF($J604&gt;='02_Benchmarks'!$L604,0,IF($J604&gt;='02_Benchmarks'!$M604,-2,-3)))))))</x:f>
      </x:c>
      <x:c r="P604" s="58" t="str">
        <x:f>IF(COUNT($N604:$O604)+IF(ISNUMBER($K604),1,0)=0,"",MIN($N604:$O604,$K604))</x:f>
      </x:c>
      <x:c r="Q604" s="58" t="str">
        <x:f>IF($P604="","",INDEX('04_Tarifmodell'!$B$6:$B$12,$P604+4))</x:f>
      </x:c>
      <x:c r="R604" s="64" t="str">
        <x:f>IF($P604="","",INDEX('04_Tarifmodell'!$C$6:$C$12,$P604+4))</x:f>
      </x:c>
      <x:c r="S604" s="14" t="str">
        <x:f>IF(OR($I604="QUALITATIVE",$I604="MANUAL_HYBRID"),IF($K604="","Assurance-Score fehlt","Assurance-bewertet"),IF($I604="BENCHMARK",IF($W604&lt;&gt;"Aktiv",IF($K604="","Benchmark fehlt","Assurance-bewertet"),IF($J604="","Messwert fehlt",IF($P604="","Nicht bewertbar","Berechnet"))),IF(AND($J604="",$K604&lt;&gt;""),"Nur Assurance-Score",IF($J604="","Messwert fehlt",IF($P604="","Nicht bewertbar",IF($P604&lt;=-2,"Kritische Wirkung / Prüfung","Berechnet"))))))</x:f>
        <x:v>Messwert fehlt</x:v>
      </x:c>
      <x:c r="T604" s="14" t="str">
        <x:v>Konkreten Datenhalter, GIS-Layer, Stichtag und Methodik ergänzen. Vollständige fünfstufige numerische Regel.</x:v>
      </x:c>
      <x:c r="U604" s="14" t="str">
        <x:v>≥0,8:+3; 0,6–0,79:+2; 0,4–0,59:0; 0,2–0,39:‑2; &lt;0,2:‑3</x:v>
      </x:c>
      <x:c r="V604" s="14" t="str">
        <x:v>Stadt/GIS</x:v>
      </x:c>
      <x:c r="W604" s="14" t="str">
        <x:f>'02_Benchmarks'!$P604</x:f>
        <x:v>Optional – kein aktiver Benchmark</x:v>
      </x:c>
      <x:c r="X604" s="14" t="str">
        <x:v>Platzhalter – konkrete Datenquelle fehlt</x:v>
      </x:c>
      <x:c r="Y604" s="14" t="str">
        <x:v>Hoch</x:v>
      </x:c>
      <x:c r="Z604" s="14" t="str">
        <x:v>Arbeitskalibrierung – fachlich zu validieren</x:v>
      </x:c>
      <x:c r="AA604" s="14" t="str">
        <x:v>Gebäude/Standort; Betrieb plus relevante Lebenszyklusmodule</x:v>
      </x:c>
      <x:c r="AB604" s="14" t="str">
        <x:v>Primärdaten oder qualitätsgesicherte Sekundärdaten; Methode, Zeitraum und Systemgrenze dokumentieren</x:v>
      </x:c>
      <x:c r="AC604" s="14" t="str">
        <x:v>Limited Assurance; bei materieller Steuerwirkung risikobasiert vertiefen</x:v>
      </x:c>
    </x:row>
    <x:row r="605" ht="42" customHeight="1">
      <x:c r="A605" s="14" t="str">
        <x:v>WOK-SYS-209</x:v>
      </x:c>
      <x:c r="B605" s="14" t="str">
        <x:v>SDG+ – Kultur</x:v>
      </x:c>
      <x:c r="C605" s="14" t="str">
        <x:v>—</x:v>
      </x:c>
      <x:c r="D605" s="14" t="str">
        <x:v>Förderallianzen/Community</x:v>
      </x:c>
      <x:c r="E605" s="14" t="str">
        <x:v>Förderallianzen/Community – Index</x:v>
      </x:c>
      <x:c r="F605" s="14" t="str">
        <x:v>0–1</x:v>
      </x:c>
      <x:c r="G605" s="14" t="str">
        <x:v>higher_is_better</x:v>
      </x:c>
      <x:c r="H605" s="14" t="str">
        <x:v>R15</x:v>
      </x:c>
      <x:c r="I605" s="14" t="str">
        <x:v>NUM_HIGH</x:v>
      </x:c>
      <x:c r="J605" s="51"/>
      <x:c r="K605" s="51"/>
      <x:c r="L605" s="51"/>
      <x:c r="M605" s="54"/>
      <x:c r="N605" s="58" t="str">
        <x:f>IF($J605="","",IF($J605&lt;0.5,-3,IF($J605&lt;0.6,-2,IF($J605&lt;0.7,0,IF($J605&lt;0.8,2,3)))))</x:f>
      </x:c>
      <x:c r="O605" s="58" t="str">
        <x:f>IF($J605="","",IF(OR('02_Benchmarks'!$P605&lt;&gt;"Aktiv",COUNT('02_Benchmarks'!$J605:$M605)&lt;4),"",IF($G605="lower_is_better",IF($J605&lt;='02_Benchmarks'!$J605,3,IF($J605&lt;'02_Benchmarks'!$K605,2,IF($J605&lt;='02_Benchmarks'!$L605,0,IF($J605&lt;='02_Benchmarks'!$M605,-2,-3)))),IF($J605&gt;='02_Benchmarks'!$J605,3,IF($J605&gt;'02_Benchmarks'!$K605,2,IF($J605&gt;='02_Benchmarks'!$L605,0,IF($J605&gt;='02_Benchmarks'!$M605,-2,-3)))))))</x:f>
      </x:c>
      <x:c r="P605" s="58" t="str">
        <x:f>IF(COUNT($N605:$O605)+IF(ISNUMBER($K605),1,0)=0,"",MIN($N605:$O605,$K605))</x:f>
      </x:c>
      <x:c r="Q605" s="58" t="str">
        <x:f>IF($P605="","",INDEX('04_Tarifmodell'!$B$6:$B$12,$P605+4))</x:f>
      </x:c>
      <x:c r="R605" s="64" t="str">
        <x:f>IF($P605="","",INDEX('04_Tarifmodell'!$C$6:$C$12,$P605+4))</x:f>
      </x:c>
      <x:c r="S605" s="14" t="str">
        <x:f>IF(OR($I605="QUALITATIVE",$I605="MANUAL_HYBRID"),IF($K605="","Assurance-Score fehlt","Assurance-bewertet"),IF($I605="BENCHMARK",IF($W605&lt;&gt;"Aktiv",IF($K605="","Benchmark fehlt","Assurance-bewertet"),IF($J605="","Messwert fehlt",IF($P605="","Nicht bewertbar","Berechnet"))),IF(AND($J605="",$K605&lt;&gt;""),"Nur Assurance-Score",IF($J605="","Messwert fehlt",IF($P605="","Nicht bewertbar",IF($P605&lt;=-2,"Kritische Wirkung / Prüfung","Berechnet"))))))</x:f>
        <x:v>Messwert fehlt</x:v>
      </x:c>
      <x:c r="T605" s="14" t="str">
        <x:v>SROI/SDG 17 ist keine hinreichend konkrete Mess- oder Schwellenquelle. Vollständige fünfstufige numerische Regel.</x:v>
      </x:c>
      <x:c r="U605" s="14" t="str">
        <x:v>≥0,8:+3; 0,7–0,79:+2; 0,6–0,69:0; 0,5–0,59:‑2; &lt;0,5:‑3</x:v>
      </x:c>
      <x:c r="V605" s="14" t="str">
        <x:v>SDG 16/17, WJP, V‑Dem</x:v>
      </x:c>
      <x:c r="W605" s="14" t="str">
        <x:f>'02_Benchmarks'!$P605</x:f>
        <x:v>Optional – kein aktiver Benchmark</x:v>
      </x:c>
      <x:c r="X605" s="14" t="str">
        <x:v>Platzhalter – fachliche Operationalisierung offen</x:v>
      </x:c>
      <x:c r="Y605" s="14" t="str">
        <x:v>Kritisch</x:v>
      </x:c>
      <x:c r="Z605" s="14" t="str">
        <x:v>Arbeitskalibrierung – fachlich zu validieren</x:v>
      </x:c>
      <x:c r="AA605" s="14" t="str">
        <x:v>Programm/Portfolio/Systemraum; Empfängergruppe, Region und Zeitraum explizit definieren</x:v>
      </x:c>
      <x:c r="AB605" s="14" t="str">
        <x:v>Primärdaten bevorzugt; Sekundärdaten nur transparent und versioniert; Methode und Systemgrenze dokumentieren</x:v>
      </x:c>
      <x:c r="AC605" s="14" t="str">
        <x:v>Limited Assurance; risikobasiert höhere Prüftiefe</x:v>
      </x:c>
    </x:row>
    <x:row r="606" ht="42" customHeight="1">
      <x:c r="A606" s="14" t="str">
        <x:v>WOK-SYS-210</x:v>
      </x:c>
      <x:c r="B606" s="14" t="str">
        <x:v>SDG+ – Kultur</x:v>
      </x:c>
      <x:c r="C606" s="14" t="str">
        <x:v>—</x:v>
      </x:c>
      <x:c r="D606" s="14" t="str">
        <x:v>Förderallianzen/Community</x:v>
      </x:c>
      <x:c r="E606" s="14" t="str">
        <x:v>Förderallianzen/Community – Exposure</x:v>
      </x:c>
      <x:c r="F606" s="14" t="str">
        <x:v>%</x:v>
      </x:c>
      <x:c r="G606" s="14" t="str">
        <x:v>lower_is_better</x:v>
      </x:c>
      <x:c r="H606" s="14" t="str">
        <x:v>R13</x:v>
      </x:c>
      <x:c r="I606" s="14" t="str">
        <x:v>NUM_LOW</x:v>
      </x:c>
      <x:c r="J606" s="51"/>
      <x:c r="K606" s="51"/>
      <x:c r="L606" s="51"/>
      <x:c r="M606" s="54"/>
      <x:c r="N606" s="58" t="str">
        <x:f>IF($J606="","",IF($J606&lt;=5,3,IF($J606&lt;=10,2,IF($J606&lt;=20,0,IF($J606&lt;=30,-2,-3)))))</x:f>
      </x:c>
      <x:c r="O606" s="58" t="str">
        <x:f>IF($J606="","",IF(OR('02_Benchmarks'!$P606&lt;&gt;"Aktiv",COUNT('02_Benchmarks'!$J606:$M606)&lt;4),"",IF($G606="lower_is_better",IF($J606&lt;='02_Benchmarks'!$J606,3,IF($J606&lt;'02_Benchmarks'!$K606,2,IF($J606&lt;='02_Benchmarks'!$L606,0,IF($J606&lt;='02_Benchmarks'!$M606,-2,-3)))),IF($J606&gt;='02_Benchmarks'!$J606,3,IF($J606&gt;'02_Benchmarks'!$K606,2,IF($J606&gt;='02_Benchmarks'!$L606,0,IF($J606&gt;='02_Benchmarks'!$M606,-2,-3)))))))</x:f>
      </x:c>
      <x:c r="P606" s="58" t="str">
        <x:f>IF(COUNT($N606:$O606)+IF(ISNUMBER($K606),1,0)=0,"",MIN($N606:$O606,$K606))</x:f>
      </x:c>
      <x:c r="Q606" s="58" t="str">
        <x:f>IF($P606="","",INDEX('04_Tarifmodell'!$B$6:$B$12,$P606+4))</x:f>
      </x:c>
      <x:c r="R606" s="64" t="str">
        <x:f>IF($P606="","",INDEX('04_Tarifmodell'!$C$6:$C$12,$P606+4))</x:f>
      </x:c>
      <x:c r="S606" s="14" t="str">
        <x:f>IF(OR($I606="QUALITATIVE",$I606="MANUAL_HYBRID"),IF($K606="","Assurance-Score fehlt","Assurance-bewertet"),IF($I606="BENCHMARK",IF($W606&lt;&gt;"Aktiv",IF($K606="","Benchmark fehlt","Assurance-bewertet"),IF($J606="","Messwert fehlt",IF($P606="","Nicht bewertbar","Berechnet"))),IF(AND($J606="",$K606&lt;&gt;""),"Nur Assurance-Score",IF($J606="","Messwert fehlt",IF($P606="","Nicht bewertbar",IF($P606&lt;=-2,"Kritische Wirkung / Prüfung","Berechnet"))))))</x:f>
        <x:v>Messwert fehlt</x:v>
      </x:c>
      <x:c r="T606" s="14" t="str">
        <x:v>SROI/SDG 17 ist keine hinreichend konkrete Mess- oder Schwellenquelle. Vollständige fünfstufige numerische Regel.</x:v>
      </x:c>
      <x:c r="U606" s="14" t="str">
        <x:v>≤5:+3; 6–10:+2; 11–20:0; 21–30:‑2; &gt;30:‑3</x:v>
      </x:c>
      <x:c r="V606" s="14" t="str">
        <x:v>SROI/SDG17</x:v>
      </x:c>
      <x:c r="W606" s="14" t="str">
        <x:f>'02_Benchmarks'!$P606</x:f>
        <x:v>Optional – kein aktiver Benchmark</x:v>
      </x:c>
      <x:c r="X606" s="14" t="str">
        <x:v>Platzhalter – fachliche Operationalisierung offen</x:v>
      </x:c>
      <x:c r="Y606" s="14" t="str">
        <x:v>Kritisch</x:v>
      </x:c>
      <x:c r="Z606" s="14" t="str">
        <x:v>Arbeitskalibrierung – fachlich zu validieren</x:v>
      </x:c>
      <x:c r="AA606" s="14" t="str">
        <x:v>Programm/Portfolio/Systemraum; Empfängergruppe, Region und Zeitraum explizit definieren</x:v>
      </x:c>
      <x:c r="AB606" s="14" t="str">
        <x:v>Primärdaten bevorzugt; Sekundärdaten nur transparent und versioniert; Methode und Systemgrenze dokumentieren</x:v>
      </x:c>
      <x:c r="AC606" s="14" t="str">
        <x:v>Limited Assurance; risikobasiert höhere Prüftiefe</x:v>
      </x:c>
    </x:row>
    <x:row r="607" ht="42" customHeight="1">
      <x:c r="A607" s="14" t="str">
        <x:v>WOK-SYS-211</x:v>
      </x:c>
      <x:c r="B607" s="14" t="str">
        <x:v>SDG+ – Kultur</x:v>
      </x:c>
      <x:c r="C607" s="14" t="str">
        <x:v>—</x:v>
      </x:c>
      <x:c r="D607" s="14" t="str">
        <x:v>Förderallianzen/Community</x:v>
      </x:c>
      <x:c r="E607" s="14" t="str">
        <x:v>Förderallianzen/Community – Kooperationen</x:v>
      </x:c>
      <x:c r="F607" s="14" t="str">
        <x:v>#/Jahr</x:v>
      </x:c>
      <x:c r="G607" s="14" t="str">
        <x:v>higher_is_better</x:v>
      </x:c>
      <x:c r="H607" s="14" t="str">
        <x:v>R20</x:v>
      </x:c>
      <x:c r="I607" s="14" t="str">
        <x:v>NUM_HIGH</x:v>
      </x:c>
      <x:c r="J607" s="51"/>
      <x:c r="K607" s="51"/>
      <x:c r="L607" s="51"/>
      <x:c r="M607" s="54"/>
      <x:c r="N607" s="58" t="str">
        <x:f>IF($J607="","",IF($J607&lt;0,-3,IF($J607&lt;1,-2,IF($J607&lt;3,0,IF($J607&lt;5,2,3)))))</x:f>
      </x:c>
      <x:c r="O607" s="58" t="str">
        <x:f>IF($J607="","",IF(OR('02_Benchmarks'!$P607&lt;&gt;"Aktiv",COUNT('02_Benchmarks'!$J607:$M607)&lt;4),"",IF($G607="lower_is_better",IF($J607&lt;='02_Benchmarks'!$J607,3,IF($J607&lt;'02_Benchmarks'!$K607,2,IF($J607&lt;='02_Benchmarks'!$L607,0,IF($J607&lt;='02_Benchmarks'!$M607,-2,-3)))),IF($J607&gt;='02_Benchmarks'!$J607,3,IF($J607&gt;'02_Benchmarks'!$K607,2,IF($J607&gt;='02_Benchmarks'!$L607,0,IF($J607&gt;='02_Benchmarks'!$M607,-2,-3)))))))</x:f>
      </x:c>
      <x:c r="P607" s="58" t="str">
        <x:f>IF(COUNT($N607:$O607)+IF(ISNUMBER($K607),1,0)=0,"",MIN($N607:$O607,$K607))</x:f>
      </x:c>
      <x:c r="Q607" s="58" t="str">
        <x:f>IF($P607="","",INDEX('04_Tarifmodell'!$B$6:$B$12,$P607+4))</x:f>
      </x:c>
      <x:c r="R607" s="64" t="str">
        <x:f>IF($P607="","",INDEX('04_Tarifmodell'!$C$6:$C$12,$P607+4))</x:f>
      </x:c>
      <x:c r="S607" s="14" t="str">
        <x:f>IF(OR($I607="QUALITATIVE",$I607="MANUAL_HYBRID"),IF($K607="","Assurance-Score fehlt","Assurance-bewertet"),IF($I607="BENCHMARK",IF($W607&lt;&gt;"Aktiv",IF($K607="","Benchmark fehlt","Assurance-bewertet"),IF($J607="","Messwert fehlt",IF($P607="","Nicht bewertbar","Berechnet"))),IF(AND($J607="",$K607&lt;&gt;""),"Nur Assurance-Score",IF($J607="","Messwert fehlt",IF($P607="","Nicht bewertbar",IF($P607&lt;=-2,"Kritische Wirkung / Prüfung","Berechnet"))))))</x:f>
        <x:v>Messwert fehlt</x:v>
      </x:c>
      <x:c r="T607" s="14" t="str">
        <x:v>SROI/SDG 17 ist keine hinreichend konkrete Mess- oder Schwellenquelle. Für sachlogisch nichtnegative Zählwerte ist 0 die schlechteste reguläre Klasse (−2).</x:v>
      </x:c>
      <x:c r="U607" s="14" t="str">
        <x:v>≥5:+3; 3–4:+2; 1–2:0; 0:‑2</x:v>
      </x:c>
      <x:c r="V607" s="14" t="str">
        <x:v>SDG 16/17, WJP, V‑Dem</x:v>
      </x:c>
      <x:c r="W607" s="14" t="str">
        <x:f>'02_Benchmarks'!$P607</x:f>
        <x:v>Optional – kein aktiver Benchmark</x:v>
      </x:c>
      <x:c r="X607" s="14" t="str">
        <x:v>Platzhalter – fachliche Operationalisierung offen</x:v>
      </x:c>
      <x:c r="Y607" s="14" t="str">
        <x:v>Kritisch</x:v>
      </x:c>
      <x:c r="Z607" s="14" t="str">
        <x:v>Klasse −3 nur für negative/unzulässige Werte ergänzt</x:v>
      </x:c>
      <x:c r="AA607" s="14" t="str">
        <x:v>Programm/Portfolio/Systemraum; Empfängergruppe, Region und Zeitraum explizit definieren</x:v>
      </x:c>
      <x:c r="AB607" s="14" t="str">
        <x:v>Primärdaten bevorzugt; Sekundärdaten nur transparent und versioniert; Methode und Systemgrenze dokumentieren</x:v>
      </x:c>
      <x:c r="AC607" s="14" t="str">
        <x:v>Limited Assurance; risikobasiert höhere Prüftiefe</x:v>
      </x:c>
    </x:row>
    <x:row r="608" ht="42" customHeight="1">
      <x:c r="A608" s="14" t="str">
        <x:v>WOK-SYS-212</x:v>
      </x:c>
      <x:c r="B608" s="14" t="str">
        <x:v>SDG+ – Transparenz/Open Data</x:v>
      </x:c>
      <x:c r="C608" s="14" t="str">
        <x:v>—</x:v>
      </x:c>
      <x:c r="D608" s="14" t="str">
        <x:v>Maschinenlesbare Offenlegung</x:v>
      </x:c>
      <x:c r="E608" s="14" t="str">
        <x:v>Maschinenlesbare Offenlegung – Index</x:v>
      </x:c>
      <x:c r="F608" s="14" t="str">
        <x:v>0–1</x:v>
      </x:c>
      <x:c r="G608" s="14" t="str">
        <x:v>higher_is_better</x:v>
      </x:c>
      <x:c r="H608" s="14" t="str">
        <x:v>R15</x:v>
      </x:c>
      <x:c r="I608" s="14" t="str">
        <x:v>NUM_HIGH</x:v>
      </x:c>
      <x:c r="J608" s="51"/>
      <x:c r="K608" s="51"/>
      <x:c r="L608" s="51"/>
      <x:c r="M608" s="54"/>
      <x:c r="N608" s="58" t="str">
        <x:f>IF($J608="","",IF($J608&lt;0.5,-3,IF($J608&lt;0.6,-2,IF($J608&lt;0.7,0,IF($J608&lt;0.8,2,3)))))</x:f>
      </x:c>
      <x:c r="O608" s="58" t="str">
        <x:f>IF($J608="","",IF(OR('02_Benchmarks'!$P608&lt;&gt;"Aktiv",COUNT('02_Benchmarks'!$J608:$M608)&lt;4),"",IF($G608="lower_is_better",IF($J608&lt;='02_Benchmarks'!$J608,3,IF($J608&lt;'02_Benchmarks'!$K608,2,IF($J608&lt;='02_Benchmarks'!$L608,0,IF($J608&lt;='02_Benchmarks'!$M608,-2,-3)))),IF($J608&gt;='02_Benchmarks'!$J608,3,IF($J608&gt;'02_Benchmarks'!$K608,2,IF($J608&gt;='02_Benchmarks'!$L608,0,IF($J608&gt;='02_Benchmarks'!$M608,-2,-3)))))))</x:f>
      </x:c>
      <x:c r="P608" s="58" t="str">
        <x:f>IF(COUNT($N608:$O608)+IF(ISNUMBER($K608),1,0)=0,"",MIN($N608:$O608,$K608))</x:f>
      </x:c>
      <x:c r="Q608" s="58" t="str">
        <x:f>IF($P608="","",INDEX('04_Tarifmodell'!$B$6:$B$12,$P608+4))</x:f>
      </x:c>
      <x:c r="R608" s="64" t="str">
        <x:f>IF($P608="","",INDEX('04_Tarifmodell'!$C$6:$C$12,$P608+4))</x:f>
      </x:c>
      <x:c r="S608" s="14" t="str">
        <x:f>IF(OR($I608="QUALITATIVE",$I608="MANUAL_HYBRID"),IF($K608="","Assurance-Score fehlt","Assurance-bewertet"),IF($I608="BENCHMARK",IF($W608&lt;&gt;"Aktiv",IF($K608="","Benchmark fehlt","Assurance-bewertet"),IF($J608="","Messwert fehlt",IF($P608="","Nicht bewertbar","Berechnet"))),IF(AND($J608="",$K608&lt;&gt;""),"Nur Assurance-Score",IF($J608="","Messwert fehlt",IF($P608="","Nicht bewertbar",IF($P608&lt;=-2,"Kritische Wirkung / Prüfung","Berechnet"))))))</x:f>
        <x:v>Messwert fehlt</x:v>
      </x:c>
      <x:c r="T608" s="14" t="str">
        <x:v>SROI/SDG 17 ist keine hinreichend konkrete Mess- oder Schwellenquelle. Vollständige fünfstufige numerische Regel.</x:v>
      </x:c>
      <x:c r="U608" s="14" t="str">
        <x:v>≥0,8:+3; 0,7–0,79:+2; 0,6–0,69:0; 0,5–0,59:‑2; &lt;0,5:‑3</x:v>
      </x:c>
      <x:c r="V608" s="14" t="str">
        <x:v>SDG 16/17, WJP, V‑Dem</x:v>
      </x:c>
      <x:c r="W608" s="14" t="str">
        <x:f>'02_Benchmarks'!$P608</x:f>
        <x:v>Optional – kein aktiver Benchmark</x:v>
      </x:c>
      <x:c r="X608" s="14" t="str">
        <x:v>Platzhalter – fachliche Operationalisierung offen</x:v>
      </x:c>
      <x:c r="Y608" s="14" t="str">
        <x:v>Kritisch</x:v>
      </x:c>
      <x:c r="Z608" s="14" t="str">
        <x:v>Arbeitskalibrierung – fachlich zu validieren</x:v>
      </x:c>
      <x:c r="AA608" s="14" t="str">
        <x:v>Programm/Portfolio/Systemraum; Empfängergruppe, Region und Zeitraum explizit definieren</x:v>
      </x:c>
      <x:c r="AB608" s="14" t="str">
        <x:v>Primärdaten bevorzugt; Sekundärdaten nur transparent und versioniert; Methode und Systemgrenze dokumentieren</x:v>
      </x:c>
      <x:c r="AC608" s="14" t="str">
        <x:v>Limited Assurance; risikobasiert höhere Prüftiefe</x:v>
      </x:c>
    </x:row>
    <x:row r="609" ht="42" customHeight="1">
      <x:c r="A609" s="14" t="str">
        <x:v>WOK-SYS-213</x:v>
      </x:c>
      <x:c r="B609" s="14" t="str">
        <x:v>SDG+ – Transparenz/Open Data</x:v>
      </x:c>
      <x:c r="C609" s="14" t="str">
        <x:v>—</x:v>
      </x:c>
      <x:c r="D609" s="14" t="str">
        <x:v>Maschinenlesbare Offenlegung</x:v>
      </x:c>
      <x:c r="E609" s="14" t="str">
        <x:v>Maschinenlesbare Offenlegung – Exposure</x:v>
      </x:c>
      <x:c r="F609" s="14" t="str">
        <x:v>%</x:v>
      </x:c>
      <x:c r="G609" s="14" t="str">
        <x:v>lower_is_better</x:v>
      </x:c>
      <x:c r="H609" s="14" t="str">
        <x:v>R13</x:v>
      </x:c>
      <x:c r="I609" s="14" t="str">
        <x:v>NUM_LOW</x:v>
      </x:c>
      <x:c r="J609" s="51"/>
      <x:c r="K609" s="51"/>
      <x:c r="L609" s="51"/>
      <x:c r="M609" s="54"/>
      <x:c r="N609" s="58" t="str">
        <x:f>IF($J609="","",IF($J609&lt;=5,3,IF($J609&lt;=10,2,IF($J609&lt;=20,0,IF($J609&lt;=30,-2,-3)))))</x:f>
      </x:c>
      <x:c r="O609" s="58" t="str">
        <x:f>IF($J609="","",IF(OR('02_Benchmarks'!$P609&lt;&gt;"Aktiv",COUNT('02_Benchmarks'!$J609:$M609)&lt;4),"",IF($G609="lower_is_better",IF($J609&lt;='02_Benchmarks'!$J609,3,IF($J609&lt;'02_Benchmarks'!$K609,2,IF($J609&lt;='02_Benchmarks'!$L609,0,IF($J609&lt;='02_Benchmarks'!$M609,-2,-3)))),IF($J609&gt;='02_Benchmarks'!$J609,3,IF($J609&gt;'02_Benchmarks'!$K609,2,IF($J609&gt;='02_Benchmarks'!$L609,0,IF($J609&gt;='02_Benchmarks'!$M609,-2,-3)))))))</x:f>
      </x:c>
      <x:c r="P609" s="58" t="str">
        <x:f>IF(COUNT($N609:$O609)+IF(ISNUMBER($K609),1,0)=0,"",MIN($N609:$O609,$K609))</x:f>
      </x:c>
      <x:c r="Q609" s="58" t="str">
        <x:f>IF($P609="","",INDEX('04_Tarifmodell'!$B$6:$B$12,$P609+4))</x:f>
      </x:c>
      <x:c r="R609" s="64" t="str">
        <x:f>IF($P609="","",INDEX('04_Tarifmodell'!$C$6:$C$12,$P609+4))</x:f>
      </x:c>
      <x:c r="S609" s="14" t="str">
        <x:f>IF(OR($I609="QUALITATIVE",$I609="MANUAL_HYBRID"),IF($K609="","Assurance-Score fehlt","Assurance-bewertet"),IF($I609="BENCHMARK",IF($W609&lt;&gt;"Aktiv",IF($K609="","Benchmark fehlt","Assurance-bewertet"),IF($J609="","Messwert fehlt",IF($P609="","Nicht bewertbar","Berechnet"))),IF(AND($J609="",$K609&lt;&gt;""),"Nur Assurance-Score",IF($J609="","Messwert fehlt",IF($P609="","Nicht bewertbar",IF($P609&lt;=-2,"Kritische Wirkung / Prüfung","Berechnet"))))))</x:f>
        <x:v>Messwert fehlt</x:v>
      </x:c>
      <x:c r="T609" s="14" t="str">
        <x:v>SROI/SDG 17 ist keine hinreichend konkrete Mess- oder Schwellenquelle. Vollständige fünfstufige numerische Regel.</x:v>
      </x:c>
      <x:c r="U609" s="14" t="str">
        <x:v>≤5:+3; 6–10:+2; 11–20:0; 21–30:‑2; &gt;30:‑3</x:v>
      </x:c>
      <x:c r="V609" s="14" t="str">
        <x:v>SROI/SDG17</x:v>
      </x:c>
      <x:c r="W609" s="14" t="str">
        <x:f>'02_Benchmarks'!$P609</x:f>
        <x:v>Optional – kein aktiver Benchmark</x:v>
      </x:c>
      <x:c r="X609" s="14" t="str">
        <x:v>Platzhalter – fachliche Operationalisierung offen</x:v>
      </x:c>
      <x:c r="Y609" s="14" t="str">
        <x:v>Kritisch</x:v>
      </x:c>
      <x:c r="Z609" s="14" t="str">
        <x:v>Arbeitskalibrierung – fachlich zu validieren</x:v>
      </x:c>
      <x:c r="AA609" s="14" t="str">
        <x:v>Programm/Portfolio/Systemraum; Empfängergruppe, Region und Zeitraum explizit definieren</x:v>
      </x:c>
      <x:c r="AB609" s="14" t="str">
        <x:v>Primärdaten bevorzugt; Sekundärdaten nur transparent und versioniert; Methode und Systemgrenze dokumentieren</x:v>
      </x:c>
      <x:c r="AC609" s="14" t="str">
        <x:v>Limited Assurance; risikobasiert höhere Prüftiefe</x:v>
      </x:c>
    </x:row>
    <x:row r="610" ht="42" customHeight="1">
      <x:c r="A610" s="14" t="str">
        <x:v>WOK-SYS-214</x:v>
      </x:c>
      <x:c r="B610" s="14" t="str">
        <x:v>SDG+ – Transparenz/Open Data</x:v>
      </x:c>
      <x:c r="C610" s="14" t="str">
        <x:v>—</x:v>
      </x:c>
      <x:c r="D610" s="14" t="str">
        <x:v>Maschinenlesbare Offenlegung</x:v>
      </x:c>
      <x:c r="E610" s="14" t="str">
        <x:v>Maschinenlesbare Offenlegung – Kooperationen</x:v>
      </x:c>
      <x:c r="F610" s="14" t="str">
        <x:v>#/Jahr</x:v>
      </x:c>
      <x:c r="G610" s="14" t="str">
        <x:v>higher_is_better</x:v>
      </x:c>
      <x:c r="H610" s="14" t="str">
        <x:v>R20</x:v>
      </x:c>
      <x:c r="I610" s="14" t="str">
        <x:v>NUM_HIGH</x:v>
      </x:c>
      <x:c r="J610" s="51"/>
      <x:c r="K610" s="51"/>
      <x:c r="L610" s="51"/>
      <x:c r="M610" s="54"/>
      <x:c r="N610" s="58" t="str">
        <x:f>IF($J610="","",IF($J610&lt;0,-3,IF($J610&lt;1,-2,IF($J610&lt;3,0,IF($J610&lt;5,2,3)))))</x:f>
      </x:c>
      <x:c r="O610" s="58" t="str">
        <x:f>IF($J610="","",IF(OR('02_Benchmarks'!$P610&lt;&gt;"Aktiv",COUNT('02_Benchmarks'!$J610:$M610)&lt;4),"",IF($G610="lower_is_better",IF($J610&lt;='02_Benchmarks'!$J610,3,IF($J610&lt;'02_Benchmarks'!$K610,2,IF($J610&lt;='02_Benchmarks'!$L610,0,IF($J610&lt;='02_Benchmarks'!$M610,-2,-3)))),IF($J610&gt;='02_Benchmarks'!$J610,3,IF($J610&gt;'02_Benchmarks'!$K610,2,IF($J610&gt;='02_Benchmarks'!$L610,0,IF($J610&gt;='02_Benchmarks'!$M610,-2,-3)))))))</x:f>
      </x:c>
      <x:c r="P610" s="58" t="str">
        <x:f>IF(COUNT($N610:$O610)+IF(ISNUMBER($K610),1,0)=0,"",MIN($N610:$O610,$K610))</x:f>
      </x:c>
      <x:c r="Q610" s="58" t="str">
        <x:f>IF($P610="","",INDEX('04_Tarifmodell'!$B$6:$B$12,$P610+4))</x:f>
      </x:c>
      <x:c r="R610" s="64" t="str">
        <x:f>IF($P610="","",INDEX('04_Tarifmodell'!$C$6:$C$12,$P610+4))</x:f>
      </x:c>
      <x:c r="S610" s="14" t="str">
        <x:f>IF(OR($I610="QUALITATIVE",$I610="MANUAL_HYBRID"),IF($K610="","Assurance-Score fehlt","Assurance-bewertet"),IF($I610="BENCHMARK",IF($W610&lt;&gt;"Aktiv",IF($K610="","Benchmark fehlt","Assurance-bewertet"),IF($J610="","Messwert fehlt",IF($P610="","Nicht bewertbar","Berechnet"))),IF(AND($J610="",$K610&lt;&gt;""),"Nur Assurance-Score",IF($J610="","Messwert fehlt",IF($P610="","Nicht bewertbar",IF($P610&lt;=-2,"Kritische Wirkung / Prüfung","Berechnet"))))))</x:f>
        <x:v>Messwert fehlt</x:v>
      </x:c>
      <x:c r="T610" s="14" t="str">
        <x:v>SROI/SDG 17 ist keine hinreichend konkrete Mess- oder Schwellenquelle. Für sachlogisch nichtnegative Zählwerte ist 0 die schlechteste reguläre Klasse (−2).</x:v>
      </x:c>
      <x:c r="U610" s="14" t="str">
        <x:v>≥5:+3; 3–4:+2; 1–2:0; 0:‑2</x:v>
      </x:c>
      <x:c r="V610" s="14" t="str">
        <x:v>SDG 16/17, WJP, V‑Dem</x:v>
      </x:c>
      <x:c r="W610" s="14" t="str">
        <x:f>'02_Benchmarks'!$P610</x:f>
        <x:v>Optional – kein aktiver Benchmark</x:v>
      </x:c>
      <x:c r="X610" s="14" t="str">
        <x:v>Platzhalter – fachliche Operationalisierung offen</x:v>
      </x:c>
      <x:c r="Y610" s="14" t="str">
        <x:v>Kritisch</x:v>
      </x:c>
      <x:c r="Z610" s="14" t="str">
        <x:v>Klasse −3 nur für negative/unzulässige Werte ergänzt</x:v>
      </x:c>
      <x:c r="AA610" s="14" t="str">
        <x:v>Programm/Portfolio/Systemraum; Empfängergruppe, Region und Zeitraum explizit definieren</x:v>
      </x:c>
      <x:c r="AB610" s="14" t="str">
        <x:v>Primärdaten bevorzugt; Sekundärdaten nur transparent und versioniert; Methode und Systemgrenze dokumentieren</x:v>
      </x:c>
      <x:c r="AC610" s="14" t="str">
        <x:v>Limited Assurance; risikobasiert höhere Prüftiefe</x:v>
      </x:c>
    </x:row>
    <x:row r="611" ht="42" customHeight="1">
      <x:c r="A611" s="14" t="str">
        <x:v>WOK-G-242</x:v>
      </x:c>
      <x:c r="B611" s="14" t="str">
        <x:v>SDG+ – Transparenz/Open Data</x:v>
      </x:c>
      <x:c r="C611" s="14" t="str">
        <x:v>—</x:v>
      </x:c>
      <x:c r="D611" s="14" t="str">
        <x:v>Steuer‑ &amp; Finanztransparenz</x:v>
      </x:c>
      <x:c r="E611" s="14" t="str">
        <x:v>Steuer‑ &amp; Finanztransparenz – Antikorruption</x:v>
      </x:c>
      <x:c r="F611" s="14" t="str">
        <x:v>Fälle/1.000 FTE</x:v>
      </x:c>
      <x:c r="G611" s="14" t="str">
        <x:v>lower_is_better</x:v>
      </x:c>
      <x:c r="H611" s="14" t="str">
        <x:v>R01</x:v>
      </x:c>
      <x:c r="I611" s="14" t="str">
        <x:v>NUM_LOW</x:v>
      </x:c>
      <x:c r="J611" s="51"/>
      <x:c r="K611" s="51"/>
      <x:c r="L611" s="51"/>
      <x:c r="M611" s="54"/>
      <x:c r="N611" s="58" t="str">
        <x:f>IF($J611="","",IF($J611&lt;=0,3,IF($J611&lt;=0.2,2,IF($J611&lt;=0.5,0,IF($J611&lt;=1,-2,-3)))))</x:f>
      </x:c>
      <x:c r="O611" s="58" t="str">
        <x:f>IF($J611="","",IF(OR('02_Benchmarks'!$P611&lt;&gt;"Aktiv",COUNT('02_Benchmarks'!$J611:$M611)&lt;4),"",IF($G611="lower_is_better",IF($J611&lt;='02_Benchmarks'!$J611,3,IF($J611&lt;'02_Benchmarks'!$K611,2,IF($J611&lt;='02_Benchmarks'!$L611,0,IF($J611&lt;='02_Benchmarks'!$M611,-2,-3)))),IF($J611&gt;='02_Benchmarks'!$J611,3,IF($J611&gt;'02_Benchmarks'!$K611,2,IF($J611&gt;='02_Benchmarks'!$L611,0,IF($J611&gt;='02_Benchmarks'!$M611,-2,-3)))))))</x:f>
      </x:c>
      <x:c r="P611" s="58" t="str">
        <x:f>IF(COUNT($N611:$O611)+IF(ISNUMBER($K611),1,0)=0,"",MIN($N611:$O611,$K611))</x:f>
      </x:c>
      <x:c r="Q611" s="58" t="str">
        <x:f>IF($P611="","",INDEX('04_Tarifmodell'!$B$6:$B$12,$P611+4))</x:f>
      </x:c>
      <x:c r="R611" s="64" t="str">
        <x:f>IF($P611="","",INDEX('04_Tarifmodell'!$C$6:$C$12,$P611+4))</x:f>
      </x:c>
      <x:c r="S611" s="14" t="str">
        <x:f>IF(OR($I611="QUALITATIVE",$I611="MANUAL_HYBRID"),IF($K611="","Assurance-Score fehlt","Assurance-bewertet"),IF($I611="BENCHMARK",IF($W611&lt;&gt;"Aktiv",IF($K611="","Benchmark fehlt","Assurance-bewertet"),IF($J611="","Messwert fehlt",IF($P611="","Nicht bewertbar","Berechnet"))),IF(AND($J611="",$K611&lt;&gt;""),"Nur Assurance-Score",IF($J611="","Messwert fehlt",IF($P611="","Nicht bewertbar",IF($P611&lt;=-2,"Kritische Wirkung / Prüfung","Berechnet"))))))</x:f>
        <x:v>Messwert fehlt</x:v>
      </x:c>
      <x:c r="T611" s="14" t="str">
        <x:v>Vollständige fünfstufige numerische Regel.</x:v>
      </x:c>
      <x:c r="U611" s="14" t="str">
        <x:v>0:+3; ≤0,2:+2; ≤0,5:0; ≤1:‑2; &gt;1:‑3</x:v>
      </x:c>
      <x:c r="V611" s="14" t="str">
        <x:v>ESRS G1, GRI 205/207, OECD Anti‑Bribery</x:v>
      </x:c>
      <x:c r="W611" s="14" t="str">
        <x:f>'02_Benchmarks'!$P611</x:f>
        <x:v>Optional – kein aktiver Benchmark</x:v>
      </x:c>
      <x:c r="X611" s="14" t="str">
        <x:v>Messgrundlage belegt; Schwellenkalibrierung offen</x:v>
      </x:c>
      <x:c r="Y611" s="14" t="str">
        <x:v>Mittel</x:v>
      </x:c>
      <x:c r="Z611" s="14" t="str">
        <x:v>Arbeitskalibrierung – fachlich zu validieren</x:v>
      </x:c>
      <x:c r="AA611" s="14" t="str">
        <x:v>Organisation/Governance; konsolidierter Kreis und relevante Rechtseinheiten</x:v>
      </x:c>
      <x:c r="AB611" s="14" t="str">
        <x:v>Primärdaten bevorzugt; Sekundärdaten nur transparent und versioniert; Methode und Systemgrenze dokumentieren</x:v>
      </x:c>
      <x:c r="AC611" s="14" t="str">
        <x:v>Limited Assurance; risikobasiert höhere Prüftiefe</x:v>
      </x:c>
    </x:row>
    <x:row r="612" ht="42" customHeight="1">
      <x:c r="A612" s="14" t="str">
        <x:v>WOK-G-243</x:v>
      </x:c>
      <x:c r="B612" s="14" t="str">
        <x:v>SDG+ – Transparenz/Open Data</x:v>
      </x:c>
      <x:c r="C612" s="14" t="str">
        <x:v>—</x:v>
      </x:c>
      <x:c r="D612" s="14" t="str">
        <x:v>Steuer‑ &amp; Finanztransparenz</x:v>
      </x:c>
      <x:c r="E612" s="14" t="str">
        <x:v>Steuer‑ &amp; Finanztransparenz – Whistleblowing</x:v>
      </x:c>
      <x:c r="F612" s="14" t="str">
        <x:v>0–1</x:v>
      </x:c>
      <x:c r="G612" s="14" t="str">
        <x:v>higher_is_better</x:v>
      </x:c>
      <x:c r="H612" s="14" t="str">
        <x:v>R16</x:v>
      </x:c>
      <x:c r="I612" s="14" t="str">
        <x:v>NUM_HIGH</x:v>
      </x:c>
      <x:c r="J612" s="51"/>
      <x:c r="K612" s="51"/>
      <x:c r="L612" s="51"/>
      <x:c r="M612" s="54"/>
      <x:c r="N612" s="58" t="str">
        <x:f>IF($J612="","",IF($J612&lt;0.4,-3,IF($J612&lt;0.6,-2,IF($J612&lt;0.75,0,IF($J612&lt;0.9,2,3)))))</x:f>
      </x:c>
      <x:c r="O612" s="58" t="str">
        <x:f>IF($J612="","",IF(OR('02_Benchmarks'!$P612&lt;&gt;"Aktiv",COUNT('02_Benchmarks'!$J612:$M612)&lt;4),"",IF($G612="lower_is_better",IF($J612&lt;='02_Benchmarks'!$J612,3,IF($J612&lt;'02_Benchmarks'!$K612,2,IF($J612&lt;='02_Benchmarks'!$L612,0,IF($J612&lt;='02_Benchmarks'!$M612,-2,-3)))),IF($J612&gt;='02_Benchmarks'!$J612,3,IF($J612&gt;'02_Benchmarks'!$K612,2,IF($J612&gt;='02_Benchmarks'!$L612,0,IF($J612&gt;='02_Benchmarks'!$M612,-2,-3)))))))</x:f>
      </x:c>
      <x:c r="P612" s="58" t="str">
        <x:f>IF(COUNT($N612:$O612)+IF(ISNUMBER($K612),1,0)=0,"",MIN($N612:$O612,$K612))</x:f>
      </x:c>
      <x:c r="Q612" s="58" t="str">
        <x:f>IF($P612="","",INDEX('04_Tarifmodell'!$B$6:$B$12,$P612+4))</x:f>
      </x:c>
      <x:c r="R612" s="64" t="str">
        <x:f>IF($P612="","",INDEX('04_Tarifmodell'!$C$6:$C$12,$P612+4))</x:f>
      </x:c>
      <x:c r="S612" s="14" t="str">
        <x:f>IF(OR($I612="QUALITATIVE",$I612="MANUAL_HYBRID"),IF($K612="","Assurance-Score fehlt","Assurance-bewertet"),IF($I612="BENCHMARK",IF($W612&lt;&gt;"Aktiv",IF($K612="","Benchmark fehlt","Assurance-bewertet"),IF($J612="","Messwert fehlt",IF($P612="","Nicht bewertbar","Berechnet"))),IF(AND($J612="",$K612&lt;&gt;""),"Nur Assurance-Score",IF($J612="","Messwert fehlt",IF($P612="","Nicht bewertbar",IF($P612&lt;=-2,"Kritische Wirkung / Prüfung","Berechnet"))))))</x:f>
        <x:v>Messwert fehlt</x:v>
      </x:c>
      <x:c r="T612" s="14" t="str">
        <x:v>Vollständige fünfstufige numerische Regel.</x:v>
      </x:c>
      <x:c r="U612" s="14" t="str">
        <x:v>≥0,9:+3; 0,75–0,89:+2; 0,6–0,74:0; 0,4–0,59:‑2; &lt;0,4:‑3</x:v>
      </x:c>
      <x:c r="V612" s="14" t="str">
        <x:v>ESRS G1, GRI 205/207, OECD Anti‑Bribery</x:v>
      </x:c>
      <x:c r="W612" s="14" t="str">
        <x:f>'02_Benchmarks'!$P612</x:f>
        <x:v>Optional – kein aktiver Benchmark</x:v>
      </x:c>
      <x:c r="X612" s="14" t="str">
        <x:v>Messgrundlage belegt; Schwellenkalibrierung offen</x:v>
      </x:c>
      <x:c r="Y612" s="14" t="str">
        <x:v>Mittel</x:v>
      </x:c>
      <x:c r="Z612" s="14" t="str">
        <x:v>Arbeitskalibrierung – fachlich zu validieren</x:v>
      </x:c>
      <x:c r="AA612" s="14" t="str">
        <x:v>Organisation/Governance; konsolidierter Kreis und relevante Rechtseinheiten</x:v>
      </x:c>
      <x:c r="AB612" s="14" t="str">
        <x:v>Primärdaten bevorzugt; Sekundärdaten nur transparent und versioniert; Methode und Systemgrenze dokumentieren</x:v>
      </x:c>
      <x:c r="AC612" s="14" t="str">
        <x:v>Limited Assurance; risikobasiert höhere Prüftiefe</x:v>
      </x:c>
    </x:row>
    <x:row r="613" ht="42" customHeight="1">
      <x:c r="A613" s="14" t="str">
        <x:v>WOK-G-244</x:v>
      </x:c>
      <x:c r="B613" s="14" t="str">
        <x:v>SDG+ – Transparenz/Open Data</x:v>
      </x:c>
      <x:c r="C613" s="14" t="str">
        <x:v>—</x:v>
      </x:c>
      <x:c r="D613" s="14" t="str">
        <x:v>Steuer‑ &amp; Finanztransparenz</x:v>
      </x:c>
      <x:c r="E613" s="14" t="str">
        <x:v>Steuer‑ &amp; Finanztransparenz – Steuertransparenz</x:v>
      </x:c>
      <x:c r="F613" s="14" t="str">
        <x:v>0–1</x:v>
      </x:c>
      <x:c r="G613" s="14" t="str">
        <x:v>higher_is_better</x:v>
      </x:c>
      <x:c r="H613" s="14" t="str">
        <x:v>R08</x:v>
      </x:c>
      <x:c r="I613" s="14" t="str">
        <x:v>QUALITATIVE</x:v>
      </x:c>
      <x:c r="J613" s="51"/>
      <x:c r="K613" s="51"/>
      <x:c r="L613" s="51"/>
      <x:c r="M613" s="54"/>
      <x:c r="N613" s="58" t="str">
        <x:f>""</x:f>
      </x:c>
      <x:c r="O613" s="58" t="str">
        <x:f>IF($J613="","",IF(OR('02_Benchmarks'!$P613&lt;&gt;"Aktiv",COUNT('02_Benchmarks'!$J613:$M613)&lt;4),"",IF($G613="lower_is_better",IF($J613&lt;='02_Benchmarks'!$J613,3,IF($J613&lt;'02_Benchmarks'!$K613,2,IF($J613&lt;='02_Benchmarks'!$L613,0,IF($J613&lt;='02_Benchmarks'!$M613,-2,-3)))),IF($J613&gt;='02_Benchmarks'!$J613,3,IF($J613&gt;'02_Benchmarks'!$K613,2,IF($J613&gt;='02_Benchmarks'!$L613,0,IF($J613&gt;='02_Benchmarks'!$M613,-2,-3)))))))</x:f>
      </x:c>
      <x:c r="P613" s="58" t="str">
        <x:f>IF(COUNT($N613:$O613)+IF(ISNUMBER($K613),1,0)=0,"",MIN($N613:$O613,$K613))</x:f>
      </x:c>
      <x:c r="Q613" s="58" t="str">
        <x:f>IF($P613="","",INDEX('04_Tarifmodell'!$B$6:$B$12,$P613+4))</x:f>
      </x:c>
      <x:c r="R613" s="64" t="str">
        <x:f>IF($P613="","",INDEX('04_Tarifmodell'!$C$6:$C$12,$P613+4))</x:f>
      </x:c>
      <x:c r="S613" s="14" t="str">
        <x:f>IF(OR($I613="QUALITATIVE",$I613="MANUAL_HYBRID"),IF($K613="","Assurance-Score fehlt","Assurance-bewertet"),IF($I613="BENCHMARK",IF($W613&lt;&gt;"Aktiv",IF($K613="","Benchmark fehlt","Assurance-bewertet"),IF($J613="","Messwert fehlt",IF($P613="","Nicht bewertbar","Berechnet"))),IF(AND($J613="",$K613&lt;&gt;""),"Nur Assurance-Score",IF($J613="","Messwert fehlt",IF($P613="","Nicht bewertbar",IF($P613&lt;=-2,"Kritische Wirkung / Prüfung","Berechnet"))))))</x:f>
        <x:v>Assurance-Score fehlt</x:v>
      </x:c>
      <x:c r="T613" s="14" t="str">
        <x:v>Die Kategorie −3 fehlt; Vollständigkeit und Wirksamkeit sind feldspezifisch zu definieren.</x:v>
      </x:c>
      <x:c r="U613" s="14" t="str">
        <x:v>vollständig:+3; teilweise:+2; minimal:0; schlecht:‑2</x:v>
      </x:c>
      <x:c r="V613" s="14" t="str">
        <x:v>ESRS G1, GRI 205/207, OECD Anti‑Bribery</x:v>
      </x:c>
      <x:c r="W613" s="14" t="str">
        <x:f>'02_Benchmarks'!$P613</x:f>
        <x:v>Optional – kein aktiver Benchmark</x:v>
      </x:c>
      <x:c r="X613" s="14" t="str">
        <x:v>Messgrundlage belegt; Schwellenkalibrierung offen</x:v>
      </x:c>
      <x:c r="Y613" s="14" t="str">
        <x:v>Hoch</x:v>
      </x:c>
      <x:c r="Z613" s="14" t="str">
        <x:v>Assurance und Kriterienkatalog erforderlich</x:v>
      </x:c>
      <x:c r="AA613" s="14" t="str">
        <x:v>Organisation/Governance; konsolidierter Kreis und relevante Rechtseinheiten</x:v>
      </x:c>
      <x:c r="AB613" s="14" t="str">
        <x:v>Dokumentierter Kriterienkatalog; nachvollziehbare Evidenz; DQR A/B bevorzugt</x:v>
      </x:c>
      <x:c r="AC613" s="14" t="str">
        <x:v>Unabhängige Fachprüfung/Limited Assurance; bei roten Linien Reasonable Assurance</x:v>
      </x:c>
    </x:row>
    <x:row r="614" ht="42" customHeight="1">
      <x:c r="A614" s="14" t="str">
        <x:v>WOK-SC-170</x:v>
      </x:c>
      <x:c r="B614" s="14" t="str">
        <x:v>SDG+ – Transparenz/Open Data</x:v>
      </x:c>
      <x:c r="C614" s="14" t="str">
        <x:v>—</x:v>
      </x:c>
      <x:c r="D614" s="14" t="str">
        <x:v>Lieferkette Daten‑Coverage</x:v>
      </x:c>
      <x:c r="E614" s="14" t="str">
        <x:v>Lieferkette Daten‑Coverage – ESG‑Spend‑Coverage</x:v>
      </x:c>
      <x:c r="F614" s="14" t="str">
        <x:v>%</x:v>
      </x:c>
      <x:c r="G614" s="14" t="str">
        <x:v>higher_is_better</x:v>
      </x:c>
      <x:c r="H614" s="14" t="str">
        <x:v>R26</x:v>
      </x:c>
      <x:c r="I614" s="14" t="str">
        <x:v>NUM_HIGH</x:v>
      </x:c>
      <x:c r="J614" s="51"/>
      <x:c r="K614" s="51"/>
      <x:c r="L614" s="51"/>
      <x:c r="M614" s="54"/>
      <x:c r="N614" s="58" t="str">
        <x:f>IF($J614="","",IF($J614&lt;30,-3,IF($J614&lt;50,-2,IF($J614&lt;70,0,IF($J614&lt;90,2,3)))))</x:f>
      </x:c>
      <x:c r="O614" s="58" t="str">
        <x:f>IF($J614="","",IF(OR('02_Benchmarks'!$P614&lt;&gt;"Aktiv",COUNT('02_Benchmarks'!$J614:$M614)&lt;4),"",IF($G614="lower_is_better",IF($J614&lt;='02_Benchmarks'!$J614,3,IF($J614&lt;'02_Benchmarks'!$K614,2,IF($J614&lt;='02_Benchmarks'!$L614,0,IF($J614&lt;='02_Benchmarks'!$M614,-2,-3)))),IF($J614&gt;='02_Benchmarks'!$J614,3,IF($J614&gt;'02_Benchmarks'!$K614,2,IF($J614&gt;='02_Benchmarks'!$L614,0,IF($J614&gt;='02_Benchmarks'!$M614,-2,-3)))))))</x:f>
      </x:c>
      <x:c r="P614" s="58" t="str">
        <x:f>IF(COUNT($N614:$O614)+IF(ISNUMBER($K614),1,0)=0,"",MIN($N614:$O614,$K614))</x:f>
      </x:c>
      <x:c r="Q614" s="58" t="str">
        <x:f>IF($P614="","",INDEX('04_Tarifmodell'!$B$6:$B$12,$P614+4))</x:f>
      </x:c>
      <x:c r="R614" s="64" t="str">
        <x:f>IF($P614="","",INDEX('04_Tarifmodell'!$C$6:$C$12,$P614+4))</x:f>
      </x:c>
      <x:c r="S614" s="14" t="str">
        <x:f>IF(OR($I614="QUALITATIVE",$I614="MANUAL_HYBRID"),IF($K614="","Assurance-Score fehlt","Assurance-bewertet"),IF($I614="BENCHMARK",IF($W614&lt;&gt;"Aktiv",IF($K614="","Benchmark fehlt","Assurance-bewertet"),IF($J614="","Messwert fehlt",IF($P614="","Nicht bewertbar","Berechnet"))),IF(AND($J614="",$K614&lt;&gt;""),"Nur Assurance-Score",IF($J614="","Messwert fehlt",IF($P614="","Nicht bewertbar",IF($P614&lt;=-2,"Kritische Wirkung / Prüfung","Berechnet"))))))</x:f>
        <x:v>Messwert fehlt</x:v>
      </x:c>
      <x:c r="T614" s="14" t="str">
        <x:v>Vollständige fünfstufige numerische Regel.</x:v>
      </x:c>
      <x:c r="U614" s="14" t="str">
        <x:v>≥90:+3; 70–89:+2; 50–69:0; 30–49:‑2; &lt;30:‑3</x:v>
      </x:c>
      <x:c r="V614" s="14" t="str">
        <x:v>ESRS S2, GRI 308/414, OECD Due Diligence</x:v>
      </x:c>
      <x:c r="W614" s="14" t="str">
        <x:f>'02_Benchmarks'!$P614</x:f>
        <x:v>Optional – kein aktiver Benchmark</x:v>
      </x:c>
      <x:c r="X614" s="14" t="str">
        <x:v>Messgrundlage belegt; Schwellenkalibrierung offen</x:v>
      </x:c>
      <x:c r="Y614" s="14" t="str">
        <x:v>Mittel</x:v>
      </x:c>
      <x:c r="Z614" s="14" t="str">
        <x:v>Arbeitskalibrierung – fachlich zu validieren</x:v>
      </x:c>
      <x:c r="AA614" s="14" t="str">
        <x:v>Vorgelagerte Lieferkette; relevante Tier-Stufen und Beschaffungsvolumen</x:v>
      </x:c>
      <x:c r="AB614" s="14" t="str">
        <x:v>Primärdaten bevorzugt; Sekundärdaten nur transparent und versioniert; Methode und Systemgrenze dokumentieren</x:v>
      </x:c>
      <x:c r="AC614" s="14" t="str">
        <x:v>Limited Assurance; risikobasiert höhere Prüftiefe</x:v>
      </x:c>
    </x:row>
    <x:row r="615" ht="42" customHeight="1">
      <x:c r="A615" s="14" t="str">
        <x:v>WOK-SC-171</x:v>
      </x:c>
      <x:c r="B615" s="14" t="str">
        <x:v>SDG+ – Transparenz/Open Data</x:v>
      </x:c>
      <x:c r="C615" s="14" t="str">
        <x:v>—</x:v>
      </x:c>
      <x:c r="D615" s="14" t="str">
        <x:v>Lieferkette Daten‑Coverage</x:v>
      </x:c>
      <x:c r="E615" s="14" t="str">
        <x:v>Lieferkette Daten‑Coverage – Kinder/Zwangsarbeit</x:v>
      </x:c>
      <x:c r="F615" s="14" t="str">
        <x:v>% Lieferanten</x:v>
      </x:c>
      <x:c r="G615" s="14" t="str">
        <x:v>higher_is_better</x:v>
      </x:c>
      <x:c r="H615" s="14" t="str">
        <x:v>R28</x:v>
      </x:c>
      <x:c r="I615" s="14" t="str">
        <x:v>NUM_HIGH</x:v>
      </x:c>
      <x:c r="J615" s="51"/>
      <x:c r="K615" s="51"/>
      <x:c r="L615" s="51"/>
      <x:c r="M615" s="54"/>
      <x:c r="N615" s="58" t="str">
        <x:f>IF($J615="","",IF($J615&lt;50,-3,IF($J615&lt;75,-2,IF($J615&lt;90,0,IF($J615&lt;98,2,3)))))</x:f>
      </x:c>
      <x:c r="O615" s="58" t="str">
        <x:f>IF($J615="","",IF(OR('02_Benchmarks'!$P615&lt;&gt;"Aktiv",COUNT('02_Benchmarks'!$J615:$M615)&lt;4),"",IF($G615="lower_is_better",IF($J615&lt;='02_Benchmarks'!$J615,3,IF($J615&lt;'02_Benchmarks'!$K615,2,IF($J615&lt;='02_Benchmarks'!$L615,0,IF($J615&lt;='02_Benchmarks'!$M615,-2,-3)))),IF($J615&gt;='02_Benchmarks'!$J615,3,IF($J615&gt;'02_Benchmarks'!$K615,2,IF($J615&gt;='02_Benchmarks'!$L615,0,IF($J615&gt;='02_Benchmarks'!$M615,-2,-3)))))))</x:f>
      </x:c>
      <x:c r="P615" s="58" t="str">
        <x:f>IF(COUNT($N615:$O615)+IF(ISNUMBER($K615),1,0)=0,"",MIN($N615:$O615,$K615))</x:f>
      </x:c>
      <x:c r="Q615" s="58" t="str">
        <x:f>IF($P615="","",INDEX('04_Tarifmodell'!$B$6:$B$12,$P615+4))</x:f>
      </x:c>
      <x:c r="R615" s="64" t="str">
        <x:f>IF($P615="","",INDEX('04_Tarifmodell'!$C$6:$C$12,$P615+4))</x:f>
      </x:c>
      <x:c r="S615" s="14" t="str">
        <x:f>IF(OR($I615="QUALITATIVE",$I615="MANUAL_HYBRID"),IF($K615="","Assurance-Score fehlt","Assurance-bewertet"),IF($I615="BENCHMARK",IF($W615&lt;&gt;"Aktiv",IF($K615="","Benchmark fehlt","Assurance-bewertet"),IF($J615="","Messwert fehlt",IF($P615="","Nicht bewertbar","Berechnet"))),IF(AND($J615="",$K615&lt;&gt;""),"Nur Assurance-Score",IF($J615="","Messwert fehlt",IF($P615="","Nicht bewertbar",IF($P615&lt;=-2,"Kritische Wirkung / Prüfung","Berechnet"))))))</x:f>
        <x:v>Messwert fehlt</x:v>
      </x:c>
      <x:c r="T615" s="14" t="str">
        <x:v>Vollständige fünfstufige numerische Regel.</x:v>
      </x:c>
      <x:c r="U615" s="14" t="str">
        <x:v>≥98:+3; 90–97:+2; 75–89:0; 50–74:‑2; &lt;50:‑3</x:v>
      </x:c>
      <x:c r="V615" s="14" t="str">
        <x:v>ESRS S2, GRI 308/414, OECD Due Diligence</x:v>
      </x:c>
      <x:c r="W615" s="14" t="str">
        <x:f>'02_Benchmarks'!$P615</x:f>
        <x:v>Optional – kein aktiver Benchmark</x:v>
      </x:c>
      <x:c r="X615" s="14" t="str">
        <x:v>Messgrundlage belegt; Schwellenkalibrierung offen</x:v>
      </x:c>
      <x:c r="Y615" s="14" t="str">
        <x:v>Mittel</x:v>
      </x:c>
      <x:c r="Z615" s="14" t="str">
        <x:v>Arbeitskalibrierung – fachlich zu validieren</x:v>
      </x:c>
      <x:c r="AA615" s="14" t="str">
        <x:v>Vorgelagerte Lieferkette; relevante Tier-Stufen und Beschaffungsvolumen</x:v>
      </x:c>
      <x:c r="AB615" s="14" t="str">
        <x:v>Primärdaten bevorzugt; Sekundärdaten nur transparent und versioniert; Methode und Systemgrenze dokumentieren</x:v>
      </x:c>
      <x:c r="AC615" s="14" t="str">
        <x:v>Limited Assurance; risikobasiert höhere Prüftiefe</x:v>
      </x:c>
    </x:row>
    <x:row r="616" ht="42" customHeight="1">
      <x:c r="A616" s="14" t="str">
        <x:v>WOK-SC-172</x:v>
      </x:c>
      <x:c r="B616" s="14" t="str">
        <x:v>SDG+ – Transparenz/Open Data</x:v>
      </x:c>
      <x:c r="C616" s="14" t="str">
        <x:v>—</x:v>
      </x:c>
      <x:c r="D616" s="14" t="str">
        <x:v>Lieferkette Daten‑Coverage</x:v>
      </x:c>
      <x:c r="E616" s="14" t="str">
        <x:v>Lieferkette Daten‑Coverage – Scope‑3 Daten</x:v>
      </x:c>
      <x:c r="F616" s="14" t="str">
        <x:v>% Kategorien</x:v>
      </x:c>
      <x:c r="G616" s="14" t="str">
        <x:v>higher_is_better</x:v>
      </x:c>
      <x:c r="H616" s="14" t="str">
        <x:v>R23</x:v>
      </x:c>
      <x:c r="I616" s="14" t="str">
        <x:v>NUM_HIGH</x:v>
      </x:c>
      <x:c r="J616" s="51"/>
      <x:c r="K616" s="51"/>
      <x:c r="L616" s="51"/>
      <x:c r="M616" s="54"/>
      <x:c r="N616" s="58" t="str">
        <x:f>IF($J616="","",IF($J616&lt;20,-3,IF($J616&lt;40,-2,IF($J616&lt;60,0,IF($J616&lt;80,2,3)))))</x:f>
      </x:c>
      <x:c r="O616" s="58" t="str">
        <x:f>IF($J616="","",IF(OR('02_Benchmarks'!$P616&lt;&gt;"Aktiv",COUNT('02_Benchmarks'!$J616:$M616)&lt;4),"",IF($G616="lower_is_better",IF($J616&lt;='02_Benchmarks'!$J616,3,IF($J616&lt;'02_Benchmarks'!$K616,2,IF($J616&lt;='02_Benchmarks'!$L616,0,IF($J616&lt;='02_Benchmarks'!$M616,-2,-3)))),IF($J616&gt;='02_Benchmarks'!$J616,3,IF($J616&gt;'02_Benchmarks'!$K616,2,IF($J616&gt;='02_Benchmarks'!$L616,0,IF($J616&gt;='02_Benchmarks'!$M616,-2,-3)))))))</x:f>
      </x:c>
      <x:c r="P616" s="58" t="str">
        <x:f>IF(COUNT($N616:$O616)+IF(ISNUMBER($K616),1,0)=0,"",MIN($N616:$O616,$K616))</x:f>
      </x:c>
      <x:c r="Q616" s="58" t="str">
        <x:f>IF($P616="","",INDEX('04_Tarifmodell'!$B$6:$B$12,$P616+4))</x:f>
      </x:c>
      <x:c r="R616" s="64" t="str">
        <x:f>IF($P616="","",INDEX('04_Tarifmodell'!$C$6:$C$12,$P616+4))</x:f>
      </x:c>
      <x:c r="S616" s="14" t="str">
        <x:f>IF(OR($I616="QUALITATIVE",$I616="MANUAL_HYBRID"),IF($K616="","Assurance-Score fehlt","Assurance-bewertet"),IF($I616="BENCHMARK",IF($W616&lt;&gt;"Aktiv",IF($K616="","Benchmark fehlt","Assurance-bewertet"),IF($J616="","Messwert fehlt",IF($P616="","Nicht bewertbar","Berechnet"))),IF(AND($J616="",$K616&lt;&gt;""),"Nur Assurance-Score",IF($J616="","Messwert fehlt",IF($P616="","Nicht bewertbar",IF($P616&lt;=-2,"Kritische Wirkung / Prüfung","Berechnet"))))))</x:f>
        <x:v>Messwert fehlt</x:v>
      </x:c>
      <x:c r="T616" s="14" t="str">
        <x:v>Vollständige fünfstufige numerische Regel.</x:v>
      </x:c>
      <x:c r="U616" s="14" t="str">
        <x:v>≥80:+3; 60–79:+2; 40–59:0; 20–39:‑2; &lt;20:‑3</x:v>
      </x:c>
      <x:c r="V616" s="14" t="str">
        <x:v>ESRS E1, GHG Protocol (Corporate/Scope 1–3), ISO 14064/14067</x:v>
      </x:c>
      <x:c r="W616" s="14" t="str">
        <x:f>'02_Benchmarks'!$P616</x:f>
        <x:v>Optional – kein aktiver Benchmark</x:v>
      </x:c>
      <x:c r="X616" s="14" t="str">
        <x:v>Messgrundlage belegt; Schwellenkalibrierung offen</x:v>
      </x:c>
      <x:c r="Y616" s="14" t="str">
        <x:v>Mittel</x:v>
      </x:c>
      <x:c r="Z616" s="14" t="str">
        <x:v>Arbeitskalibrierung – fachlich zu validieren</x:v>
      </x:c>
      <x:c r="AA616" s="14" t="str">
        <x:v>Vorgelagerte Lieferkette; relevante Tier-Stufen und Beschaffungsvolumen</x:v>
      </x:c>
      <x:c r="AB616" s="14" t="str">
        <x:v>Primärdaten bevorzugt; Sekundärdaten nur transparent und versioniert; Methode und Systemgrenze dokumentieren</x:v>
      </x:c>
      <x:c r="AC616" s="14" t="str">
        <x:v>Limited Assurance; risikobasiert höhere Prüftiefe</x:v>
      </x:c>
    </x:row>
    <x:row r="617" ht="42" customHeight="1">
      <x:c r="A617" s="14" t="str">
        <x:v>WOK-SYS-215</x:v>
      </x:c>
      <x:c r="B617" s="14" t="str">
        <x:v>SDG+ – Transparenz/Open Data</x:v>
      </x:c>
      <x:c r="C617" s="14" t="str">
        <x:v>—</x:v>
      </x:c>
      <x:c r="D617" s="14" t="str">
        <x:v>Impact‑APIs/Standards</x:v>
      </x:c>
      <x:c r="E617" s="14" t="str">
        <x:v>Impact‑APIs/Standards – Index</x:v>
      </x:c>
      <x:c r="F617" s="14" t="str">
        <x:v>0–1</x:v>
      </x:c>
      <x:c r="G617" s="14" t="str">
        <x:v>higher_is_better</x:v>
      </x:c>
      <x:c r="H617" s="14" t="str">
        <x:v>R15</x:v>
      </x:c>
      <x:c r="I617" s="14" t="str">
        <x:v>NUM_HIGH</x:v>
      </x:c>
      <x:c r="J617" s="51"/>
      <x:c r="K617" s="51"/>
      <x:c r="L617" s="51"/>
      <x:c r="M617" s="54"/>
      <x:c r="N617" s="58" t="str">
        <x:f>IF($J617="","",IF($J617&lt;0.5,-3,IF($J617&lt;0.6,-2,IF($J617&lt;0.7,0,IF($J617&lt;0.8,2,3)))))</x:f>
      </x:c>
      <x:c r="O617" s="58" t="str">
        <x:f>IF($J617="","",IF(OR('02_Benchmarks'!$P617&lt;&gt;"Aktiv",COUNT('02_Benchmarks'!$J617:$M617)&lt;4),"",IF($G617="lower_is_better",IF($J617&lt;='02_Benchmarks'!$J617,3,IF($J617&lt;'02_Benchmarks'!$K617,2,IF($J617&lt;='02_Benchmarks'!$L617,0,IF($J617&lt;='02_Benchmarks'!$M617,-2,-3)))),IF($J617&gt;='02_Benchmarks'!$J617,3,IF($J617&gt;'02_Benchmarks'!$K617,2,IF($J617&gt;='02_Benchmarks'!$L617,0,IF($J617&gt;='02_Benchmarks'!$M617,-2,-3)))))))</x:f>
      </x:c>
      <x:c r="P617" s="58" t="str">
        <x:f>IF(COUNT($N617:$O617)+IF(ISNUMBER($K617),1,0)=0,"",MIN($N617:$O617,$K617))</x:f>
      </x:c>
      <x:c r="Q617" s="58" t="str">
        <x:f>IF($P617="","",INDEX('04_Tarifmodell'!$B$6:$B$12,$P617+4))</x:f>
      </x:c>
      <x:c r="R617" s="64" t="str">
        <x:f>IF($P617="","",INDEX('04_Tarifmodell'!$C$6:$C$12,$P617+4))</x:f>
      </x:c>
      <x:c r="S617" s="14" t="str">
        <x:f>IF(OR($I617="QUALITATIVE",$I617="MANUAL_HYBRID"),IF($K617="","Assurance-Score fehlt","Assurance-bewertet"),IF($I617="BENCHMARK",IF($W617&lt;&gt;"Aktiv",IF($K617="","Benchmark fehlt","Assurance-bewertet"),IF($J617="","Messwert fehlt",IF($P617="","Nicht bewertbar","Berechnet"))),IF(AND($J617="",$K617&lt;&gt;""),"Nur Assurance-Score",IF($J617="","Messwert fehlt",IF($P617="","Nicht bewertbar",IF($P617&lt;=-2,"Kritische Wirkung / Prüfung","Berechnet"))))))</x:f>
        <x:v>Messwert fehlt</x:v>
      </x:c>
      <x:c r="T617" s="14" t="str">
        <x:v>SROI/SDG 17 ist keine hinreichend konkrete Mess- oder Schwellenquelle. Vollständige fünfstufige numerische Regel.</x:v>
      </x:c>
      <x:c r="U617" s="14" t="str">
        <x:v>≥0,8:+3; 0,7–0,79:+2; 0,6–0,69:0; 0,5–0,59:‑2; &lt;0,5:‑3</x:v>
      </x:c>
      <x:c r="V617" s="14" t="str">
        <x:v>SDG 16/17, WJP, V‑Dem</x:v>
      </x:c>
      <x:c r="W617" s="14" t="str">
        <x:f>'02_Benchmarks'!$P617</x:f>
        <x:v>Optional – kein aktiver Benchmark</x:v>
      </x:c>
      <x:c r="X617" s="14" t="str">
        <x:v>Platzhalter – fachliche Operationalisierung offen</x:v>
      </x:c>
      <x:c r="Y617" s="14" t="str">
        <x:v>Kritisch</x:v>
      </x:c>
      <x:c r="Z617" s="14" t="str">
        <x:v>Arbeitskalibrierung – fachlich zu validieren</x:v>
      </x:c>
      <x:c r="AA617" s="14" t="str">
        <x:v>Programm/Portfolio/Systemraum; Empfängergruppe, Region und Zeitraum explizit definieren</x:v>
      </x:c>
      <x:c r="AB617" s="14" t="str">
        <x:v>Primärdaten bevorzugt; Sekundärdaten nur transparent und versioniert; Methode und Systemgrenze dokumentieren</x:v>
      </x:c>
      <x:c r="AC617" s="14" t="str">
        <x:v>Limited Assurance; risikobasiert höhere Prüftiefe</x:v>
      </x:c>
    </x:row>
    <x:row r="618" ht="42" customHeight="1">
      <x:c r="A618" s="14" t="str">
        <x:v>WOK-SYS-216</x:v>
      </x:c>
      <x:c r="B618" s="14" t="str">
        <x:v>SDG+ – Transparenz/Open Data</x:v>
      </x:c>
      <x:c r="C618" s="14" t="str">
        <x:v>—</x:v>
      </x:c>
      <x:c r="D618" s="14" t="str">
        <x:v>Impact‑APIs/Standards</x:v>
      </x:c>
      <x:c r="E618" s="14" t="str">
        <x:v>Impact‑APIs/Standards – Exposure</x:v>
      </x:c>
      <x:c r="F618" s="14" t="str">
        <x:v>%</x:v>
      </x:c>
      <x:c r="G618" s="14" t="str">
        <x:v>lower_is_better</x:v>
      </x:c>
      <x:c r="H618" s="14" t="str">
        <x:v>R13</x:v>
      </x:c>
      <x:c r="I618" s="14" t="str">
        <x:v>NUM_LOW</x:v>
      </x:c>
      <x:c r="J618" s="51"/>
      <x:c r="K618" s="51"/>
      <x:c r="L618" s="51"/>
      <x:c r="M618" s="54"/>
      <x:c r="N618" s="58" t="str">
        <x:f>IF($J618="","",IF($J618&lt;=5,3,IF($J618&lt;=10,2,IF($J618&lt;=20,0,IF($J618&lt;=30,-2,-3)))))</x:f>
      </x:c>
      <x:c r="O618" s="58" t="str">
        <x:f>IF($J618="","",IF(OR('02_Benchmarks'!$P618&lt;&gt;"Aktiv",COUNT('02_Benchmarks'!$J618:$M618)&lt;4),"",IF($G618="lower_is_better",IF($J618&lt;='02_Benchmarks'!$J618,3,IF($J618&lt;'02_Benchmarks'!$K618,2,IF($J618&lt;='02_Benchmarks'!$L618,0,IF($J618&lt;='02_Benchmarks'!$M618,-2,-3)))),IF($J618&gt;='02_Benchmarks'!$J618,3,IF($J618&gt;'02_Benchmarks'!$K618,2,IF($J618&gt;='02_Benchmarks'!$L618,0,IF($J618&gt;='02_Benchmarks'!$M618,-2,-3)))))))</x:f>
      </x:c>
      <x:c r="P618" s="58" t="str">
        <x:f>IF(COUNT($N618:$O618)+IF(ISNUMBER($K618),1,0)=0,"",MIN($N618:$O618,$K618))</x:f>
      </x:c>
      <x:c r="Q618" s="58" t="str">
        <x:f>IF($P618="","",INDEX('04_Tarifmodell'!$B$6:$B$12,$P618+4))</x:f>
      </x:c>
      <x:c r="R618" s="64" t="str">
        <x:f>IF($P618="","",INDEX('04_Tarifmodell'!$C$6:$C$12,$P618+4))</x:f>
      </x:c>
      <x:c r="S618" s="14" t="str">
        <x:f>IF(OR($I618="QUALITATIVE",$I618="MANUAL_HYBRID"),IF($K618="","Assurance-Score fehlt","Assurance-bewertet"),IF($I618="BENCHMARK",IF($W618&lt;&gt;"Aktiv",IF($K618="","Benchmark fehlt","Assurance-bewertet"),IF($J618="","Messwert fehlt",IF($P618="","Nicht bewertbar","Berechnet"))),IF(AND($J618="",$K618&lt;&gt;""),"Nur Assurance-Score",IF($J618="","Messwert fehlt",IF($P618="","Nicht bewertbar",IF($P618&lt;=-2,"Kritische Wirkung / Prüfung","Berechnet"))))))</x:f>
        <x:v>Messwert fehlt</x:v>
      </x:c>
      <x:c r="T618" s="14" t="str">
        <x:v>SROI/SDG 17 ist keine hinreichend konkrete Mess- oder Schwellenquelle. Vollständige fünfstufige numerische Regel.</x:v>
      </x:c>
      <x:c r="U618" s="14" t="str">
        <x:v>≤5:+3; 6–10:+2; 11–20:0; 21–30:‑2; &gt;30:‑3</x:v>
      </x:c>
      <x:c r="V618" s="14" t="str">
        <x:v>SROI/SDG17</x:v>
      </x:c>
      <x:c r="W618" s="14" t="str">
        <x:f>'02_Benchmarks'!$P618</x:f>
        <x:v>Optional – kein aktiver Benchmark</x:v>
      </x:c>
      <x:c r="X618" s="14" t="str">
        <x:v>Platzhalter – fachliche Operationalisierung offen</x:v>
      </x:c>
      <x:c r="Y618" s="14" t="str">
        <x:v>Kritisch</x:v>
      </x:c>
      <x:c r="Z618" s="14" t="str">
        <x:v>Arbeitskalibrierung – fachlich zu validieren</x:v>
      </x:c>
      <x:c r="AA618" s="14" t="str">
        <x:v>Programm/Portfolio/Systemraum; Empfängergruppe, Region und Zeitraum explizit definieren</x:v>
      </x:c>
      <x:c r="AB618" s="14" t="str">
        <x:v>Primärdaten bevorzugt; Sekundärdaten nur transparent und versioniert; Methode und Systemgrenze dokumentieren</x:v>
      </x:c>
      <x:c r="AC618" s="14" t="str">
        <x:v>Limited Assurance; risikobasiert höhere Prüftiefe</x:v>
      </x:c>
    </x:row>
    <x:row r="619" ht="42" customHeight="1">
      <x:c r="A619" s="14" t="str">
        <x:v>WOK-SYS-217</x:v>
      </x:c>
      <x:c r="B619" s="14" t="str">
        <x:v>SDG+ – Transparenz/Open Data</x:v>
      </x:c>
      <x:c r="C619" s="14" t="str">
        <x:v>—</x:v>
      </x:c>
      <x:c r="D619" s="14" t="str">
        <x:v>Impact‑APIs/Standards</x:v>
      </x:c>
      <x:c r="E619" s="14" t="str">
        <x:v>Impact‑APIs/Standards – Kooperationen</x:v>
      </x:c>
      <x:c r="F619" s="14" t="str">
        <x:v>#/Jahr</x:v>
      </x:c>
      <x:c r="G619" s="14" t="str">
        <x:v>higher_is_better</x:v>
      </x:c>
      <x:c r="H619" s="14" t="str">
        <x:v>R20</x:v>
      </x:c>
      <x:c r="I619" s="14" t="str">
        <x:v>NUM_HIGH</x:v>
      </x:c>
      <x:c r="J619" s="51"/>
      <x:c r="K619" s="51"/>
      <x:c r="L619" s="51"/>
      <x:c r="M619" s="54"/>
      <x:c r="N619" s="58" t="str">
        <x:f>IF($J619="","",IF($J619&lt;0,-3,IF($J619&lt;1,-2,IF($J619&lt;3,0,IF($J619&lt;5,2,3)))))</x:f>
      </x:c>
      <x:c r="O619" s="58" t="str">
        <x:f>IF($J619="","",IF(OR('02_Benchmarks'!$P619&lt;&gt;"Aktiv",COUNT('02_Benchmarks'!$J619:$M619)&lt;4),"",IF($G619="lower_is_better",IF($J619&lt;='02_Benchmarks'!$J619,3,IF($J619&lt;'02_Benchmarks'!$K619,2,IF($J619&lt;='02_Benchmarks'!$L619,0,IF($J619&lt;='02_Benchmarks'!$M619,-2,-3)))),IF($J619&gt;='02_Benchmarks'!$J619,3,IF($J619&gt;'02_Benchmarks'!$K619,2,IF($J619&gt;='02_Benchmarks'!$L619,0,IF($J619&gt;='02_Benchmarks'!$M619,-2,-3)))))))</x:f>
      </x:c>
      <x:c r="P619" s="58" t="str">
        <x:f>IF(COUNT($N619:$O619)+IF(ISNUMBER($K619),1,0)=0,"",MIN($N619:$O619,$K619))</x:f>
      </x:c>
      <x:c r="Q619" s="58" t="str">
        <x:f>IF($P619="","",INDEX('04_Tarifmodell'!$B$6:$B$12,$P619+4))</x:f>
      </x:c>
      <x:c r="R619" s="64" t="str">
        <x:f>IF($P619="","",INDEX('04_Tarifmodell'!$C$6:$C$12,$P619+4))</x:f>
      </x:c>
      <x:c r="S619" s="14" t="str">
        <x:f>IF(OR($I619="QUALITATIVE",$I619="MANUAL_HYBRID"),IF($K619="","Assurance-Score fehlt","Assurance-bewertet"),IF($I619="BENCHMARK",IF($W619&lt;&gt;"Aktiv",IF($K619="","Benchmark fehlt","Assurance-bewertet"),IF($J619="","Messwert fehlt",IF($P619="","Nicht bewertbar","Berechnet"))),IF(AND($J619="",$K619&lt;&gt;""),"Nur Assurance-Score",IF($J619="","Messwert fehlt",IF($P619="","Nicht bewertbar",IF($P619&lt;=-2,"Kritische Wirkung / Prüfung","Berechnet"))))))</x:f>
        <x:v>Messwert fehlt</x:v>
      </x:c>
      <x:c r="T619" s="14" t="str">
        <x:v>SROI/SDG 17 ist keine hinreichend konkrete Mess- oder Schwellenquelle. Für sachlogisch nichtnegative Zählwerte ist 0 die schlechteste reguläre Klasse (−2).</x:v>
      </x:c>
      <x:c r="U619" s="14" t="str">
        <x:v>≥5:+3; 3–4:+2; 1–2:0; 0:‑2</x:v>
      </x:c>
      <x:c r="V619" s="14" t="str">
        <x:v>SDG 16/17, WJP, V‑Dem</x:v>
      </x:c>
      <x:c r="W619" s="14" t="str">
        <x:f>'02_Benchmarks'!$P619</x:f>
        <x:v>Optional – kein aktiver Benchmark</x:v>
      </x:c>
      <x:c r="X619" s="14" t="str">
        <x:v>Platzhalter – fachliche Operationalisierung offen</x:v>
      </x:c>
      <x:c r="Y619" s="14" t="str">
        <x:v>Kritisch</x:v>
      </x:c>
      <x:c r="Z619" s="14" t="str">
        <x:v>Klasse −3 nur für negative/unzulässige Werte ergänzt</x:v>
      </x:c>
      <x:c r="AA619" s="14" t="str">
        <x:v>Programm/Portfolio/Systemraum; Empfängergruppe, Region und Zeitraum explizit definieren</x:v>
      </x:c>
      <x:c r="AB619" s="14" t="str">
        <x:v>Primärdaten bevorzugt; Sekundärdaten nur transparent und versioniert; Methode und Systemgrenze dokumentieren</x:v>
      </x:c>
      <x:c r="AC619" s="14" t="str">
        <x:v>Limited Assurance; risikobasiert höhere Prüftiefe</x:v>
      </x:c>
    </x:row>
    <x:row r="620" ht="42" customHeight="1">
      <x:c r="A620" s="14" t="str">
        <x:v>WOK-G-245</x:v>
      </x:c>
      <x:c r="B620" s="14" t="str">
        <x:v>SDG+ – Transparenz/Open Data</x:v>
      </x:c>
      <x:c r="C620" s="14" t="str">
        <x:v>—</x:v>
      </x:c>
      <x:c r="D620" s="14" t="str">
        <x:v>Audit‑Assurance Abdeckung</x:v>
      </x:c>
      <x:c r="E620" s="14" t="str">
        <x:v>Audit‑Assurance Abdeckung – Antikorruption</x:v>
      </x:c>
      <x:c r="F620" s="14" t="str">
        <x:v>Fälle/1.000 FTE</x:v>
      </x:c>
      <x:c r="G620" s="14" t="str">
        <x:v>lower_is_better</x:v>
      </x:c>
      <x:c r="H620" s="14" t="str">
        <x:v>R01</x:v>
      </x:c>
      <x:c r="I620" s="14" t="str">
        <x:v>NUM_LOW</x:v>
      </x:c>
      <x:c r="J620" s="51"/>
      <x:c r="K620" s="51"/>
      <x:c r="L620" s="51"/>
      <x:c r="M620" s="54"/>
      <x:c r="N620" s="58" t="str">
        <x:f>IF($J620="","",IF($J620&lt;=0,3,IF($J620&lt;=0.2,2,IF($J620&lt;=0.5,0,IF($J620&lt;=1,-2,-3)))))</x:f>
      </x:c>
      <x:c r="O620" s="58" t="str">
        <x:f>IF($J620="","",IF(OR('02_Benchmarks'!$P620&lt;&gt;"Aktiv",COUNT('02_Benchmarks'!$J620:$M620)&lt;4),"",IF($G620="lower_is_better",IF($J620&lt;='02_Benchmarks'!$J620,3,IF($J620&lt;'02_Benchmarks'!$K620,2,IF($J620&lt;='02_Benchmarks'!$L620,0,IF($J620&lt;='02_Benchmarks'!$M620,-2,-3)))),IF($J620&gt;='02_Benchmarks'!$J620,3,IF($J620&gt;'02_Benchmarks'!$K620,2,IF($J620&gt;='02_Benchmarks'!$L620,0,IF($J620&gt;='02_Benchmarks'!$M620,-2,-3)))))))</x:f>
      </x:c>
      <x:c r="P620" s="58" t="str">
        <x:f>IF(COUNT($N620:$O620)+IF(ISNUMBER($K620),1,0)=0,"",MIN($N620:$O620,$K620))</x:f>
      </x:c>
      <x:c r="Q620" s="58" t="str">
        <x:f>IF($P620="","",INDEX('04_Tarifmodell'!$B$6:$B$12,$P620+4))</x:f>
      </x:c>
      <x:c r="R620" s="64" t="str">
        <x:f>IF($P620="","",INDEX('04_Tarifmodell'!$C$6:$C$12,$P620+4))</x:f>
      </x:c>
      <x:c r="S620" s="14" t="str">
        <x:f>IF(OR($I620="QUALITATIVE",$I620="MANUAL_HYBRID"),IF($K620="","Assurance-Score fehlt","Assurance-bewertet"),IF($I620="BENCHMARK",IF($W620&lt;&gt;"Aktiv",IF($K620="","Benchmark fehlt","Assurance-bewertet"),IF($J620="","Messwert fehlt",IF($P620="","Nicht bewertbar","Berechnet"))),IF(AND($J620="",$K620&lt;&gt;""),"Nur Assurance-Score",IF($J620="","Messwert fehlt",IF($P620="","Nicht bewertbar",IF($P620&lt;=-2,"Kritische Wirkung / Prüfung","Berechnet"))))))</x:f>
        <x:v>Messwert fehlt</x:v>
      </x:c>
      <x:c r="T620" s="14" t="str">
        <x:v>Vollständige fünfstufige numerische Regel.</x:v>
      </x:c>
      <x:c r="U620" s="14" t="str">
        <x:v>0:+3; ≤0,2:+2; ≤0,5:0; ≤1:‑2; &gt;1:‑3</x:v>
      </x:c>
      <x:c r="V620" s="14" t="str">
        <x:v>ESRS S2, GRI 308/414, OECD Due Diligence</x:v>
      </x:c>
      <x:c r="W620" s="14" t="str">
        <x:f>'02_Benchmarks'!$P620</x:f>
        <x:v>Optional – kein aktiver Benchmark</x:v>
      </x:c>
      <x:c r="X620" s="14" t="str">
        <x:v>Messgrundlage belegt; Schwellenkalibrierung offen</x:v>
      </x:c>
      <x:c r="Y620" s="14" t="str">
        <x:v>Mittel</x:v>
      </x:c>
      <x:c r="Z620" s="14" t="str">
        <x:v>Arbeitskalibrierung – fachlich zu validieren</x:v>
      </x:c>
      <x:c r="AA620" s="14" t="str">
        <x:v>Organisation/Governance; konsolidierter Kreis und relevante Rechtseinheiten</x:v>
      </x:c>
      <x:c r="AB620" s="14" t="str">
        <x:v>Primärdaten bevorzugt; Sekundärdaten nur transparent und versioniert; Methode und Systemgrenze dokumentieren</x:v>
      </x:c>
      <x:c r="AC620" s="14" t="str">
        <x:v>Limited Assurance; risikobasiert höhere Prüftiefe</x:v>
      </x:c>
    </x:row>
    <x:row r="621" ht="42" customHeight="1">
      <x:c r="A621" s="14" t="str">
        <x:v>WOK-G-246</x:v>
      </x:c>
      <x:c r="B621" s="14" t="str">
        <x:v>SDG+ – Transparenz/Open Data</x:v>
      </x:c>
      <x:c r="C621" s="14" t="str">
        <x:v>—</x:v>
      </x:c>
      <x:c r="D621" s="14" t="str">
        <x:v>Audit‑Assurance Abdeckung</x:v>
      </x:c>
      <x:c r="E621" s="14" t="str">
        <x:v>Audit‑Assurance Abdeckung – Whistleblowing</x:v>
      </x:c>
      <x:c r="F621" s="14" t="str">
        <x:v>0–1</x:v>
      </x:c>
      <x:c r="G621" s="14" t="str">
        <x:v>higher_is_better</x:v>
      </x:c>
      <x:c r="H621" s="14" t="str">
        <x:v>R16</x:v>
      </x:c>
      <x:c r="I621" s="14" t="str">
        <x:v>NUM_HIGH</x:v>
      </x:c>
      <x:c r="J621" s="51"/>
      <x:c r="K621" s="51"/>
      <x:c r="L621" s="51"/>
      <x:c r="M621" s="54"/>
      <x:c r="N621" s="58" t="str">
        <x:f>IF($J621="","",IF($J621&lt;0.4,-3,IF($J621&lt;0.6,-2,IF($J621&lt;0.75,0,IF($J621&lt;0.9,2,3)))))</x:f>
      </x:c>
      <x:c r="O621" s="58" t="str">
        <x:f>IF($J621="","",IF(OR('02_Benchmarks'!$P621&lt;&gt;"Aktiv",COUNT('02_Benchmarks'!$J621:$M621)&lt;4),"",IF($G621="lower_is_better",IF($J621&lt;='02_Benchmarks'!$J621,3,IF($J621&lt;'02_Benchmarks'!$K621,2,IF($J621&lt;='02_Benchmarks'!$L621,0,IF($J621&lt;='02_Benchmarks'!$M621,-2,-3)))),IF($J621&gt;='02_Benchmarks'!$J621,3,IF($J621&gt;'02_Benchmarks'!$K621,2,IF($J621&gt;='02_Benchmarks'!$L621,0,IF($J621&gt;='02_Benchmarks'!$M621,-2,-3)))))))</x:f>
      </x:c>
      <x:c r="P621" s="58" t="str">
        <x:f>IF(COUNT($N621:$O621)+IF(ISNUMBER($K621),1,0)=0,"",MIN($N621:$O621,$K621))</x:f>
      </x:c>
      <x:c r="Q621" s="58" t="str">
        <x:f>IF($P621="","",INDEX('04_Tarifmodell'!$B$6:$B$12,$P621+4))</x:f>
      </x:c>
      <x:c r="R621" s="64" t="str">
        <x:f>IF($P621="","",INDEX('04_Tarifmodell'!$C$6:$C$12,$P621+4))</x:f>
      </x:c>
      <x:c r="S621" s="14" t="str">
        <x:f>IF(OR($I621="QUALITATIVE",$I621="MANUAL_HYBRID"),IF($K621="","Assurance-Score fehlt","Assurance-bewertet"),IF($I621="BENCHMARK",IF($W621&lt;&gt;"Aktiv",IF($K621="","Benchmark fehlt","Assurance-bewertet"),IF($J621="","Messwert fehlt",IF($P621="","Nicht bewertbar","Berechnet"))),IF(AND($J621="",$K621&lt;&gt;""),"Nur Assurance-Score",IF($J621="","Messwert fehlt",IF($P621="","Nicht bewertbar",IF($P621&lt;=-2,"Kritische Wirkung / Prüfung","Berechnet"))))))</x:f>
        <x:v>Messwert fehlt</x:v>
      </x:c>
      <x:c r="T621" s="14" t="str">
        <x:v>Vollständige fünfstufige numerische Regel.</x:v>
      </x:c>
      <x:c r="U621" s="14" t="str">
        <x:v>≥0,9:+3; 0,75–0,89:+2; 0,6–0,74:0; 0,4–0,59:‑2; &lt;0,4:‑3</x:v>
      </x:c>
      <x:c r="V621" s="14" t="str">
        <x:v>ESRS S2, GRI 308/414, OECD Due Diligence</x:v>
      </x:c>
      <x:c r="W621" s="14" t="str">
        <x:f>'02_Benchmarks'!$P621</x:f>
        <x:v>Optional – kein aktiver Benchmark</x:v>
      </x:c>
      <x:c r="X621" s="14" t="str">
        <x:v>Messgrundlage belegt; Schwellenkalibrierung offen</x:v>
      </x:c>
      <x:c r="Y621" s="14" t="str">
        <x:v>Mittel</x:v>
      </x:c>
      <x:c r="Z621" s="14" t="str">
        <x:v>Arbeitskalibrierung – fachlich zu validieren</x:v>
      </x:c>
      <x:c r="AA621" s="14" t="str">
        <x:v>Organisation/Governance; konsolidierter Kreis und relevante Rechtseinheiten</x:v>
      </x:c>
      <x:c r="AB621" s="14" t="str">
        <x:v>Primärdaten bevorzugt; Sekundärdaten nur transparent und versioniert; Methode und Systemgrenze dokumentieren</x:v>
      </x:c>
      <x:c r="AC621" s="14" t="str">
        <x:v>Limited Assurance; risikobasiert höhere Prüftiefe</x:v>
      </x:c>
    </x:row>
    <x:row r="622" ht="42" customHeight="1">
      <x:c r="A622" s="14" t="str">
        <x:v>WOK-G-247</x:v>
      </x:c>
      <x:c r="B622" s="14" t="str">
        <x:v>SDG+ – Transparenz/Open Data</x:v>
      </x:c>
      <x:c r="C622" s="14" t="str">
        <x:v>—</x:v>
      </x:c>
      <x:c r="D622" s="14" t="str">
        <x:v>Audit‑Assurance Abdeckung</x:v>
      </x:c>
      <x:c r="E622" s="14" t="str">
        <x:v>Audit‑Assurance Abdeckung – Steuertransparenz</x:v>
      </x:c>
      <x:c r="F622" s="14" t="str">
        <x:v>0–1</x:v>
      </x:c>
      <x:c r="G622" s="14" t="str">
        <x:v>higher_is_better</x:v>
      </x:c>
      <x:c r="H622" s="14" t="str">
        <x:v>R08</x:v>
      </x:c>
      <x:c r="I622" s="14" t="str">
        <x:v>QUALITATIVE</x:v>
      </x:c>
      <x:c r="J622" s="51"/>
      <x:c r="K622" s="51"/>
      <x:c r="L622" s="51"/>
      <x:c r="M622" s="54"/>
      <x:c r="N622" s="58" t="str">
        <x:f>""</x:f>
      </x:c>
      <x:c r="O622" s="58" t="str">
        <x:f>IF($J622="","",IF(OR('02_Benchmarks'!$P622&lt;&gt;"Aktiv",COUNT('02_Benchmarks'!$J622:$M622)&lt;4),"",IF($G622="lower_is_better",IF($J622&lt;='02_Benchmarks'!$J622,3,IF($J622&lt;'02_Benchmarks'!$K622,2,IF($J622&lt;='02_Benchmarks'!$L622,0,IF($J622&lt;='02_Benchmarks'!$M622,-2,-3)))),IF($J622&gt;='02_Benchmarks'!$J622,3,IF($J622&gt;'02_Benchmarks'!$K622,2,IF($J622&gt;='02_Benchmarks'!$L622,0,IF($J622&gt;='02_Benchmarks'!$M622,-2,-3)))))))</x:f>
      </x:c>
      <x:c r="P622" s="58" t="str">
        <x:f>IF(COUNT($N622:$O622)+IF(ISNUMBER($K622),1,0)=0,"",MIN($N622:$O622,$K622))</x:f>
      </x:c>
      <x:c r="Q622" s="58" t="str">
        <x:f>IF($P622="","",INDEX('04_Tarifmodell'!$B$6:$B$12,$P622+4))</x:f>
      </x:c>
      <x:c r="R622" s="64" t="str">
        <x:f>IF($P622="","",INDEX('04_Tarifmodell'!$C$6:$C$12,$P622+4))</x:f>
      </x:c>
      <x:c r="S622" s="14" t="str">
        <x:f>IF(OR($I622="QUALITATIVE",$I622="MANUAL_HYBRID"),IF($K622="","Assurance-Score fehlt","Assurance-bewertet"),IF($I622="BENCHMARK",IF($W622&lt;&gt;"Aktiv",IF($K622="","Benchmark fehlt","Assurance-bewertet"),IF($J622="","Messwert fehlt",IF($P622="","Nicht bewertbar","Berechnet"))),IF(AND($J622="",$K622&lt;&gt;""),"Nur Assurance-Score",IF($J622="","Messwert fehlt",IF($P622="","Nicht bewertbar",IF($P622&lt;=-2,"Kritische Wirkung / Prüfung","Berechnet"))))))</x:f>
        <x:v>Assurance-Score fehlt</x:v>
      </x:c>
      <x:c r="T622" s="14" t="str">
        <x:v>Die Kategorie −3 fehlt; Vollständigkeit und Wirksamkeit sind feldspezifisch zu definieren.</x:v>
      </x:c>
      <x:c r="U622" s="14" t="str">
        <x:v>vollständig:+3; teilweise:+2; minimal:0; schlecht:‑2</x:v>
      </x:c>
      <x:c r="V622" s="14" t="str">
        <x:v>ESRS S2, GRI 308/414, OECD Due Diligence</x:v>
      </x:c>
      <x:c r="W622" s="14" t="str">
        <x:f>'02_Benchmarks'!$P622</x:f>
        <x:v>Optional – kein aktiver Benchmark</x:v>
      </x:c>
      <x:c r="X622" s="14" t="str">
        <x:v>Messgrundlage belegt; Schwellenkalibrierung offen</x:v>
      </x:c>
      <x:c r="Y622" s="14" t="str">
        <x:v>Hoch</x:v>
      </x:c>
      <x:c r="Z622" s="14" t="str">
        <x:v>Assurance und Kriterienkatalog erforderlich</x:v>
      </x:c>
      <x:c r="AA622" s="14" t="str">
        <x:v>Organisation/Governance; konsolidierter Kreis und relevante Rechtseinheiten</x:v>
      </x:c>
      <x:c r="AB622" s="14" t="str">
        <x:v>Dokumentierter Kriterienkatalog; nachvollziehbare Evidenz; DQR A/B bevorzugt</x:v>
      </x:c>
      <x:c r="AC622" s="14" t="str">
        <x:v>Unabhängige Fachprüfung/Limited Assurance; bei roten Linien Reasonable Assurance</x:v>
      </x:c>
    </x:row>
    <x:row r="623" ht="42" customHeight="1">
      <x:c r="A623" s="14" t="str">
        <x:v>WOK-SYS-218</x:v>
      </x:c>
      <x:c r="B623" s="14" t="str">
        <x:v>SDG+ – Transparenz/Open Data</x:v>
      </x:c>
      <x:c r="C623" s="14" t="str">
        <x:v>—</x:v>
      </x:c>
      <x:c r="D623" s="14" t="str">
        <x:v>Publikations‑Backlog (OA)</x:v>
      </x:c>
      <x:c r="E623" s="14" t="str">
        <x:v>Publikations‑Backlog (OA) – Index</x:v>
      </x:c>
      <x:c r="F623" s="14" t="str">
        <x:v>0–1</x:v>
      </x:c>
      <x:c r="G623" s="14" t="str">
        <x:v>higher_is_better</x:v>
      </x:c>
      <x:c r="H623" s="14" t="str">
        <x:v>R15</x:v>
      </x:c>
      <x:c r="I623" s="14" t="str">
        <x:v>NUM_HIGH</x:v>
      </x:c>
      <x:c r="J623" s="51"/>
      <x:c r="K623" s="51"/>
      <x:c r="L623" s="51"/>
      <x:c r="M623" s="54"/>
      <x:c r="N623" s="58" t="str">
        <x:f>IF($J623="","",IF($J623&lt;0.5,-3,IF($J623&lt;0.6,-2,IF($J623&lt;0.7,0,IF($J623&lt;0.8,2,3)))))</x:f>
      </x:c>
      <x:c r="O623" s="58" t="str">
        <x:f>IF($J623="","",IF(OR('02_Benchmarks'!$P623&lt;&gt;"Aktiv",COUNT('02_Benchmarks'!$J623:$M623)&lt;4),"",IF($G623="lower_is_better",IF($J623&lt;='02_Benchmarks'!$J623,3,IF($J623&lt;'02_Benchmarks'!$K623,2,IF($J623&lt;='02_Benchmarks'!$L623,0,IF($J623&lt;='02_Benchmarks'!$M623,-2,-3)))),IF($J623&gt;='02_Benchmarks'!$J623,3,IF($J623&gt;'02_Benchmarks'!$K623,2,IF($J623&gt;='02_Benchmarks'!$L623,0,IF($J623&gt;='02_Benchmarks'!$M623,-2,-3)))))))</x:f>
      </x:c>
      <x:c r="P623" s="58" t="str">
        <x:f>IF(COUNT($N623:$O623)+IF(ISNUMBER($K623),1,0)=0,"",MIN($N623:$O623,$K623))</x:f>
      </x:c>
      <x:c r="Q623" s="58" t="str">
        <x:f>IF($P623="","",INDEX('04_Tarifmodell'!$B$6:$B$12,$P623+4))</x:f>
      </x:c>
      <x:c r="R623" s="64" t="str">
        <x:f>IF($P623="","",INDEX('04_Tarifmodell'!$C$6:$C$12,$P623+4))</x:f>
      </x:c>
      <x:c r="S623" s="14" t="str">
        <x:f>IF(OR($I623="QUALITATIVE",$I623="MANUAL_HYBRID"),IF($K623="","Assurance-Score fehlt","Assurance-bewertet"),IF($I623="BENCHMARK",IF($W623&lt;&gt;"Aktiv",IF($K623="","Benchmark fehlt","Assurance-bewertet"),IF($J623="","Messwert fehlt",IF($P623="","Nicht bewertbar","Berechnet"))),IF(AND($J623="",$K623&lt;&gt;""),"Nur Assurance-Score",IF($J623="","Messwert fehlt",IF($P623="","Nicht bewertbar",IF($P623&lt;=-2,"Kritische Wirkung / Prüfung","Berechnet"))))))</x:f>
        <x:v>Messwert fehlt</x:v>
      </x:c>
      <x:c r="T623" s="14" t="str">
        <x:v>SROI/SDG 17 ist keine hinreichend konkrete Mess- oder Schwellenquelle. Vollständige fünfstufige numerische Regel.</x:v>
      </x:c>
      <x:c r="U623" s="14" t="str">
        <x:v>≥0,8:+3; 0,7–0,79:+2; 0,6–0,69:0; 0,5–0,59:‑2; &lt;0,5:‑3</x:v>
      </x:c>
      <x:c r="V623" s="14" t="str">
        <x:v>SDG 16/17, WJP, V‑Dem</x:v>
      </x:c>
      <x:c r="W623" s="14" t="str">
        <x:f>'02_Benchmarks'!$P623</x:f>
        <x:v>Optional – kein aktiver Benchmark</x:v>
      </x:c>
      <x:c r="X623" s="14" t="str">
        <x:v>Platzhalter – fachliche Operationalisierung offen</x:v>
      </x:c>
      <x:c r="Y623" s="14" t="str">
        <x:v>Kritisch</x:v>
      </x:c>
      <x:c r="Z623" s="14" t="str">
        <x:v>Arbeitskalibrierung – fachlich zu validieren</x:v>
      </x:c>
      <x:c r="AA623" s="14" t="str">
        <x:v>Programm/Portfolio/Systemraum; Empfängergruppe, Region und Zeitraum explizit definieren</x:v>
      </x:c>
      <x:c r="AB623" s="14" t="str">
        <x:v>Primärdaten bevorzugt; Sekundärdaten nur transparent und versioniert; Methode und Systemgrenze dokumentieren</x:v>
      </x:c>
      <x:c r="AC623" s="14" t="str">
        <x:v>Limited Assurance; risikobasiert höhere Prüftiefe</x:v>
      </x:c>
    </x:row>
    <x:row r="624" ht="42" customHeight="1">
      <x:c r="A624" s="14" t="str">
        <x:v>WOK-SYS-219</x:v>
      </x:c>
      <x:c r="B624" s="14" t="str">
        <x:v>SDG+ – Transparenz/Open Data</x:v>
      </x:c>
      <x:c r="C624" s="14" t="str">
        <x:v>—</x:v>
      </x:c>
      <x:c r="D624" s="14" t="str">
        <x:v>Publikations‑Backlog (OA)</x:v>
      </x:c>
      <x:c r="E624" s="14" t="str">
        <x:v>Publikations‑Backlog (OA) – Exposure</x:v>
      </x:c>
      <x:c r="F624" s="14" t="str">
        <x:v>%</x:v>
      </x:c>
      <x:c r="G624" s="14" t="str">
        <x:v>lower_is_better</x:v>
      </x:c>
      <x:c r="H624" s="14" t="str">
        <x:v>R13</x:v>
      </x:c>
      <x:c r="I624" s="14" t="str">
        <x:v>NUM_LOW</x:v>
      </x:c>
      <x:c r="J624" s="51"/>
      <x:c r="K624" s="51"/>
      <x:c r="L624" s="51"/>
      <x:c r="M624" s="54"/>
      <x:c r="N624" s="58" t="str">
        <x:f>IF($J624="","",IF($J624&lt;=5,3,IF($J624&lt;=10,2,IF($J624&lt;=20,0,IF($J624&lt;=30,-2,-3)))))</x:f>
      </x:c>
      <x:c r="O624" s="58" t="str">
        <x:f>IF($J624="","",IF(OR('02_Benchmarks'!$P624&lt;&gt;"Aktiv",COUNT('02_Benchmarks'!$J624:$M624)&lt;4),"",IF($G624="lower_is_better",IF($J624&lt;='02_Benchmarks'!$J624,3,IF($J624&lt;'02_Benchmarks'!$K624,2,IF($J624&lt;='02_Benchmarks'!$L624,0,IF($J624&lt;='02_Benchmarks'!$M624,-2,-3)))),IF($J624&gt;='02_Benchmarks'!$J624,3,IF($J624&gt;'02_Benchmarks'!$K624,2,IF($J624&gt;='02_Benchmarks'!$L624,0,IF($J624&gt;='02_Benchmarks'!$M624,-2,-3)))))))</x:f>
      </x:c>
      <x:c r="P624" s="58" t="str">
        <x:f>IF(COUNT($N624:$O624)+IF(ISNUMBER($K624),1,0)=0,"",MIN($N624:$O624,$K624))</x:f>
      </x:c>
      <x:c r="Q624" s="58" t="str">
        <x:f>IF($P624="","",INDEX('04_Tarifmodell'!$B$6:$B$12,$P624+4))</x:f>
      </x:c>
      <x:c r="R624" s="64" t="str">
        <x:f>IF($P624="","",INDEX('04_Tarifmodell'!$C$6:$C$12,$P624+4))</x:f>
      </x:c>
      <x:c r="S624" s="14" t="str">
        <x:f>IF(OR($I624="QUALITATIVE",$I624="MANUAL_HYBRID"),IF($K624="","Assurance-Score fehlt","Assurance-bewertet"),IF($I624="BENCHMARK",IF($W624&lt;&gt;"Aktiv",IF($K624="","Benchmark fehlt","Assurance-bewertet"),IF($J624="","Messwert fehlt",IF($P624="","Nicht bewertbar","Berechnet"))),IF(AND($J624="",$K624&lt;&gt;""),"Nur Assurance-Score",IF($J624="","Messwert fehlt",IF($P624="","Nicht bewertbar",IF($P624&lt;=-2,"Kritische Wirkung / Prüfung","Berechnet"))))))</x:f>
        <x:v>Messwert fehlt</x:v>
      </x:c>
      <x:c r="T624" s="14" t="str">
        <x:v>SROI/SDG 17 ist keine hinreichend konkrete Mess- oder Schwellenquelle. Vollständige fünfstufige numerische Regel.</x:v>
      </x:c>
      <x:c r="U624" s="14" t="str">
        <x:v>≤5:+3; 6–10:+2; 11–20:0; 21–30:‑2; &gt;30:‑3</x:v>
      </x:c>
      <x:c r="V624" s="14" t="str">
        <x:v>SROI/SDG17</x:v>
      </x:c>
      <x:c r="W624" s="14" t="str">
        <x:f>'02_Benchmarks'!$P624</x:f>
        <x:v>Optional – kein aktiver Benchmark</x:v>
      </x:c>
      <x:c r="X624" s="14" t="str">
        <x:v>Platzhalter – fachliche Operationalisierung offen</x:v>
      </x:c>
      <x:c r="Y624" s="14" t="str">
        <x:v>Kritisch</x:v>
      </x:c>
      <x:c r="Z624" s="14" t="str">
        <x:v>Arbeitskalibrierung – fachlich zu validieren</x:v>
      </x:c>
      <x:c r="AA624" s="14" t="str">
        <x:v>Programm/Portfolio/Systemraum; Empfängergruppe, Region und Zeitraum explizit definieren</x:v>
      </x:c>
      <x:c r="AB624" s="14" t="str">
        <x:v>Primärdaten bevorzugt; Sekundärdaten nur transparent und versioniert; Methode und Systemgrenze dokumentieren</x:v>
      </x:c>
      <x:c r="AC624" s="14" t="str">
        <x:v>Limited Assurance; risikobasiert höhere Prüftiefe</x:v>
      </x:c>
    </x:row>
    <x:row r="625" ht="42" customHeight="1">
      <x:c r="A625" s="14" t="str">
        <x:v>WOK-SYS-220</x:v>
      </x:c>
      <x:c r="B625" s="14" t="str">
        <x:v>SDG+ – Transparenz/Open Data</x:v>
      </x:c>
      <x:c r="C625" s="14" t="str">
        <x:v>—</x:v>
      </x:c>
      <x:c r="D625" s="14" t="str">
        <x:v>Publikations‑Backlog (OA)</x:v>
      </x:c>
      <x:c r="E625" s="14" t="str">
        <x:v>Publikations‑Backlog (OA) – Kooperationen</x:v>
      </x:c>
      <x:c r="F625" s="14" t="str">
        <x:v>#/Jahr</x:v>
      </x:c>
      <x:c r="G625" s="14" t="str">
        <x:v>higher_is_better</x:v>
      </x:c>
      <x:c r="H625" s="14" t="str">
        <x:v>R20</x:v>
      </x:c>
      <x:c r="I625" s="14" t="str">
        <x:v>NUM_HIGH</x:v>
      </x:c>
      <x:c r="J625" s="51"/>
      <x:c r="K625" s="51"/>
      <x:c r="L625" s="51"/>
      <x:c r="M625" s="54"/>
      <x:c r="N625" s="58" t="str">
        <x:f>IF($J625="","",IF($J625&lt;0,-3,IF($J625&lt;1,-2,IF($J625&lt;3,0,IF($J625&lt;5,2,3)))))</x:f>
      </x:c>
      <x:c r="O625" s="58" t="str">
        <x:f>IF($J625="","",IF(OR('02_Benchmarks'!$P625&lt;&gt;"Aktiv",COUNT('02_Benchmarks'!$J625:$M625)&lt;4),"",IF($G625="lower_is_better",IF($J625&lt;='02_Benchmarks'!$J625,3,IF($J625&lt;'02_Benchmarks'!$K625,2,IF($J625&lt;='02_Benchmarks'!$L625,0,IF($J625&lt;='02_Benchmarks'!$M625,-2,-3)))),IF($J625&gt;='02_Benchmarks'!$J625,3,IF($J625&gt;'02_Benchmarks'!$K625,2,IF($J625&gt;='02_Benchmarks'!$L625,0,IF($J625&gt;='02_Benchmarks'!$M625,-2,-3)))))))</x:f>
      </x:c>
      <x:c r="P625" s="58" t="str">
        <x:f>IF(COUNT($N625:$O625)+IF(ISNUMBER($K625),1,0)=0,"",MIN($N625:$O625,$K625))</x:f>
      </x:c>
      <x:c r="Q625" s="58" t="str">
        <x:f>IF($P625="","",INDEX('04_Tarifmodell'!$B$6:$B$12,$P625+4))</x:f>
      </x:c>
      <x:c r="R625" s="64" t="str">
        <x:f>IF($P625="","",INDEX('04_Tarifmodell'!$C$6:$C$12,$P625+4))</x:f>
      </x:c>
      <x:c r="S625" s="14" t="str">
        <x:f>IF(OR($I625="QUALITATIVE",$I625="MANUAL_HYBRID"),IF($K625="","Assurance-Score fehlt","Assurance-bewertet"),IF($I625="BENCHMARK",IF($W625&lt;&gt;"Aktiv",IF($K625="","Benchmark fehlt","Assurance-bewertet"),IF($J625="","Messwert fehlt",IF($P625="","Nicht bewertbar","Berechnet"))),IF(AND($J625="",$K625&lt;&gt;""),"Nur Assurance-Score",IF($J625="","Messwert fehlt",IF($P625="","Nicht bewertbar",IF($P625&lt;=-2,"Kritische Wirkung / Prüfung","Berechnet"))))))</x:f>
        <x:v>Messwert fehlt</x:v>
      </x:c>
      <x:c r="T625" s="14" t="str">
        <x:v>SROI/SDG 17 ist keine hinreichend konkrete Mess- oder Schwellenquelle. Für sachlogisch nichtnegative Zählwerte ist 0 die schlechteste reguläre Klasse (−2).</x:v>
      </x:c>
      <x:c r="U625" s="14" t="str">
        <x:v>≥5:+3; 3–4:+2; 1–2:0; 0:‑2</x:v>
      </x:c>
      <x:c r="V625" s="14" t="str">
        <x:v>SDG 16/17, WJP, V‑Dem</x:v>
      </x:c>
      <x:c r="W625" s="14" t="str">
        <x:f>'02_Benchmarks'!$P625</x:f>
        <x:v>Optional – kein aktiver Benchmark</x:v>
      </x:c>
      <x:c r="X625" s="14" t="str">
        <x:v>Platzhalter – fachliche Operationalisierung offen</x:v>
      </x:c>
      <x:c r="Y625" s="14" t="str">
        <x:v>Kritisch</x:v>
      </x:c>
      <x:c r="Z625" s="14" t="str">
        <x:v>Klasse −3 nur für negative/unzulässige Werte ergänzt</x:v>
      </x:c>
      <x:c r="AA625" s="14" t="str">
        <x:v>Programm/Portfolio/Systemraum; Empfängergruppe, Region und Zeitraum explizit definieren</x:v>
      </x:c>
      <x:c r="AB625" s="14" t="str">
        <x:v>Primärdaten bevorzugt; Sekundärdaten nur transparent und versioniert; Methode und Systemgrenze dokumentieren</x:v>
      </x:c>
      <x:c r="AC625" s="14" t="str">
        <x:v>Limited Assurance; risikobasiert höhere Prüftiefe</x:v>
      </x:c>
    </x:row>
  </x:sheetData>
  <x:mergeCells>
    <x:mergeCell ref="A1:AC1"/>
    <x:mergeCell ref="A2:AC2"/>
  </x:mergeCells>
  <x:conditionalFormatting sqref="N5:P625">
    <x:cfRule type="colorScale" priority="1">
      <x:colorScale>
        <x:cfvo type="min"/>
        <x:cfvo type="percentile" val="50"/>
        <x:cfvo type="max"/>
        <x:color rgb="FFFDE2E2"/>
        <x:color rgb="FFFFF4CC"/>
        <x:color rgb="FFE3F4E8"/>
      </x:colorScale>
    </x:cfRule>
  </x:conditionalFormatting>
  <x:conditionalFormatting sqref="S5:S625">
    <x:cfRule type="expression" dxfId="13" priority="2">
      <x:formula>OR(S5="Benchmark fehlt",S5="Assurance-Score fehlt",S5="Messwert fehlt")</x:formula>
    </x:cfRule>
    <x:cfRule type="expression" dxfId="14" priority="3">
      <x:formula>S5="Kritische Wirkung / Prüfung"</x:formula>
    </x:cfRule>
    <x:cfRule type="expression" dxfId="15" priority="4">
      <x:formula>OR(S5="Berechnet",S5="Assurance-bewertet")</x:formula>
    </x:cfRule>
  </x:conditionalFormatting>
  <x:conditionalFormatting sqref="Y5:Y625">
    <x:cfRule type="expression" dxfId="16" priority="5">
      <x:formula>Y5="Kritisch"</x:formula>
    </x:cfRule>
    <x:cfRule type="expression" dxfId="17" priority="6">
      <x:formula>Y5="Hoch"</x:formula>
    </x:cfRule>
  </x:conditionalFormatting>
  <x:dataValidations count="1">
    <x:dataValidation type="list" sqref="K5:K625">
      <x:formula1>"-3,-2,-1,0,1,2,3"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9c29566d94f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30" hidden="0" customWidth="1"/>
    <x:col min="5" max="5" width="28" hidden="0" customWidth="1"/>
    <x:col min="6" max="6" width="58" hidden="0" customWidth="1"/>
    <x:col min="7" max="7" width="52" hidden="0" customWidth="1"/>
  </x:cols>
  <x:sheetData>
    <x:row r="1" ht="32" customHeight="1">
      <x:c r="A1" s="5" t="str">
        <x:v>07 · Quellenkatalog</x:v>
      </x:c>
      <x:c r="B1" s="5"/>
      <x:c r="C1" s="5"/>
      <x:c r="D1" s="5"/>
      <x:c r="E1" s="5"/>
      <x:c r="F1" s="5"/>
      <x:c r="G1" s="5"/>
    </x:row>
    <x:row r="2" ht="36" customHeight="1">
      <x:c r="A2" s="9" t="str">
        <x:v>Offizielle und interne Referenzen. Entscheidend ist die Funktion der Quelle: Zielrahmen, Messstandard, Rechtsgrundlage, Datensatz oder interne WÖk-Kalibrierung. Führende Terminologie: Begriffsleitfaden v1.5.</x:v>
      </x:c>
      <x:c r="B2" s="9"/>
      <x:c r="C2" s="9"/>
      <x:c r="D2" s="9"/>
      <x:c r="E2" s="9"/>
      <x:c r="F2" s="9"/>
      <x:c r="G2" s="9"/>
    </x:row>
    <x:row r="4" ht="34" customHeight="1">
      <x:c r="A4" s="49" t="str">
        <x:v>Source_ID</x:v>
      </x:c>
      <x:c r="B4" s="49" t="str">
        <x:v>Organisation</x:v>
      </x:c>
      <x:c r="C4" s="49" t="str">
        <x:v>Titel/Standard</x:v>
      </x:c>
      <x:c r="D4" s="49" t="str">
        <x:v>Funktion</x:v>
      </x:c>
      <x:c r="E4" s="49" t="str">
        <x:v>Version/Stand</x:v>
      </x:c>
      <x:c r="F4" s="49" t="str">
        <x:v>URL</x:v>
      </x:c>
      <x:c r="G4" s="49" t="str">
        <x:v>Hinweise</x:v>
      </x:c>
    </x:row>
    <x:row r="5" ht="58" customHeight="1">
      <x:c r="A5" s="14" t="str">
        <x:v>INT-WOEK-GLS</x:v>
      </x:c>
      <x:c r="B5" s="14" t="str">
        <x:v>Natalie Weber / Wirkungsökonomie</x:v>
      </x:c>
      <x:c r="C5" s="14" t="str">
        <x:v>Führender Begriffsleitfaden der Wirkungsökonomie v1.5</x:v>
      </x:c>
      <x:c r="D5" s="14" t="str">
        <x:v>Führende Begriffs-, Methoden- und Redaktionsreferenz</x:v>
      </x:c>
      <x:c r="E5" s="14" t="str">
        <x:v>15.08.2026</x:v>
      </x:c>
      <x:c r="F5" s="65"/>
      <x:c r="G5" s="14" t="str">
        <x:v>Für neue Inhalte verbindlich; Wirkung neutral; SDG+ als WÖk-Erweiterung; Richtung und Evidenz strikt getrennt.</x:v>
      </x:c>
    </x:row>
    <x:row r="6" ht="58" customHeight="1">
      <x:c r="A6" s="14" t="str">
        <x:v>INT-WOEK-TL</x:v>
      </x:c>
      <x:c r="B6" s="14" t="str">
        <x:v>Natalie Weber / Wirkungsökonomie</x:v>
      </x:c>
      <x:c r="C6" s="14" t="str">
        <x:v>Technische Leitlinien zum WUStG – Vollversion Extended v2</x:v>
      </x:c>
      <x:c r="D6" s="14" t="str">
        <x:v>Interne Mess-, Scorecard- und Governance-Architektur</x:v>
      </x:c>
      <x:c r="E6" s="14" t="str">
        <x:v>08/2025</x:v>
      </x:c>
      <x:c r="F6" s="65"/>
      <x:c r="G6" s="14" t="str">
        <x:v>Historische technische Referenz; durch v1.3-Prüfstatus ergänzt.</x:v>
      </x:c>
    </x:row>
    <x:row r="7" ht="58" customHeight="1">
      <x:c r="A7" s="14" t="str">
        <x:v>INT-WOEK-MASTER</x:v>
      </x:c>
      <x:c r="B7" s="14" t="str">
        <x:v>Natalie Weber / Wirkungsökonomie</x:v>
      </x:c>
      <x:c r="C7" s="14" t="str">
        <x:v>WÖk Master Items v1.4 FINAL</x:v>
      </x:c>
      <x:c r="D7" s="14" t="str">
        <x:v>Kanonisches WÖk-ID-, Scoring-, Quellen- und Governance-Register</x:v>
      </x:c>
      <x:c r="E7" s="14" t="str">
        <x:v>v1.4 · 16.08.2026</x:v>
      </x:c>
      <x:c r="F7" s="65"/>
      <x:c r="G7" s="14" t="str">
        <x:v>Führende technische Registerfassung. Offene Schwellen, Benchmarks und Fachprüfungen bleiben als offen markiert.</x:v>
      </x:c>
    </x:row>
    <x:row r="8" ht="58" customHeight="1">
      <x:c r="A8" s="14" t="str">
        <x:v>INT-WOEK-SC</x:v>
      </x:c>
      <x:c r="B8" s="14" t="str">
        <x:v>Natalie Weber / Wirkungsökonomie</x:v>
      </x:c>
      <x:c r="C8" s="14" t="str">
        <x:v>Wirkungsökonomie in der Lieferkette</x:v>
      </x:c>
      <x:c r="D8" s="14" t="str">
        <x:v>Lieferketten- und Nichtkompensationslogik</x:v>
      </x:c>
      <x:c r="E8" s="14" t="str">
        <x:v>09/2025</x:v>
      </x:c>
      <x:c r="F8" s="65"/>
      <x:c r="G8" s="14" t="str">
        <x:v>Interne Systemreferenz.</x:v>
      </x:c>
    </x:row>
    <x:row r="9" ht="58" customHeight="1">
      <x:c r="A9" s="14" t="str">
        <x:v>INT-WOEK-TSROI</x:v>
      </x:c>
      <x:c r="B9" s="14" t="str">
        <x:v>Natalie Weber / Wirkungsökonomie</x:v>
      </x:c>
      <x:c r="C9" s="14" t="str">
        <x:v>Whitepaper T-SROI</x:v>
      </x:c>
      <x:c r="D9" s="14" t="str">
        <x:v>Transformations- und Netto-Wirkungslogik</x:v>
      </x:c>
      <x:c r="E9" s="14" t="str">
        <x:v>06.09.2025</x:v>
      </x:c>
      <x:c r="F9" s="65"/>
      <x:c r="G9" s="14" t="str">
        <x:v>Interne Methodenreferenz; kein externer Branchenbenchmark.</x:v>
      </x:c>
    </x:row>
    <x:row r="10" ht="58" customHeight="1">
      <x:c r="A10" s="14" t="str">
        <x:v>UN-SDG</x:v>
      </x:c>
      <x:c r="B10" s="14" t="str">
        <x:v>United Nations</x:v>
      </x:c>
      <x:c r="C10" s="14" t="str">
        <x:v>Sustainable Development Goals und Global Indicator Framework</x:v>
      </x:c>
      <x:c r="D10" s="14" t="str">
        <x:v>Ziel- und Referenzrahmen</x:v>
      </x:c>
      <x:c r="E10" s="14" t="str">
        <x:v>fortlaufend</x:v>
      </x:c>
      <x:c r="F10" s="65" t="str">
        <x:v>https://sdgs.un.org/goals</x:v>
      </x:c>
      <x:c r="G10" s="14" t="str">
        <x:v>Zielrahmen; nicht automatisch Mess- oder Schwellenquelle für einzelne WÖk-IDs.</x:v>
      </x:c>
    </x:row>
    <x:row r="11" ht="58" customHeight="1">
      <x:c r="A11" s="14" t="str">
        <x:v>EU-ESRS</x:v>
      </x:c>
      <x:c r="B11" s="14" t="str">
        <x:v>Europäische Union / EFRAG</x:v>
      </x:c>
      <x:c r="C11" s="14" t="str">
        <x:v>European Sustainability Reporting Standards (ESRS)</x:v>
      </x:c>
      <x:c r="D11" s="14" t="str">
        <x:v>Berichts- und Datenstandard</x:v>
      </x:c>
      <x:c r="E11" s="14" t="str">
        <x:v>Delegierte VO (EU) 2023/2772; aktuelle Fassung prüfen</x:v>
      </x:c>
      <x:c r="F11" s="65" t="str">
        <x:v>https://eur-lex.europa.eu/eli/reg_del/2023/2772/oj</x:v>
      </x:c>
      <x:c r="G11" s="14" t="str">
        <x:v>Definiert Offenlegungsanforderungen; liefert regelmäßig keine universellen WÖk-Klassengrenzen.</x:v>
      </x:c>
    </x:row>
    <x:row r="12" ht="58" customHeight="1">
      <x:c r="A12" s="14" t="str">
        <x:v>GRI</x:v>
      </x:c>
      <x:c r="B12" s="14" t="str">
        <x:v>Global Reporting Initiative</x:v>
      </x:c>
      <x:c r="C12" s="14" t="str">
        <x:v>GRI Standards</x:v>
      </x:c>
      <x:c r="D12" s="14" t="str">
        <x:v>Berichts- und Messrahmen</x:v>
      </x:c>
      <x:c r="E12" s="14" t="str">
        <x:v>fortlaufend</x:v>
      </x:c>
      <x:c r="F12" s="65" t="str">
        <x:v>https://www.globalreporting.org/standards/</x:v>
      </x:c>
      <x:c r="G12" s="14" t="str">
        <x:v>Standard und Topic-spezifische Fassung je WÖk-ID dokumentieren.</x:v>
      </x:c>
    </x:row>
    <x:row r="13" ht="58" customHeight="1">
      <x:c r="A13" s="14" t="str">
        <x:v>GHG-CORP</x:v>
      </x:c>
      <x:c r="B13" s="14" t="str">
        <x:v>GHG Protocol</x:v>
      </x:c>
      <x:c r="C13" s="14" t="str">
        <x:v>Corporate Standard</x:v>
      </x:c>
      <x:c r="D13" s="14" t="str">
        <x:v>THG-Bilanzierung Organisation</x:v>
      </x:c>
      <x:c r="E13" s="14" t="str">
        <x:v>aktuelle Fassung</x:v>
      </x:c>
      <x:c r="F13" s="65" t="str">
        <x:v>https://ghgprotocol.org/corporate-standard</x:v>
      </x:c>
      <x:c r="G13" s="14" t="str">
        <x:v>Messmethodik; keine allgemeine Wirkungsgrenze.</x:v>
      </x:c>
    </x:row>
    <x:row r="14" ht="58" customHeight="1">
      <x:c r="A14" s="14" t="str">
        <x:v>GHG-S3</x:v>
      </x:c>
      <x:c r="B14" s="14" t="str">
        <x:v>GHG Protocol</x:v>
      </x:c>
      <x:c r="C14" s="14" t="str">
        <x:v>Corporate Value Chain (Scope 3) Standard</x:v>
      </x:c>
      <x:c r="D14" s="14" t="str">
        <x:v>THG-Bilanzierung Lieferkette</x:v>
      </x:c>
      <x:c r="E14" s="14" t="str">
        <x:v>aktuelle Fassung</x:v>
      </x:c>
      <x:c r="F14" s="65" t="str">
        <x:v>https://ghgprotocol.org/scope-3-calculation-guidance-2</x:v>
      </x:c>
      <x:c r="G14" s="14" t="str">
        <x:v>Systemgrenze und Kategoriezuordnung ausweisen.</x:v>
      </x:c>
    </x:row>
    <x:row r="15" ht="58" customHeight="1">
      <x:c r="A15" s="14" t="str">
        <x:v>GHG-PROD</x:v>
      </x:c>
      <x:c r="B15" s="14" t="str">
        <x:v>GHG Protocol</x:v>
      </x:c>
      <x:c r="C15" s="14" t="str">
        <x:v>Product Life Cycle Accounting and Reporting Standard</x:v>
      </x:c>
      <x:c r="D15" s="14" t="str">
        <x:v>Produkt-THG-Bilanzierung</x:v>
      </x:c>
      <x:c r="E15" s="14" t="str">
        <x:v>aktuelle Fassung</x:v>
      </x:c>
      <x:c r="F15" s="65" t="str">
        <x:v>https://ghgprotocol.org/product-standard</x:v>
      </x:c>
      <x:c r="G15" s="14" t="str">
        <x:v>Produktlebenszyklus und funktionelle Einheit dokumentieren.</x:v>
      </x:c>
    </x:row>
    <x:row r="16" ht="58" customHeight="1">
      <x:c r="A16" s="14" t="str">
        <x:v>ISO-14067</x:v>
      </x:c>
      <x:c r="B16" s="14" t="str">
        <x:v>ISO</x:v>
      </x:c>
      <x:c r="C16" s="14" t="str">
        <x:v>ISO 14067 – Carbon footprint of products</x:v>
      </x:c>
      <x:c r="D16" s="14" t="str">
        <x:v>Produkt-THG-Messstandard</x:v>
      </x:c>
      <x:c r="E16" s="14" t="str">
        <x:v>2018; aktuelle Fassung prüfen</x:v>
      </x:c>
      <x:c r="F16" s="65" t="str">
        <x:v>https://www.iso.org/standard/71206.html</x:v>
      </x:c>
      <x:c r="G16" s="14" t="str">
        <x:v>Messstandard; keine universellen Scoregrenzen.</x:v>
      </x:c>
    </x:row>
    <x:row r="17" ht="58" customHeight="1">
      <x:c r="A17" s="14" t="str">
        <x:v>ISO-14064-1</x:v>
      </x:c>
      <x:c r="B17" s="14" t="str">
        <x:v>ISO</x:v>
      </x:c>
      <x:c r="C17" s="14" t="str">
        <x:v>ISO 14064-1 – Greenhouse gases, organisations</x:v>
      </x:c>
      <x:c r="D17" s="14" t="str">
        <x:v>Organisations-THG-Messstandard</x:v>
      </x:c>
      <x:c r="E17" s="14" t="str">
        <x:v>2018; aktuelle Fassung prüfen</x:v>
      </x:c>
      <x:c r="F17" s="65" t="str">
        <x:v>https://www.iso.org/standard/66453.html</x:v>
      </x:c>
      <x:c r="G17" s="14" t="str">
        <x:v>Messstandard; keine universellen Scoregrenzen.</x:v>
      </x:c>
    </x:row>
    <x:row r="18" ht="58" customHeight="1">
      <x:c r="A18" s="14" t="str">
        <x:v>ISO-14046</x:v>
      </x:c>
      <x:c r="B18" s="14" t="str">
        <x:v>ISO</x:v>
      </x:c>
      <x:c r="C18" s="14" t="str">
        <x:v>ISO 14046 – Water footprint</x:v>
      </x:c>
      <x:c r="D18" s="14" t="str">
        <x:v>Wasserfußabdruck</x:v>
      </x:c>
      <x:c r="E18" s="14" t="str">
        <x:v>2014; aktuelle Fassung prüfen</x:v>
      </x:c>
      <x:c r="F18" s="65" t="str">
        <x:v>https://www.iso.org/standard/43263.html</x:v>
      </x:c>
      <x:c r="G18" s="14" t="str">
        <x:v>Messstandard; regionale Wasserknappheit zusätzlich berücksichtigen.</x:v>
      </x:c>
    </x:row>
    <x:row r="19" ht="58" customHeight="1">
      <x:c r="A19" s="14" t="str">
        <x:v>ISO-50001</x:v>
      </x:c>
      <x:c r="B19" s="14" t="str">
        <x:v>ISO</x:v>
      </x:c>
      <x:c r="C19" s="14" t="str">
        <x:v>ISO 50001 – Energy management systems</x:v>
      </x:c>
      <x:c r="D19" s="14" t="str">
        <x:v>Energiemanagementsystem</x:v>
      </x:c>
      <x:c r="E19" s="14" t="str">
        <x:v>2018; aktuelle Fassung prüfen</x:v>
      </x:c>
      <x:c r="F19" s="65" t="str">
        <x:v>https://www.iso.org/standard/69426.html</x:v>
      </x:c>
      <x:c r="G19" s="14" t="str">
        <x:v>Managementsystemstandard, kein allgemeiner Effizienz-Benchmark.</x:v>
      </x:c>
    </x:row>
    <x:row r="20" ht="58" customHeight="1">
      <x:c r="A20" s="14" t="str">
        <x:v>ISO-30134-2</x:v>
      </x:c>
      <x:c r="B20" s="14" t="str">
        <x:v>ISO/IEC</x:v>
      </x:c>
      <x:c r="C20" s="14" t="str">
        <x:v>ISO/IEC 30134-2 – Power Usage Effectiveness (PUE)</x:v>
      </x:c>
      <x:c r="D20" s="14" t="str">
        <x:v>PUE-Messdefinition</x:v>
      </x:c>
      <x:c r="E20" s="14" t="str">
        <x:v>aktuelle Fassung</x:v>
      </x:c>
      <x:c r="F20" s="65" t="str">
        <x:v>https://www.iso.org/standard/63451.html</x:v>
      </x:c>
      <x:c r="G20" s="14" t="str">
        <x:v>Definiert Messung/Berechnung von PUE; Klassenwerte sind WÖk-Kalibrierung.</x:v>
      </x:c>
    </x:row>
    <x:row r="21" ht="58" customHeight="1">
      <x:c r="A21" s="14" t="str">
        <x:v>ISO-45001</x:v>
      </x:c>
      <x:c r="B21" s="14" t="str">
        <x:v>ISO</x:v>
      </x:c>
      <x:c r="C21" s="14" t="str">
        <x:v>ISO 45001 – Occupational health and safety management systems</x:v>
      </x:c>
      <x:c r="D21" s="14" t="str">
        <x:v>Arbeitsschutz-Managementsystem</x:v>
      </x:c>
      <x:c r="E21" s="14" t="str">
        <x:v>2018; aktuelle Fassung prüfen</x:v>
      </x:c>
      <x:c r="F21" s="65" t="str">
        <x:v>https://www.iso.org/standard/63787.html</x:v>
      </x:c>
      <x:c r="G21" s="14" t="str">
        <x:v>Managementsystemstandard; Ereignis- und Wirksamkeitsdaten separat bewerten.</x:v>
      </x:c>
    </x:row>
    <x:row r="22" ht="58" customHeight="1">
      <x:c r="A22" s="14" t="str">
        <x:v>ISO-22301</x:v>
      </x:c>
      <x:c r="B22" s="14" t="str">
        <x:v>ISO</x:v>
      </x:c>
      <x:c r="C22" s="14" t="str">
        <x:v>ISO 22301 – Business continuity management systems</x:v>
      </x:c>
      <x:c r="D22" s="14" t="str">
        <x:v>Resilienz-/Kontinuitätsmanagement</x:v>
      </x:c>
      <x:c r="E22" s="14" t="str">
        <x:v>2019; aktuelle Fassung prüfen</x:v>
      </x:c>
      <x:c r="F22" s="65" t="str">
        <x:v>https://www.iso.org/standard/75106.html</x:v>
      </x:c>
      <x:c r="G22" s="14" t="str">
        <x:v>Managementsystemstandard; keine automatische positive Wirkung.</x:v>
      </x:c>
    </x:row>
    <x:row r="23" ht="58" customHeight="1">
      <x:c r="A23" s="14" t="str">
        <x:v>ISO-27701</x:v>
      </x:c>
      <x:c r="B23" s="14" t="str">
        <x:v>ISO/IEC</x:v>
      </x:c>
      <x:c r="C23" s="14" t="str">
        <x:v>ISO/IEC 27701 – Privacy information management</x:v>
      </x:c>
      <x:c r="D23" s="14" t="str">
        <x:v>Datenschutz-Managementsystem</x:v>
      </x:c>
      <x:c r="E23" s="14" t="str">
        <x:v>aktuelle Fassung</x:v>
      </x:c>
      <x:c r="F23" s="65" t="str">
        <x:v>https://www.iso.org/standard/71670.html</x:v>
      </x:c>
      <x:c r="G23" s="14" t="str">
        <x:v>Nachweis von Systemreife; Vorfälle und reale Wirkung zusätzlich prüfen.</x:v>
      </x:c>
    </x:row>
    <x:row r="24" ht="58" customHeight="1">
      <x:c r="A24" s="14" t="str">
        <x:v>ISO-23894</x:v>
      </x:c>
      <x:c r="B24" s="14" t="str">
        <x:v>ISO/IEC</x:v>
      </x:c>
      <x:c r="C24" s="14" t="str">
        <x:v>ISO/IEC 23894 – Artificial intelligence risk management</x:v>
      </x:c>
      <x:c r="D24" s="14" t="str">
        <x:v>KI-Risikomanagement</x:v>
      </x:c>
      <x:c r="E24" s="14" t="str">
        <x:v>2023; aktuelle Fassung prüfen</x:v>
      </x:c>
      <x:c r="F24" s="65" t="str">
        <x:v>https://www.iso.org/standard/77304.html</x:v>
      </x:c>
      <x:c r="G24" s="14" t="str">
        <x:v>Risikomanagementstandard; keine allgemeine Wirkungsgrenze.</x:v>
      </x:c>
    </x:row>
    <x:row r="25" ht="58" customHeight="1">
      <x:c r="A25" s="14" t="str">
        <x:v>ILO-LW</x:v>
      </x:c>
      <x:c r="B25" s="14" t="str">
        <x:v>International Labour Organization</x:v>
      </x:c>
      <x:c r="C25" s="14" t="str">
        <x:v>ILO principles on estimating a living wage</x:v>
      </x:c>
      <x:c r="D25" s="14" t="str">
        <x:v>Living-Wage-Methodik</x:v>
      </x:c>
      <x:c r="E25" s="14" t="str">
        <x:v>2024</x:v>
      </x:c>
      <x:c r="F25" s="65" t="str">
        <x:v>https://www.ilo.org/resource/gb/350/ins/6/decision-gb350ins6</x:v>
      </x:c>
      <x:c r="G25" s="14" t="str">
        <x:v>Regionale Referenz, Methodik, Haushaltsgröße und Aktualität dokumentieren.</x:v>
      </x:c>
    </x:row>
    <x:row r="26" ht="58" customHeight="1">
      <x:c r="A26" s="14" t="str">
        <x:v>ILO-CORE</x:v>
      </x:c>
      <x:c r="B26" s="14" t="str">
        <x:v>International Labour Organization</x:v>
      </x:c>
      <x:c r="C26" s="14" t="str">
        <x:v>Fundamental principles and rights at work</x:v>
      </x:c>
      <x:c r="D26" s="14" t="str">
        <x:v>Arbeits- und Menschenrechtsrahmen</x:v>
      </x:c>
      <x:c r="E26" s="14" t="str">
        <x:v>fortlaufend</x:v>
      </x:c>
      <x:c r="F26" s="65" t="str">
        <x:v>https://www.ilo.org/declaration/lang--en/index.htm</x:v>
      </x:c>
      <x:c r="G26" s="14" t="str">
        <x:v>Mindest-/Ausschlusskriterien; Verstöße sind nicht kompensierbar.</x:v>
      </x:c>
    </x:row>
    <x:row r="27" ht="58" customHeight="1">
      <x:c r="A27" s="14" t="str">
        <x:v>WRI-AQ</x:v>
      </x:c>
      <x:c r="B27" s="14" t="str">
        <x:v>World Resources Institute</x:v>
      </x:c>
      <x:c r="C27" s="14" t="str">
        <x:v>Aqueduct Water Risk Atlas 4.0</x:v>
      </x:c>
      <x:c r="D27" s="14" t="str">
        <x:v>Regionaler Wasserstress</x:v>
      </x:c>
      <x:c r="E27" s="14" t="str">
        <x:v>4.0</x:v>
      </x:c>
      <x:c r="F27" s="65" t="str">
        <x:v>https://www.wri.org/aqueduct</x:v>
      </x:c>
      <x:c r="G27" s="14" t="str">
        <x:v>Region, Baseline, Szenario und Aggregationsebene dokumentieren.</x:v>
      </x:c>
    </x:row>
    <x:row r="28" ht="58" customHeight="1">
      <x:c r="A28" s="14" t="str">
        <x:v>EU-TAX</x:v>
      </x:c>
      <x:c r="B28" s="14" t="str">
        <x:v>Europäische Union</x:v>
      </x:c>
      <x:c r="C28" s="14" t="str">
        <x:v>EU Taxonomy Regulation und technische Bewertungskriterien</x:v>
      </x:c>
      <x:c r="D28" s="14" t="str">
        <x:v>Aktivitätsspezifische technische Kriterien/DNSH</x:v>
      </x:c>
      <x:c r="E28" s="14" t="str">
        <x:v>VO (EU) 2020/852 und delegierte Rechtsakte</x:v>
      </x:c>
      <x:c r="F28" s="65" t="str">
        <x:v>https://finance.ec.europa.eu/regulation-and-supervision/financial-services-legislation/implementing-and-delegated-acts/taxonomy-regulation_en</x:v>
      </x:c>
      <x:c r="G28" s="14" t="str">
        <x:v>Nur aktivitätsspezifisch verwenden; Kriterien und Rechtsstand je Tätigkeit ausweisen.</x:v>
      </x:c>
    </x:row>
    <x:row r="29" ht="58" customHeight="1">
      <x:c r="A29" s="14" t="str">
        <x:v>EU-NACE21</x:v>
      </x:c>
      <x:c r="B29" s="14" t="str">
        <x:v>Eurostat</x:v>
      </x:c>
      <x:c r="C29" s="14" t="str">
        <x:v>NACE Rev. 2.1</x:v>
      </x:c>
      <x:c r="D29" s="14" t="str">
        <x:v>Klassifikation wirtschaftlicher Tätigkeiten</x:v>
      </x:c>
      <x:c r="E29" s="14" t="str">
        <x:v>Rev. 2.1; Verwendung in europäischen Statistiken ab 2025</x:v>
      </x:c>
      <x:c r="F29" s="65" t="str">
        <x:v>https://ec.europa.eu/eurostat/web/nace</x:v>
      </x:c>
      <x:c r="G29" s="14" t="str">
        <x:v>Legacy-Zuordnungen müssen dokumentiert auf Rev. 2.1 migriert werden.</x:v>
      </x:c>
    </x:row>
    <x:row r="30" ht="58" customHeight="1">
      <x:c r="A30" s="14" t="str">
        <x:v>EU-NACE-CORR</x:v>
      </x:c>
      <x:c r="B30" s="14" t="str">
        <x:v>Eurostat</x:v>
      </x:c>
      <x:c r="C30" s="14" t="str">
        <x:v>NACE Rev. 2 ↔ Rev. 2.1 correspondence tables</x:v>
      </x:c>
      <x:c r="D30" s="14" t="str">
        <x:v>Migrationshilfe</x:v>
      </x:c>
      <x:c r="E30" s="14" t="str">
        <x:v>aktuelle Korrespondenztabelle</x:v>
      </x:c>
      <x:c r="F30" s="65" t="str">
        <x:v>https://ec.europa.eu/eurostat/web/nace/correspondence-tables</x:v>
      </x:c>
      <x:c r="G30" s="14" t="str">
        <x:v>Korrespondenz ist nicht immer 1:1; fachliche Prüfung erforderlich.</x:v>
      </x:c>
    </x:row>
    <x:row r="31" ht="58" customHeight="1">
      <x:c r="A31" s="14" t="str">
        <x:v>EU-EPBD</x:v>
      </x:c>
      <x:c r="B31" s="14" t="str">
        <x:v>Europäische Union</x:v>
      </x:c>
      <x:c r="C31" s="14" t="str">
        <x:v>Energy Performance of Buildings Directive</x:v>
      </x:c>
      <x:c r="D31" s="14" t="str">
        <x:v>Gebäudeenergie-Rechtsrahmen</x:v>
      </x:c>
      <x:c r="E31" s="14" t="str">
        <x:v>Richtlinie (EU) 2024/1275</x:v>
      </x:c>
      <x:c r="F31" s="65" t="str">
        <x:v>https://eur-lex.europa.eu/eli/dir/2024/1275/oj</x:v>
      </x:c>
      <x:c r="G31" s="14" t="str">
        <x:v>Nationale Umsetzung und Gebäudekategorie beachten.</x:v>
      </x:c>
    </x:row>
    <x:row r="32" ht="58" customHeight="1">
      <x:c r="A32" s="14" t="str">
        <x:v>CEN-15978</x:v>
      </x:c>
      <x:c r="B32" s="14" t="str">
        <x:v>CEN</x:v>
      </x:c>
      <x:c r="C32" s="14" t="str">
        <x:v>EN 15978 – Sustainability of construction works</x:v>
      </x:c>
      <x:c r="D32" s="14" t="str">
        <x:v>Gebäude-Lebenszyklusbewertung</x:v>
      </x:c>
      <x:c r="E32" s="14" t="str">
        <x:v>aktuelle Ausgabe prüfen</x:v>
      </x:c>
      <x:c r="F32" s="65" t="str">
        <x:v>https://standards.cencenelec.eu/</x:v>
      </x:c>
      <x:c r="G32" s="14" t="str">
        <x:v>Normausgabe, Module und Systemgrenze dokumentieren.</x:v>
      </x:c>
    </x:row>
    <x:row r="33" ht="58" customHeight="1">
      <x:c r="A33" s="14" t="str">
        <x:v>EU-NIS2</x:v>
      </x:c>
      <x:c r="B33" s="14" t="str">
        <x:v>Europäische Union</x:v>
      </x:c>
      <x:c r="C33" s="14" t="str">
        <x:v>NIS2 Directive</x:v>
      </x:c>
      <x:c r="D33" s="14" t="str">
        <x:v>Cybersicherheits-Rechtsrahmen</x:v>
      </x:c>
      <x:c r="E33" s="14" t="str">
        <x:v>Richtlinie (EU) 2022/2555</x:v>
      </x:c>
      <x:c r="F33" s="65" t="str">
        <x:v>https://eur-lex.europa.eu/eli/dir/2022/2555/oj</x:v>
      </x:c>
      <x:c r="G33" s="14" t="str">
        <x:v>Nationale Umsetzung und Anwendungsbereich beachten.</x:v>
      </x:c>
    </x:row>
    <x:row r="34" ht="58" customHeight="1">
      <x:c r="A34" s="14" t="str">
        <x:v>EU-ESPR</x:v>
      </x:c>
      <x:c r="B34" s="14" t="str">
        <x:v>Europäische Union</x:v>
      </x:c>
      <x:c r="C34" s="14" t="str">
        <x:v>Ecodesign for Sustainable Products Regulation</x:v>
      </x:c>
      <x:c r="D34" s="14" t="str">
        <x:v>Produkt-/DPP-Rechtsrahmen</x:v>
      </x:c>
      <x:c r="E34" s="14" t="str">
        <x:v>VO (EU) 2024/1781</x:v>
      </x:c>
      <x:c r="F34" s="65" t="str">
        <x:v>https://eur-lex.europa.eu/eli/reg/2024/1781/oj</x:v>
      </x:c>
      <x:c r="G34" s="14" t="str">
        <x:v>Konkrete Produktgruppenanforderungen entstehen über delegierte Rechtsakte.</x:v>
      </x:c>
    </x:row>
    <x:row r="35" ht="58" customHeight="1">
      <x:c r="A35" s="14" t="str">
        <x:v>EU-PPWR</x:v>
      </x:c>
      <x:c r="B35" s="14" t="str">
        <x:v>Europäische Union</x:v>
      </x:c>
      <x:c r="C35" s="14" t="str">
        <x:v>Packaging and Packaging Waste Regulation</x:v>
      </x:c>
      <x:c r="D35" s="14" t="str">
        <x:v>Verpackungs-Rechtsrahmen</x:v>
      </x:c>
      <x:c r="E35" s="14" t="str">
        <x:v>VO (EU) 2025/40; anwendbar ab 12.08.2026</x:v>
      </x:c>
      <x:c r="F35" s="65" t="str">
        <x:v>https://eur-lex.europa.eu/eli/reg/2025/40/oj</x:v>
      </x:c>
      <x:c r="G35" s="14" t="str">
        <x:v>Produkt- und Übergangsregeln je Bewertungsdatum prüfen.</x:v>
      </x:c>
    </x:row>
    <x:row r="36" ht="58" customHeight="1">
      <x:c r="A36" s="14" t="str">
        <x:v>EU-WEEE</x:v>
      </x:c>
      <x:c r="B36" s="14" t="str">
        <x:v>Europäische Union</x:v>
      </x:c>
      <x:c r="C36" s="14" t="str">
        <x:v>Waste Electrical and Electronic Equipment Directive</x:v>
      </x:c>
      <x:c r="D36" s="14" t="str">
        <x:v>Elektroaltgeräte-Rechtsrahmen</x:v>
      </x:c>
      <x:c r="E36" s="14" t="str">
        <x:v>Richtlinie 2012/19/EU</x:v>
      </x:c>
      <x:c r="F36" s="65" t="str">
        <x:v>https://eur-lex.europa.eu/eli/dir/2012/19/oj</x:v>
      </x:c>
      <x:c r="G36" s="14" t="str">
        <x:v>Nationale Umsetzung, Produktgruppe und Sammelquote ausweisen.</x:v>
      </x:c>
    </x:row>
    <x:row r="37" ht="58" customHeight="1">
      <x:c r="A37" s="14" t="str">
        <x:v>DE-VERPACKG</x:v>
      </x:c>
      <x:c r="B37" s="14" t="str">
        <x:v>Bundesrepublik Deutschland</x:v>
      </x:c>
      <x:c r="C37" s="14" t="str">
        <x:v>Verpackungsgesetz</x:v>
      </x:c>
      <x:c r="D37" s="14" t="str">
        <x:v>Nationaler Verpackungs-Rechtsrahmen</x:v>
      </x:c>
      <x:c r="E37" s="14" t="str">
        <x:v>aktuelle Fassung</x:v>
      </x:c>
      <x:c r="F37" s="65" t="str">
        <x:v>https://www.gesetze-im-internet.de/verpackg/</x:v>
      </x:c>
      <x:c r="G37" s="14" t="str">
        <x:v>Rechtsstand und betroffene Verpackungsart dokumentieren.</x:v>
      </x:c>
    </x:row>
    <x:row r="38" ht="58" customHeight="1">
      <x:c r="A38" s="14" t="str">
        <x:v>FR-REPAIR</x:v>
      </x:c>
      <x:c r="B38" s="14" t="str">
        <x:v>République française</x:v>
      </x:c>
      <x:c r="C38" s="14" t="str">
        <x:v>Indice de réparabilité</x:v>
      </x:c>
      <x:c r="D38" s="14" t="str">
        <x:v>Französischer Reparierbarkeitsindex</x:v>
      </x:c>
      <x:c r="E38" s="14" t="str">
        <x:v>produktspezifisch</x:v>
      </x:c>
      <x:c r="F38" s="65" t="str">
        <x:v>https://www.ecologie.gouv.fr/politiques-publiques/indice-reparabilite</x:v>
      </x:c>
      <x:c r="G38" s="14" t="str">
        <x:v>Nicht pauschal mit EU-Scores gleichsetzen.</x:v>
      </x:c>
    </x:row>
    <x:row r="39" ht="58" customHeight="1">
      <x:c r="A39" s="14" t="str">
        <x:v>EU-REPAIR</x:v>
      </x:c>
      <x:c r="B39" s="14" t="str">
        <x:v>Europäische Kommission / JRC</x:v>
      </x:c>
      <x:c r="C39" s="14" t="str">
        <x:v>EU repairability score for smartphones and slate tablets</x:v>
      </x:c>
      <x:c r="D39" s="14" t="str">
        <x:v>EU-Reparierbarkeit für konkrete Produktgruppen</x:v>
      </x:c>
      <x:c r="E39" s="14" t="str">
        <x:v>seit 20.06.2025</x:v>
      </x:c>
      <x:c r="F39" s="65" t="str">
        <x:v>https://joint-research-centre.ec.europa.eu/jrc-news-and-updates/new-eu-labels-help-consumers-choose-more-repairable-electronics-2025-06-20_en</x:v>
      </x:c>
      <x:c r="G39" s="14" t="str">
        <x:v>Nur für erfasste Produktgruppen und geltende Methodik verwenden.</x:v>
      </x:c>
    </x:row>
    <x:row r="40" ht="58" customHeight="1">
      <x:c r="A40" s="14" t="str">
        <x:v>EU-REACH</x:v>
      </x:c>
      <x:c r="B40" s="14" t="str">
        <x:v>Europäische Union / ECHA</x:v>
      </x:c>
      <x:c r="C40" s="14" t="str">
        <x:v>REACH Regulation</x:v>
      </x:c>
      <x:c r="D40" s="14" t="str">
        <x:v>Chemikalien-Rechtsrahmen</x:v>
      </x:c>
      <x:c r="E40" s="14" t="str">
        <x:v>VO (EG) 1907/2006; aktuelle Fassung</x:v>
      </x:c>
      <x:c r="F40" s="65" t="str">
        <x:v>https://echa.europa.eu/regulations/reach/legislation</x:v>
      </x:c>
      <x:c r="G40" s="14" t="str">
        <x:v>Stoff, Verwendung, Zulassung/Beschränkung und Rechtsstand dokumentieren.</x:v>
      </x:c>
    </x:row>
    <x:row r="41" ht="58" customHeight="1">
      <x:c r="A41" s="14" t="str">
        <x:v>CBD-GBF</x:v>
      </x:c>
      <x:c r="B41" s="14" t="str">
        <x:v>Convention on Biological Diversity</x:v>
      </x:c>
      <x:c r="C41" s="14" t="str">
        <x:v>Kunming-Montreal Global Biodiversity Framework</x:v>
      </x:c>
      <x:c r="D41" s="14" t="str">
        <x:v>Biodiversitäts-Zielrahmen</x:v>
      </x:c>
      <x:c r="E41" s="14" t="str">
        <x:v>2022</x:v>
      </x:c>
      <x:c r="F41" s="65" t="str">
        <x:v>https://www.cbd.int/gbf</x:v>
      </x:c>
      <x:c r="G41" s="14" t="str">
        <x:v>Zielrahmen; projektspezifische Net-Gain-/No-Net-Loss-Methodik erforderlich.</x:v>
      </x:c>
    </x:row>
    <x:row r="42" ht="58" customHeight="1">
      <x:c r="A42" s="14" t="str">
        <x:v>WJP-ROL</x:v>
      </x:c>
      <x:c r="B42" s="14" t="str">
        <x:v>World Justice Project</x:v>
      </x:c>
      <x:c r="C42" s="14" t="str">
        <x:v>Rule of Law Index</x:v>
      </x:c>
      <x:c r="D42" s="14" t="str">
        <x:v>Länder-/Institutionenindex</x:v>
      </x:c>
      <x:c r="E42" s="14" t="str">
        <x:v>jährlich; Ausgabe je Bewertungsjahr</x:v>
      </x:c>
      <x:c r="F42" s="65" t="str">
        <x:v>https://worldjusticeproject.org/rule-of-law-index/</x:v>
      </x:c>
      <x:c r="G42" s="14" t="str">
        <x:v>Eignet sich nicht ohne Zurechnungslogik als direkter Unternehmenswirkungswert.</x:v>
      </x:c>
    </x:row>
    <x:row r="43" ht="58" customHeight="1">
      <x:c r="A43" s="14" t="str">
        <x:v>VDEM</x:v>
      </x:c>
      <x:c r="B43" s="14" t="str">
        <x:v>V-Dem Institute</x:v>
      </x:c>
      <x:c r="C43" s="14" t="str">
        <x:v>V-Dem Dataset</x:v>
      </x:c>
      <x:c r="D43" s="14" t="str">
        <x:v>Demokratieindikatoren</x:v>
      </x:c>
      <x:c r="E43" s="14" t="str">
        <x:v>v16 (2026)</x:v>
      </x:c>
      <x:c r="F43" s="65" t="str">
        <x:v>https://www.v-dem.net/data/the-v-dem-dataset/</x:v>
      </x:c>
      <x:c r="G43" s="14" t="str">
        <x:v>Indexauswahl, Aggregation, Jahr und Wirkungszurechnung dokumentieren.</x:v>
      </x:c>
    </x:row>
    <x:row r="44" ht="58" customHeight="1">
      <x:c r="A44" s="14" t="str">
        <x:v>EPO-PATSTAT</x:v>
      </x:c>
      <x:c r="B44" s="14" t="str">
        <x:v>European Patent Office</x:v>
      </x:c>
      <x:c r="C44" s="14" t="str">
        <x:v>PATSTAT</x:v>
      </x:c>
      <x:c r="D44" s="14" t="str">
        <x:v>Patentstatistik-Datenbank</x:v>
      </x:c>
      <x:c r="E44" s="14" t="str">
        <x:v>aktuelle Ausgabe</x:v>
      </x:c>
      <x:c r="F44" s="65" t="str">
        <x:v>https://www.epo.org/en/searching-for-patents/business/patstat</x:v>
      </x:c>
      <x:c r="G44" s="14" t="str">
        <x:v>Patentmenge ist kein Wirkungsnachweis; Qualitäts-/Transformationsbezug ergänzen.</x:v>
      </x:c>
    </x:row>
    <x:row r="45" ht="58" customHeight="1">
      <x:c r="A45" s="14" t="str">
        <x:v>SBTI</x:v>
      </x:c>
      <x:c r="B45" s="14" t="str">
        <x:v>Science Based Targets initiative</x:v>
      </x:c>
      <x:c r="C45" s="14" t="str">
        <x:v>Corporate standards and target validation</x:v>
      </x:c>
      <x:c r="D45" s="14" t="str">
        <x:v>Klimaziel-Validierung</x:v>
      </x:c>
      <x:c r="E45" s="14" t="str">
        <x:v>aktuelle gültige Fassung je Stichtag</x:v>
      </x:c>
      <x:c r="F45" s="65" t="str">
        <x:v>https://sciencebasedtargets.org/standards-and-guidance</x:v>
      </x:c>
      <x:c r="G45" s="14" t="str">
        <x:v>Validiertes Ziel ist nicht identisch mit realer Zielerreichung.</x:v>
      </x:c>
    </x:row>
    <x:row r="46" ht="58" customHeight="1">
      <x:c r="A46" s="14" t="str">
        <x:v>OECD-DD</x:v>
      </x:c>
      <x:c r="B46" s="14" t="str">
        <x:v>OECD</x:v>
      </x:c>
      <x:c r="C46" s="14" t="str">
        <x:v>Due Diligence Guidance for Responsible Business Conduct</x:v>
      </x:c>
      <x:c r="D46" s="14" t="str">
        <x:v>Sorgfaltsmethodik</x:v>
      </x:c>
      <x:c r="E46" s="14" t="str">
        <x:v>2018</x:v>
      </x:c>
      <x:c r="F46" s="65" t="str">
        <x:v>https://mneguidelines.oecd.org/due-diligence-guidance-for-responsible-business-conduct.htm</x:v>
      </x:c>
      <x:c r="G46" s="14" t="str">
        <x:v>Methodik und Nachweis; keine universellen WÖk-Grenzwerte.</x:v>
      </x:c>
    </x:row>
    <x:row r="47" ht="58" customHeight="1">
      <x:c r="A47" s="14" t="str">
        <x:v>OECD-AB</x:v>
      </x:c>
      <x:c r="B47" s="14" t="str">
        <x:v>OECD</x:v>
      </x:c>
      <x:c r="C47" s="14" t="str">
        <x:v>Anti-Bribery Convention and guidance</x:v>
      </x:c>
      <x:c r="D47" s="14" t="str">
        <x:v>Antikorruptionsrahmen</x:v>
      </x:c>
      <x:c r="E47" s="14" t="str">
        <x:v>fortlaufend</x:v>
      </x:c>
      <x:c r="F47" s="65" t="str">
        <x:v>https://www.oecd.org/corruption/oecdantibriberyconvention.htm</x:v>
      </x:c>
      <x:c r="G47" s="14" t="str">
        <x:v>Fälle, Prävention und Wirksamkeit getrennt bewerten.</x:v>
      </x:c>
    </x:row>
    <x:row r="48" ht="58" customHeight="1">
      <x:c r="A48" s="14" t="str">
        <x:v>OECD-FRASCATI</x:v>
      </x:c>
      <x:c r="B48" s="14" t="str">
        <x:v>OECD</x:v>
      </x:c>
      <x:c r="C48" s="14" t="str">
        <x:v>Frascati Manual</x:v>
      </x:c>
      <x:c r="D48" s="14" t="str">
        <x:v>F&amp;E-Definition und Statistik</x:v>
      </x:c>
      <x:c r="E48" s="14" t="str">
        <x:v>2015; aktuelle Ergänzungen prüfen</x:v>
      </x:c>
      <x:c r="F48" s="65" t="str">
        <x:v>https://www.oecd.org/sti/inno/frascati-manual.htm</x:v>
      </x:c>
      <x:c r="G48" s="14" t="str">
        <x:v>F&amp;E-Ausgaben sind Input, nicht automatisch Wirkung.</x:v>
      </x:c>
    </x:row>
    <x:row r="49" ht="58" customHeight="1">
      <x:c r="A49" s="14" t="str">
        <x:v>KBA-DATA</x:v>
      </x:c>
      <x:c r="B49" s="14" t="str">
        <x:v>Kraftfahrt-Bundesamt</x:v>
      </x:c>
      <x:c r="C49" s="14" t="str">
        <x:v>Amtliche Fahrzeug- und Bestandsstatistiken</x:v>
      </x:c>
      <x:c r="D49" s="14" t="str">
        <x:v>Verkehrsdaten</x:v>
      </x:c>
      <x:c r="E49" s="14" t="str">
        <x:v>fortlaufend</x:v>
      </x:c>
      <x:c r="F49" s="65" t="str">
        <x:v>https://www.kba.de/DE/Statistik/statistik_node.html</x:v>
      </x:c>
      <x:c r="G49" s="14" t="str">
        <x:v>Datensatz, Zeitraum und Geografie benennen.</x:v>
      </x:c>
    </x:row>
    <x:row r="50" ht="58" customHeight="1">
      <x:c r="A50" s="14" t="str">
        <x:v>DATA-GIS</x:v>
      </x:c>
      <x:c r="B50" s="14" t="str">
        <x:v>Jeweilige Kommune/Behörde/Datenhalter</x:v>
      </x:c>
      <x:c r="C50" s="14" t="str">
        <x:v>Lokale GIS- und Verwaltungsdaten</x:v>
      </x:c>
      <x:c r="D50" s="14" t="str">
        <x:v>Lokale Primärdaten</x:v>
      </x:c>
      <x:c r="E50" s="14" t="str">
        <x:v>je Fall</x:v>
      </x:c>
      <x:c r="F50" s="65"/>
      <x:c r="G50" s="14" t="str">
        <x:v>Datenhalter, Layer, Stichtag, Lizenz und Methodik müssen je WÖk-ID ergänzt werden.</x:v>
      </x:c>
    </x:row>
    <x:row r="51" ht="58" customHeight="1">
      <x:c r="A51" s="14" t="str">
        <x:v>SVI-SROI</x:v>
      </x:c>
      <x:c r="B51" s="14" t="str">
        <x:v>Social Value International</x:v>
      </x:c>
      <x:c r="C51" s="14" t="str">
        <x:v>SROI principles and guidance</x:v>
      </x:c>
      <x:c r="D51" s="14" t="str">
        <x:v>SROI-Methodenrahmen</x:v>
      </x:c>
      <x:c r="E51" s="14" t="str">
        <x:v>aktuelle Fassung</x:v>
      </x:c>
      <x:c r="F51" s="65" t="str">
        <x:v>https://www.socialvalueint.org/principles</x:v>
      </x:c>
      <x:c r="G51" s="14" t="str">
        <x:v>Kein Ersatz für einen konkreten Wirkungsindikator oder Schwellenwert.</x:v>
      </x:c>
    </x:row>
    <x:row r="52">
      <x:c r="A52" s="76" t="str">
        <x:v>INT-WOEK-AGENTS</x:v>
      </x:c>
      <x:c r="B52" s="76" t="str">
        <x:v>Natalie Weber / Wirkungsökonomie</x:v>
      </x:c>
      <x:c r="C52" s="76" t="str">
        <x:v>AGENTS.md – Root-Governance der Wirkungsökonomie</x:v>
      </x:c>
      <x:c r="D52" s="76" t="str">
        <x:v>Projektweite Governance-, Quellen-, Publikations- und Qualitätsregeln</x:v>
      </x:c>
      <x:c r="E52" s="76" t="str">
        <x:v>v1.0 · 16.08.2026</x:v>
      </x:c>
      <x:c r="F52" s="76"/>
      <x:c r="G52" s="76" t="str">
        <x:v>Verbindliche Betriebsanweisung; u. a. Fakt/Potenzial/Risiko/Wirkung/Norm trennen, keine Daten = keine Bewertung, Primärquellen bevorzugen.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1a60ffdbcd441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52" hidden="0" customWidth="1"/>
    <x:col min="5" max="5" width="18" hidden="0" customWidth="1"/>
    <x:col min="6" max="6" width="48" hidden="0" customWidth="1"/>
    <x:col min="7" max="7" width="52" hidden="0" customWidth="1"/>
    <x:col min="8" max="8" width="20" hidden="0" customWidth="1"/>
  </x:cols>
  <x:sheetData>
    <x:row r="1" ht="32" customHeight="1">
      <x:c r="A1" s="5" t="str">
        <x:v>08 · Prüfprotokoll – fortgeführt bis v1.4 FINAL</x:v>
      </x:c>
      <x:c r="B1" s="5"/>
      <x:c r="C1" s="5"/>
      <x:c r="D1" s="5"/>
      <x:c r="E1" s="5"/>
      <x:c r="F1" s="5"/>
      <x:c r="G1" s="5"/>
      <x:c r="H1" s="5"/>
    </x:row>
    <x:row r="2" ht="36" customHeight="1">
      <x:c r="A2" s="9" t="str">
        <x:v>Technische, methodische und fachliche Befunde seit der v1.2-Prüfung sowie Korrekturen und verbleibende Aufgaben. Offene Punkte bleiben bewusst sichtbar.</x:v>
      </x:c>
      <x:c r="B2" s="9"/>
      <x:c r="C2" s="9"/>
      <x:c r="D2" s="9"/>
      <x:c r="E2" s="9"/>
      <x:c r="F2" s="9"/>
      <x:c r="G2" s="9"/>
      <x:c r="H2" s="9"/>
    </x:row>
    <x:row r="4" ht="34" customHeight="1">
      <x:c r="A4" s="49" t="str">
        <x:v>Audit_ID</x:v>
      </x:c>
      <x:c r="B4" s="49" t="str">
        <x:v>Schweregrad</x:v>
      </x:c>
      <x:c r="C4" s="49" t="str">
        <x:v>Bereich</x:v>
      </x:c>
      <x:c r="D4" s="49" t="str">
        <x:v>Befund</x:v>
      </x:c>
      <x:c r="E4" s="49" t="str">
        <x:v>Betroffene_Zeilen</x:v>
      </x:c>
      <x:c r="F4" s="49" t="str">
        <x:v>Korrektur_v1.3</x:v>
      </x:c>
      <x:c r="G4" s="49" t="str">
        <x:v>Restrisiko/Nächster_Schritt</x:v>
      </x:c>
      <x:c r="H4" s="49" t="str">
        <x:v>Status</x:v>
      </x:c>
    </x:row>
    <x:row r="5" ht="62" customHeight="1">
      <x:c r="A5" s="14" t="str">
        <x:v>A-001</x:v>
      </x:c>
      <x:c r="B5" s="14" t="str">
        <x:v>Kritisch</x:v>
      </x:c>
      <x:c r="C5" s="14" t="str">
        <x:v>Scorecards</x:v>
      </x:c>
      <x:c r="D5" s="14" t="str">
        <x:v>621 leere Messwertzellen erzeugten dennoch Scores bzw. Steuersätze.</x:v>
      </x:c>
      <x:c r="E5" s="14" t="n">
        <x:v>621</x:v>
      </x:c>
      <x:c r="F5" s="14" t="str">
        <x:v>Formeln geben bei leerer Eingabe keinen AutoScore aus.</x:v>
      </x:c>
      <x:c r="G5" s="14" t="str">
        <x:v>Nutzer:innen müssen Messwert oder Assurance-Evidenz eintragen.</x:v>
      </x:c>
      <x:c r="H5" s="14" t="str">
        <x:v>Behoben</x:v>
      </x:c>
    </x:row>
    <x:row r="6" ht="62" customHeight="1">
      <x:c r="A6" s="14" t="str">
        <x:v>A-002</x:v>
      </x:c>
      <x:c r="B6" s="14" t="str">
        <x:v>Kritisch</x:v>
      </x:c>
      <x:c r="C6" s="14" t="str">
        <x:v>Archetypen</x:v>
      </x:c>
      <x:c r="D6" s="14" t="str">
        <x:v>higher_is_better_abs und lower_is_better_abs fehlten; 320 Zeilen ergaben #N/A.</x:v>
      </x:c>
      <x:c r="E6" s="14" t="n">
        <x:v>320</x:v>
      </x:c>
      <x:c r="F6" s="14" t="str">
        <x:v>28 Rule_IDs ersetzen die unvollständige Archetypenliste.</x:v>
      </x:c>
      <x:c r="G6" s="14" t="str">
        <x:v>Fachliche Kalibrierung der Regeln bleibt erforderlich.</x:v>
      </x:c>
      <x:c r="H6" s="14" t="str">
        <x:v>Behoben</x:v>
      </x:c>
    </x:row>
    <x:row r="7" ht="62" customHeight="1">
      <x:c r="A7" s="14" t="str">
        <x:v>A-003</x:v>
      </x:c>
      <x:c r="B7" s="14" t="str">
        <x:v>Kritisch</x:v>
      </x:c>
      <x:c r="C7" s="14" t="str">
        <x:v>FinalScore</x:v>
      </x:c>
      <x:c r="D7" s="14" t="str">
        <x:v>Die ursprüngliche Formel übernahm bei vorhandenem Archetyp den AutoScore und ignorierte den Benchmark.</x:v>
      </x:c>
      <x:c r="E7" s="14" t="n">
        <x:v>621</x:v>
      </x:c>
      <x:c r="F7" s="14" t="str">
        <x:v>FinalScore = Minimum aller vorhandenen Auto-, Benchmark- und Assurance-Scores.</x:v>
      </x:c>
      <x:c r="G7" s="14" t="str">
        <x:v>Regel durch Tests und spätere Softwareimplementierung absichern.</x:v>
      </x:c>
      <x:c r="H7" s="14" t="str">
        <x:v>Behoben</x:v>
      </x:c>
    </x:row>
    <x:row r="8" ht="62" customHeight="1">
      <x:c r="A8" s="14" t="str">
        <x:v>A-004</x:v>
      </x:c>
      <x:c r="B8" s="14" t="str">
        <x:v>Hoch</x:v>
      </x:c>
      <x:c r="C8" s="14" t="str">
        <x:v>Benchmarks</x:v>
      </x:c>
      <x:c r="D8" s="14" t="str">
        <x:v>Legacy-BM-Werte wurden überwiegend aus Schwellen/Defaults abgeleitet, nicht aus validierten Branchenstichproben.</x:v>
      </x:c>
      <x:c r="E8" s="14" t="n">
        <x:v>621</x:v>
      </x:c>
      <x:c r="F8" s="14" t="str">
        <x:v>Legacy-Werte archiviert; aktive BM-Felder leer und gesperrt bis Validierung.</x:v>
      </x:c>
      <x:c r="G8" s="14" t="str">
        <x:v>72 benchmarkabhängige Items benötigen echte Referenzdaten.</x:v>
      </x:c>
      <x:c r="H8" s="14" t="str">
        <x:v>Strukturell behoben</x:v>
      </x:c>
    </x:row>
    <x:row r="9" ht="62" customHeight="1">
      <x:c r="A9" s="14" t="str">
        <x:v>A-005</x:v>
      </x:c>
      <x:c r="B9" s="14" t="str">
        <x:v>Hoch</x:v>
      </x:c>
      <x:c r="C9" s="14" t="str">
        <x:v>NACE</x:v>
      </x:c>
      <x:c r="D9" s="14" t="str">
        <x:v>NACE-Beispiele waren nicht versioniert.</x:v>
      </x:c>
      <x:c r="E9" s="14" t="n">
        <x:v>621</x:v>
      </x:c>
      <x:c r="F9" s="14" t="str">
        <x:v>Legacy-Status und Migrationsfeld für NACE Rev. 2.1 ergänzt.</x:v>
      </x:c>
      <x:c r="G9" s="14" t="str">
        <x:v>Fachliches Mapping je Item durchführen.</x:v>
      </x:c>
      <x:c r="H9" s="14" t="str">
        <x:v>Offen</x:v>
      </x:c>
    </x:row>
    <x:row r="10" ht="62" customHeight="1">
      <x:c r="A10" s="14" t="str">
        <x:v>A-006</x:v>
      </x:c>
      <x:c r="B10" s="14" t="str">
        <x:v>Hoch</x:v>
      </x:c>
      <x:c r="C10" s="14" t="str">
        <x:v>Quellen</x:v>
      </x:c>
      <x:c r="D10" s="14" t="str">
        <x:v>Berichts-/Messstandards wurden teilweise wie Belege für WÖk-Grenzwerte behandelt.</x:v>
      </x:c>
      <x:c r="E10" s="14" t="n">
        <x:v>621</x:v>
      </x:c>
      <x:c r="F10" s="14" t="str">
        <x:v>Quellenfunktion und Schwellenstatus getrennt.</x:v>
      </x:c>
      <x:c r="G10" s="14" t="str">
        <x:v>Jede WÖk-Kalibrierung empirisch oder normativ dokumentieren.</x:v>
      </x:c>
      <x:c r="H10" s="14" t="str">
        <x:v>Strukturell behoben</x:v>
      </x:c>
    </x:row>
    <x:row r="11" ht="62" customHeight="1">
      <x:c r="A11" s="14" t="str">
        <x:v>A-007</x:v>
      </x:c>
      <x:c r="B11" s="14" t="str">
        <x:v>Hoch</x:v>
      </x:c>
      <x:c r="C11" s="14" t="str">
        <x:v>Benchmarks</x:v>
      </x:c>
      <x:c r="D11" s="14" t="str">
        <x:v>Benchmarkabhängige Regeln ohne validierte aktive Benchmarks.</x:v>
      </x:c>
      <x:c r="E11" s="14" t="n">
        <x:v>72</x:v>
      </x:c>
      <x:c r="F11" s="14" t="str">
        <x:v>Kein automatischer BenchmarkScore bis Status = Aktiv.</x:v>
      </x:c>
      <x:c r="G11" s="14" t="str">
        <x:v>Branchen-, Regions- und Technologiebenchmarks entwickeln.</x:v>
      </x:c>
      <x:c r="H11" s="14" t="str">
        <x:v>Offen</x:v>
      </x:c>
    </x:row>
    <x:row r="12" ht="62" customHeight="1">
      <x:c r="A12" s="14" t="str">
        <x:v>A-008</x:v>
      </x:c>
      <x:c r="B12" s="14" t="str">
        <x:v>Hoch</x:v>
      </x:c>
      <x:c r="C12" s="14" t="str">
        <x:v>Qualitative Regeln</x:v>
      </x:c>
      <x:c r="D12" s="14" t="str">
        <x:v>Qualitative Schwellen ohne vollständigen Kriterien- und Assurance-Katalog.</x:v>
      </x:c>
      <x:c r="E12" s="14" t="n">
        <x:v>54</x:v>
      </x:c>
      <x:c r="F12" s="14" t="str">
        <x:v>Assurance-Score als eigene, nachweisgebundene Eingabe.</x:v>
      </x:c>
      <x:c r="G12" s="14" t="str">
        <x:v>Rubrics je Indikatorfamilie beschließen.</x:v>
      </x:c>
      <x:c r="H12" s="14" t="str">
        <x:v>Offen</x:v>
      </x:c>
    </x:row>
    <x:row r="13" ht="62" customHeight="1">
      <x:c r="A13" s="14" t="str">
        <x:v>A-009</x:v>
      </x:c>
      <x:c r="B13" s="14" t="str">
        <x:v>Hoch</x:v>
      </x:c>
      <x:c r="C13" s="14" t="str">
        <x:v>Rechtsgrenzen</x:v>
      </x:c>
      <x:c r="D13" s="14" t="str">
        <x:v>10 Items nutzten Prozent-vom-Grenzwert, obwohl Definition/Einheit einen absoluten Wert suggerierten.</x:v>
      </x:c>
      <x:c r="E13" s="14" t="n">
        <x:v>10</x:v>
      </x:c>
      <x:c r="F13" s="14" t="str">
        <x:v>Definition, Einheit und Berechnung auf Grenzwertquote korrigiert.</x:v>
      </x:c>
      <x:c r="G13" s="14" t="str">
        <x:v>Konkrete Rechtsfundstelle je Messung eintragen.</x:v>
      </x:c>
      <x:c r="H13" s="14" t="str">
        <x:v>Teilweise offen</x:v>
      </x:c>
    </x:row>
    <x:row r="14" ht="62" customHeight="1">
      <x:c r="A14" s="14" t="str">
        <x:v>A-010</x:v>
      </x:c>
      <x:c r="B14" s="14" t="str">
        <x:v>Hoch</x:v>
      </x:c>
      <x:c r="C14" s="14" t="str">
        <x:v>Schwellen</x:v>
      </x:c>
      <x:c r="D14" s="14" t="str">
        <x:v>Bei 10 Items war die Grenze zwischen −2 und −3 nicht operationalisiert.</x:v>
      </x:c>
      <x:c r="E14" s="14" t="n">
        <x:v>10</x:v>
      </x:c>
      <x:c r="F14" s="14" t="str">
        <x:v>Automatik bildet nur die explizit sichere Klasse ab; Assurance kann verschärfen.</x:v>
      </x:c>
      <x:c r="G14" s="14" t="str">
        <x:v>Fachgrenze durch Wirkungsrat festlegen.</x:v>
      </x:c>
      <x:c r="H14" s="14" t="str">
        <x:v>Offen</x:v>
      </x:c>
    </x:row>
    <x:row r="15" ht="62" customHeight="1">
      <x:c r="A15" s="14" t="str">
        <x:v>A-011</x:v>
      </x:c>
      <x:c r="B15" s="14" t="str">
        <x:v>Kritisch</x:v>
      </x:c>
      <x:c r="C15" s="14" t="str">
        <x:v>Fachquellen</x:v>
      </x:c>
      <x:c r="D15" s="14" t="str">
        <x:v>SROI/SDG17 wurde bei 120 Items als generischer Quellenplatzhalter verwendet.</x:v>
      </x:c>
      <x:c r="E15" s="14" t="n">
        <x:v>120</x:v>
      </x:c>
      <x:c r="F15" s="14" t="str">
        <x:v>Als Platzhalter gekennzeichnet; konkrete Fachquelle erforderlich.</x:v>
      </x:c>
      <x:c r="G15" s="14" t="str">
        <x:v>Indikatorfamilien einzeln operationalisieren.</x:v>
      </x:c>
      <x:c r="H15" s="14" t="str">
        <x:v>Offen</x:v>
      </x:c>
    </x:row>
    <x:row r="16" ht="62" customHeight="1">
      <x:c r="A16" s="14" t="str">
        <x:v>A-012</x:v>
      </x:c>
      <x:c r="B16" s="14" t="str">
        <x:v>Hoch</x:v>
      </x:c>
      <x:c r="C16" s="14" t="str">
        <x:v>Reparierbarkeit</x:v>
      </x:c>
      <x:c r="D16" s="14" t="str">
        <x:v>12 Items vermischten EU- und französische Reparierbarkeitssysteme.</x:v>
      </x:c>
      <x:c r="E16" s="14" t="n">
        <x:v>12</x:v>
      </x:c>
      <x:c r="F16" s="14" t="str">
        <x:v>Produktspezifischer Indexstatus und Quellen getrennt.</x:v>
      </x:c>
      <x:c r="G16" s="14" t="str">
        <x:v>Produktgruppe, Indexsystem und Rechtsstand festlegen.</x:v>
      </x:c>
      <x:c r="H16" s="14" t="str">
        <x:v>Offen</x:v>
      </x:c>
    </x:row>
    <x:row r="17" ht="62" customHeight="1">
      <x:c r="A17" s="14" t="str">
        <x:v>A-013</x:v>
      </x:c>
      <x:c r="B17" s="14" t="str">
        <x:v>Hoch</x:v>
      </x:c>
      <x:c r="C17" s="14" t="str">
        <x:v>Lokale Daten</x:v>
      </x:c>
      <x:c r="D17" s="14" t="str">
        <x:v>Stadt/GIS war bei 9 Items kein hinreichend bestimmter Datenbeleg.</x:v>
      </x:c>
      <x:c r="E17" s="14" t="n">
        <x:v>9</x:v>
      </x:c>
      <x:c r="F17" s="14" t="str">
        <x:v>Datenhalter-/Layer-/Stichtag-Pflicht ergänzt.</x:v>
      </x:c>
      <x:c r="G17" s="14" t="str">
        <x:v>Lokale Quellen je Anwendung eintragen.</x:v>
      </x:c>
      <x:c r="H17" s="14" t="str">
        <x:v>Offen</x:v>
      </x:c>
    </x:row>
    <x:row r="18" ht="62" customHeight="1">
      <x:c r="A18" s="14" t="str">
        <x:v>A-014</x:v>
      </x:c>
      <x:c r="B18" s="14" t="str">
        <x:v>Mittel</x:v>
      </x:c>
      <x:c r="C18" s="14" t="str">
        <x:v>Innovation</x:v>
      </x:c>
      <x:c r="D18" s="14" t="str">
        <x:v>Patentstatistik wurde bei 4 Items ohne Wirkungs- und Qualitätslogik verwendet.</x:v>
      </x:c>
      <x:c r="E18" s="14" t="n">
        <x:v>4</x:v>
      </x:c>
      <x:c r="F18" s="14" t="str">
        <x:v>PATSTAT als Inputquelle, nicht als Wirkungsnachweis klassifiziert.</x:v>
      </x:c>
      <x:c r="G18" s="14" t="str">
        <x:v>Patentqualität, Nutzung und Transformationswirkung ergänzen.</x:v>
      </x:c>
      <x:c r="H18" s="14" t="str">
        <x:v>Offen</x:v>
      </x:c>
    </x:row>
    <x:row r="19" ht="62" customHeight="1">
      <x:c r="A19" s="14" t="str">
        <x:v>A-015</x:v>
      </x:c>
      <x:c r="B19" s="14" t="str">
        <x:v>Hoch</x:v>
      </x:c>
      <x:c r="C19" s="14" t="str">
        <x:v>Biodiversität</x:v>
      </x:c>
      <x:c r="D19" s="14" t="str">
        <x:v>8 Net-Gain-Regeln waren qualitativ und nicht feldspezifisch operationalisiert.</x:v>
      </x:c>
      <x:c r="E19" s="14" t="n">
        <x:v>8</x:v>
      </x:c>
      <x:c r="F19" s="14" t="str">
        <x:v>Assurance- und Kriterienpflicht ergänzt.</x:v>
      </x:c>
      <x:c r="G19" s="14" t="str">
        <x:v>Methodik je Ökosystem, Baseline und Dauer festlegen.</x:v>
      </x:c>
      <x:c r="H19" s="14" t="str">
        <x:v>Offen</x:v>
      </x:c>
    </x:row>
    <x:row r="20" ht="62" customHeight="1">
      <x:c r="A20" s="14" t="str">
        <x:v>A-016</x:v>
      </x:c>
      <x:c r="B20" s="14" t="str">
        <x:v>Kritisch</x:v>
      </x:c>
      <x:c r="C20" s="14" t="str">
        <x:v>Fachlogik</x:v>
      </x:c>
      <x:c r="D20" s="14" t="str">
        <x:v>Mindestens 12 Items zeigen deutliche Schablonenabweichungen zwischen Indikatorfamilie, Item und Definition.</x:v>
      </x:c>
      <x:c r="E20" s="14" t="n">
        <x:v>12</x:v>
      </x:c>
      <x:c r="F20" s="14" t="str">
        <x:v>Kritische Prüfmarkierung im Register.</x:v>
      </x:c>
      <x:c r="G20" s="14" t="str">
        <x:v>Indikatoren fachlich neu entwerfen; keine automatische Freigabe.</x:v>
      </x:c>
      <x:c r="H20" s="14" t="str">
        <x:v>Offen</x:v>
      </x:c>
    </x:row>
    <x:row r="21">
      <x:c r="A21" s="79" t="str">
        <x:v>A-017</x:v>
      </x:c>
      <x:c r="B21" s="79" t="str">
        <x:v>Hoch</x:v>
      </x:c>
      <x:c r="C21" s="79" t="str">
        <x:v>Terminologie</x:v>
      </x:c>
      <x:c r="D21" s="79" t="str">
        <x:v>Der Quellenkatalog verwies noch auf Begriffsleitfaden v1.0 als führende Referenz.</x:v>
      </x:c>
      <x:c r="E21" s="79" t="n">
        <x:v>1</x:v>
      </x:c>
      <x:c r="F21" s="79" t="str">
        <x:v>Auf v1.5 aktualisiert.</x:v>
      </x:c>
      <x:c r="G21" s="79" t="str">
        <x:v>Bei künftigen Leitfaden-Versionen automatischen Versionsabgleich vorsehen.</x:v>
      </x:c>
      <x:c r="H21" s="79" t="str">
        <x:v>Behoben</x:v>
      </x:c>
    </x:row>
    <x:row r="22">
      <x:c r="A22" s="79" t="str">
        <x:v>A-018</x:v>
      </x:c>
      <x:c r="B22" s="79" t="str">
        <x:v>Hoch</x:v>
      </x:c>
      <x:c r="C22" s="79" t="str">
        <x:v>SDG+</x:v>
      </x:c>
      <x:c r="D22" s="79" t="str">
        <x:v>WÖk-Erweiterungen waren im Register nur durch '+' gekennzeichnet und konnten wie offizielle SDGs wirken.</x:v>
      </x:c>
      <x:c r="E22" s="79" t="n">
        <x:v>162</x:v>
      </x:c>
      <x:c r="F22" s="79" t="str">
        <x:v>Explizite Kennzeichnung 'SDG+ – …' in Register und Scorecards.</x:v>
      </x:c>
      <x:c r="G22" s="79" t="str">
        <x:v>Öffentlicher Viewer muss SDG+ als WÖk-Erweiterung erklären.</x:v>
      </x:c>
      <x:c r="H22" s="79" t="str">
        <x:v>Behoben</x:v>
      </x:c>
    </x:row>
    <x:row r="23">
      <x:c r="A23" s="79" t="str">
        <x:v>A-019</x:v>
      </x:c>
      <x:c r="B23" s="79" t="str">
        <x:v>Kritisch</x:v>
      </x:c>
      <x:c r="C23" s="79" t="str">
        <x:v>Methodiktransparenz</x:v>
      </x:c>
      <x:c r="D23" s="79" t="str">
        <x:v>Kategorische politische Richtungsbewertung und numerische Scorecard konnten ohne Zusatzdokumentation verwechselt werden.</x:v>
      </x:c>
      <x:c r="E23" s="79" t="n">
        <x:v>621</x:v>
      </x:c>
      <x:c r="F23" s="79" t="str">
        <x:v>Eigenes Transparenzblatt mit Richtung/Evidenz/Scorecard/FinalScore/Nichtkompensation ergänzt.</x:v>
      </x:c>
      <x:c r="G23" s="79" t="str">
        <x:v>Portal muss diese Trennung identisch darstellen.</x:v>
      </x:c>
      <x:c r="H23" s="79" t="str">
        <x:v>Behoben</x:v>
      </x:c>
    </x:row>
    <x:row r="24">
      <x:c r="A24" s="79" t="str">
        <x:v>A-020</x:v>
      </x:c>
      <x:c r="B24" s="79" t="str">
        <x:v>Hoch</x:v>
      </x:c>
      <x:c r="C24" s="79" t="str">
        <x:v>Publikation</x:v>
      </x:c>
      <x:c r="D24" s="79" t="str">
        <x:v>Für öffentliche Exporte gab es noch kein festes Feld- und Herkunftsschema.</x:v>
      </x:c>
      <x:c r="E24" s="79" t="n">
        <x:v>621</x:v>
      </x:c>
      <x:c r="F24" s="79" t="str">
        <x:v>Public-Export-Schema ergänzt; kanonische Quelle bleibt 01_Item_Register.</x:v>
      </x:c>
      <x:c r="G24" s="79" t="str">
        <x:v>Viewer und Downloads müssen aus derselben kanonischen Quelle generiert werden.</x:v>
      </x:c>
      <x:c r="H24" s="79" t="str">
        <x:v>Behoben</x:v>
      </x:c>
    </x:row>
  </x:sheetData>
  <x:mergeCells>
    <x:mergeCell ref="A1:H1"/>
    <x:mergeCell ref="A2:H2"/>
  </x:mergeCells>
  <x:conditionalFormatting sqref="B5:B20">
    <x:cfRule type="expression" dxfId="18" priority="1">
      <x:formula>B5="Kritisch"</x:formula>
    </x:cfRule>
    <x:cfRule type="expression" dxfId="19" priority="2">
      <x:formula>B5="Hoch"</x:formula>
    </x:cfRule>
  </x:conditionalFormatting>
  <x:conditionalFormatting sqref="H5:H20">
    <x:cfRule type="expression" dxfId="20" priority="3">
      <x:formula>H5="Behoben"</x:formula>
    </x:cfRule>
    <x:cfRule type="expression" dxfId="21" priority="4">
      <x:formula>H5="Offen"</x:formula>
    </x:cfRule>
    <x:cfRule type="expression" dxfId="22" priority="5">
      <x:formula>ISNUMBER(SEARCH("Teil",H5))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ebdee7469547c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42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69" t="str">
        <x:v>09 · Methodik und Rechenlogik</x:v>
      </x:c>
      <x:c r="B1" s="69"/>
      <x:c r="C1" s="69"/>
      <x:c r="D1" s="69"/>
      <x:c r="E1" s="69"/>
      <x:c r="F1" s="69"/>
      <x:c r="G1" s="69"/>
      <x:c r="H1" s="69"/>
    </x:row>
    <x:row r="2">
      <x:c r="A2" s="72" t="str">
        <x:v>v1.4 FINAL · Das Register trennt politische Ex-ante-Richtungsbewertung, Evidenz und technische WÖk-Scorecards. Keine geheime Parteipunktzahl.</x:v>
      </x:c>
      <x:c r="B2" s="72"/>
      <x:c r="C2" s="72"/>
      <x:c r="D2" s="72"/>
      <x:c r="E2" s="72"/>
      <x:c r="F2" s="72"/>
      <x:c r="G2" s="72"/>
      <x:c r="H2" s="72"/>
    </x:row>
    <x:row r="3">
      <x:c r="A3"/>
      <x:c r="B3"/>
      <x:c r="C3"/>
      <x:c r="D3"/>
      <x:c r="E3"/>
      <x:c r="F3"/>
      <x:c r="G3"/>
      <x:c r="H3"/>
    </x:row>
    <x:row r="4">
      <x:c r="A4" s="74" t="str">
        <x:v>A. Politische Ex-ante-Bewertung</x:v>
      </x:c>
      <x:c r="B4" s="74"/>
      <x:c r="C4" s="74"/>
      <x:c r="D4" s="74"/>
      <x:c r="E4" s="74"/>
      <x:c r="F4" s="74"/>
      <x:c r="G4" s="74"/>
      <x:c r="H4" s="74"/>
    </x:row>
    <x:row r="5">
      <x:c r="A5" s="77" t="str">
        <x:v>Schritt</x:v>
      </x:c>
      <x:c r="B5" s="77" t="str">
        <x:v>Symbol/Logik</x:v>
      </x:c>
      <x:c r="C5" s="77" t="str">
        <x:v>Bedeutung</x:v>
      </x:c>
      <x:c r="D5" s="77" t="str">
        <x:v>Was wird NICHT behauptet</x:v>
      </x:c>
      <x:c r="E5" s="77" t="str">
        <x:v>Quelle im Projekt</x:v>
      </x:c>
      <x:c r="F5"/>
      <x:c r="G5"/>
      <x:c r="H5"/>
    </x:row>
    <x:row r="6">
      <x:c r="A6" s="75" t="str">
        <x:v>1 · Originalquelle</x:v>
      </x:c>
      <x:c r="B6" s="75" t="str">
        <x:v>A</x:v>
      </x:c>
      <x:c r="C6" s="75" t="str">
        <x:v>Politische Forderung, Gesetz, Beschluss oder anderer Auslöser wird aus der Primärquelle erfasst.</x:v>
      </x:c>
      <x:c r="D6" s="75" t="str">
        <x:v>Pressebericht ersetzt nicht den Originalgegenstand.</x:v>
      </x:c>
      <x:c r="E6" s="75" t="str">
        <x:v>Parlament-Fachakte / Primärquelle</x:v>
      </x:c>
      <x:c r="F6"/>
      <x:c r="G6"/>
      <x:c r="H6"/>
    </x:row>
    <x:row r="7">
      <x:c r="A7" s="75" t="str">
        <x:v>2 · Wirkmechanismus</x:v>
      </x:c>
      <x:c r="B7" s="75" t="str">
        <x:v>M</x:v>
      </x:c>
      <x:c r="C7" s="75" t="str">
        <x:v>Begründete Hypothese, wie der Auslöser unter Bedingungen eine Veränderung hervorrufen kann.</x:v>
      </x:c>
      <x:c r="D7" s="75" t="str">
        <x:v>Noch kein Kausalnachweis.</x:v>
      </x:c>
      <x:c r="E7" s="75" t="str">
        <x:v>Begriffsleitfaden v1.5 / Fachliteratur</x:v>
      </x:c>
      <x:c r="F7"/>
      <x:c r="G7"/>
      <x:c r="H7"/>
    </x:row>
    <x:row r="8">
      <x:c r="A8" s="75" t="str">
        <x:v>3 · Zustandsveränderung</x:v>
      </x:c>
      <x:c r="B8" s="75" t="str">
        <x:v>ΔZ</x:v>
      </x:c>
      <x:c r="C8" s="75" t="str">
        <x:v>Mögliche oder beobachtete Veränderung bei Wirkungsempfängern in Raum und Zeit.</x:v>
      </x:c>
      <x:c r="D8" s="75" t="str">
        <x:v>Output ist noch keine Wirkung.</x:v>
      </x:c>
      <x:c r="E8" s="75" t="str">
        <x:v>Begriffsleitfaden v1.5</x:v>
      </x:c>
      <x:c r="F8"/>
      <x:c r="G8"/>
      <x:c r="H8"/>
    </x:row>
    <x:row r="9">
      <x:c r="A9" s="75" t="str">
        <x:v>4 · Referenzziel</x:v>
      </x:c>
      <x:c r="B9" s="75" t="str">
        <x:v>R</x:v>
      </x:c>
      <x:c r="C9" s="75" t="str">
        <x:v>Zuordnung zum betroffenen SDG, SDG+, Schutzgut oder Rechtsrahmen.</x:v>
      </x:c>
      <x:c r="D9" s="75" t="str">
        <x:v>Themenähnlichkeit allein genügt nicht.</x:v>
      </x:c>
      <x:c r="E9" s="75" t="str">
        <x:v>UN-SDG / SDG+ / Recht</x:v>
      </x:c>
      <x:c r="F9"/>
      <x:c r="G9"/>
      <x:c r="H9"/>
    </x:row>
    <x:row r="10">
      <x:c r="A10" s="75" t="str">
        <x:v>5 · Richtung</x:v>
      </x:c>
      <x:c r="B10" s="75" t="str">
        <x:v>D(p,g)</x:v>
      </x:c>
      <x:c r="C10" s="75" t="str">
        <x:v>positiv · negativ · neutral · ambivalent · offen</x:v>
      </x:c>
      <x:c r="D10" s="75" t="str">
        <x:v>Richtung ist keine Evidenzstufe und keine eingetretene Wirkung.</x:v>
      </x:c>
      <x:c r="E10" s="75" t="str">
        <x:v>Parlament-Methodik / v1.5</x:v>
      </x:c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 s="78" t="str">
        <x:v>Richtungsregel</x:v>
      </x:c>
      <x:c r="B12" s="78"/>
      <x:c r="C12" s="75"/>
      <x:c r="D12" s="75"/>
      <x:c r="E12" s="75"/>
      <x:c r="F12" s="75"/>
      <x:c r="G12" s="75"/>
      <x:c r="H12" s="75"/>
    </x:row>
    <x:row r="13">
      <x:c r="A13" s="78" t="str">
        <x:v>positiv</x:v>
      </x:c>
      <x:c r="B13" s="78" t="str">
        <x:v>ΔZ stärkt das Referenzziel plausibel</x:v>
      </x:c>
      <x:c r="C13" s="75" t="str">
        <x:v>Kategorie, kein addierbarer Punkt</x:v>
      </x:c>
      <x:c r="D13" s="75"/>
      <x:c r="E13" s="75"/>
      <x:c r="F13" s="75"/>
      <x:c r="G13" s="75"/>
      <x:c r="H13" s="75"/>
    </x:row>
    <x:row r="14">
      <x:c r="A14" s="78" t="str">
        <x:v>negativ</x:v>
      </x:c>
      <x:c r="B14" s="78" t="str">
        <x:v>ΔZ schwächt das Referenzziel plausibel</x:v>
      </x:c>
      <x:c r="C14" s="75" t="str">
        <x:v>Kategorie, kein addierbarer Punkt</x:v>
      </x:c>
      <x:c r="D14" s="75"/>
      <x:c r="E14" s="75"/>
      <x:c r="F14" s="75"/>
      <x:c r="G14" s="75"/>
      <x:c r="H14" s="75"/>
    </x:row>
    <x:row r="15">
      <x:c r="A15" s="78" t="str">
        <x:v>neutral</x:v>
      </x:c>
      <x:c r="B15" s="78" t="str">
        <x:v>keine relevante Richtungsänderung festgestellt</x:v>
      </x:c>
      <x:c r="C15" s="75" t="str">
        <x:v>Nicht gleichbedeutend mit Datenlücke</x:v>
      </x:c>
      <x:c r="D15" s="75"/>
      <x:c r="E15" s="75"/>
      <x:c r="F15" s="75"/>
      <x:c r="G15" s="75"/>
      <x:c r="H15" s="75"/>
    </x:row>
    <x:row r="16">
      <x:c r="A16" s="78" t="str">
        <x:v>ambivalent</x:v>
      </x:c>
      <x:c r="B16" s="78" t="str">
        <x:v>derselbe unteilbare Pfad enthält gegenläufige Richtungen</x:v>
      </x:c>
      <x:c r="C16" s="75" t="str">
        <x:v>Nicht als Fallback für Unsicherheit verwenden</x:v>
      </x:c>
      <x:c r="D16" s="75"/>
      <x:c r="E16" s="75"/>
      <x:c r="F16" s="75"/>
      <x:c r="G16" s="75"/>
      <x:c r="H16" s="75"/>
    </x:row>
    <x:row r="17">
      <x:c r="A17" s="78" t="str">
        <x:v>offen</x:v>
      </x:c>
      <x:c r="B17" s="78" t="str">
        <x:v>Richtung fachlich nicht belastbar bestimmbar</x:v>
      </x:c>
      <x:c r="C17" s="75" t="str">
        <x:v>OPEN ≠ 0</x:v>
      </x:c>
      <x:c r="D17" s="75"/>
      <x:c r="E17" s="75"/>
      <x:c r="F17" s="75"/>
      <x:c r="G17" s="75"/>
      <x:c r="H17" s="75"/>
    </x:row>
    <x:row r="18">
      <x:c r="A18"/>
      <x:c r="B18"/>
      <x:c r="C18"/>
      <x:c r="D18"/>
      <x:c r="E18"/>
      <x:c r="F18"/>
      <x:c r="G18"/>
      <x:c r="H18"/>
    </x:row>
    <x:row r="19">
      <x:c r="A19" s="74" t="str">
        <x:v>B. Evidenz ist eine eigene Achse</x:v>
      </x:c>
      <x:c r="B19" s="74"/>
      <x:c r="C19" s="74"/>
      <x:c r="D19" s="74"/>
      <x:c r="E19" s="74"/>
      <x:c r="F19" s="74"/>
      <x:c r="G19" s="74"/>
      <x:c r="H19" s="74"/>
    </x:row>
    <x:row r="20">
      <x:c r="A20" s="76" t="str">
        <x:v>Richtung</x:v>
      </x:c>
      <x:c r="B20" s="76" t="str">
        <x:v>positiv / negativ / neutral / ambivalent / offen</x:v>
      </x:c>
      <x:c r="C20" s="76" t="str">
        <x:v>Evidenz</x:v>
      </x:c>
      <x:c r="D20" s="76" t="str">
        <x:v>hoch / mittel / gering / nicht bewertbar</x:v>
      </x:c>
      <x:c r="E20" s="76" t="str">
        <x:v>Beide Achsen bleiben getrennt.</x:v>
      </x:c>
      <x:c r="F20"/>
      <x:c r="G20"/>
      <x:c r="H20"/>
    </x:row>
    <x:row r="21">
      <x:c r="A21" s="76" t="str">
        <x:v>Datenstatus</x:v>
      </x:c>
      <x:c r="B21" s="76" t="str">
        <x:v>gemessen / beobachtet / modelliert / geschätzt / Sekundärquelle / fehlend</x:v>
      </x:c>
      <x:c r="C21" s="76" t="str">
        <x:v>Zurechnung</x:v>
      </x:c>
      <x:c r="D21" s="76" t="str">
        <x:v>direkt / plausibler Beitrag / systemische Mitwirkung / offen</x:v>
      </x:c>
      <x:c r="E21" s="76" t="str">
        <x:v>Keine Scheingenauigkeit.</x:v>
      </x:c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 s="74" t="str">
        <x:v>C. Quantitative Zustandsänderung</x:v>
      </x:c>
      <x:c r="B23" s="74"/>
      <x:c r="C23" s="74"/>
      <x:c r="D23" s="74"/>
      <x:c r="E23" s="74"/>
      <x:c r="F23" s="74"/>
      <x:c r="G23" s="74"/>
      <x:c r="H23" s="74"/>
    </x:row>
    <x:row r="24">
      <x:c r="A24" s="79" t="str">
        <x:v>Grundformel</x:v>
      </x:c>
      <x:c r="B24" s="79" t="str">
        <x:v>ΔY_beobachtet = Y_nachher - Y_vorher</x:v>
      </x:c>
      <x:c r="C24" s="79" t="str">
        <x:v>Bedeutung</x:v>
      </x:c>
      <x:c r="D24" s="79" t="str">
        <x:v>Zeigt Veränderung gegenüber Baseline, noch keine kausal zugerechnete Wirkung.</x:v>
      </x:c>
      <x:c r="E24"/>
      <x:c r="F24"/>
      <x:c r="G24"/>
      <x:c r="H24"/>
    </x:row>
    <x:row r="25">
      <x:c r="A25" s="79" t="str">
        <x:v>Gegenfaktum</x:v>
      </x:c>
      <x:c r="B25" s="79" t="str">
        <x:v>Ŵ = ΔY_beobachtet - ΔY_gegenfaktisch</x:v>
      </x:c>
      <x:c r="C25" s="79" t="str">
        <x:v>Bedeutung</x:v>
      </x:c>
      <x:c r="D25" s="79" t="str">
        <x:v>Geschätzte zusätzliche Veränderung; kausale Interpretation hängt vom Design ab.</x:v>
      </x:c>
      <x:c r="E25"/>
      <x:c r="F25"/>
      <x:c r="G25"/>
      <x:c r="H25"/>
    </x:row>
    <x:row r="26">
      <x:c r="A26" s="79" t="str">
        <x:v>DiD-Beispiel</x:v>
      </x:c>
      <x:c r="B26" s="79" t="str">
        <x:v>τ_DiD = (Y_T,1 - Y_T,0) - (Y_C,1 - Y_C,0)</x:v>
      </x:c>
      <x:c r="C26" s="79" t="str">
        <x:v>Bedeutung</x:v>
      </x:c>
      <x:c r="D26" s="79" t="str">
        <x:v>Mögliches Evaluationsdesign mit geeigneter Vergleichsgruppe; nicht für jeden Fall automatisch anwendbar.</x:v>
      </x:c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 s="74" t="str">
        <x:v>D. Technische WÖk-Scorecard -3 bis +3</x:v>
      </x:c>
      <x:c r="B28" s="74"/>
      <x:c r="C28" s="74"/>
      <x:c r="D28" s="74"/>
      <x:c r="E28" s="74"/>
      <x:c r="F28" s="74"/>
      <x:c r="G28" s="74"/>
      <x:c r="H28" s="74"/>
    </x:row>
    <x:row r="29">
      <x:c r="A29" s="78" t="str">
        <x:v>AutoScore</x:v>
      </x:c>
      <x:c r="B29" s="78" t="str">
        <x:v>S_auto,i = f_i(x_i)</x:v>
      </x:c>
      <x:c r="C29" s="78" t="str">
        <x:v>Messwert x_i wird nur über die dokumentierte Rule_ID bewertet.</x:v>
      </x:c>
      <x:c r="D29" s="78" t="str">
        <x:v>Nicht identisch mit politischer Ex-ante-Richtung.</x:v>
      </x:c>
      <x:c r="E29" s="78" t="str">
        <x:v>03_Scoring_Rules / 06_Scorecards</x:v>
      </x:c>
      <x:c r="F29"/>
      <x:c r="G29"/>
      <x:c r="H29"/>
    </x:row>
    <x:row r="30">
      <x:c r="A30" s="78" t="str">
        <x:v>BenchmarkScore</x:v>
      </x:c>
      <x:c r="B30" s="78" t="str">
        <x:v>nur bei Active_Status = Aktiv und vollständig validiertem Benchmark</x:v>
      </x:c>
      <x:c r="C30" s="78" t="str">
        <x:v>Legacy-Werte wirken nicht auf den FinalScore.</x:v>
      </x:c>
      <x:c r="D30" s="78" t="str">
        <x:v>Kein Benchmark aus bloßer Schwellenzahl.</x:v>
      </x:c>
      <x:c r="E30" s="78" t="str">
        <x:v>02_Benchmarks</x:v>
      </x:c>
      <x:c r="F30"/>
      <x:c r="G30"/>
      <x:c r="H30"/>
    </x:row>
    <x:row r="31">
      <x:c r="A31" s="78" t="str">
        <x:v>AssuranceScore</x:v>
      </x:c>
      <x:c r="B31" s="78" t="str">
        <x:v>manuelle/fachliche Bewertung -3…+3 mit Nachweis</x:v>
      </x:c>
      <x:c r="C31" s="78" t="str">
        <x:v>Besonders für qualitative/hybride Regeln.</x:v>
      </x:c>
      <x:c r="D31" s="78" t="str">
        <x:v>Kein Ersatz für fehlende Evidenz.</x:v>
      </x:c>
      <x:c r="E31" s="78" t="str">
        <x:v>06_Scorecards</x:v>
      </x:c>
      <x:c r="F31"/>
      <x:c r="G31"/>
      <x:c r="H31"/>
    </x:row>
    <x:row r="32">
      <x:c r="A32" s="78" t="str">
        <x:v>FinalScore</x:v>
      </x:c>
      <x:c r="B32" s="78" t="str">
        <x:v>Minimum aller vorhandenen belastbaren Teilbewertungen</x:v>
      </x:c>
      <x:c r="C32" s="78" t="str">
        <x:v>Aktueller technischer v1.3-Mechanismus, in v1.4 unverändert.</x:v>
      </x:c>
      <x:c r="D32" s="78" t="str">
        <x:v>Kein universelles Naturgesetz.</x:v>
      </x:c>
      <x:c r="E32" s="78" t="str">
        <x:v>06_Scorecards</x:v>
      </x:c>
      <x:c r="F32"/>
      <x:c r="G32"/>
      <x:c r="H32"/>
    </x:row>
    <x:row r="33">
      <x:c r="A33" s="78" t="str">
        <x:v>Keine Daten</x:v>
      </x:c>
      <x:c r="B33" s="78" t="str">
        <x:v>∅ / nicht bewertet</x:v>
      </x:c>
      <x:c r="C33" s="78" t="str">
        <x:v>Fehlende Eingaben erzeugen keinen AutoScore und keinen Steuersatz.</x:v>
      </x:c>
      <x:c r="D33" s="78" t="str">
        <x:v>OPEN ≠ 0; leer ≠ neutral.</x:v>
      </x:c>
      <x:c r="E33" s="78" t="str">
        <x:v>06_Scorecards</x:v>
      </x:c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 s="74" t="str">
        <x:v>E. Nichtkompensation</x:v>
      </x:c>
      <x:c r="B35" s="74"/>
      <x:c r="C35" s="74"/>
      <x:c r="D35" s="74"/>
      <x:c r="E35" s="74"/>
      <x:c r="F35" s="74"/>
      <x:c r="G35" s="74"/>
      <x:c r="H35" s="74"/>
    </x:row>
    <x:row r="36">
      <x:c r="A36" s="80" t="str">
        <x:v>Schutzprinzip</x:v>
      </x:c>
      <x:c r="B36" s="80" t="str">
        <x:v>Schwere oder grenzverletzende negative Wirkung darf nicht durch gute Werte anderswo neutralisiert werden.</x:v>
      </x:c>
      <x:c r="C36" s="80" t="str">
        <x:v>Keine Durchschnittsschönrechnung.</x:v>
      </x:c>
      <x:c r="D36" s="80"/>
      <x:c r="E36" s="80" t="str">
        <x:v>Begriffsleitfaden v1.5 / Root-AGENTS</x:v>
      </x:c>
      <x:c r="F36"/>
      <x:c r="G36"/>
      <x:c r="H36"/>
    </x:row>
    <x:row r="37">
      <x:c r="A37" s="80" t="str">
        <x:v>Reverse Merit Order</x:v>
      </x:c>
      <x:c r="B37" s="80" t="str">
        <x:v>Das kritischste zentrale Wirkungsfeld oder eine verletzte Wirkungsgrenze begrenzt die Gesamtbewertung.</x:v>
      </x:c>
      <x:c r="C37" s="80" t="str">
        <x:v>Nichtkompensation = Prinzip; RMO = mögliche Operationalisierung.</x:v>
      </x:c>
      <x:c r="D37" s="80"/>
      <x:c r="E37" s="80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 s="74" t="str">
        <x:v>F. Quellenfunktion und Schwellenstatus</x:v>
      </x:c>
      <x:c r="B39" s="74"/>
      <x:c r="C39" s="74"/>
      <x:c r="D39" s="74"/>
      <x:c r="E39" s="74"/>
      <x:c r="F39" s="74"/>
      <x:c r="G39" s="74"/>
      <x:c r="H39" s="74"/>
    </x:row>
    <x:row r="40">
      <x:c r="A40" s="76" t="str">
        <x:v>Mess-/Berichtsstandard</x:v>
      </x:c>
      <x:c r="B40" s="76" t="str">
        <x:v>definiert Daten, Methode oder Offenlegung</x:v>
      </x:c>
      <x:c r="C40" s="76" t="str">
        <x:v>Beispiel: ESRS, GRI, ISO</x:v>
      </x:c>
      <x:c r="D40" s="76" t="str">
        <x:v>liefert nicht automatisch WÖk-Klassengrenzen</x:v>
      </x:c>
      <x:c r="E40"/>
      <x:c r="F40"/>
      <x:c r="G40"/>
      <x:c r="H40"/>
    </x:row>
    <x:row r="41">
      <x:c r="A41" s="76" t="str">
        <x:v>Externe Schwellenquelle</x:v>
      </x:c>
      <x:c r="B41" s="76" t="str">
        <x:v>Recht, wissenschaftlich begründete Schwelle oder aktiv validierter Benchmark</x:v>
      </x:c>
      <x:c r="C41" s="76" t="str">
        <x:v>muss je Anwendung dokumentiert sein</x:v>
      </x:c>
      <x:c r="D41" s="76" t="str">
        <x:v>darf nicht durch WÖk-Schätzwert ersetzt werden</x:v>
      </x:c>
      <x:c r="E41"/>
      <x:c r="F41"/>
      <x:c r="G41"/>
      <x:c r="H41"/>
    </x:row>
    <x:row r="42">
      <x:c r="A42" s="76" t="str">
        <x:v>WÖk-Kalibrierung</x:v>
      </x:c>
      <x:c r="B42" s="76" t="str">
        <x:v>interne, versionierte Arbeitsgrenze</x:v>
      </x:c>
      <x:c r="C42" s="76" t="str">
        <x:v>muss als WÖk-Kalibrierung sichtbar bleiben</x:v>
      </x:c>
      <x:c r="D42" s="76" t="str">
        <x:v>ist keine externe wissenschaftliche Validierung</x:v>
      </x:c>
      <x:c r="E42"/>
      <x:c r="F42"/>
      <x:c r="G42"/>
      <x:c r="H42"/>
    </x:row>
    <x:row r="43">
      <x:c r="A43" s="74"/>
      <x:c r="B43" s="74"/>
      <x:c r="C43" s="74"/>
      <x:c r="D43" s="74"/>
      <x:c r="E43" s="74"/>
      <x:c r="F43" s="74"/>
      <x:c r="G43" s="74"/>
      <x:c r="H43" s="74"/>
    </x:row>
    <x:row r="44">
      <x:c r="A44" s="79" t="str">
        <x:v>G. Release-Interpretation</x:v>
      </x:c>
      <x:c r="B44" s="79"/>
      <x:c r="C44" s="79"/>
      <x:c r="D44" s="79"/>
      <x:c r="E44"/>
      <x:c r="F44"/>
      <x:c r="G44"/>
      <x:c r="H44"/>
    </x:row>
    <x:row r="45">
      <x:c r="A45" t="str">
        <x:v>v1.4 FINAL</x:v>
      </x:c>
      <x:c r="B45" t="str">
        <x:v>Führende technische Registerfassung ab 16.08.2026</x:v>
      </x:c>
      <x:c r="C45" t="str">
        <x:v>Offene Kalibrierungen, Benchmarks und Fachprüfungen bleiben explizit offen.</x:v>
      </x:c>
      <x:c r="D45" t="str">
        <x:v>FINAL bedeutet nicht, dass jede Schwelle extern validiert ist.</x:v>
      </x:c>
      <x:c r="E45"/>
      <x:c r="F45"/>
      <x:c r="G45"/>
      <x:c r="H45"/>
    </x:row>
  </x:sheetData>
  <x:mergeCells>
    <x:mergeCell ref="A1:H1"/>
    <x:mergeCell ref="A2:H2"/>
    <x:mergeCell ref="A4:H4"/>
    <x:mergeCell ref="A19:H19"/>
    <x:mergeCell ref="A23:H23"/>
    <x:mergeCell ref="A28:H28"/>
    <x:mergeCell ref="A35:H35"/>
    <x:mergeCell ref="A39:H39"/>
    <x:mergeCell ref="A43:H4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0" hidden="0" customWidth="1"/>
    <x:col min="4" max="4" width="38" hidden="0" customWidth="1"/>
    <x:col min="5" max="5" width="12" hidden="0" customWidth="1"/>
    <x:col min="6" max="6" width="42" hidden="0" customWidth="1"/>
    <x:col min="7" max="7" width="14" hidden="0" customWidth="1"/>
  </x:cols>
  <x:sheetData>
    <x:row r="1">
      <x:c r="A1" s="68" t="str">
        <x:v>10 · Public Export Schema</x:v>
      </x:c>
      <x:c r="B1" s="68"/>
      <x:c r="C1" s="68"/>
      <x:c r="D1" s="68"/>
      <x:c r="E1" s="68"/>
      <x:c r="F1" s="68"/>
      <x:c r="G1" s="68"/>
    </x:row>
    <x:row r="2">
      <x:c r="A2" s="72" t="str">
        <x:v>Verbindlicher Feldsatz für öffentlichen Register-Viewer und maschinenlesbare Exporte. Keine manuell gepflegte Parallelkopie: Public View muss aus 01_Item_Register generiert werden.</x:v>
      </x:c>
      <x:c r="B2" s="72"/>
      <x:c r="C2" s="72"/>
      <x:c r="D2" s="72"/>
      <x:c r="E2" s="72"/>
      <x:c r="F2" s="72"/>
      <x:c r="G2" s="72"/>
    </x:row>
    <x:row r="3">
      <x:c r="A3"/>
      <x:c r="B3"/>
      <x:c r="C3"/>
      <x:c r="D3"/>
      <x:c r="E3"/>
      <x:c r="F3"/>
      <x:c r="G3"/>
    </x:row>
    <x:row r="4">
      <x:c r="A4" s="82" t="str">
        <x:v>Public_Field</x:v>
      </x:c>
      <x:c r="B4" s="82" t="str">
        <x:v>Source_Sheet</x:v>
      </x:c>
      <x:c r="C4" s="82" t="str">
        <x:v>Source_Column</x:v>
      </x:c>
      <x:c r="D4" s="82" t="str">
        <x:v>Bedeutung</x:v>
      </x:c>
      <x:c r="E4" s="82" t="str">
        <x:v>Pflicht</x:v>
      </x:c>
      <x:c r="F4" s="82" t="str">
        <x:v>Publikationshinweis</x:v>
      </x:c>
      <x:c r="G4" s="82" t="str">
        <x:v>Ableitung</x:v>
      </x:c>
    </x:row>
    <x:row r="5">
      <x:c r="A5" s="75" t="str">
        <x:v>WOK_ID</x:v>
      </x:c>
      <x:c r="B5" s="75" t="str">
        <x:v>01_Item_Register</x:v>
      </x:c>
      <x:c r="C5" s="75" t="str">
        <x:v>WOK_ID</x:v>
      </x:c>
      <x:c r="D5" s="75" t="str">
        <x:v>Eindeutige WÖk-ID</x:v>
      </x:c>
      <x:c r="E5" s="75" t="str">
        <x:v>Ja</x:v>
      </x:c>
      <x:c r="F5" s="75" t="str">
        <x:v>Primärschlüssel; keine Personen-ID.</x:v>
      </x:c>
      <x:c r="G5" s="75" t="str">
        <x:v>direkt</x:v>
      </x:c>
    </x:row>
    <x:row r="6">
      <x:c r="A6" s="75" t="str">
        <x:v>SDG_or_SDGplus</x:v>
      </x:c>
      <x:c r="B6" s="75" t="str">
        <x:v>01_Item_Register</x:v>
      </x:c>
      <x:c r="C6" s="75" t="str">
        <x:v>SDG_or_SDGplus</x:v>
      </x:c>
      <x:c r="D6" s="75" t="str">
        <x:v>Offizielles SDG oder explizit gekennzeichnetes SDG+</x:v>
      </x:c>
      <x:c r="E6" s="75" t="str">
        <x:v>Ja</x:v>
      </x:c>
      <x:c r="F6" s="75" t="str">
        <x:v>SDG+ ist WÖk-Erweiterung.</x:v>
      </x:c>
      <x:c r="G6" s="75" t="str">
        <x:v>direkt</x:v>
      </x:c>
    </x:row>
    <x:row r="7">
      <x:c r="A7" s="75" t="str">
        <x:v>Target</x:v>
      </x:c>
      <x:c r="B7" s="75" t="str">
        <x:v>01_Item_Register</x:v>
      </x:c>
      <x:c r="C7" s="75" t="str">
        <x:v>Target/Unterziel</x:v>
      </x:c>
      <x:c r="D7" s="75" t="str">
        <x:v>Unterziel oder Referenzbereich</x:v>
      </x:c>
      <x:c r="E7" s="75" t="str">
        <x:v>Ja</x:v>
      </x:c>
      <x:c r="F7" s="75" t="str">
        <x:v>Kontext der Zuordnung.</x:v>
      </x:c>
      <x:c r="G7" s="75" t="str">
        <x:v>direkt</x:v>
      </x:c>
    </x:row>
    <x:row r="8">
      <x:c r="A8" s="75" t="str">
        <x:v>Indikatorfamilie</x:v>
      </x:c>
      <x:c r="B8" s="75" t="str">
        <x:v>01_Item_Register</x:v>
      </x:c>
      <x:c r="C8" s="75" t="str">
        <x:v>Indikatorfamilie</x:v>
      </x:c>
      <x:c r="D8" s="75" t="str">
        <x:v>Fachliche Indikatorfamilie</x:v>
      </x:c>
      <x:c r="E8" s="75" t="str">
        <x:v>Ja</x:v>
      </x:c>
      <x:c r="F8" s="75" t="str"/>
      <x:c r="G8" s="75" t="str">
        <x:v>direkt</x:v>
      </x:c>
    </x:row>
    <x:row r="9">
      <x:c r="A9" s="75" t="str">
        <x:v>Item</x:v>
      </x:c>
      <x:c r="B9" s="75" t="str">
        <x:v>01_Item_Register</x:v>
      </x:c>
      <x:c r="C9" s="75" t="str">
        <x:v>Item</x:v>
      </x:c>
      <x:c r="D9" s="75" t="str">
        <x:v>Name des Wirkungsindikators</x:v>
      </x:c>
      <x:c r="E9" s="75" t="str">
        <x:v>Ja</x:v>
      </x:c>
      <x:c r="F9" s="75" t="str"/>
      <x:c r="G9" s="75" t="str">
        <x:v>direkt</x:v>
      </x:c>
    </x:row>
    <x:row r="10">
      <x:c r="A10" s="75" t="str">
        <x:v>Definition</x:v>
      </x:c>
      <x:c r="B10" s="75" t="str">
        <x:v>01_Item_Register</x:v>
      </x:c>
      <x:c r="C10" s="75" t="str">
        <x:v>Definition/Messgröße</x:v>
      </x:c>
      <x:c r="D10" s="75" t="str">
        <x:v>Was genau gemessen oder beobachtet wird</x:v>
      </x:c>
      <x:c r="E10" s="75" t="str">
        <x:v>Ja</x:v>
      </x:c>
      <x:c r="F10" s="75" t="str"/>
      <x:c r="G10" s="75" t="str">
        <x:v>direkt</x:v>
      </x:c>
    </x:row>
    <x:row r="11">
      <x:c r="A11" s="75" t="str">
        <x:v>Einheit</x:v>
      </x:c>
      <x:c r="B11" s="75" t="str">
        <x:v>01_Item_Register</x:v>
      </x:c>
      <x:c r="C11" s="75" t="str">
        <x:v>Einheit</x:v>
      </x:c>
      <x:c r="D11" s="75" t="str">
        <x:v>Mess- oder Bewertungsformat</x:v>
      </x:c>
      <x:c r="E11" s="75" t="str">
        <x:v>Ja</x:v>
      </x:c>
      <x:c r="F11" s="75" t="str"/>
      <x:c r="G11" s="75" t="str">
        <x:v>direkt</x:v>
      </x:c>
    </x:row>
    <x:row r="12">
      <x:c r="A12" s="75" t="str">
        <x:v>Polarity</x:v>
      </x:c>
      <x:c r="B12" s="75" t="str">
        <x:v>01_Item_Register</x:v>
      </x:c>
      <x:c r="C12" s="75" t="str">
        <x:v>Polarity</x:v>
      </x:c>
      <x:c r="D12" s="75" t="str">
        <x:v>Richtung der technischen Messregel</x:v>
      </x:c>
      <x:c r="E12" s="75" t="str">
        <x:v>Ja</x:v>
      </x:c>
      <x:c r="F12" s="75" t="str">
        <x:v>Nicht mit politischer Wirkungsrichtung verwechseln.</x:v>
      </x:c>
      <x:c r="G12" s="75" t="str">
        <x:v>direkt</x:v>
      </x:c>
    </x:row>
    <x:row r="13">
      <x:c r="A13" s="75" t="str">
        <x:v>Rule_ID</x:v>
      </x:c>
      <x:c r="B13" s="75" t="str">
        <x:v>01_Item_Register</x:v>
      </x:c>
      <x:c r="C13" s="75" t="str">
        <x:v>Rule_ID</x:v>
      </x:c>
      <x:c r="D13" s="75" t="str">
        <x:v>Verweis auf Scoringregel</x:v>
      </x:c>
      <x:c r="E13" s="75" t="str">
        <x:v>Ja</x:v>
      </x:c>
      <x:c r="F13" s="75" t="str"/>
      <x:c r="G13" s="75" t="str">
        <x:v>direkt</x:v>
      </x:c>
    </x:row>
    <x:row r="14">
      <x:c r="A14" s="75" t="str">
        <x:v>Schwellen</x:v>
      </x:c>
      <x:c r="B14" s="75" t="str">
        <x:v>01_Item_Register</x:v>
      </x:c>
      <x:c r="C14" s="75" t="str">
        <x:v>Schwellen (WÖk-Klassen)</x:v>
      </x:c>
      <x:c r="D14" s="75" t="str">
        <x:v>Versionierte Score-Grenzen</x:v>
      </x:c>
      <x:c r="E14" s="75" t="str">
        <x:v>Ja</x:v>
      </x:c>
      <x:c r="F14" s="75" t="str">
        <x:v>Status/Quelle immer gemeinsam anzeigen.</x:v>
      </x:c>
      <x:c r="G14" s="75" t="str">
        <x:v>direkt</x:v>
      </x:c>
    </x:row>
    <x:row r="15">
      <x:c r="A15" s="75" t="str">
        <x:v>Schwellenkategorie</x:v>
      </x:c>
      <x:c r="B15" s="75" t="str">
        <x:v>01_Item_Register</x:v>
      </x:c>
      <x:c r="C15" s="75" t="str">
        <x:v>Schwellenkategorie</x:v>
      </x:c>
      <x:c r="D15" s="75" t="str">
        <x:v>Art der Schwelle</x:v>
      </x:c>
      <x:c r="E15" s="75" t="str">
        <x:v>Ja</x:v>
      </x:c>
      <x:c r="F15" s="75" t="str"/>
      <x:c r="G15" s="75" t="str">
        <x:v>direkt</x:v>
      </x:c>
    </x:row>
    <x:row r="16">
      <x:c r="A16" s="75" t="str">
        <x:v>Schwellenstatus</x:v>
      </x:c>
      <x:c r="B16" s="75" t="str">
        <x:v>01_Item_Register</x:v>
      </x:c>
      <x:c r="C16" s="75" t="str">
        <x:v>Schwellenstatus</x:v>
      </x:c>
      <x:c r="D16" s="75" t="str">
        <x:v>Validierungs- bzw. Arbeitsstatus</x:v>
      </x:c>
      <x:c r="E16" s="75" t="str">
        <x:v>Ja</x:v>
      </x:c>
      <x:c r="F16" s="75" t="str">
        <x:v>WÖk-Kalibrierung klar kennzeichnen.</x:v>
      </x:c>
      <x:c r="G16" s="75" t="str">
        <x:v>direkt</x:v>
      </x:c>
    </x:row>
    <x:row r="17">
      <x:c r="A17" s="75" t="str">
        <x:v>Grenzwertbasis</x:v>
      </x:c>
      <x:c r="B17" s="75" t="str">
        <x:v>01_Item_Register</x:v>
      </x:c>
      <x:c r="C17" s="75" t="str">
        <x:v>Grenzwertbasis</x:v>
      </x:c>
      <x:c r="D17" s="75" t="str">
        <x:v>Herkunft/Logik der Grenze</x:v>
      </x:c>
      <x:c r="E17" s="75" t="str">
        <x:v>Ja</x:v>
      </x:c>
      <x:c r="F17" s="75" t="str"/>
      <x:c r="G17" s="75" t="str">
        <x:v>direkt</x:v>
      </x:c>
    </x:row>
    <x:row r="18">
      <x:c r="A18" s="75" t="str">
        <x:v>Benchmarkbedarf</x:v>
      </x:c>
      <x:c r="B18" s="75" t="str">
        <x:v>01_Item_Register</x:v>
      </x:c>
      <x:c r="C18" s="75" t="str">
        <x:v>Benchmarkbedarf</x:v>
      </x:c>
      <x:c r="D18" s="75" t="str">
        <x:v>Ob ein aktiver Benchmark erforderlich ist</x:v>
      </x:c>
      <x:c r="E18" s="75" t="str">
        <x:v>Ja</x:v>
      </x:c>
      <x:c r="F18" s="75" t="str"/>
      <x:c r="G18" s="75" t="str">
        <x:v>direkt</x:v>
      </x:c>
    </x:row>
    <x:row r="19">
      <x:c r="A19" s="75" t="str">
        <x:v>Quelle_detail</x:v>
      </x:c>
      <x:c r="B19" s="75" t="str">
        <x:v>01_Item_Register</x:v>
      </x:c>
      <x:c r="C19" s="75" t="str">
        <x:v>Quelle_detail</x:v>
      </x:c>
      <x:c r="D19" s="75" t="str">
        <x:v>Fach-/Messquellen</x:v>
      </x:c>
      <x:c r="E19" s="75" t="str">
        <x:v>Ja</x:v>
      </x:c>
      <x:c r="F19" s="75" t="str"/>
      <x:c r="G19" s="75" t="str">
        <x:v>direkt</x:v>
      </x:c>
    </x:row>
    <x:row r="20">
      <x:c r="A20" s="75" t="str">
        <x:v>Quellenfunktion</x:v>
      </x:c>
      <x:c r="B20" s="75" t="str">
        <x:v>01_Item_Register</x:v>
      </x:c>
      <x:c r="C20" s="75" t="str">
        <x:v>Quellenfunktion</x:v>
      </x:c>
      <x:c r="D20" s="75" t="str">
        <x:v>Messstandard, Recht, Datensatz, Kalibrierung etc.</x:v>
      </x:c>
      <x:c r="E20" s="75" t="str">
        <x:v>Ja</x:v>
      </x:c>
      <x:c r="F20" s="75" t="str">
        <x:v>Funktion nicht vermischen.</x:v>
      </x:c>
      <x:c r="G20" s="75" t="str">
        <x:v>direkt</x:v>
      </x:c>
    </x:row>
    <x:row r="21">
      <x:c r="A21" s="75" t="str">
        <x:v>Quellenstatus</x:v>
      </x:c>
      <x:c r="B21" s="75" t="str">
        <x:v>01_Item_Register</x:v>
      </x:c>
      <x:c r="C21" s="75" t="str">
        <x:v>Quellenstatus</x:v>
      </x:c>
      <x:c r="D21" s="75" t="str">
        <x:v>Beleg- und Validierungsstatus</x:v>
      </x:c>
      <x:c r="E21" s="75" t="str">
        <x:v>Ja</x:v>
      </x:c>
      <x:c r="F21" s="75" t="str"/>
      <x:c r="G21" s="75" t="str">
        <x:v>direkt</x:v>
      </x:c>
    </x:row>
    <x:row r="22">
      <x:c r="A22" s="75" t="str">
        <x:v>Source_IDs</x:v>
      </x:c>
      <x:c r="B22" s="75" t="str">
        <x:v>01_Item_Register</x:v>
      </x:c>
      <x:c r="C22" s="75" t="str">
        <x:v>Source_IDs</x:v>
      </x:c>
      <x:c r="D22" s="75" t="str">
        <x:v>Verweis auf Quellenkatalog</x:v>
      </x:c>
      <x:c r="E22" s="75" t="str">
        <x:v>Ja</x:v>
      </x:c>
      <x:c r="F22" s="75" t="str"/>
      <x:c r="G22" s="75" t="str">
        <x:v>direkt</x:v>
      </x:c>
    </x:row>
    <x:row r="23">
      <x:c r="A23" s="75" t="str">
        <x:v>NACE_Legacy</x:v>
      </x:c>
      <x:c r="B23" s="75" t="str">
        <x:v>01_Item_Register</x:v>
      </x:c>
      <x:c r="C23" s="75" t="str">
        <x:v>NACE_Beispiele_Legacy</x:v>
      </x:c>
      <x:c r="D23" s="75" t="str">
        <x:v>Historische NACE-Beispiele</x:v>
      </x:c>
      <x:c r="E23" s="75" t="str">
        <x:v>Optional</x:v>
      </x:c>
      <x:c r="F23" s="75" t="str">
        <x:v>Nur mit Legacy-Hinweis.</x:v>
      </x:c>
      <x:c r="G23" s="75" t="str">
        <x:v>direkt</x:v>
      </x:c>
    </x:row>
    <x:row r="24">
      <x:c r="A24" s="75" t="str">
        <x:v>NACE_Version</x:v>
      </x:c>
      <x:c r="B24" s="75" t="str">
        <x:v>01_Item_Register</x:v>
      </x:c>
      <x:c r="C24" s="75" t="str">
        <x:v>NACE_Version</x:v>
      </x:c>
      <x:c r="D24" s="75" t="str">
        <x:v>Klassifikationsversion</x:v>
      </x:c>
      <x:c r="E24" s="75" t="str">
        <x:v>Ja</x:v>
      </x:c>
      <x:c r="F24" s="75" t="str"/>
      <x:c r="G24" s="75" t="str">
        <x:v>direkt</x:v>
      </x:c>
    </x:row>
    <x:row r="25">
      <x:c r="A25" s="75" t="str">
        <x:v>NACE_Rev2.1</x:v>
      </x:c>
      <x:c r="B25" s="75" t="str">
        <x:v>01_Item_Register</x:v>
      </x:c>
      <x:c r="C25" s="75" t="str">
        <x:v>NACE_Rev2.1_Beispiele</x:v>
      </x:c>
      <x:c r="D25" s="75" t="str">
        <x:v>Migrierte/zu prüfende Beispiele</x:v>
      </x:c>
      <x:c r="E25" s="75" t="str">
        <x:v>Optional</x:v>
      </x:c>
      <x:c r="F25" s="75" t="str"/>
      <x:c r="G25" s="75" t="str">
        <x:v>direkt</x:v>
      </x:c>
    </x:row>
    <x:row r="26">
      <x:c r="A26" s="75" t="str">
        <x:v>NACE_Status</x:v>
      </x:c>
      <x:c r="B26" s="75" t="str">
        <x:v>01_Item_Register</x:v>
      </x:c>
      <x:c r="C26" s="75" t="str">
        <x:v>NACE_Status</x:v>
      </x:c>
      <x:c r="D26" s="75" t="str">
        <x:v>Migrations-/Prüfstatus</x:v>
      </x:c>
      <x:c r="E26" s="75" t="str">
        <x:v>Ja</x:v>
      </x:c>
      <x:c r="F26" s="75" t="str"/>
      <x:c r="G26" s="75" t="str">
        <x:v>direkt</x:v>
      </x:c>
    </x:row>
    <x:row r="27">
      <x:c r="A27" s="75" t="str">
        <x:v>Systemgrenze</x:v>
      </x:c>
      <x:c r="B27" s="75" t="str">
        <x:v>01_Item_Register</x:v>
      </x:c>
      <x:c r="C27" s="75" t="str">
        <x:v>Systemgrenze</x:v>
      </x:c>
      <x:c r="D27" s="75" t="str">
        <x:v>Sachliche/räumliche/zeitliche Grenze</x:v>
      </x:c>
      <x:c r="E27" s="75" t="str">
        <x:v>Ja</x:v>
      </x:c>
      <x:c r="F27" s="75" t="str"/>
      <x:c r="G27" s="75" t="str">
        <x:v>direkt</x:v>
      </x:c>
    </x:row>
    <x:row r="28">
      <x:c r="A28" s="75" t="str">
        <x:v>Berechnungslogik</x:v>
      </x:c>
      <x:c r="B28" s="75" t="str">
        <x:v>01_Item_Register</x:v>
      </x:c>
      <x:c r="C28" s="75" t="str">
        <x:v>Berechnungslogik</x:v>
      </x:c>
      <x:c r="D28" s="75" t="str">
        <x:v>Technische Mess- oder Rechenlogik</x:v>
      </x:c>
      <x:c r="E28" s="75" t="str">
        <x:v>Ja</x:v>
      </x:c>
      <x:c r="F28" s="75" t="str"/>
      <x:c r="G28" s="75" t="str">
        <x:v>direkt</x:v>
      </x:c>
    </x:row>
    <x:row r="29">
      <x:c r="A29" s="75" t="str">
        <x:v>Datenqualitätsanforderung</x:v>
      </x:c>
      <x:c r="B29" s="75" t="str">
        <x:v>01_Item_Register</x:v>
      </x:c>
      <x:c r="C29" s="75" t="str">
        <x:v>Datenqualitätsanforderung</x:v>
      </x:c>
      <x:c r="D29" s="75" t="str">
        <x:v>Mindestanforderung an Daten</x:v>
      </x:c>
      <x:c r="E29" s="75" t="str">
        <x:v>Ja</x:v>
      </x:c>
      <x:c r="F29" s="75" t="str"/>
      <x:c r="G29" s="75" t="str">
        <x:v>direkt</x:v>
      </x:c>
    </x:row>
    <x:row r="30">
      <x:c r="A30" s="75" t="str">
        <x:v>Assurance_Anforderung</x:v>
      </x:c>
      <x:c r="B30" s="75" t="str">
        <x:v>01_Item_Register</x:v>
      </x:c>
      <x:c r="C30" s="75" t="str">
        <x:v>Assurance_Anforderung</x:v>
      </x:c>
      <x:c r="D30" s="75" t="str">
        <x:v>Erforderliche Prüftiefe</x:v>
      </x:c>
      <x:c r="E30" s="75" t="str">
        <x:v>Ja</x:v>
      </x:c>
      <x:c r="F30" s="75" t="str"/>
      <x:c r="G30" s="75" t="str">
        <x:v>direkt</x:v>
      </x:c>
    </x:row>
    <x:row r="31">
      <x:c r="A31" s="75" t="str">
        <x:v>Fachlogik_Status</x:v>
      </x:c>
      <x:c r="B31" s="75" t="str">
        <x:v>01_Item_Register</x:v>
      </x:c>
      <x:c r="C31" s="75" t="str">
        <x:v>Fachlogik_Status</x:v>
      </x:c>
      <x:c r="D31" s="75" t="str">
        <x:v>Fachliche Nutzbarkeit/Freigabestatus</x:v>
      </x:c>
      <x:c r="E31" s="75" t="str">
        <x:v>Ja</x:v>
      </x:c>
      <x:c r="F31" s="75" t="str"/>
      <x:c r="G31" s="75" t="str">
        <x:v>direkt</x:v>
      </x:c>
    </x:row>
    <x:row r="32">
      <x:c r="A32" s="75" t="str">
        <x:v>Prüfpriorität</x:v>
      </x:c>
      <x:c r="B32" s="75" t="str">
        <x:v>01_Item_Register</x:v>
      </x:c>
      <x:c r="C32" s="75" t="str">
        <x:v>Prüfpriorität</x:v>
      </x:c>
      <x:c r="D32" s="75" t="str">
        <x:v>Kritisch/Hoch/Mittel</x:v>
      </x:c>
      <x:c r="E32" s="75" t="str">
        <x:v>Ja</x:v>
      </x:c>
      <x:c r="F32" s="75" t="str"/>
      <x:c r="G32" s="75" t="str">
        <x:v>direkt</x:v>
      </x:c>
    </x:row>
    <x:row r="33">
      <x:c r="A33" s="75" t="str">
        <x:v>Prüfhinweis</x:v>
      </x:c>
      <x:c r="B33" s="75" t="str">
        <x:v>01_Item_Register</x:v>
      </x:c>
      <x:c r="C33" s="75" t="str">
        <x:v>Prüfhinweis</x:v>
      </x:c>
      <x:c r="D33" s="75" t="str">
        <x:v>Offene Fachfrage oder Validierungshinweis</x:v>
      </x:c>
      <x:c r="E33" s="75" t="str">
        <x:v>Ja</x:v>
      </x:c>
      <x:c r="F33" s="75" t="str"/>
      <x:c r="G33" s="75" t="str">
        <x:v>direkt</x:v>
      </x:c>
    </x:row>
    <x:row r="34">
      <x:c r="A34" s="75" t="str">
        <x:v>Version</x:v>
      </x:c>
      <x:c r="B34" s="75" t="str">
        <x:v>01_Item_Register</x:v>
      </x:c>
      <x:c r="C34" s="75" t="str">
        <x:v>Version</x:v>
      </x:c>
      <x:c r="D34" s="75" t="str">
        <x:v>Item-/Registerversion</x:v>
      </x:c>
      <x:c r="E34" s="75" t="str">
        <x:v>Ja</x:v>
      </x:c>
      <x:c r="F34" s="75" t="str"/>
      <x:c r="G34" s="75" t="str">
        <x:v>direkt</x:v>
      </x:c>
    </x:row>
    <x:row r="35">
      <x:c r="A35" s="75" t="str">
        <x:v>Gültig_ab</x:v>
      </x:c>
      <x:c r="B35" s="75" t="str">
        <x:v>01_Item_Register</x:v>
      </x:c>
      <x:c r="C35" s="75" t="str">
        <x:v>Gültig_ab</x:v>
      </x:c>
      <x:c r="D35" s="75" t="str">
        <x:v>Gültigkeitsbeginn</x:v>
      </x:c>
      <x:c r="E35" s="75" t="str">
        <x:v>Ja</x:v>
      </x:c>
      <x:c r="F35" s="75" t="str"/>
      <x:c r="G35" s="75" t="str">
        <x:v>direkt</x:v>
      </x:c>
    </x:row>
    <x:row r="36">
      <x:c r="A36" s="75" t="str">
        <x:v>Gültig_bis</x:v>
      </x:c>
      <x:c r="B36" s="75" t="str">
        <x:v>01_Item_Register</x:v>
      </x:c>
      <x:c r="C36" s="75" t="str">
        <x:v>Gültig_bis</x:v>
      </x:c>
      <x:c r="D36" s="75" t="str">
        <x:v>Gültigkeitsende</x:v>
      </x:c>
      <x:c r="E36" s="75" t="str">
        <x:v>Optional</x:v>
      </x:c>
      <x:c r="F36" s="75" t="str"/>
      <x:c r="G36" s="75" t="str">
        <x:v>direkt</x:v>
      </x:c>
    </x:row>
  </x:sheetData>
  <x:mergeCells>
    <x:mergeCell ref="A1:G1"/>
    <x:mergeCell ref="A2:G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Institut für Wirkungsökonomie</Application>
  <AppVersion>1.4</AppVersion>
  <Company>Institut für Wirkungsökonomie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WÖk-Masterregister v1.4 FINAL</dc:title>
  <dc:subject>Indikatoren, Regeln, Quellen, Benchmarks und Kalibrierungsstatus der Wirkungsökonomie</dc:subject>
  <dc:creator>Institut für Wirkungsökonomie</dc:creator>
  <cp:lastModifiedBy>Institut für Wirkungsökonomie</cp:lastModifiedBy>
  <dc:description>Kanonische technische Registerfassung v1.4; offene Validierungs- und Benchmarkfragen bleiben sichtbar.</dc:description>
  <cp:revision>1</cp:revision>
  <dcterms:created xsi:type="dcterms:W3CDTF">2026-08-16T00:00:00Z</dcterms:created>
  <dcterms:modified xsi:type="dcterms:W3CDTF">2026-08-16T00:00:00Z</dcterms:modified>
</cp:coreProperties>
</file>